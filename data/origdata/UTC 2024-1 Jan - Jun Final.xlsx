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urrent" sheetId="1" r:id="rId5"/>
    <sheet state="hidden" name="Courts" sheetId="2" r:id="rId6"/>
    <sheet state="hidden" name="Checkin" sheetId="3" r:id="rId7"/>
    <sheet state="visible" name="062924" sheetId="4" r:id="rId8"/>
    <sheet state="visible" name="062224" sheetId="5" r:id="rId9"/>
    <sheet state="visible" name="061524" sheetId="6" r:id="rId10"/>
    <sheet state="visible" name="060824" sheetId="7" r:id="rId11"/>
    <sheet state="visible" name="052524" sheetId="8" r:id="rId12"/>
    <sheet state="visible" name="051824" sheetId="9" r:id="rId13"/>
    <sheet state="visible" name="051124" sheetId="10" r:id="rId14"/>
    <sheet state="visible" name="050424" sheetId="11" r:id="rId15"/>
    <sheet state="visible" name="042724" sheetId="12" r:id="rId16"/>
    <sheet state="visible" name="042024" sheetId="13" r:id="rId17"/>
    <sheet state="visible" name="041324" sheetId="14" r:id="rId18"/>
    <sheet state="visible" name="040624" sheetId="15" r:id="rId19"/>
    <sheet state="visible" name="031624" sheetId="16" r:id="rId20"/>
    <sheet state="visible" name="030924" sheetId="17" r:id="rId21"/>
    <sheet state="visible" name="022424" sheetId="18" r:id="rId22"/>
    <sheet state="visible" name="021724" sheetId="19" r:id="rId23"/>
    <sheet state="visible" name="021024" sheetId="20" r:id="rId24"/>
    <sheet state="visible" name="020324" sheetId="21" r:id="rId25"/>
    <sheet state="visible" name="012724" sheetId="22" r:id="rId26"/>
    <sheet state="visible" name="012024" sheetId="23" r:id="rId27"/>
    <sheet state="visible" name="011324" sheetId="24" r:id="rId28"/>
    <sheet state="visible" name="010624" sheetId="25" r:id="rId29"/>
  </sheets>
  <definedNames/>
  <calcPr/>
</workbook>
</file>

<file path=xl/sharedStrings.xml><?xml version="1.0" encoding="utf-8"?>
<sst xmlns="http://schemas.openxmlformats.org/spreadsheetml/2006/main" count="6280" uniqueCount="139">
  <si>
    <t xml:space="preserve">Court # </t>
  </si>
  <si>
    <t xml:space="preserve">Standings as of </t>
  </si>
  <si>
    <t xml:space="preserve"> f  </t>
  </si>
  <si>
    <t xml:space="preserve">Check in </t>
  </si>
  <si>
    <t>Name of the Player</t>
  </si>
  <si>
    <t>Games Won</t>
  </si>
  <si>
    <t>Sl.No</t>
  </si>
  <si>
    <t>Sets Won</t>
  </si>
  <si>
    <t>Playing</t>
  </si>
  <si>
    <t>Check In</t>
  </si>
  <si>
    <t>Playing-Can Sit</t>
  </si>
  <si>
    <t>Set 1</t>
  </si>
  <si>
    <t>Out</t>
  </si>
  <si>
    <t>Set 2</t>
  </si>
  <si>
    <t>Set 3</t>
  </si>
  <si>
    <t>Out-Can Play</t>
  </si>
  <si>
    <t>Total Games won</t>
  </si>
  <si>
    <t>To Respond</t>
  </si>
  <si>
    <t>Sitouts</t>
  </si>
  <si>
    <t>Previous sitouts</t>
  </si>
  <si>
    <t>Number of Weeks Played</t>
  </si>
  <si>
    <t>Eligible sitouts</t>
  </si>
  <si>
    <t>Sets Validations</t>
  </si>
  <si>
    <t>Beginning of week</t>
  </si>
  <si>
    <t>Current Week Scores</t>
  </si>
  <si>
    <t>End of week</t>
  </si>
  <si>
    <t>Jan-Jul 2024</t>
  </si>
  <si>
    <t>Jul-Dec 2024</t>
  </si>
  <si>
    <t>Ranking</t>
  </si>
  <si>
    <t>Name of Player</t>
  </si>
  <si>
    <t>Check IN</t>
  </si>
  <si>
    <t>Court #</t>
  </si>
  <si>
    <t>Set 0</t>
  </si>
  <si>
    <t>Waiver</t>
  </si>
  <si>
    <t>Fee</t>
  </si>
  <si>
    <t>Sit outs</t>
  </si>
  <si>
    <t>No Shows</t>
  </si>
  <si>
    <t>Absent</t>
  </si>
  <si>
    <t>Adrian Tay</t>
  </si>
  <si>
    <t>Alejandro Mejia</t>
  </si>
  <si>
    <t>Last update</t>
  </si>
  <si>
    <t>Skip Court 3</t>
  </si>
  <si>
    <t>Jimmy Awolesi</t>
  </si>
  <si>
    <t>Y</t>
  </si>
  <si>
    <t>Skip Court 4</t>
  </si>
  <si>
    <t>Tony Wong</t>
  </si>
  <si>
    <t>X</t>
  </si>
  <si>
    <t>Vinaya Kajla</t>
  </si>
  <si>
    <t>Peter Cheng</t>
  </si>
  <si>
    <t>Out/Can Play</t>
  </si>
  <si>
    <t>Christopher Li</t>
  </si>
  <si>
    <t>TBD</t>
  </si>
  <si>
    <t>Suleman Alidina</t>
  </si>
  <si>
    <t>Total</t>
  </si>
  <si>
    <t>Ash Nikravan</t>
  </si>
  <si>
    <t>Luis Hsu</t>
  </si>
  <si>
    <t>Susanta Mishra</t>
  </si>
  <si>
    <t>Peter Homsey</t>
  </si>
  <si>
    <t>Check out-can play</t>
  </si>
  <si>
    <t>David Tam</t>
  </si>
  <si>
    <t>Lam Bui</t>
  </si>
  <si>
    <t>David Shin</t>
  </si>
  <si>
    <t xml:space="preserve">Total </t>
  </si>
  <si>
    <t>Ted Shen</t>
  </si>
  <si>
    <t>Vacations</t>
  </si>
  <si>
    <t>Pulkit Mathur</t>
  </si>
  <si>
    <t>Naveen Raj</t>
  </si>
  <si>
    <t>Until 7/18</t>
  </si>
  <si>
    <t>Trinath Goteti</t>
  </si>
  <si>
    <t>?</t>
  </si>
  <si>
    <t xml:space="preserve">Pavan </t>
  </si>
  <si>
    <t>Kingsley Kuo</t>
  </si>
  <si>
    <t>Injured/Recovering</t>
  </si>
  <si>
    <t>Scott Li</t>
  </si>
  <si>
    <t>Sai Dilip Ponnaganti</t>
  </si>
  <si>
    <t>Jonathan Phan</t>
  </si>
  <si>
    <t xml:space="preserve">Vamsi Lolla </t>
  </si>
  <si>
    <t>Sean Chang</t>
  </si>
  <si>
    <t>Erik Hoeckmann</t>
  </si>
  <si>
    <t>Rajasekar Ramasamy</t>
  </si>
  <si>
    <t>Anish Kumar</t>
  </si>
  <si>
    <t>Pavan Akkimsetty</t>
  </si>
  <si>
    <t>Eric Pan</t>
  </si>
  <si>
    <t>Manuel Rivera</t>
  </si>
  <si>
    <t>Joe Luzzi</t>
  </si>
  <si>
    <t>New members</t>
  </si>
  <si>
    <t>Chinna Ponnaganti</t>
  </si>
  <si>
    <t>Nicole Ni</t>
  </si>
  <si>
    <t>jul-dec 2024 zelle</t>
  </si>
  <si>
    <t>Vishnu Amarnath</t>
  </si>
  <si>
    <t>Tom Le</t>
  </si>
  <si>
    <t>tansferred</t>
  </si>
  <si>
    <t>Vamshi lolla</t>
  </si>
  <si>
    <t>5/28/9/24</t>
  </si>
  <si>
    <t>Eric Tan</t>
  </si>
  <si>
    <t>Andrew Wen</t>
  </si>
  <si>
    <t>Mauricio Palacios</t>
  </si>
  <si>
    <t>Joyce Zhu</t>
  </si>
  <si>
    <t>Balaji Alahari</t>
  </si>
  <si>
    <t>transferred</t>
  </si>
  <si>
    <t>Ramesh Bandaru</t>
  </si>
  <si>
    <t>transefered</t>
  </si>
  <si>
    <t>Oscar Bonilla</t>
  </si>
  <si>
    <t>Lloyd Sagar</t>
  </si>
  <si>
    <t>N</t>
  </si>
  <si>
    <t xml:space="preserve">Elayaraja Thangaraj </t>
  </si>
  <si>
    <t>Sandy Weyant</t>
  </si>
  <si>
    <t>Matthew Huang</t>
  </si>
  <si>
    <t>Kumar Palakeel</t>
  </si>
  <si>
    <t>Nohely Mejia</t>
  </si>
  <si>
    <t>Manish Anand</t>
  </si>
  <si>
    <t>Andrew Chin</t>
  </si>
  <si>
    <t>Vinot Kumar Nagappan</t>
  </si>
  <si>
    <t>Savay Lieu</t>
  </si>
  <si>
    <t>Sanjaye Elayattu</t>
  </si>
  <si>
    <t>Amit Patel</t>
  </si>
  <si>
    <t>Sudhagar Subbaian</t>
  </si>
  <si>
    <t>Robert Chang</t>
  </si>
  <si>
    <t>Rosie Bonilla</t>
  </si>
  <si>
    <t>Troy Wong</t>
  </si>
  <si>
    <t xml:space="preserve">Santosh Sundaresan </t>
  </si>
  <si>
    <t>Tony Lin</t>
  </si>
  <si>
    <t>Chandrasekar Chinnathambi</t>
  </si>
  <si>
    <t>Marcus Yovas</t>
  </si>
  <si>
    <t>Vilas Janardhanan</t>
  </si>
  <si>
    <t>Coco Yan</t>
  </si>
  <si>
    <t>Tiffany Yu</t>
  </si>
  <si>
    <t>Jose Ortiz</t>
  </si>
  <si>
    <t>Paid</t>
  </si>
  <si>
    <t>To Pay</t>
  </si>
  <si>
    <t xml:space="preserve"> </t>
  </si>
  <si>
    <t>Top Scores</t>
  </si>
  <si>
    <t>Games</t>
  </si>
  <si>
    <t>Sets</t>
  </si>
  <si>
    <t>Not Renewing</t>
  </si>
  <si>
    <t>Scores for this week</t>
  </si>
  <si>
    <t>Absentees</t>
  </si>
  <si>
    <t>Members to renew</t>
  </si>
  <si>
    <t>Members Leaving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</si>
</sst>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d, yyyy"/>
    <numFmt numFmtId="165" formatCode="0;-0;;@"/>
    <numFmt numFmtId="166" formatCode="m/d/yyyy h:mm:ss"/>
    <numFmt numFmtId="167" formatCode="m/d"/>
    <numFmt numFmtId="168" formatCode="&quot;$&quot;#,##0"/>
    <numFmt numFmtId="169" formatCode="&quot;$&quot;#,##0.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/>
    <font>
      <sz val="14.0"/>
      <color theme="1"/>
      <name val="Arial"/>
      <scheme val="minor"/>
    </font>
    <font>
      <sz val="14.0"/>
      <color theme="1"/>
      <name val="Arial"/>
    </font>
    <font>
      <sz val="11.0"/>
      <color rgb="FF000000"/>
      <name val="Roboto-regular"/>
    </font>
    <font>
      <sz val="9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0" fillId="3" fontId="2" numFmtId="164" xfId="0" applyAlignment="1" applyFill="1" applyFont="1" applyNumberFormat="1">
      <alignment horizontal="center" readingOrder="0"/>
    </xf>
    <xf borderId="1" fillId="2" fontId="3" numFmtId="0" xfId="0" applyAlignment="1" applyBorder="1" applyFill="1" applyFont="1">
      <alignment readingOrder="0" shrinkToFit="0" wrapText="1"/>
    </xf>
    <xf borderId="1" fillId="2" fontId="1" numFmtId="0" xfId="0" applyAlignment="1" applyBorder="1" applyFill="1" applyFont="1">
      <alignment readingOrder="0"/>
    </xf>
    <xf borderId="0" fillId="3" fontId="4" numFmtId="0" xfId="0" applyAlignment="1" applyFill="1" applyFont="1">
      <alignment horizontal="right" readingOrder="0"/>
    </xf>
    <xf borderId="0" fillId="0" fontId="1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3" fontId="6" numFmtId="0" xfId="0" applyAlignment="1" applyBorder="1" applyFill="1" applyFont="1">
      <alignment horizontal="center" readingOrder="0" shrinkToFit="0" wrapText="1"/>
    </xf>
    <xf borderId="3" fillId="0" fontId="7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4" fillId="0" fontId="7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1" fillId="5" fontId="8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readingOrder="0"/>
    </xf>
    <xf borderId="1" fillId="5" fontId="8" numFmtId="0" xfId="0" applyAlignment="1" applyBorder="1" applyFill="1" applyFont="1">
      <alignment horizontal="center" readingOrder="0" shrinkToFit="0" wrapText="1"/>
    </xf>
    <xf borderId="1" fillId="6" fontId="8" numFmtId="0" xfId="0" applyAlignment="1" applyBorder="1" applyFill="1" applyFont="1">
      <alignment horizontal="center" readingOrder="0" shrinkToFit="0" wrapText="1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6" fontId="8" numFmtId="165" xfId="0" applyAlignment="1" applyBorder="1" applyFill="1" applyFont="1" applyNumberFormat="1">
      <alignment horizontal="center" readingOrder="0"/>
    </xf>
    <xf borderId="1" fillId="6" fontId="8" numFmtId="3" xfId="0" applyAlignment="1" applyBorder="1" applyFill="1" applyFont="1" applyNumberFormat="1">
      <alignment horizontal="center" readingOrder="0"/>
    </xf>
    <xf borderId="1" fillId="5" fontId="8" numFmtId="165" xfId="0" applyAlignment="1" applyBorder="1" applyFill="1" applyFont="1" applyNumberFormat="1">
      <alignment horizontal="center" readingOrder="0"/>
    </xf>
    <xf borderId="1" fillId="4" fontId="8" numFmtId="165" xfId="0" applyAlignment="1" applyBorder="1" applyFill="1" applyFont="1" applyNumberFormat="1">
      <alignment horizontal="center" readingOrder="0"/>
    </xf>
    <xf borderId="1" fillId="7" fontId="1" numFmtId="0" xfId="0" applyAlignment="1" applyBorder="1" applyFill="1" applyFont="1">
      <alignment readingOrder="0"/>
    </xf>
    <xf borderId="1" fillId="3" fontId="8" numFmtId="165" xfId="0" applyAlignment="1" applyBorder="1" applyFill="1" applyFont="1" applyNumberFormat="1">
      <alignment horizontal="center" readingOrder="0"/>
    </xf>
    <xf borderId="1" fillId="7" fontId="1" numFmtId="166" xfId="0" applyBorder="1" applyFill="1" applyFont="1" applyNumberFormat="1"/>
    <xf borderId="1" fillId="6" fontId="8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readingOrder="0"/>
    </xf>
    <xf borderId="1" fillId="8" fontId="1" numFmtId="0" xfId="0" applyBorder="1" applyFill="1" applyFont="1"/>
    <xf borderId="0" fillId="9" fontId="1" numFmtId="0" xfId="0" applyFill="1" applyFont="1"/>
    <xf borderId="1" fillId="0" fontId="9" numFmtId="0" xfId="0" applyAlignment="1" applyBorder="1" applyFont="1">
      <alignment readingOrder="0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0" fillId="10" fontId="1" numFmtId="0" xfId="0" applyAlignment="1" applyFill="1" applyFont="1">
      <alignment readingOrder="0"/>
    </xf>
    <xf borderId="0" fillId="0" fontId="1" numFmtId="167" xfId="0" applyAlignment="1" applyFont="1" applyNumberForma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7" fontId="1" numFmtId="168" xfId="0" applyAlignment="1" applyFill="1" applyFont="1" applyNumberFormat="1">
      <alignment readingOrder="0"/>
    </xf>
    <xf borderId="1" fillId="7" fontId="1" numFmtId="0" xfId="0" applyBorder="1" applyFill="1" applyFont="1"/>
    <xf borderId="0" fillId="7" fontId="10" numFmtId="0" xfId="0" applyAlignment="1" applyFill="1" applyFont="1">
      <alignment readingOrder="0"/>
    </xf>
    <xf borderId="0" fillId="7" fontId="1" numFmtId="168" xfId="0" applyFill="1" applyFont="1" applyNumberFormat="1"/>
    <xf borderId="0" fillId="7" fontId="1" numFmtId="169" xfId="0" applyAlignment="1" applyFill="1" applyFont="1" applyNumberFormat="1">
      <alignment readingOrder="0"/>
    </xf>
    <xf borderId="1" fillId="11" fontId="1" numFmtId="0" xfId="0" applyAlignment="1" applyBorder="1" applyFill="1" applyFont="1">
      <alignment readingOrder="0"/>
    </xf>
    <xf borderId="1" fillId="11" fontId="1" numFmtId="0" xfId="0" applyBorder="1" applyFill="1" applyFont="1"/>
    <xf borderId="0" fillId="7" fontId="1" numFmtId="169" xfId="0" applyFill="1" applyFont="1" applyNumberFormat="1"/>
    <xf borderId="1" fillId="0" fontId="9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Font="1"/>
    <xf borderId="1" fillId="3" fontId="9" numFmtId="0" xfId="0" applyAlignment="1" applyBorder="1" applyFill="1" applyFont="1">
      <alignment readingOrder="0" vertical="bottom"/>
    </xf>
    <xf borderId="1" fillId="0" fontId="9" numFmtId="165" xfId="0" applyAlignment="1" applyBorder="1" applyFont="1" applyNumberFormat="1">
      <alignment readingOrder="0" vertical="bottom"/>
    </xf>
    <xf borderId="0" fillId="0" fontId="1" numFmtId="0" xfId="0" applyAlignment="1" applyFont="1">
      <alignment horizontal="right"/>
    </xf>
    <xf borderId="1" fillId="0" fontId="9" numFmtId="0" xfId="0" applyBorder="1" applyFont="1"/>
    <xf borderId="1" fillId="0" fontId="9" numFmtId="165" xfId="0" applyAlignment="1" applyBorder="1" applyFont="1" applyNumberFormat="1">
      <alignment horizontal="center"/>
    </xf>
    <xf borderId="1" fillId="0" fontId="9" numFmtId="3" xfId="0" applyAlignment="1" applyBorder="1" applyFont="1" applyNumberFormat="1">
      <alignment horizontal="center"/>
    </xf>
    <xf borderId="1" fillId="0" fontId="9" numFmtId="165" xfId="0" applyBorder="1" applyFont="1" applyNumberFormat="1"/>
    <xf borderId="1" fillId="0" fontId="9" numFmtId="3" xfId="0" applyBorder="1" applyFont="1" applyNumberFormat="1"/>
    <xf borderId="1" fillId="8" fontId="9" numFmtId="0" xfId="0" applyBorder="1" applyFill="1" applyFont="1"/>
    <xf borderId="1" fillId="8" fontId="9" numFmtId="165" xfId="0" applyAlignment="1" applyBorder="1" applyFill="1" applyFont="1" applyNumberFormat="1">
      <alignment horizontal="center"/>
    </xf>
    <xf borderId="1" fillId="8" fontId="9" numFmtId="3" xfId="0" applyAlignment="1" applyBorder="1" applyFill="1" applyFont="1" applyNumberFormat="1">
      <alignment horizontal="center"/>
    </xf>
    <xf borderId="1" fillId="8" fontId="9" numFmtId="165" xfId="0" applyBorder="1" applyFill="1" applyFont="1" applyNumberFormat="1"/>
    <xf borderId="1" fillId="8" fontId="9" numFmtId="3" xfId="0" applyBorder="1" applyFill="1" applyFont="1" applyNumberFormat="1"/>
    <xf borderId="1" fillId="8" fontId="9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1" fillId="2" fontId="9" numFmtId="0" xfId="0" applyAlignment="1" applyBorder="1" applyFill="1" applyFont="1">
      <alignment readingOrder="0"/>
    </xf>
    <xf borderId="5" fillId="0" fontId="9" numFmtId="0" xfId="0" applyAlignment="1" applyBorder="1" applyFont="1">
      <alignment readingOrder="0" vertical="bottom"/>
    </xf>
    <xf borderId="5" fillId="0" fontId="9" numFmtId="0" xfId="0" applyAlignment="1" applyBorder="1" applyFont="1">
      <alignment vertical="bottom"/>
    </xf>
    <xf borderId="1" fillId="6" fontId="8" numFmtId="165" xfId="0" applyAlignment="1" applyBorder="1" applyFill="1" applyFont="1" applyNumberFormat="1">
      <alignment horizontal="center"/>
    </xf>
    <xf borderId="1" fillId="6" fontId="8" numFmtId="3" xfId="0" applyAlignment="1" applyBorder="1" applyFill="1" applyFont="1" applyNumberFormat="1">
      <alignment horizontal="center"/>
    </xf>
    <xf borderId="1" fillId="5" fontId="8" numFmtId="165" xfId="0" applyAlignment="1" applyBorder="1" applyFill="1" applyFont="1" applyNumberFormat="1">
      <alignment horizontal="center"/>
    </xf>
    <xf borderId="1" fillId="4" fontId="8" numFmtId="165" xfId="0" applyAlignment="1" applyBorder="1" applyFill="1" applyFont="1" applyNumberFormat="1">
      <alignment horizontal="center"/>
    </xf>
    <xf borderId="1" fillId="3" fontId="8" numFmtId="165" xfId="0" applyAlignment="1" applyBorder="1" applyFill="1" applyFont="1" applyNumberFormat="1">
      <alignment horizontal="center"/>
    </xf>
    <xf borderId="2" fillId="4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shrinkToFit="0" wrapText="1"/>
    </xf>
    <xf borderId="1" fillId="0" fontId="9" numFmtId="165" xfId="0" applyAlignment="1" applyBorder="1" applyFont="1" applyNumberFormat="1">
      <alignment readingOrder="0"/>
    </xf>
    <xf borderId="1" fillId="5" fontId="12" numFmtId="0" xfId="0" applyAlignment="1" applyBorder="1" applyFill="1" applyFont="1">
      <alignment readingOrder="0"/>
    </xf>
    <xf borderId="1" fillId="5" fontId="12" numFmtId="0" xfId="0" applyAlignment="1" applyBorder="1" applyFill="1" applyFont="1">
      <alignment horizontal="center" readingOrder="0" shrinkToFit="0" wrapText="1"/>
    </xf>
    <xf borderId="1" fillId="6" fontId="12" numFmtId="0" xfId="0" applyAlignment="1" applyBorder="1" applyFill="1" applyFont="1">
      <alignment horizontal="center" readingOrder="0" shrinkToFit="0" wrapText="1"/>
    </xf>
    <xf borderId="1" fillId="0" fontId="13" numFmtId="0" xfId="0" applyBorder="1" applyFont="1"/>
    <xf borderId="1" fillId="0" fontId="13" numFmtId="165" xfId="0" applyAlignment="1" applyBorder="1" applyFont="1" applyNumberFormat="1">
      <alignment horizontal="center"/>
    </xf>
    <xf borderId="1" fillId="0" fontId="13" numFmtId="3" xfId="0" applyAlignment="1" applyBorder="1" applyFont="1" applyNumberFormat="1">
      <alignment horizontal="center"/>
    </xf>
    <xf borderId="1" fillId="0" fontId="13" numFmtId="165" xfId="0" applyBorder="1" applyFont="1" applyNumberFormat="1"/>
    <xf borderId="1" fillId="0" fontId="13" numFmtId="3" xfId="0" applyBorder="1" applyFont="1" applyNumberFormat="1"/>
    <xf borderId="1" fillId="8" fontId="13" numFmtId="0" xfId="0" applyBorder="1" applyFill="1" applyFont="1"/>
    <xf borderId="1" fillId="8" fontId="13" numFmtId="165" xfId="0" applyAlignment="1" applyBorder="1" applyFill="1" applyFont="1" applyNumberFormat="1">
      <alignment horizontal="center"/>
    </xf>
    <xf borderId="1" fillId="8" fontId="13" numFmtId="3" xfId="0" applyAlignment="1" applyBorder="1" applyFill="1" applyFont="1" applyNumberFormat="1">
      <alignment horizontal="center"/>
    </xf>
    <xf borderId="1" fillId="8" fontId="13" numFmtId="165" xfId="0" applyBorder="1" applyFill="1" applyFont="1" applyNumberFormat="1"/>
    <xf borderId="1" fillId="8" fontId="13" numFmtId="3" xfId="0" applyBorder="1" applyFill="1" applyFont="1" applyNumberFormat="1"/>
  </cellXfs>
  <cellStyles count="1">
    <cellStyle xfId="0" name="Normal" builtinId="0"/>
  </cellStyles>
  <dxfs count="6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"/>
      <c r="B1" s="2" t="s">
        <v>1</v>
      </c>
      <c r="C1" s="5">
        <v>45472.0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0.0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  <c r="Q3" s="20" t="s">
        <v>27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34</v>
      </c>
      <c r="R4" s="24" t="s">
        <v>35</v>
      </c>
      <c r="S4" s="24" t="s">
        <v>36</v>
      </c>
      <c r="T4" s="24" t="s">
        <v>37</v>
      </c>
    </row>
    <row r="5">
      <c r="A5" s="26">
        <v>1.0</v>
      </c>
      <c r="B5" s="27" t="s">
        <v>38</v>
      </c>
      <c r="C5" s="28">
        <v>300.0</v>
      </c>
      <c r="D5" s="29">
        <v>34.0</v>
      </c>
      <c r="E5" s="30">
        <f>if(isna(VLOOKUP(B5,Checkin!A:B,2,false)),0,VLOOKUP(B5,Checkin!A:B,2,false))</f>
        <v>0</v>
      </c>
      <c r="F5" s="31">
        <f>if(OR($E5=1, $E5=2),VLOOKUP($B5,Courts!$B$2:$K$50,10,false),0)</f>
        <v>0</v>
      </c>
      <c r="G5" s="28">
        <f t="shared" ref="G5:G69" si="2">IF(OR(E5=3,E5=4),9,IF(E5=5,13,0))</f>
        <v>0</v>
      </c>
      <c r="H5" s="31">
        <f>if(OR($E5=1, $E5=2),VLOOKUP($B5,Courts!$B$2:$J$50,5,false),0)</f>
        <v>0</v>
      </c>
      <c r="I5" s="31">
        <f>if(OR($E5=1, $E5=2),VLOOKUP($B5,Courts!$B$2:$J$50,6,false),0)</f>
        <v>0</v>
      </c>
      <c r="J5" s="31">
        <f>if(OR($E5=1, $E5=2),VLOOKUP($B5,Courts!$B$2:$J$50,7,false),0)</f>
        <v>0</v>
      </c>
      <c r="K5" s="33">
        <f t="shared" ref="K5:K69" si="3">G5+H5+I5+J5</f>
        <v>0</v>
      </c>
      <c r="L5" s="31">
        <f>if(OR($E5=1, $E5=2),VLOOKUP($B5,Courts!$B$2:$J$50,9,false),0)</f>
        <v>0</v>
      </c>
      <c r="M5" s="28">
        <f t="shared" ref="M5:N5" si="1">C5+K5</f>
        <v>300</v>
      </c>
      <c r="N5" s="29">
        <f t="shared" si="1"/>
        <v>34</v>
      </c>
      <c r="O5" s="35" t="s">
        <v>46</v>
      </c>
      <c r="P5" s="35" t="s">
        <v>46</v>
      </c>
      <c r="Q5" s="35" t="s">
        <v>46</v>
      </c>
      <c r="R5" s="31">
        <f>if(G5=13,1,0)+VLOOKUP(B5,'062224'!B:T,17,false)</f>
        <v>1</v>
      </c>
      <c r="S5" s="31"/>
      <c r="T5" s="31">
        <f>if(G5=9,1,0)+VLOOKUP(B5,'062224'!B:T,19,false)</f>
        <v>7</v>
      </c>
    </row>
    <row r="6">
      <c r="A6" s="26">
        <f t="shared" ref="A6:A69" si="5">A5+1</f>
        <v>2</v>
      </c>
      <c r="B6" s="27" t="s">
        <v>48</v>
      </c>
      <c r="C6" s="28">
        <v>278.0</v>
      </c>
      <c r="D6" s="29">
        <v>27.0</v>
      </c>
      <c r="E6" s="30">
        <f>if(isna(VLOOKUP(B6,Checkin!A:B,2,false)),0,VLOOKUP(B6,Checkin!A:B,2,false))</f>
        <v>0</v>
      </c>
      <c r="F6" s="31">
        <f>if(OR($E6=1, $E6=2),VLOOKUP($B6,Courts!$B$2:$K$50,10,false),0)</f>
        <v>0</v>
      </c>
      <c r="G6" s="28">
        <f t="shared" si="2"/>
        <v>0</v>
      </c>
      <c r="H6" s="31">
        <f>if(OR($E6=1, $E6=2),VLOOKUP($B6,Courts!$B$2:$J$50,5,false),0)</f>
        <v>0</v>
      </c>
      <c r="I6" s="31">
        <f>if(OR($E6=1, $E6=2),VLOOKUP($B6,Courts!$B$2:$J$50,6,false),0)</f>
        <v>0</v>
      </c>
      <c r="J6" s="31">
        <f>if(OR($E6=1, $E6=2),VLOOKUP($B6,Courts!$B$2:$J$50,7,false),0)</f>
        <v>0</v>
      </c>
      <c r="K6" s="33">
        <f t="shared" si="3"/>
        <v>0</v>
      </c>
      <c r="L6" s="31">
        <f>if(OR($E6=1, $E6=2),VLOOKUP($B6,Courts!$B$2:$J$50,9,false),0)</f>
        <v>0</v>
      </c>
      <c r="M6" s="28">
        <f t="shared" ref="M6:N6" si="4">C6+K6</f>
        <v>278</v>
      </c>
      <c r="N6" s="29">
        <f t="shared" si="4"/>
        <v>27</v>
      </c>
      <c r="O6" s="35" t="s">
        <v>46</v>
      </c>
      <c r="P6" s="35" t="s">
        <v>46</v>
      </c>
      <c r="Q6" s="35" t="s">
        <v>46</v>
      </c>
      <c r="R6" s="31">
        <f>if(G6=13,1,0)+VLOOKUP(B6,'062224'!B:T,17,false)</f>
        <v>2</v>
      </c>
      <c r="S6" s="31"/>
      <c r="T6" s="31">
        <f>if(G6=9,1,0)+VLOOKUP(B6,'062224'!B:T,19,false)</f>
        <v>7</v>
      </c>
    </row>
    <row r="7">
      <c r="A7" s="26">
        <f t="shared" si="5"/>
        <v>3</v>
      </c>
      <c r="B7" s="39" t="s">
        <v>52</v>
      </c>
      <c r="C7" s="28">
        <v>271.0</v>
      </c>
      <c r="D7" s="29">
        <v>30.0</v>
      </c>
      <c r="E7" s="30">
        <f>if(isna(VLOOKUP(B7,Checkin!A:B,2,false)),0,VLOOKUP(B7,Checkin!A:B,2,false))</f>
        <v>0</v>
      </c>
      <c r="F7" s="31">
        <f>if(OR($E7=1, $E7=2),VLOOKUP($B7,Courts!$B$2:$K$50,10,false),0)</f>
        <v>0</v>
      </c>
      <c r="G7" s="28">
        <f t="shared" si="2"/>
        <v>0</v>
      </c>
      <c r="H7" s="31">
        <f>if(OR($E7=1, $E7=2),VLOOKUP($B7,Courts!$B$2:$J$50,5,false),0)</f>
        <v>0</v>
      </c>
      <c r="I7" s="31">
        <f>if(OR($E7=1, $E7=2),VLOOKUP($B7,Courts!$B$2:$J$50,6,false),0)</f>
        <v>0</v>
      </c>
      <c r="J7" s="31">
        <f>if(OR($E7=1, $E7=2),VLOOKUP($B7,Courts!$B$2:$J$50,7,false),0)</f>
        <v>0</v>
      </c>
      <c r="K7" s="33">
        <f t="shared" si="3"/>
        <v>0</v>
      </c>
      <c r="L7" s="31">
        <f>if(OR($E7=1, $E7=2),VLOOKUP($B7,Courts!$B$2:$J$50,9,false),0)</f>
        <v>0</v>
      </c>
      <c r="M7" s="28">
        <f t="shared" ref="M7:N7" si="6">C7+K7</f>
        <v>271</v>
      </c>
      <c r="N7" s="29">
        <f t="shared" si="6"/>
        <v>30</v>
      </c>
      <c r="O7" s="35" t="s">
        <v>46</v>
      </c>
      <c r="P7" s="35" t="s">
        <v>46</v>
      </c>
      <c r="Q7" s="35" t="s">
        <v>46</v>
      </c>
      <c r="R7" s="31">
        <f>if(G7=13,1,0)+VLOOKUP(B7,'062224'!B:T,17,false)</f>
        <v>0</v>
      </c>
      <c r="S7" s="31"/>
      <c r="T7" s="31">
        <f>if(G7=9,1,0)+VLOOKUP(B7,'062224'!B:T,19,false)</f>
        <v>4</v>
      </c>
    </row>
    <row r="8">
      <c r="A8" s="26">
        <f t="shared" si="5"/>
        <v>4</v>
      </c>
      <c r="B8" s="39" t="s">
        <v>50</v>
      </c>
      <c r="C8" s="28">
        <v>271.0</v>
      </c>
      <c r="D8" s="29">
        <v>27.0</v>
      </c>
      <c r="E8" s="30">
        <f>if(isna(VLOOKUP(B8,Checkin!A:B,2,false)),0,VLOOKUP(B8,Checkin!A:B,2,false))</f>
        <v>0</v>
      </c>
      <c r="F8" s="31">
        <f>if(OR($E8=1, $E8=2),VLOOKUP($B8,Courts!$B$2:$K$50,10,false),0)</f>
        <v>0</v>
      </c>
      <c r="G8" s="28">
        <f t="shared" si="2"/>
        <v>0</v>
      </c>
      <c r="H8" s="31">
        <f>if(OR($E8=1, $E8=2),VLOOKUP($B8,Courts!$B$2:$J$50,5,false),0)</f>
        <v>0</v>
      </c>
      <c r="I8" s="31">
        <f>if(OR($E8=1, $E8=2),VLOOKUP($B8,Courts!$B$2:$J$50,6,false),0)</f>
        <v>0</v>
      </c>
      <c r="J8" s="31">
        <f>if(OR($E8=1, $E8=2),VLOOKUP($B8,Courts!$B$2:$J$50,7,false),0)</f>
        <v>0</v>
      </c>
      <c r="K8" s="33">
        <f t="shared" si="3"/>
        <v>0</v>
      </c>
      <c r="L8" s="31">
        <f>if(OR($E8=1, $E8=2),VLOOKUP($B8,Courts!$B$2:$J$50,9,false),0)</f>
        <v>0</v>
      </c>
      <c r="M8" s="28">
        <f t="shared" ref="M8:N8" si="7">C8+K8</f>
        <v>271</v>
      </c>
      <c r="N8" s="29">
        <f t="shared" si="7"/>
        <v>27</v>
      </c>
      <c r="O8" s="35" t="s">
        <v>46</v>
      </c>
      <c r="P8" s="35" t="s">
        <v>46</v>
      </c>
      <c r="Q8" s="35" t="s">
        <v>46</v>
      </c>
      <c r="R8" s="31">
        <f>if(G8=13,1,0)+VLOOKUP(B8,'062224'!B:T,17,false)</f>
        <v>0</v>
      </c>
      <c r="S8" s="31"/>
      <c r="T8" s="31">
        <f>if(G8=9,1,0)+VLOOKUP(B8,'062224'!B:T,19,false)</f>
        <v>10</v>
      </c>
    </row>
    <row r="9">
      <c r="A9" s="26">
        <f t="shared" si="5"/>
        <v>5</v>
      </c>
      <c r="B9" s="27" t="s">
        <v>57</v>
      </c>
      <c r="C9" s="28">
        <v>263.0</v>
      </c>
      <c r="D9" s="29">
        <v>23.0</v>
      </c>
      <c r="E9" s="30">
        <f>if(isna(VLOOKUP(B9,Checkin!A:B,2,false)),0,VLOOKUP(B9,Checkin!A:B,2,false))</f>
        <v>0</v>
      </c>
      <c r="F9" s="31">
        <f>if(OR($E9=1, $E9=2),VLOOKUP($B9,Courts!$B$2:$K$50,10,false),0)</f>
        <v>0</v>
      </c>
      <c r="G9" s="28">
        <f t="shared" si="2"/>
        <v>0</v>
      </c>
      <c r="H9" s="31">
        <f>if(OR($E9=1, $E9=2),VLOOKUP($B9,Courts!$B$2:$J$50,5,false),0)</f>
        <v>0</v>
      </c>
      <c r="I9" s="31">
        <f>if(OR($E9=1, $E9=2),VLOOKUP($B9,Courts!$B$2:$J$50,6,false),0)</f>
        <v>0</v>
      </c>
      <c r="J9" s="31">
        <f>if(OR($E9=1, $E9=2),VLOOKUP($B9,Courts!$B$2:$J$50,7,false),0)</f>
        <v>0</v>
      </c>
      <c r="K9" s="33">
        <f t="shared" si="3"/>
        <v>0</v>
      </c>
      <c r="L9" s="31">
        <f>if(OR($E9=1, $E9=2),VLOOKUP($B9,Courts!$B$2:$J$50,9,false),0)</f>
        <v>0</v>
      </c>
      <c r="M9" s="28">
        <f t="shared" ref="M9:N9" si="8">C9+K9</f>
        <v>263</v>
      </c>
      <c r="N9" s="29">
        <f t="shared" si="8"/>
        <v>23</v>
      </c>
      <c r="O9" s="35" t="s">
        <v>46</v>
      </c>
      <c r="P9" s="35" t="s">
        <v>46</v>
      </c>
      <c r="Q9" s="35" t="s">
        <v>46</v>
      </c>
      <c r="R9" s="31">
        <f>if(G9=13,1,0)+VLOOKUP(B9,'062224'!B:T,17,false)</f>
        <v>0</v>
      </c>
      <c r="S9" s="31"/>
      <c r="T9" s="31">
        <f>if(G9=9,1,0)+VLOOKUP(B9,'062224'!B:T,19,false)</f>
        <v>7</v>
      </c>
    </row>
    <row r="10">
      <c r="A10" s="26">
        <f t="shared" si="5"/>
        <v>6</v>
      </c>
      <c r="B10" s="27" t="s">
        <v>60</v>
      </c>
      <c r="C10" s="28">
        <v>263.0</v>
      </c>
      <c r="D10" s="29">
        <v>18.0</v>
      </c>
      <c r="E10" s="30">
        <f>if(isna(VLOOKUP(B10,Checkin!A:B,2,false)),0,VLOOKUP(B10,Checkin!A:B,2,false))</f>
        <v>0</v>
      </c>
      <c r="F10" s="31">
        <f>if(OR($E10=1, $E10=2),VLOOKUP($B10,Courts!$B$2:$K$50,10,false),0)</f>
        <v>0</v>
      </c>
      <c r="G10" s="28">
        <f t="shared" si="2"/>
        <v>0</v>
      </c>
      <c r="H10" s="31">
        <f>if(OR($E10=1, $E10=2),VLOOKUP($B10,Courts!$B$2:$J$50,5,false),0)</f>
        <v>0</v>
      </c>
      <c r="I10" s="31">
        <f>if(OR($E10=1, $E10=2),VLOOKUP($B10,Courts!$B$2:$J$50,6,false),0)</f>
        <v>0</v>
      </c>
      <c r="J10" s="31">
        <f>if(OR($E10=1, $E10=2),VLOOKUP($B10,Courts!$B$2:$J$50,7,false),0)</f>
        <v>0</v>
      </c>
      <c r="K10" s="33">
        <f t="shared" si="3"/>
        <v>0</v>
      </c>
      <c r="L10" s="31">
        <f>if(OR($E10=1, $E10=2),VLOOKUP($B10,Courts!$B$2:$J$50,9,false),0)</f>
        <v>0</v>
      </c>
      <c r="M10" s="28">
        <f t="shared" ref="M10:N10" si="9">C10+K10</f>
        <v>263</v>
      </c>
      <c r="N10" s="29">
        <f t="shared" si="9"/>
        <v>18</v>
      </c>
      <c r="O10" s="35" t="s">
        <v>46</v>
      </c>
      <c r="P10" s="35" t="s">
        <v>46</v>
      </c>
      <c r="Q10" s="35" t="s">
        <v>46</v>
      </c>
      <c r="R10" s="31">
        <f>if(G10=13,1,0)+VLOOKUP(B10,'062224'!B:T,17,false)</f>
        <v>2</v>
      </c>
      <c r="S10" s="31"/>
      <c r="T10" s="31">
        <f>if(G10=9,1,0)+VLOOKUP(B10,'062224'!B:T,19,false)</f>
        <v>11</v>
      </c>
    </row>
    <row r="11">
      <c r="A11" s="26">
        <f t="shared" si="5"/>
        <v>7</v>
      </c>
      <c r="B11" s="27" t="s">
        <v>75</v>
      </c>
      <c r="C11" s="28">
        <v>261.0</v>
      </c>
      <c r="D11" s="29">
        <v>22.0</v>
      </c>
      <c r="E11" s="30">
        <f>if(isna(VLOOKUP(B11,Checkin!A:B,2,false)),0,VLOOKUP(B11,Checkin!A:B,2,false))</f>
        <v>0</v>
      </c>
      <c r="F11" s="31">
        <f>if(OR($E11=1, $E11=2),VLOOKUP($B11,Courts!$B$2:$K$50,10,false),0)</f>
        <v>0</v>
      </c>
      <c r="G11" s="28">
        <f t="shared" si="2"/>
        <v>0</v>
      </c>
      <c r="H11" s="31">
        <f>if(OR($E11=1, $E11=2),VLOOKUP($B11,Courts!$B$2:$J$50,5,false),0)</f>
        <v>0</v>
      </c>
      <c r="I11" s="31">
        <f>if(OR($E11=1, $E11=2),VLOOKUP($B11,Courts!$B$2:$J$50,6,false),0)</f>
        <v>0</v>
      </c>
      <c r="J11" s="31">
        <f>if(OR($E11=1, $E11=2),VLOOKUP($B11,Courts!$B$2:$J$50,7,false),0)</f>
        <v>0</v>
      </c>
      <c r="K11" s="33">
        <f t="shared" si="3"/>
        <v>0</v>
      </c>
      <c r="L11" s="31">
        <f>if(OR($E11=1, $E11=2),VLOOKUP($B11,Courts!$B$2:$J$50,9,false),0)</f>
        <v>0</v>
      </c>
      <c r="M11" s="28">
        <f t="shared" ref="M11:N11" si="10">C11+K11</f>
        <v>261</v>
      </c>
      <c r="N11" s="29">
        <f t="shared" si="10"/>
        <v>22</v>
      </c>
      <c r="O11" s="35" t="s">
        <v>46</v>
      </c>
      <c r="P11" s="35" t="s">
        <v>46</v>
      </c>
      <c r="Q11" s="35" t="s">
        <v>46</v>
      </c>
      <c r="R11" s="31">
        <f>if(G11=13,1,0)+VLOOKUP(B11,'062224'!B:T,17,false)</f>
        <v>1</v>
      </c>
      <c r="S11" s="31"/>
      <c r="T11" s="31">
        <f>if(G11=9,1,0)+VLOOKUP(B11,'062224'!B:T,19,false)</f>
        <v>4</v>
      </c>
    </row>
    <row r="12">
      <c r="A12" s="26">
        <f t="shared" si="5"/>
        <v>8</v>
      </c>
      <c r="B12" s="27" t="s">
        <v>61</v>
      </c>
      <c r="C12" s="28">
        <v>259.0</v>
      </c>
      <c r="D12" s="29">
        <v>23.0</v>
      </c>
      <c r="E12" s="30">
        <f>if(isna(VLOOKUP(B12,Checkin!A:B,2,false)),0,VLOOKUP(B12,Checkin!A:B,2,false))</f>
        <v>0</v>
      </c>
      <c r="F12" s="31">
        <f>if(OR($E12=1, $E12=2),VLOOKUP($B12,Courts!$B$2:$K$50,10,false),0)</f>
        <v>0</v>
      </c>
      <c r="G12" s="28">
        <f t="shared" si="2"/>
        <v>0</v>
      </c>
      <c r="H12" s="31">
        <f>if(OR($E12=1, $E12=2),VLOOKUP($B12,Courts!$B$2:$J$50,5,false),0)</f>
        <v>0</v>
      </c>
      <c r="I12" s="31">
        <f>if(OR($E12=1, $E12=2),VLOOKUP($B12,Courts!$B$2:$J$50,6,false),0)</f>
        <v>0</v>
      </c>
      <c r="J12" s="31">
        <f>if(OR($E12=1, $E12=2),VLOOKUP($B12,Courts!$B$2:$J$50,7,false),0)</f>
        <v>0</v>
      </c>
      <c r="K12" s="33">
        <f t="shared" si="3"/>
        <v>0</v>
      </c>
      <c r="L12" s="31">
        <f>if(OR($E12=1, $E12=2),VLOOKUP($B12,Courts!$B$2:$J$50,9,false),0)</f>
        <v>0</v>
      </c>
      <c r="M12" s="28">
        <f t="shared" ref="M12:N12" si="11">C12+K12</f>
        <v>259</v>
      </c>
      <c r="N12" s="29">
        <f t="shared" si="11"/>
        <v>23</v>
      </c>
      <c r="O12" s="35" t="s">
        <v>46</v>
      </c>
      <c r="P12" s="35" t="s">
        <v>46</v>
      </c>
      <c r="Q12" s="35" t="s">
        <v>46</v>
      </c>
      <c r="R12" s="31">
        <f>if(G12=13,1,0)+VLOOKUP(B12,'062224'!B:T,17,false)</f>
        <v>2</v>
      </c>
      <c r="S12" s="31"/>
      <c r="T12" s="31">
        <f>if(G12=9,1,0)+VLOOKUP(B12,'062224'!B:T,19,false)</f>
        <v>4</v>
      </c>
    </row>
    <row r="13">
      <c r="A13" s="26">
        <f t="shared" si="5"/>
        <v>9</v>
      </c>
      <c r="B13" s="39" t="s">
        <v>55</v>
      </c>
      <c r="C13" s="28">
        <v>259.0</v>
      </c>
      <c r="D13" s="29">
        <v>23.0</v>
      </c>
      <c r="E13" s="30">
        <f>if(isna(VLOOKUP(B13,Checkin!A:B,2,false)),0,VLOOKUP(B13,Checkin!A:B,2,false))</f>
        <v>0</v>
      </c>
      <c r="F13" s="31">
        <f>if(OR($E13=1, $E13=2),VLOOKUP($B13,Courts!$B$2:$K$50,10,false),0)</f>
        <v>0</v>
      </c>
      <c r="G13" s="28">
        <f t="shared" si="2"/>
        <v>0</v>
      </c>
      <c r="H13" s="31">
        <f>if(OR($E13=1, $E13=2),VLOOKUP($B13,Courts!$B$2:$J$50,5,false),0)</f>
        <v>0</v>
      </c>
      <c r="I13" s="31">
        <f>if(OR($E13=1, $E13=2),VLOOKUP($B13,Courts!$B$2:$J$50,6,false),0)</f>
        <v>0</v>
      </c>
      <c r="J13" s="31">
        <f>if(OR($E13=1, $E13=2),VLOOKUP($B13,Courts!$B$2:$J$50,7,false),0)</f>
        <v>0</v>
      </c>
      <c r="K13" s="33">
        <f t="shared" si="3"/>
        <v>0</v>
      </c>
      <c r="L13" s="31">
        <f>if(OR($E13=1, $E13=2),VLOOKUP($B13,Courts!$B$2:$J$50,9,false),0)</f>
        <v>0</v>
      </c>
      <c r="M13" s="28">
        <f t="shared" ref="M13:N13" si="12">C13+K13</f>
        <v>259</v>
      </c>
      <c r="N13" s="29">
        <f t="shared" si="12"/>
        <v>23</v>
      </c>
      <c r="O13" s="35" t="s">
        <v>46</v>
      </c>
      <c r="P13" s="35" t="s">
        <v>46</v>
      </c>
      <c r="Q13" s="35" t="s">
        <v>46</v>
      </c>
      <c r="R13" s="31">
        <f>if(G13=13,1,0)+VLOOKUP(B13,'062224'!B:T,17,false)</f>
        <v>1</v>
      </c>
      <c r="S13" s="31"/>
      <c r="T13" s="31">
        <f>if(G13=9,1,0)+VLOOKUP(B13,'062224'!B:T,19,false)</f>
        <v>10</v>
      </c>
    </row>
    <row r="14">
      <c r="A14" s="26">
        <f t="shared" si="5"/>
        <v>10</v>
      </c>
      <c r="B14" s="27" t="s">
        <v>63</v>
      </c>
      <c r="C14" s="28">
        <v>254.0</v>
      </c>
      <c r="D14" s="29">
        <v>20.0</v>
      </c>
      <c r="E14" s="30">
        <f>if(isna(VLOOKUP(B14,Checkin!A:B,2,false)),0,VLOOKUP(B14,Checkin!A:B,2,false))</f>
        <v>0</v>
      </c>
      <c r="F14" s="31">
        <f>if(OR($E14=1, $E14=2),VLOOKUP($B14,Courts!$B$2:$K$50,10,false),0)</f>
        <v>0</v>
      </c>
      <c r="G14" s="28">
        <f t="shared" si="2"/>
        <v>0</v>
      </c>
      <c r="H14" s="31">
        <f>if(OR($E14=1, $E14=2),VLOOKUP($B14,Courts!$B$2:$J$50,5,false),0)</f>
        <v>0</v>
      </c>
      <c r="I14" s="31">
        <f>if(OR($E14=1, $E14=2),VLOOKUP($B14,Courts!$B$2:$J$50,6,false),0)</f>
        <v>0</v>
      </c>
      <c r="J14" s="31">
        <f>if(OR($E14=1, $E14=2),VLOOKUP($B14,Courts!$B$2:$J$50,7,false),0)</f>
        <v>0</v>
      </c>
      <c r="K14" s="33">
        <f t="shared" si="3"/>
        <v>0</v>
      </c>
      <c r="L14" s="31">
        <f>if(OR($E14=1, $E14=2),VLOOKUP($B14,Courts!$B$2:$J$50,9,false),0)</f>
        <v>0</v>
      </c>
      <c r="M14" s="28">
        <f t="shared" ref="M14:N14" si="13">C14+K14</f>
        <v>254</v>
      </c>
      <c r="N14" s="29">
        <f t="shared" si="13"/>
        <v>20</v>
      </c>
      <c r="O14" s="35" t="s">
        <v>46</v>
      </c>
      <c r="P14" s="35" t="s">
        <v>46</v>
      </c>
      <c r="Q14" s="35" t="s">
        <v>46</v>
      </c>
      <c r="R14" s="31">
        <f>if(G14=13,1,0)+VLOOKUP(B14,'062224'!B:T,17,false)</f>
        <v>2</v>
      </c>
      <c r="S14" s="31"/>
      <c r="T14" s="31">
        <f>if(G14=9,1,0)+VLOOKUP(B14,'062224'!B:T,19,false)</f>
        <v>2</v>
      </c>
    </row>
    <row r="15">
      <c r="A15" s="26">
        <f t="shared" si="5"/>
        <v>11</v>
      </c>
      <c r="B15" s="27" t="s">
        <v>82</v>
      </c>
      <c r="C15" s="28">
        <v>254.0</v>
      </c>
      <c r="D15" s="29">
        <v>19.0</v>
      </c>
      <c r="E15" s="30">
        <f>if(isna(VLOOKUP(B15,Checkin!A:B,2,false)),0,VLOOKUP(B15,Checkin!A:B,2,false))</f>
        <v>0</v>
      </c>
      <c r="F15" s="31">
        <f>if(OR($E15=1, $E15=2),VLOOKUP($B15,Courts!$B$2:$K$50,10,false),0)</f>
        <v>0</v>
      </c>
      <c r="G15" s="28">
        <f t="shared" si="2"/>
        <v>0</v>
      </c>
      <c r="H15" s="31">
        <f>if(OR($E15=1, $E15=2),VLOOKUP($B15,Courts!$B$2:$J$50,5,false),0)</f>
        <v>0</v>
      </c>
      <c r="I15" s="31">
        <f>if(OR($E15=1, $E15=2),VLOOKUP($B15,Courts!$B$2:$J$50,6,false),0)</f>
        <v>0</v>
      </c>
      <c r="J15" s="31">
        <f>if(OR($E15=1, $E15=2),VLOOKUP($B15,Courts!$B$2:$J$50,7,false),0)</f>
        <v>0</v>
      </c>
      <c r="K15" s="33">
        <f t="shared" si="3"/>
        <v>0</v>
      </c>
      <c r="L15" s="31">
        <f>if(OR($E15=1, $E15=2),VLOOKUP($B15,Courts!$B$2:$J$50,9,false),0)</f>
        <v>0</v>
      </c>
      <c r="M15" s="28">
        <f t="shared" ref="M15:N15" si="14">C15+K15</f>
        <v>254</v>
      </c>
      <c r="N15" s="29">
        <f t="shared" si="14"/>
        <v>19</v>
      </c>
      <c r="O15" s="35" t="s">
        <v>46</v>
      </c>
      <c r="P15" s="35" t="s">
        <v>46</v>
      </c>
      <c r="Q15" s="35" t="s">
        <v>46</v>
      </c>
      <c r="R15" s="31">
        <f>if(G15=13,1,0)+VLOOKUP(B15,'062224'!B:T,17,false)</f>
        <v>1</v>
      </c>
      <c r="S15" s="31"/>
      <c r="T15" s="31">
        <f>if(G15=9,1,0)+VLOOKUP(B15,'062224'!B:T,19,false)</f>
        <v>12</v>
      </c>
    </row>
    <row r="16">
      <c r="A16" s="26">
        <f t="shared" si="5"/>
        <v>12</v>
      </c>
      <c r="B16" s="27" t="s">
        <v>77</v>
      </c>
      <c r="C16" s="28">
        <v>253.0</v>
      </c>
      <c r="D16" s="29">
        <v>15.0</v>
      </c>
      <c r="E16" s="30">
        <f>if(isna(VLOOKUP(B16,Checkin!A:B,2,false)),0,VLOOKUP(B16,Checkin!A:B,2,false))</f>
        <v>0</v>
      </c>
      <c r="F16" s="31">
        <f>if(OR($E16=1, $E16=2),VLOOKUP($B16,Courts!$B$2:$K$50,10,false),0)</f>
        <v>0</v>
      </c>
      <c r="G16" s="28">
        <f t="shared" si="2"/>
        <v>0</v>
      </c>
      <c r="H16" s="31">
        <f>if(OR($E16=1, $E16=2),VLOOKUP($B16,Courts!$B$2:$J$50,5,false),0)</f>
        <v>0</v>
      </c>
      <c r="I16" s="31">
        <f>if(OR($E16=1, $E16=2),VLOOKUP($B16,Courts!$B$2:$J$50,6,false),0)</f>
        <v>0</v>
      </c>
      <c r="J16" s="31">
        <f>if(OR($E16=1, $E16=2),VLOOKUP($B16,Courts!$B$2:$J$50,7,false),0)</f>
        <v>0</v>
      </c>
      <c r="K16" s="33">
        <f t="shared" si="3"/>
        <v>0</v>
      </c>
      <c r="L16" s="31">
        <f>if(OR($E16=1, $E16=2),VLOOKUP($B16,Courts!$B$2:$J$50,9,false),0)</f>
        <v>0</v>
      </c>
      <c r="M16" s="28">
        <f t="shared" ref="M16:N16" si="15">C16+K16</f>
        <v>253</v>
      </c>
      <c r="N16" s="29">
        <f t="shared" si="15"/>
        <v>15</v>
      </c>
      <c r="O16" s="35" t="s">
        <v>46</v>
      </c>
      <c r="P16" s="35" t="s">
        <v>46</v>
      </c>
      <c r="Q16" s="35" t="s">
        <v>46</v>
      </c>
      <c r="R16" s="31">
        <f>if(G16=13,1,0)+VLOOKUP(B16,'062224'!B:T,17,false)</f>
        <v>2</v>
      </c>
      <c r="S16" s="31"/>
      <c r="T16" s="31">
        <f>if(G16=9,1,0)+VLOOKUP(B16,'062224'!B:T,19,false)</f>
        <v>6</v>
      </c>
    </row>
    <row r="17">
      <c r="A17" s="26">
        <f t="shared" si="5"/>
        <v>13</v>
      </c>
      <c r="B17" s="27" t="s">
        <v>81</v>
      </c>
      <c r="C17" s="28">
        <v>252.0</v>
      </c>
      <c r="D17" s="29">
        <v>22.0</v>
      </c>
      <c r="E17" s="30">
        <f>if(isna(VLOOKUP(B17,Checkin!A:B,2,false)),0,VLOOKUP(B17,Checkin!A:B,2,false))</f>
        <v>0</v>
      </c>
      <c r="F17" s="31">
        <f>if(OR($E17=1, $E17=2),VLOOKUP($B17,Courts!$B$2:$K$50,10,false),0)</f>
        <v>0</v>
      </c>
      <c r="G17" s="28">
        <f t="shared" si="2"/>
        <v>0</v>
      </c>
      <c r="H17" s="31">
        <f>if(OR($E17=1, $E17=2),VLOOKUP($B17,Courts!$B$2:$J$50,5,false),0)</f>
        <v>0</v>
      </c>
      <c r="I17" s="31">
        <f>if(OR($E17=1, $E17=2),VLOOKUP($B17,Courts!$B$2:$J$50,6,false),0)</f>
        <v>0</v>
      </c>
      <c r="J17" s="31">
        <f>if(OR($E17=1, $E17=2),VLOOKUP($B17,Courts!$B$2:$J$50,7,false),0)</f>
        <v>0</v>
      </c>
      <c r="K17" s="33">
        <f t="shared" si="3"/>
        <v>0</v>
      </c>
      <c r="L17" s="31">
        <f>if(OR($E17=1, $E17=2),VLOOKUP($B17,Courts!$B$2:$J$50,9,false),0)</f>
        <v>0</v>
      </c>
      <c r="M17" s="28">
        <f t="shared" ref="M17:N17" si="16">C17+K17</f>
        <v>252</v>
      </c>
      <c r="N17" s="29">
        <f t="shared" si="16"/>
        <v>22</v>
      </c>
      <c r="O17" s="35" t="s">
        <v>46</v>
      </c>
      <c r="P17" s="35" t="s">
        <v>46</v>
      </c>
      <c r="Q17" s="35" t="s">
        <v>46</v>
      </c>
      <c r="R17" s="31">
        <f>if(G17=13,1,0)+VLOOKUP(B17,'062224'!B:T,17,false)</f>
        <v>0</v>
      </c>
      <c r="S17" s="31"/>
      <c r="T17" s="31">
        <f>if(G17=9,1,0)+VLOOKUP(B17,'062224'!B:T,19,false)</f>
        <v>7</v>
      </c>
    </row>
    <row r="18">
      <c r="A18" s="26">
        <f t="shared" si="5"/>
        <v>14</v>
      </c>
      <c r="B18" s="27" t="s">
        <v>56</v>
      </c>
      <c r="C18" s="28">
        <v>251.0</v>
      </c>
      <c r="D18" s="29">
        <v>18.0</v>
      </c>
      <c r="E18" s="30">
        <f>if(isna(VLOOKUP(B18,Checkin!A:B,2,false)),0,VLOOKUP(B18,Checkin!A:B,2,false))</f>
        <v>0</v>
      </c>
      <c r="F18" s="31">
        <f>if(OR($E18=1, $E18=2),VLOOKUP($B18,Courts!$B$2:$K$50,10,false),0)</f>
        <v>0</v>
      </c>
      <c r="G18" s="28">
        <f t="shared" si="2"/>
        <v>0</v>
      </c>
      <c r="H18" s="31">
        <f>if(OR($E18=1, $E18=2),VLOOKUP($B18,Courts!$B$2:$J$50,5,false),0)</f>
        <v>0</v>
      </c>
      <c r="I18" s="31">
        <f>if(OR($E18=1, $E18=2),VLOOKUP($B18,Courts!$B$2:$J$50,6,false),0)</f>
        <v>0</v>
      </c>
      <c r="J18" s="31">
        <f>if(OR($E18=1, $E18=2),VLOOKUP($B18,Courts!$B$2:$J$50,7,false),0)</f>
        <v>0</v>
      </c>
      <c r="K18" s="33">
        <f t="shared" si="3"/>
        <v>0</v>
      </c>
      <c r="L18" s="31">
        <f>if(OR($E18=1, $E18=2),VLOOKUP($B18,Courts!$B$2:$J$50,9,false),0)</f>
        <v>0</v>
      </c>
      <c r="M18" s="28">
        <f t="shared" ref="M18:N18" si="17">C18+K18</f>
        <v>251</v>
      </c>
      <c r="N18" s="29">
        <f t="shared" si="17"/>
        <v>18</v>
      </c>
      <c r="O18" s="35" t="s">
        <v>46</v>
      </c>
      <c r="P18" s="35" t="s">
        <v>46</v>
      </c>
      <c r="Q18" s="35" t="s">
        <v>46</v>
      </c>
      <c r="R18" s="31">
        <f>if(G18=13,1,0)+VLOOKUP(B18,'062224'!B:T,17,false)</f>
        <v>0</v>
      </c>
      <c r="S18" s="31"/>
      <c r="T18" s="31">
        <f>if(G18=9,1,0)+VLOOKUP(B18,'062224'!B:T,19,false)</f>
        <v>14</v>
      </c>
    </row>
    <row r="19">
      <c r="A19" s="26">
        <f t="shared" si="5"/>
        <v>15</v>
      </c>
      <c r="B19" s="27" t="s">
        <v>78</v>
      </c>
      <c r="C19" s="28">
        <v>248.0</v>
      </c>
      <c r="D19" s="29">
        <v>24.0</v>
      </c>
      <c r="E19" s="30">
        <f>if(isna(VLOOKUP(B19,Checkin!A:B,2,false)),0,VLOOKUP(B19,Checkin!A:B,2,false))</f>
        <v>0</v>
      </c>
      <c r="F19" s="31">
        <f>if(OR($E19=1, $E19=2),VLOOKUP($B19,Courts!$B$2:$K$50,10,false),0)</f>
        <v>0</v>
      </c>
      <c r="G19" s="28">
        <f t="shared" si="2"/>
        <v>0</v>
      </c>
      <c r="H19" s="31">
        <f>if(OR($E19=1, $E19=2),VLOOKUP($B19,Courts!$B$2:$J$50,5,false),0)</f>
        <v>0</v>
      </c>
      <c r="I19" s="31">
        <f>if(OR($E19=1, $E19=2),VLOOKUP($B19,Courts!$B$2:$J$50,6,false),0)</f>
        <v>0</v>
      </c>
      <c r="J19" s="31">
        <f>if(OR($E19=1, $E19=2),VLOOKUP($B19,Courts!$B$2:$J$50,7,false),0)</f>
        <v>0</v>
      </c>
      <c r="K19" s="33">
        <f t="shared" si="3"/>
        <v>0</v>
      </c>
      <c r="L19" s="31">
        <f>if(OR($E19=1, $E19=2),VLOOKUP($B19,Courts!$B$2:$J$50,9,false),0)</f>
        <v>0</v>
      </c>
      <c r="M19" s="28">
        <f t="shared" ref="M19:N19" si="18">C19+K19</f>
        <v>248</v>
      </c>
      <c r="N19" s="29">
        <f t="shared" si="18"/>
        <v>24</v>
      </c>
      <c r="O19" s="35" t="s">
        <v>46</v>
      </c>
      <c r="P19" s="35" t="s">
        <v>46</v>
      </c>
      <c r="Q19" s="35" t="s">
        <v>46</v>
      </c>
      <c r="R19" s="31">
        <f>if(G19=13,1,0)+VLOOKUP(B19,'062224'!B:T,17,false)</f>
        <v>0</v>
      </c>
      <c r="S19" s="31"/>
      <c r="T19" s="31">
        <f>if(G19=9,1,0)+VLOOKUP(B19,'062224'!B:T,19,false)</f>
        <v>6</v>
      </c>
    </row>
    <row r="20">
      <c r="A20" s="26">
        <f t="shared" si="5"/>
        <v>16</v>
      </c>
      <c r="B20" s="27" t="s">
        <v>84</v>
      </c>
      <c r="C20" s="28">
        <v>247.0</v>
      </c>
      <c r="D20" s="29">
        <v>17.0</v>
      </c>
      <c r="E20" s="30">
        <f>if(isna(VLOOKUP(B20,Checkin!A:B,2,false)),0,VLOOKUP(B20,Checkin!A:B,2,false))</f>
        <v>0</v>
      </c>
      <c r="F20" s="31">
        <f>if(OR($E20=1, $E20=2),VLOOKUP($B20,Courts!$B$2:$K$50,10,false),0)</f>
        <v>0</v>
      </c>
      <c r="G20" s="28">
        <f t="shared" si="2"/>
        <v>0</v>
      </c>
      <c r="H20" s="31">
        <f>if(OR($E20=1, $E20=2),VLOOKUP($B20,Courts!$B$2:$J$50,5,false),0)</f>
        <v>0</v>
      </c>
      <c r="I20" s="31">
        <f>if(OR($E20=1, $E20=2),VLOOKUP($B20,Courts!$B$2:$J$50,6,false),0)</f>
        <v>0</v>
      </c>
      <c r="J20" s="31">
        <f>if(OR($E20=1, $E20=2),VLOOKUP($B20,Courts!$B$2:$J$50,7,false),0)</f>
        <v>0</v>
      </c>
      <c r="K20" s="33">
        <f t="shared" si="3"/>
        <v>0</v>
      </c>
      <c r="L20" s="31">
        <f>if(OR($E20=1, $E20=2),VLOOKUP($B20,Courts!$B$2:$J$50,9,false),0)</f>
        <v>0</v>
      </c>
      <c r="M20" s="28">
        <f t="shared" ref="M20:N20" si="19">C20+K20</f>
        <v>247</v>
      </c>
      <c r="N20" s="29">
        <f t="shared" si="19"/>
        <v>17</v>
      </c>
      <c r="O20" s="35" t="s">
        <v>46</v>
      </c>
      <c r="P20" s="35" t="s">
        <v>46</v>
      </c>
      <c r="Q20" s="35" t="s">
        <v>46</v>
      </c>
      <c r="R20" s="31">
        <f>if(G20=13,1,0)+VLOOKUP(B20,'062224'!B:T,17,false)</f>
        <v>2</v>
      </c>
      <c r="S20" s="31"/>
      <c r="T20" s="31">
        <f>if(G20=9,1,0)+VLOOKUP(B20,'062224'!B:T,19,false)</f>
        <v>2</v>
      </c>
    </row>
    <row r="21">
      <c r="A21" s="26">
        <f t="shared" si="5"/>
        <v>17</v>
      </c>
      <c r="B21" s="27" t="s">
        <v>90</v>
      </c>
      <c r="C21" s="28">
        <v>246.0</v>
      </c>
      <c r="D21" s="29">
        <v>19.0</v>
      </c>
      <c r="E21" s="30">
        <f>if(isna(VLOOKUP(B21,Checkin!A:B,2,false)),0,VLOOKUP(B21,Checkin!A:B,2,false))</f>
        <v>0</v>
      </c>
      <c r="F21" s="31">
        <f>if(OR($E21=1, $E21=2),VLOOKUP($B21,Courts!$B$2:$K$50,10,false),0)</f>
        <v>0</v>
      </c>
      <c r="G21" s="28">
        <f t="shared" si="2"/>
        <v>0</v>
      </c>
      <c r="H21" s="31">
        <f>if(OR($E21=1, $E21=2),VLOOKUP($B21,Courts!$B$2:$J$50,5,false),0)</f>
        <v>0</v>
      </c>
      <c r="I21" s="31">
        <f>if(OR($E21=1, $E21=2),VLOOKUP($B21,Courts!$B$2:$J$50,6,false),0)</f>
        <v>0</v>
      </c>
      <c r="J21" s="31">
        <f>if(OR($E21=1, $E21=2),VLOOKUP($B21,Courts!$B$2:$J$50,7,false),0)</f>
        <v>0</v>
      </c>
      <c r="K21" s="33">
        <f t="shared" si="3"/>
        <v>0</v>
      </c>
      <c r="L21" s="31">
        <f>if(OR($E21=1, $E21=2),VLOOKUP($B21,Courts!$B$2:$J$50,9,false),0)</f>
        <v>0</v>
      </c>
      <c r="M21" s="28">
        <f t="shared" ref="M21:N21" si="20">C21+K21</f>
        <v>246</v>
      </c>
      <c r="N21" s="29">
        <f t="shared" si="20"/>
        <v>19</v>
      </c>
      <c r="O21" s="35" t="s">
        <v>46</v>
      </c>
      <c r="P21" s="35" t="s">
        <v>46</v>
      </c>
      <c r="Q21" s="35" t="s">
        <v>46</v>
      </c>
      <c r="R21" s="31">
        <f>if(G21=13,1,0)+VLOOKUP(B21,'062224'!B:T,17,false)</f>
        <v>0</v>
      </c>
      <c r="S21" s="31"/>
      <c r="T21" s="31">
        <f>if(G21=9,1,0)+VLOOKUP(B21,'062224'!B:T,19,false)</f>
        <v>12</v>
      </c>
    </row>
    <row r="22">
      <c r="A22" s="26">
        <f t="shared" si="5"/>
        <v>18</v>
      </c>
      <c r="B22" s="39" t="s">
        <v>103</v>
      </c>
      <c r="C22" s="28">
        <v>244.0</v>
      </c>
      <c r="D22" s="29">
        <v>17.0</v>
      </c>
      <c r="E22" s="30">
        <f>if(isna(VLOOKUP(B22,Checkin!A:B,2,false)),0,VLOOKUP(B22,Checkin!A:B,2,false))</f>
        <v>0</v>
      </c>
      <c r="F22" s="31">
        <f>if(OR($E22=1, $E22=2),VLOOKUP($B22,Courts!$B$2:$K$50,10,false),0)</f>
        <v>0</v>
      </c>
      <c r="G22" s="28">
        <f t="shared" si="2"/>
        <v>0</v>
      </c>
      <c r="H22" s="31">
        <f>if(OR($E22=1, $E22=2),VLOOKUP($B22,Courts!$B$2:$J$50,5,false),0)</f>
        <v>0</v>
      </c>
      <c r="I22" s="31">
        <f>if(OR($E22=1, $E22=2),VLOOKUP($B22,Courts!$B$2:$J$50,6,false),0)</f>
        <v>0</v>
      </c>
      <c r="J22" s="31">
        <f>if(OR($E22=1, $E22=2),VLOOKUP($B22,Courts!$B$2:$J$50,7,false),0)</f>
        <v>0</v>
      </c>
      <c r="K22" s="33">
        <f t="shared" si="3"/>
        <v>0</v>
      </c>
      <c r="L22" s="31">
        <f>if(OR($E22=1, $E22=2),VLOOKUP($B22,Courts!$B$2:$J$50,9,false),0)</f>
        <v>0</v>
      </c>
      <c r="M22" s="28">
        <f t="shared" ref="M22:N22" si="21">C22+K22</f>
        <v>244</v>
      </c>
      <c r="N22" s="29">
        <f t="shared" si="21"/>
        <v>17</v>
      </c>
      <c r="O22" s="35" t="s">
        <v>46</v>
      </c>
      <c r="P22" s="35" t="s">
        <v>46</v>
      </c>
      <c r="Q22" s="35" t="s">
        <v>46</v>
      </c>
      <c r="R22" s="31">
        <f>if(G22=13,1,0)+VLOOKUP(B22,'062224'!B:T,17,false)</f>
        <v>1</v>
      </c>
      <c r="S22" s="31"/>
      <c r="T22" s="31">
        <f>if(G22=9,1,0)+VLOOKUP(B22,'062224'!B:T,19,false)</f>
        <v>10</v>
      </c>
    </row>
    <row r="23">
      <c r="A23" s="26">
        <f t="shared" si="5"/>
        <v>19</v>
      </c>
      <c r="B23" s="39" t="s">
        <v>86</v>
      </c>
      <c r="C23" s="28">
        <v>243.0</v>
      </c>
      <c r="D23" s="29">
        <v>21.0</v>
      </c>
      <c r="E23" s="30">
        <f>if(isna(VLOOKUP(B23,Checkin!A:B,2,false)),0,VLOOKUP(B23,Checkin!A:B,2,false))</f>
        <v>0</v>
      </c>
      <c r="F23" s="31">
        <f>if(OR($E23=1, $E23=2),VLOOKUP($B23,Courts!$B$2:$K$50,10,false),0)</f>
        <v>0</v>
      </c>
      <c r="G23" s="28">
        <f t="shared" si="2"/>
        <v>0</v>
      </c>
      <c r="H23" s="31">
        <f>if(OR($E23=1, $E23=2),VLOOKUP($B23,Courts!$B$2:$J$50,5,false),0)</f>
        <v>0</v>
      </c>
      <c r="I23" s="31">
        <f>if(OR($E23=1, $E23=2),VLOOKUP($B23,Courts!$B$2:$J$50,6,false),0)</f>
        <v>0</v>
      </c>
      <c r="J23" s="31">
        <f>if(OR($E23=1, $E23=2),VLOOKUP($B23,Courts!$B$2:$J$50,7,false),0)</f>
        <v>0</v>
      </c>
      <c r="K23" s="33">
        <f t="shared" si="3"/>
        <v>0</v>
      </c>
      <c r="L23" s="31">
        <f>if(OR($E23=1, $E23=2),VLOOKUP($B23,Courts!$B$2:$J$50,9,false),0)</f>
        <v>0</v>
      </c>
      <c r="M23" s="28">
        <f t="shared" ref="M23:N23" si="22">C23+K23</f>
        <v>243</v>
      </c>
      <c r="N23" s="29">
        <f t="shared" si="22"/>
        <v>21</v>
      </c>
      <c r="O23" s="35" t="s">
        <v>46</v>
      </c>
      <c r="P23" s="35" t="s">
        <v>46</v>
      </c>
      <c r="Q23" s="35" t="s">
        <v>46</v>
      </c>
      <c r="R23" s="31">
        <f>if(G23=13,1,0)+VLOOKUP(B23,'062224'!B:T,17,false)</f>
        <v>1</v>
      </c>
      <c r="S23" s="31"/>
      <c r="T23" s="31">
        <f>if(G23=9,1,0)+VLOOKUP(B23,'062224'!B:T,19,false)</f>
        <v>5</v>
      </c>
    </row>
    <row r="24">
      <c r="A24" s="26">
        <f t="shared" si="5"/>
        <v>20</v>
      </c>
      <c r="B24" s="27" t="s">
        <v>65</v>
      </c>
      <c r="C24" s="28">
        <v>241.0</v>
      </c>
      <c r="D24" s="29">
        <v>17.0</v>
      </c>
      <c r="E24" s="30">
        <f>if(isna(VLOOKUP(B24,Checkin!A:B,2,false)),0,VLOOKUP(B24,Checkin!A:B,2,false))</f>
        <v>0</v>
      </c>
      <c r="F24" s="31">
        <f>if(OR($E24=1, $E24=2),VLOOKUP($B24,Courts!$B$2:$K$50,10,false),0)</f>
        <v>0</v>
      </c>
      <c r="G24" s="28">
        <f t="shared" si="2"/>
        <v>0</v>
      </c>
      <c r="H24" s="31">
        <f>if(OR($E24=1, $E24=2),VLOOKUP($B24,Courts!$B$2:$J$50,5,false),0)</f>
        <v>0</v>
      </c>
      <c r="I24" s="31">
        <f>if(OR($E24=1, $E24=2),VLOOKUP($B24,Courts!$B$2:$J$50,6,false),0)</f>
        <v>0</v>
      </c>
      <c r="J24" s="31">
        <f>if(OR($E24=1, $E24=2),VLOOKUP($B24,Courts!$B$2:$J$50,7,false),0)</f>
        <v>0</v>
      </c>
      <c r="K24" s="33">
        <f t="shared" si="3"/>
        <v>0</v>
      </c>
      <c r="L24" s="31">
        <f>if(OR($E24=1, $E24=2),VLOOKUP($B24,Courts!$B$2:$J$50,9,false),0)</f>
        <v>0</v>
      </c>
      <c r="M24" s="28">
        <f t="shared" ref="M24:N24" si="23">C24+K24</f>
        <v>241</v>
      </c>
      <c r="N24" s="29">
        <f t="shared" si="23"/>
        <v>17</v>
      </c>
      <c r="O24" s="35" t="s">
        <v>46</v>
      </c>
      <c r="P24" s="35" t="s">
        <v>46</v>
      </c>
      <c r="Q24" s="35" t="s">
        <v>46</v>
      </c>
      <c r="R24" s="31">
        <f>if(G24=13,1,0)+VLOOKUP(B24,'062224'!B:T,17,false)</f>
        <v>0</v>
      </c>
      <c r="S24" s="31"/>
      <c r="T24" s="31">
        <f>if(G24=9,1,0)+VLOOKUP(B24,'062224'!B:T,19,false)</f>
        <v>15</v>
      </c>
    </row>
    <row r="25">
      <c r="A25" s="26">
        <f t="shared" si="5"/>
        <v>21</v>
      </c>
      <c r="B25" s="27" t="s">
        <v>102</v>
      </c>
      <c r="C25" s="28">
        <v>240.0</v>
      </c>
      <c r="D25" s="29">
        <v>15.0</v>
      </c>
      <c r="E25" s="30">
        <f>if(isna(VLOOKUP(B25,Checkin!A:B,2,false)),0,VLOOKUP(B25,Checkin!A:B,2,false))</f>
        <v>0</v>
      </c>
      <c r="F25" s="31">
        <f>if(OR($E25=1, $E25=2),VLOOKUP($B25,Courts!$B$2:$K$50,10,false),0)</f>
        <v>0</v>
      </c>
      <c r="G25" s="28">
        <f t="shared" si="2"/>
        <v>0</v>
      </c>
      <c r="H25" s="31">
        <f>if(OR($E25=1, $E25=2),VLOOKUP($B25,Courts!$B$2:$J$50,5,false),0)</f>
        <v>0</v>
      </c>
      <c r="I25" s="31">
        <f>if(OR($E25=1, $E25=2),VLOOKUP($B25,Courts!$B$2:$J$50,6,false),0)</f>
        <v>0</v>
      </c>
      <c r="J25" s="31">
        <f>if(OR($E25=1, $E25=2),VLOOKUP($B25,Courts!$B$2:$J$50,7,false),0)</f>
        <v>0</v>
      </c>
      <c r="K25" s="33">
        <f t="shared" si="3"/>
        <v>0</v>
      </c>
      <c r="L25" s="31">
        <f>if(OR($E25=1, $E25=2),VLOOKUP($B25,Courts!$B$2:$J$50,9,false),0)</f>
        <v>0</v>
      </c>
      <c r="M25" s="28">
        <f t="shared" ref="M25:N25" si="24">C25+K25</f>
        <v>240</v>
      </c>
      <c r="N25" s="29">
        <f t="shared" si="24"/>
        <v>15</v>
      </c>
      <c r="O25" s="35" t="s">
        <v>46</v>
      </c>
      <c r="P25" s="35" t="s">
        <v>46</v>
      </c>
      <c r="Q25" s="35" t="s">
        <v>46</v>
      </c>
      <c r="R25" s="31">
        <f>if(G25=13,1,0)+VLOOKUP(B25,'062224'!B:T,17,false)</f>
        <v>0</v>
      </c>
      <c r="S25" s="31"/>
      <c r="T25" s="31">
        <f>if(G25=9,1,0)+VLOOKUP(B25,'062224'!B:T,19,false)</f>
        <v>14</v>
      </c>
    </row>
    <row r="26">
      <c r="A26" s="26">
        <f t="shared" si="5"/>
        <v>22</v>
      </c>
      <c r="B26" s="54" t="s">
        <v>95</v>
      </c>
      <c r="C26" s="28">
        <v>239.0</v>
      </c>
      <c r="D26" s="29">
        <v>19.0</v>
      </c>
      <c r="E26" s="30">
        <f>if(isna(VLOOKUP(B26,Checkin!A:B,2,false)),0,VLOOKUP(B26,Checkin!A:B,2,false))</f>
        <v>0</v>
      </c>
      <c r="F26" s="31">
        <f>if(OR($E26=1, $E26=2),VLOOKUP($B26,Courts!$B$2:$K$50,10,false),0)</f>
        <v>0</v>
      </c>
      <c r="G26" s="28">
        <f t="shared" si="2"/>
        <v>0</v>
      </c>
      <c r="H26" s="31">
        <f>if(OR($E26=1, $E26=2),VLOOKUP($B26,Courts!$B$2:$J$50,5,false),0)</f>
        <v>0</v>
      </c>
      <c r="I26" s="31">
        <f>if(OR($E26=1, $E26=2),VLOOKUP($B26,Courts!$B$2:$J$50,6,false),0)</f>
        <v>0</v>
      </c>
      <c r="J26" s="31">
        <f>if(OR($E26=1, $E26=2),VLOOKUP($B26,Courts!$B$2:$J$50,7,false),0)</f>
        <v>0</v>
      </c>
      <c r="K26" s="33">
        <f t="shared" si="3"/>
        <v>0</v>
      </c>
      <c r="L26" s="31">
        <f>if(OR($E26=1, $E26=2),VLOOKUP($B26,Courts!$B$2:$J$50,9,false),0)</f>
        <v>0</v>
      </c>
      <c r="M26" s="28">
        <f t="shared" ref="M26:N26" si="25">C26+K26</f>
        <v>239</v>
      </c>
      <c r="N26" s="29">
        <f t="shared" si="25"/>
        <v>19</v>
      </c>
      <c r="O26" s="35" t="s">
        <v>46</v>
      </c>
      <c r="P26" s="35" t="s">
        <v>46</v>
      </c>
      <c r="Q26" s="35" t="s">
        <v>46</v>
      </c>
      <c r="R26" s="31">
        <f>if(G26=13,1,0)+VLOOKUP(B26,'062224'!B:T,17,false)</f>
        <v>0</v>
      </c>
      <c r="S26" s="31"/>
      <c r="T26" s="31">
        <f>if(G26=9,1,0)+VLOOKUP(B26,'062224'!B:T,19,false)</f>
        <v>4</v>
      </c>
    </row>
    <row r="27">
      <c r="A27" s="26">
        <f t="shared" si="5"/>
        <v>23</v>
      </c>
      <c r="B27" s="27" t="s">
        <v>96</v>
      </c>
      <c r="C27" s="28">
        <v>239.0</v>
      </c>
      <c r="D27" s="29">
        <v>16.0</v>
      </c>
      <c r="E27" s="30">
        <f>if(isna(VLOOKUP(B27,Checkin!A:B,2,false)),0,VLOOKUP(B27,Checkin!A:B,2,false))</f>
        <v>0</v>
      </c>
      <c r="F27" s="31">
        <f>if(OR($E27=1, $E27=2),VLOOKUP($B27,Courts!$B$2:$K$50,10,false),0)</f>
        <v>0</v>
      </c>
      <c r="G27" s="28">
        <f t="shared" si="2"/>
        <v>0</v>
      </c>
      <c r="H27" s="31">
        <f>if(OR($E27=1, $E27=2),VLOOKUP($B27,Courts!$B$2:$J$50,5,false),0)</f>
        <v>0</v>
      </c>
      <c r="I27" s="31">
        <f>if(OR($E27=1, $E27=2),VLOOKUP($B27,Courts!$B$2:$J$50,6,false),0)</f>
        <v>0</v>
      </c>
      <c r="J27" s="31">
        <f>if(OR($E27=1, $E27=2),VLOOKUP($B27,Courts!$B$2:$J$50,7,false),0)</f>
        <v>0</v>
      </c>
      <c r="K27" s="33">
        <f t="shared" si="3"/>
        <v>0</v>
      </c>
      <c r="L27" s="31">
        <f>if(OR($E27=1, $E27=2),VLOOKUP($B27,Courts!$B$2:$J$50,9,false),0)</f>
        <v>0</v>
      </c>
      <c r="M27" s="28">
        <f t="shared" ref="M27:N27" si="26">C27+K27</f>
        <v>239</v>
      </c>
      <c r="N27" s="29">
        <f t="shared" si="26"/>
        <v>16</v>
      </c>
      <c r="O27" s="35" t="s">
        <v>46</v>
      </c>
      <c r="P27" s="35" t="s">
        <v>46</v>
      </c>
      <c r="Q27" s="35" t="s">
        <v>46</v>
      </c>
      <c r="R27" s="31">
        <f>if(G27=13,1,0)+VLOOKUP(B27,'062224'!B:T,17,false)</f>
        <v>1</v>
      </c>
      <c r="S27" s="31"/>
      <c r="T27" s="31">
        <f>if(G27=9,1,0)+VLOOKUP(B27,'062224'!B:T,19,false)</f>
        <v>6</v>
      </c>
    </row>
    <row r="28">
      <c r="A28" s="26">
        <f t="shared" si="5"/>
        <v>24</v>
      </c>
      <c r="B28" s="54" t="s">
        <v>100</v>
      </c>
      <c r="C28" s="28">
        <v>239.0</v>
      </c>
      <c r="D28" s="29">
        <v>16.0</v>
      </c>
      <c r="E28" s="30">
        <f>if(isna(VLOOKUP(B28,Checkin!A:B,2,false)),0,VLOOKUP(B28,Checkin!A:B,2,false))</f>
        <v>0</v>
      </c>
      <c r="F28" s="31">
        <f>if(OR($E28=1, $E28=2),VLOOKUP($B28,Courts!$B$2:$K$50,10,false),0)</f>
        <v>0</v>
      </c>
      <c r="G28" s="28">
        <f t="shared" si="2"/>
        <v>0</v>
      </c>
      <c r="H28" s="31">
        <f>if(OR($E28=1, $E28=2),VLOOKUP($B28,Courts!$B$2:$J$50,5,false),0)</f>
        <v>0</v>
      </c>
      <c r="I28" s="31">
        <f>if(OR($E28=1, $E28=2),VLOOKUP($B28,Courts!$B$2:$J$50,6,false),0)</f>
        <v>0</v>
      </c>
      <c r="J28" s="31">
        <f>if(OR($E28=1, $E28=2),VLOOKUP($B28,Courts!$B$2:$J$50,7,false),0)</f>
        <v>0</v>
      </c>
      <c r="K28" s="33">
        <f t="shared" si="3"/>
        <v>0</v>
      </c>
      <c r="L28" s="31">
        <f>if(OR($E28=1, $E28=2),VLOOKUP($B28,Courts!$B$2:$J$50,9,false),0)</f>
        <v>0</v>
      </c>
      <c r="M28" s="28">
        <f t="shared" ref="M28:N28" si="27">C28+K28</f>
        <v>239</v>
      </c>
      <c r="N28" s="29">
        <f t="shared" si="27"/>
        <v>16</v>
      </c>
      <c r="O28" s="35" t="s">
        <v>46</v>
      </c>
      <c r="P28" s="35" t="s">
        <v>46</v>
      </c>
      <c r="Q28" s="35" t="s">
        <v>46</v>
      </c>
      <c r="R28" s="31">
        <f>if(G28=13,1,0)+VLOOKUP(B28,'062224'!B:T,17,false)</f>
        <v>1</v>
      </c>
      <c r="S28" s="31"/>
      <c r="T28" s="31">
        <f>if(G28=9,1,0)+VLOOKUP(B28,'062224'!B:T,19,false)</f>
        <v>11</v>
      </c>
    </row>
    <row r="29">
      <c r="A29" s="26">
        <f t="shared" si="5"/>
        <v>25</v>
      </c>
      <c r="B29" s="54" t="s">
        <v>59</v>
      </c>
      <c r="C29" s="28">
        <v>238.0</v>
      </c>
      <c r="D29" s="29">
        <v>18.0</v>
      </c>
      <c r="E29" s="30">
        <f>if(isna(VLOOKUP(B29,Checkin!A:B,2,false)),0,VLOOKUP(B29,Checkin!A:B,2,false))</f>
        <v>0</v>
      </c>
      <c r="F29" s="31">
        <f>if(OR($E29=1, $E29=2),VLOOKUP($B29,Courts!$B$2:$K$50,10,false),0)</f>
        <v>0</v>
      </c>
      <c r="G29" s="28">
        <f t="shared" si="2"/>
        <v>0</v>
      </c>
      <c r="H29" s="31">
        <f>if(OR($E29=1, $E29=2),VLOOKUP($B29,Courts!$B$2:$J$50,5,false),0)</f>
        <v>0</v>
      </c>
      <c r="I29" s="31">
        <f>if(OR($E29=1, $E29=2),VLOOKUP($B29,Courts!$B$2:$J$50,6,false),0)</f>
        <v>0</v>
      </c>
      <c r="J29" s="31">
        <f>if(OR($E29=1, $E29=2),VLOOKUP($B29,Courts!$B$2:$J$50,7,false),0)</f>
        <v>0</v>
      </c>
      <c r="K29" s="33">
        <f t="shared" si="3"/>
        <v>0</v>
      </c>
      <c r="L29" s="31">
        <f>if(OR($E29=1, $E29=2),VLOOKUP($B29,Courts!$B$2:$J$50,9,false),0)</f>
        <v>0</v>
      </c>
      <c r="M29" s="28">
        <f t="shared" ref="M29:N29" si="28">C29+K29</f>
        <v>238</v>
      </c>
      <c r="N29" s="29">
        <f t="shared" si="28"/>
        <v>18</v>
      </c>
      <c r="O29" s="35" t="s">
        <v>46</v>
      </c>
      <c r="P29" s="35" t="s">
        <v>46</v>
      </c>
      <c r="Q29" s="35" t="s">
        <v>104</v>
      </c>
      <c r="R29" s="31">
        <f>if(G29=13,1,0)+VLOOKUP(B29,'062224'!B:T,17,false)</f>
        <v>1</v>
      </c>
      <c r="S29" s="31"/>
      <c r="T29" s="31">
        <f>if(G29=9,1,0)+VLOOKUP(B29,'062224'!B:T,19,false)</f>
        <v>9</v>
      </c>
    </row>
    <row r="30">
      <c r="A30" s="26">
        <f t="shared" si="5"/>
        <v>26</v>
      </c>
      <c r="B30" s="54" t="s">
        <v>89</v>
      </c>
      <c r="C30" s="28">
        <v>234.0</v>
      </c>
      <c r="D30" s="29">
        <v>20.0</v>
      </c>
      <c r="E30" s="30">
        <f>if(isna(VLOOKUP(B30,Checkin!A:B,2,false)),0,VLOOKUP(B30,Checkin!A:B,2,false))</f>
        <v>0</v>
      </c>
      <c r="F30" s="31">
        <f>if(OR($E30=1, $E30=2),VLOOKUP($B30,Courts!$B$2:$K$50,10,false),0)</f>
        <v>0</v>
      </c>
      <c r="G30" s="28">
        <f t="shared" si="2"/>
        <v>0</v>
      </c>
      <c r="H30" s="31">
        <f>if(OR($E30=1, $E30=2),VLOOKUP($B30,Courts!$B$2:$J$50,5,false),0)</f>
        <v>0</v>
      </c>
      <c r="I30" s="31">
        <f>if(OR($E30=1, $E30=2),VLOOKUP($B30,Courts!$B$2:$J$50,6,false),0)</f>
        <v>0</v>
      </c>
      <c r="J30" s="31">
        <f>if(OR($E30=1, $E30=2),VLOOKUP($B30,Courts!$B$2:$J$50,7,false),0)</f>
        <v>0</v>
      </c>
      <c r="K30" s="33">
        <f t="shared" si="3"/>
        <v>0</v>
      </c>
      <c r="L30" s="31">
        <f>if(OR($E30=1, $E30=2),VLOOKUP($B30,Courts!$B$2:$J$50,9,false),0)</f>
        <v>0</v>
      </c>
      <c r="M30" s="28">
        <f t="shared" ref="M30:N30" si="29">C30+K30</f>
        <v>234</v>
      </c>
      <c r="N30" s="29">
        <f t="shared" si="29"/>
        <v>20</v>
      </c>
      <c r="O30" s="35" t="s">
        <v>46</v>
      </c>
      <c r="P30" s="35" t="s">
        <v>46</v>
      </c>
      <c r="Q30" s="35" t="s">
        <v>46</v>
      </c>
      <c r="R30" s="31">
        <f>if(G30=13,1,0)+VLOOKUP(B30,'062224'!B:T,17,false)</f>
        <v>0</v>
      </c>
      <c r="S30" s="31"/>
      <c r="T30" s="31">
        <f>if(G30=9,1,0)+VLOOKUP(B30,'062224'!B:T,19,false)</f>
        <v>5</v>
      </c>
    </row>
    <row r="31">
      <c r="A31" s="26">
        <f t="shared" si="5"/>
        <v>27</v>
      </c>
      <c r="B31" s="27" t="s">
        <v>68</v>
      </c>
      <c r="C31" s="28">
        <v>234.0</v>
      </c>
      <c r="D31" s="29">
        <v>14.0</v>
      </c>
      <c r="E31" s="30">
        <f>if(isna(VLOOKUP(B31,Checkin!A:B,2,false)),0,VLOOKUP(B31,Checkin!A:B,2,false))</f>
        <v>0</v>
      </c>
      <c r="F31" s="31">
        <f>if(OR($E31=1, $E31=2),VLOOKUP($B31,Courts!$B$2:$K$50,10,false),0)</f>
        <v>0</v>
      </c>
      <c r="G31" s="28">
        <f t="shared" si="2"/>
        <v>0</v>
      </c>
      <c r="H31" s="31">
        <f>if(OR($E31=1, $E31=2),VLOOKUP($B31,Courts!$B$2:$J$50,5,false),0)</f>
        <v>0</v>
      </c>
      <c r="I31" s="31">
        <f>if(OR($E31=1, $E31=2),VLOOKUP($B31,Courts!$B$2:$J$50,6,false),0)</f>
        <v>0</v>
      </c>
      <c r="J31" s="31">
        <f>if(OR($E31=1, $E31=2),VLOOKUP($B31,Courts!$B$2:$J$50,7,false),0)</f>
        <v>0</v>
      </c>
      <c r="K31" s="33">
        <f t="shared" si="3"/>
        <v>0</v>
      </c>
      <c r="L31" s="31">
        <f>if(OR($E31=1, $E31=2),VLOOKUP($B31,Courts!$B$2:$J$50,9,false),0)</f>
        <v>0</v>
      </c>
      <c r="M31" s="28">
        <f t="shared" ref="M31:N31" si="30">C31+K31</f>
        <v>234</v>
      </c>
      <c r="N31" s="29">
        <f t="shared" si="30"/>
        <v>14</v>
      </c>
      <c r="O31" s="35" t="s">
        <v>46</v>
      </c>
      <c r="P31" s="35" t="s">
        <v>46</v>
      </c>
      <c r="Q31" s="35" t="s">
        <v>46</v>
      </c>
      <c r="R31" s="31">
        <f>if(G31=13,1,0)+VLOOKUP(B31,'062224'!B:T,17,false)</f>
        <v>2</v>
      </c>
      <c r="S31" s="31"/>
      <c r="T31" s="31">
        <f>if(G31=9,1,0)+VLOOKUP(B31,'062224'!B:T,19,false)</f>
        <v>13</v>
      </c>
    </row>
    <row r="32">
      <c r="A32" s="26">
        <f t="shared" si="5"/>
        <v>28</v>
      </c>
      <c r="B32" s="54" t="s">
        <v>94</v>
      </c>
      <c r="C32" s="28">
        <v>231.0</v>
      </c>
      <c r="D32" s="29">
        <v>20.0</v>
      </c>
      <c r="E32" s="30">
        <f>if(isna(VLOOKUP(B32,Checkin!A:B,2,false)),0,VLOOKUP(B32,Checkin!A:B,2,false))</f>
        <v>0</v>
      </c>
      <c r="F32" s="31">
        <f>if(OR($E32=1, $E32=2),VLOOKUP($B32,Courts!$B$2:$K$50,10,false),0)</f>
        <v>0</v>
      </c>
      <c r="G32" s="28">
        <f t="shared" si="2"/>
        <v>0</v>
      </c>
      <c r="H32" s="31">
        <f>if(OR($E32=1, $E32=2),VLOOKUP($B32,Courts!$B$2:$J$50,5,false),0)</f>
        <v>0</v>
      </c>
      <c r="I32" s="31">
        <f>if(OR($E32=1, $E32=2),VLOOKUP($B32,Courts!$B$2:$J$50,6,false),0)</f>
        <v>0</v>
      </c>
      <c r="J32" s="31">
        <f>if(OR($E32=1, $E32=2),VLOOKUP($B32,Courts!$B$2:$J$50,7,false),0)</f>
        <v>0</v>
      </c>
      <c r="K32" s="33">
        <f t="shared" si="3"/>
        <v>0</v>
      </c>
      <c r="L32" s="31">
        <f>if(OR($E32=1, $E32=2),VLOOKUP($B32,Courts!$B$2:$J$50,9,false),0)</f>
        <v>0</v>
      </c>
      <c r="M32" s="28">
        <f t="shared" ref="M32:N32" si="31">C32+K32</f>
        <v>231</v>
      </c>
      <c r="N32" s="29">
        <f t="shared" si="31"/>
        <v>20</v>
      </c>
      <c r="O32" s="35" t="s">
        <v>46</v>
      </c>
      <c r="P32" s="35" t="s">
        <v>46</v>
      </c>
      <c r="Q32" s="35" t="s">
        <v>46</v>
      </c>
      <c r="R32" s="31">
        <f>if(G32=13,1,0)+VLOOKUP(B32,'062224'!B:T,17,false)</f>
        <v>0</v>
      </c>
      <c r="S32" s="31"/>
      <c r="T32" s="31">
        <f>if(G32=9,1,0)+VLOOKUP(B32,'062224'!B:T,19,false)</f>
        <v>1</v>
      </c>
    </row>
    <row r="33">
      <c r="A33" s="26">
        <f t="shared" si="5"/>
        <v>29</v>
      </c>
      <c r="B33" s="54" t="s">
        <v>73</v>
      </c>
      <c r="C33" s="28">
        <v>231.0</v>
      </c>
      <c r="D33" s="29">
        <v>18.0</v>
      </c>
      <c r="E33" s="30">
        <f>if(isna(VLOOKUP(B33,Checkin!A:B,2,false)),0,VLOOKUP(B33,Checkin!A:B,2,false))</f>
        <v>0</v>
      </c>
      <c r="F33" s="31">
        <f>if(OR($E33=1, $E33=2),VLOOKUP($B33,Courts!$B$2:$K$50,10,false),0)</f>
        <v>0</v>
      </c>
      <c r="G33" s="28">
        <f t="shared" si="2"/>
        <v>0</v>
      </c>
      <c r="H33" s="31">
        <f>if(OR($E33=1, $E33=2),VLOOKUP($B33,Courts!$B$2:$J$50,5,false),0)</f>
        <v>0</v>
      </c>
      <c r="I33" s="31">
        <f>if(OR($E33=1, $E33=2),VLOOKUP($B33,Courts!$B$2:$J$50,6,false),0)</f>
        <v>0</v>
      </c>
      <c r="J33" s="31">
        <f>if(OR($E33=1, $E33=2),VLOOKUP($B33,Courts!$B$2:$J$50,7,false),0)</f>
        <v>0</v>
      </c>
      <c r="K33" s="33">
        <f t="shared" si="3"/>
        <v>0</v>
      </c>
      <c r="L33" s="31">
        <f>if(OR($E33=1, $E33=2),VLOOKUP($B33,Courts!$B$2:$J$50,9,false),0)</f>
        <v>0</v>
      </c>
      <c r="M33" s="28">
        <f t="shared" ref="M33:N33" si="32">C33+K33</f>
        <v>231</v>
      </c>
      <c r="N33" s="29">
        <f t="shared" si="32"/>
        <v>18</v>
      </c>
      <c r="O33" s="35" t="s">
        <v>46</v>
      </c>
      <c r="P33" s="35" t="s">
        <v>46</v>
      </c>
      <c r="Q33" s="35" t="s">
        <v>46</v>
      </c>
      <c r="R33" s="31">
        <f>if(G33=13,1,0)+VLOOKUP(B33,'062224'!B:T,17,false)</f>
        <v>0</v>
      </c>
      <c r="S33" s="31"/>
      <c r="T33" s="31">
        <f>if(G33=9,1,0)+VLOOKUP(B33,'062224'!B:T,19,false)</f>
        <v>5</v>
      </c>
    </row>
    <row r="34">
      <c r="A34" s="26">
        <f t="shared" si="5"/>
        <v>30</v>
      </c>
      <c r="B34" s="27" t="s">
        <v>83</v>
      </c>
      <c r="C34" s="28">
        <v>231.0</v>
      </c>
      <c r="D34" s="29">
        <v>18.0</v>
      </c>
      <c r="E34" s="30">
        <f>if(isna(VLOOKUP(B34,Checkin!A:B,2,false)),0,VLOOKUP(B34,Checkin!A:B,2,false))</f>
        <v>0</v>
      </c>
      <c r="F34" s="31">
        <f>if(OR($E34=1, $E34=2),VLOOKUP($B34,Courts!$B$2:$K$50,10,false),0)</f>
        <v>0</v>
      </c>
      <c r="G34" s="28">
        <f t="shared" si="2"/>
        <v>0</v>
      </c>
      <c r="H34" s="31">
        <f>if(OR($E34=1, $E34=2),VLOOKUP($B34,Courts!$B$2:$J$50,5,false),0)</f>
        <v>0</v>
      </c>
      <c r="I34" s="31">
        <f>if(OR($E34=1, $E34=2),VLOOKUP($B34,Courts!$B$2:$J$50,6,false),0)</f>
        <v>0</v>
      </c>
      <c r="J34" s="31">
        <f>if(OR($E34=1, $E34=2),VLOOKUP($B34,Courts!$B$2:$J$50,7,false),0)</f>
        <v>0</v>
      </c>
      <c r="K34" s="33">
        <f t="shared" si="3"/>
        <v>0</v>
      </c>
      <c r="L34" s="31">
        <f>if(OR($E34=1, $E34=2),VLOOKUP($B34,Courts!$B$2:$J$50,9,false),0)</f>
        <v>0</v>
      </c>
      <c r="M34" s="28">
        <f t="shared" ref="M34:N34" si="33">C34+K34</f>
        <v>231</v>
      </c>
      <c r="N34" s="29">
        <f t="shared" si="33"/>
        <v>18</v>
      </c>
      <c r="O34" s="35" t="s">
        <v>46</v>
      </c>
      <c r="P34" s="35" t="s">
        <v>46</v>
      </c>
      <c r="Q34" s="35" t="s">
        <v>46</v>
      </c>
      <c r="R34" s="31">
        <f>if(G34=13,1,0)+VLOOKUP(B34,'062224'!B:T,17,false)</f>
        <v>1</v>
      </c>
      <c r="S34" s="31"/>
      <c r="T34" s="31">
        <f>if(G34=9,1,0)+VLOOKUP(B34,'062224'!B:T,19,false)</f>
        <v>6</v>
      </c>
    </row>
    <row r="35">
      <c r="A35" s="26">
        <f t="shared" si="5"/>
        <v>31</v>
      </c>
      <c r="B35" s="39" t="s">
        <v>106</v>
      </c>
      <c r="C35" s="28">
        <v>231.0</v>
      </c>
      <c r="D35" s="29">
        <v>14.0</v>
      </c>
      <c r="E35" s="30">
        <f>if(isna(VLOOKUP(B35,Checkin!A:B,2,false)),0,VLOOKUP(B35,Checkin!A:B,2,false))</f>
        <v>0</v>
      </c>
      <c r="F35" s="31">
        <f>if(OR($E35=1, $E35=2),VLOOKUP($B35,Courts!$B$2:$K$50,10,false),0)</f>
        <v>0</v>
      </c>
      <c r="G35" s="28">
        <f t="shared" si="2"/>
        <v>0</v>
      </c>
      <c r="H35" s="31">
        <f>if(OR($E35=1, $E35=2),VLOOKUP($B35,Courts!$B$2:$J$50,5,false),0)</f>
        <v>0</v>
      </c>
      <c r="I35" s="31">
        <f>if(OR($E35=1, $E35=2),VLOOKUP($B35,Courts!$B$2:$J$50,6,false),0)</f>
        <v>0</v>
      </c>
      <c r="J35" s="31">
        <f>if(OR($E35=1, $E35=2),VLOOKUP($B35,Courts!$B$2:$J$50,7,false),0)</f>
        <v>0</v>
      </c>
      <c r="K35" s="33">
        <f t="shared" si="3"/>
        <v>0</v>
      </c>
      <c r="L35" s="31">
        <f>if(OR($E35=1, $E35=2),VLOOKUP($B35,Courts!$B$2:$J$50,9,false),0)</f>
        <v>0</v>
      </c>
      <c r="M35" s="28">
        <f t="shared" ref="M35:N35" si="34">C35+K35</f>
        <v>231</v>
      </c>
      <c r="N35" s="29">
        <f t="shared" si="34"/>
        <v>14</v>
      </c>
      <c r="O35" s="35" t="s">
        <v>46</v>
      </c>
      <c r="P35" s="35" t="s">
        <v>46</v>
      </c>
      <c r="Q35" s="35" t="s">
        <v>46</v>
      </c>
      <c r="R35" s="31">
        <f>if(G35=13,1,0)+VLOOKUP(B35,'062224'!B:T,17,false)</f>
        <v>0</v>
      </c>
      <c r="S35" s="31"/>
      <c r="T35" s="31">
        <f>if(G35=9,1,0)+VLOOKUP(B35,'062224'!B:T,19,false)</f>
        <v>11</v>
      </c>
    </row>
    <row r="36">
      <c r="A36" s="26">
        <f t="shared" si="5"/>
        <v>32</v>
      </c>
      <c r="B36" s="27" t="s">
        <v>107</v>
      </c>
      <c r="C36" s="28">
        <v>231.0</v>
      </c>
      <c r="D36" s="29">
        <v>12.0</v>
      </c>
      <c r="E36" s="30">
        <f>if(isna(VLOOKUP(B36,Checkin!A:B,2,false)),0,VLOOKUP(B36,Checkin!A:B,2,false))</f>
        <v>0</v>
      </c>
      <c r="F36" s="31">
        <f>if(OR($E36=1, $E36=2),VLOOKUP($B36,Courts!$B$2:$K$50,10,false),0)</f>
        <v>0</v>
      </c>
      <c r="G36" s="28">
        <f t="shared" si="2"/>
        <v>0</v>
      </c>
      <c r="H36" s="31">
        <f>if(OR($E36=1, $E36=2),VLOOKUP($B36,Courts!$B$2:$J$50,5,false),0)</f>
        <v>0</v>
      </c>
      <c r="I36" s="31">
        <f>if(OR($E36=1, $E36=2),VLOOKUP($B36,Courts!$B$2:$J$50,6,false),0)</f>
        <v>0</v>
      </c>
      <c r="J36" s="31">
        <f>if(OR($E36=1, $E36=2),VLOOKUP($B36,Courts!$B$2:$J$50,7,false),0)</f>
        <v>0</v>
      </c>
      <c r="K36" s="33">
        <f t="shared" si="3"/>
        <v>0</v>
      </c>
      <c r="L36" s="31">
        <f>if(OR($E36=1, $E36=2),VLOOKUP($B36,Courts!$B$2:$J$50,9,false),0)</f>
        <v>0</v>
      </c>
      <c r="M36" s="28">
        <f t="shared" ref="M36:N36" si="35">C36+K36</f>
        <v>231</v>
      </c>
      <c r="N36" s="29">
        <f t="shared" si="35"/>
        <v>12</v>
      </c>
      <c r="O36" s="35" t="s">
        <v>46</v>
      </c>
      <c r="P36" s="35" t="s">
        <v>46</v>
      </c>
      <c r="Q36" s="35" t="s">
        <v>46</v>
      </c>
      <c r="R36" s="31">
        <f>if(G36=13,1,0)+VLOOKUP(B36,'062224'!B:T,17,false)</f>
        <v>2</v>
      </c>
      <c r="S36" s="31"/>
      <c r="T36" s="31">
        <f>if(G36=9,1,0)+VLOOKUP(B36,'062224'!B:T,19,false)</f>
        <v>13</v>
      </c>
    </row>
    <row r="37">
      <c r="A37" s="26">
        <f t="shared" si="5"/>
        <v>33</v>
      </c>
      <c r="B37" s="54" t="s">
        <v>108</v>
      </c>
      <c r="C37" s="28">
        <v>229.0</v>
      </c>
      <c r="D37" s="29">
        <v>20.0</v>
      </c>
      <c r="E37" s="30">
        <f>if(isna(VLOOKUP(B37,Checkin!A:B,2,false)),0,VLOOKUP(B37,Checkin!A:B,2,false))</f>
        <v>0</v>
      </c>
      <c r="F37" s="31">
        <f>if(OR($E37=1, $E37=2),VLOOKUP($B37,Courts!$B$2:$K$50,10,false),0)</f>
        <v>0</v>
      </c>
      <c r="G37" s="28">
        <f t="shared" si="2"/>
        <v>0</v>
      </c>
      <c r="H37" s="31">
        <f>if(OR($E37=1, $E37=2),VLOOKUP($B37,Courts!$B$2:$J$50,5,false),0)</f>
        <v>0</v>
      </c>
      <c r="I37" s="31">
        <f>if(OR($E37=1, $E37=2),VLOOKUP($B37,Courts!$B$2:$J$50,6,false),0)</f>
        <v>0</v>
      </c>
      <c r="J37" s="31">
        <f>if(OR($E37=1, $E37=2),VLOOKUP($B37,Courts!$B$2:$J$50,7,false),0)</f>
        <v>0</v>
      </c>
      <c r="K37" s="33">
        <f t="shared" si="3"/>
        <v>0</v>
      </c>
      <c r="L37" s="31">
        <f>if(OR($E37=1, $E37=2),VLOOKUP($B37,Courts!$B$2:$J$50,9,false),0)</f>
        <v>0</v>
      </c>
      <c r="M37" s="28">
        <f t="shared" ref="M37:N37" si="36">C37+K37</f>
        <v>229</v>
      </c>
      <c r="N37" s="29">
        <f t="shared" si="36"/>
        <v>20</v>
      </c>
      <c r="O37" s="35" t="s">
        <v>46</v>
      </c>
      <c r="P37" s="35" t="s">
        <v>46</v>
      </c>
      <c r="Q37" s="35" t="s">
        <v>46</v>
      </c>
      <c r="R37" s="31">
        <f>if(G37=13,1,0)+VLOOKUP(B37,'062224'!B:T,17,false)</f>
        <v>0</v>
      </c>
      <c r="S37" s="31"/>
      <c r="T37" s="31">
        <f>if(G37=9,1,0)+VLOOKUP(B37,'062224'!B:T,19,false)</f>
        <v>3</v>
      </c>
    </row>
    <row r="38">
      <c r="A38" s="26">
        <f t="shared" si="5"/>
        <v>34</v>
      </c>
      <c r="B38" s="27" t="s">
        <v>76</v>
      </c>
      <c r="C38" s="28">
        <v>229.0</v>
      </c>
      <c r="D38" s="29">
        <v>12.0</v>
      </c>
      <c r="E38" s="30">
        <f>if(isna(VLOOKUP(B38,Checkin!A:B,2,false)),0,VLOOKUP(B38,Checkin!A:B,2,false))</f>
        <v>0</v>
      </c>
      <c r="F38" s="31">
        <f>if(OR($E38=1, $E38=2),VLOOKUP($B38,Courts!$B$2:$K$50,10,false),0)</f>
        <v>0</v>
      </c>
      <c r="G38" s="28">
        <f t="shared" si="2"/>
        <v>0</v>
      </c>
      <c r="H38" s="31">
        <f>if(OR($E38=1, $E38=2),VLOOKUP($B38,Courts!$B$2:$J$50,5,false),0)</f>
        <v>0</v>
      </c>
      <c r="I38" s="31">
        <f>if(OR($E38=1, $E38=2),VLOOKUP($B38,Courts!$B$2:$J$50,6,false),0)</f>
        <v>0</v>
      </c>
      <c r="J38" s="31">
        <f>if(OR($E38=1, $E38=2),VLOOKUP($B38,Courts!$B$2:$J$50,7,false),0)</f>
        <v>0</v>
      </c>
      <c r="K38" s="33">
        <f t="shared" si="3"/>
        <v>0</v>
      </c>
      <c r="L38" s="31">
        <f>if(OR($E38=1, $E38=2),VLOOKUP($B38,Courts!$B$2:$J$50,9,false),0)</f>
        <v>0</v>
      </c>
      <c r="M38" s="28">
        <f t="shared" ref="M38:N38" si="37">C38+K38</f>
        <v>229</v>
      </c>
      <c r="N38" s="29">
        <f t="shared" si="37"/>
        <v>12</v>
      </c>
      <c r="O38" s="35" t="s">
        <v>46</v>
      </c>
      <c r="P38" s="35" t="s">
        <v>46</v>
      </c>
      <c r="Q38" s="35" t="s">
        <v>46</v>
      </c>
      <c r="R38" s="31">
        <f>if(G38=13,1,0)+VLOOKUP(B38,'062224'!B:T,17,false)</f>
        <v>1</v>
      </c>
      <c r="S38" s="31"/>
      <c r="T38" s="31">
        <f>if(G38=9,1,0)+VLOOKUP(B38,'062224'!B:T,19,false)</f>
        <v>11</v>
      </c>
    </row>
    <row r="39">
      <c r="A39" s="26">
        <f t="shared" si="5"/>
        <v>35</v>
      </c>
      <c r="B39" s="27" t="s">
        <v>42</v>
      </c>
      <c r="C39" s="28">
        <v>226.0</v>
      </c>
      <c r="D39" s="29">
        <v>15.0</v>
      </c>
      <c r="E39" s="30">
        <f>if(isna(VLOOKUP(B39,Checkin!A:B,2,false)),0,VLOOKUP(B39,Checkin!A:B,2,false))</f>
        <v>0</v>
      </c>
      <c r="F39" s="31">
        <f>if(OR($E39=1, $E39=2),VLOOKUP($B39,Courts!$B$2:$K$50,10,false),0)</f>
        <v>0</v>
      </c>
      <c r="G39" s="28">
        <f t="shared" si="2"/>
        <v>0</v>
      </c>
      <c r="H39" s="31">
        <f>if(OR($E39=1, $E39=2),VLOOKUP($B39,Courts!$B$2:$J$50,5,false),0)</f>
        <v>0</v>
      </c>
      <c r="I39" s="31">
        <f>if(OR($E39=1, $E39=2),VLOOKUP($B39,Courts!$B$2:$J$50,6,false),0)</f>
        <v>0</v>
      </c>
      <c r="J39" s="31">
        <f>if(OR($E39=1, $E39=2),VLOOKUP($B39,Courts!$B$2:$J$50,7,false),0)</f>
        <v>0</v>
      </c>
      <c r="K39" s="33">
        <f t="shared" si="3"/>
        <v>0</v>
      </c>
      <c r="L39" s="31">
        <f>if(OR($E39=1, $E39=2),VLOOKUP($B39,Courts!$B$2:$J$50,9,false),0)</f>
        <v>0</v>
      </c>
      <c r="M39" s="28">
        <f t="shared" ref="M39:N39" si="38">C39+K39</f>
        <v>226</v>
      </c>
      <c r="N39" s="29">
        <f t="shared" si="38"/>
        <v>15</v>
      </c>
      <c r="O39" s="35" t="s">
        <v>46</v>
      </c>
      <c r="P39" s="35" t="s">
        <v>46</v>
      </c>
      <c r="Q39" s="35" t="s">
        <v>46</v>
      </c>
      <c r="R39" s="31">
        <f>if(G39=13,1,0)+VLOOKUP(B39,'062224'!B:T,17,false)</f>
        <v>0</v>
      </c>
      <c r="S39" s="31"/>
      <c r="T39" s="31">
        <f>if(G39=9,1,0)+VLOOKUP(B39,'062224'!B:T,19,false)</f>
        <v>6</v>
      </c>
    </row>
    <row r="40">
      <c r="A40" s="26">
        <f t="shared" si="5"/>
        <v>36</v>
      </c>
      <c r="B40" s="39" t="s">
        <v>45</v>
      </c>
      <c r="C40" s="28">
        <v>226.0</v>
      </c>
      <c r="D40" s="29">
        <v>14.0</v>
      </c>
      <c r="E40" s="30">
        <f>if(isna(VLOOKUP(B40,Checkin!A:B,2,false)),0,VLOOKUP(B40,Checkin!A:B,2,false))</f>
        <v>0</v>
      </c>
      <c r="F40" s="31">
        <f>if(OR($E40=1, $E40=2),VLOOKUP($B40,Courts!$B$2:$K$50,10,false),0)</f>
        <v>0</v>
      </c>
      <c r="G40" s="28">
        <f t="shared" si="2"/>
        <v>0</v>
      </c>
      <c r="H40" s="31">
        <f>if(OR($E40=1, $E40=2),VLOOKUP($B40,Courts!$B$2:$J$50,5,false),0)</f>
        <v>0</v>
      </c>
      <c r="I40" s="31">
        <f>if(OR($E40=1, $E40=2),VLOOKUP($B40,Courts!$B$2:$J$50,6,false),0)</f>
        <v>0</v>
      </c>
      <c r="J40" s="31">
        <f>if(OR($E40=1, $E40=2),VLOOKUP($B40,Courts!$B$2:$J$50,7,false),0)</f>
        <v>0</v>
      </c>
      <c r="K40" s="33">
        <f t="shared" si="3"/>
        <v>0</v>
      </c>
      <c r="L40" s="31">
        <f>if(OR($E40=1, $E40=2),VLOOKUP($B40,Courts!$B$2:$J$50,9,false),0)</f>
        <v>0</v>
      </c>
      <c r="M40" s="28">
        <f t="shared" ref="M40:N40" si="39">C40+K40</f>
        <v>226</v>
      </c>
      <c r="N40" s="29">
        <f t="shared" si="39"/>
        <v>14</v>
      </c>
      <c r="O40" s="35" t="s">
        <v>46</v>
      </c>
      <c r="P40" s="35" t="s">
        <v>46</v>
      </c>
      <c r="Q40" s="35" t="s">
        <v>104</v>
      </c>
      <c r="R40" s="31">
        <f>if(G40=13,1,0)+VLOOKUP(B40,'062224'!B:T,17,false)</f>
        <v>1</v>
      </c>
      <c r="S40" s="31"/>
      <c r="T40" s="31">
        <f>if(G40=9,1,0)+VLOOKUP(B40,'062224'!B:T,19,false)</f>
        <v>7</v>
      </c>
    </row>
    <row r="41">
      <c r="A41" s="26">
        <f t="shared" si="5"/>
        <v>37</v>
      </c>
      <c r="B41" s="39" t="s">
        <v>105</v>
      </c>
      <c r="C41" s="28">
        <v>224.0</v>
      </c>
      <c r="D41" s="29">
        <v>15.0</v>
      </c>
      <c r="E41" s="30">
        <f>if(isna(VLOOKUP(B41,Checkin!A:B,2,false)),0,VLOOKUP(B41,Checkin!A:B,2,false))</f>
        <v>0</v>
      </c>
      <c r="F41" s="31">
        <f>if(OR($E41=1, $E41=2),VLOOKUP($B41,Courts!$B$2:$K$50,10,false),0)</f>
        <v>0</v>
      </c>
      <c r="G41" s="28">
        <f t="shared" si="2"/>
        <v>0</v>
      </c>
      <c r="H41" s="31">
        <f>if(OR($E41=1, $E41=2),VLOOKUP($B41,Courts!$B$2:$J$50,5,false),0)</f>
        <v>0</v>
      </c>
      <c r="I41" s="31">
        <f>if(OR($E41=1, $E41=2),VLOOKUP($B41,Courts!$B$2:$J$50,6,false),0)</f>
        <v>0</v>
      </c>
      <c r="J41" s="31">
        <f>if(OR($E41=1, $E41=2),VLOOKUP($B41,Courts!$B$2:$J$50,7,false),0)</f>
        <v>0</v>
      </c>
      <c r="K41" s="33">
        <f t="shared" si="3"/>
        <v>0</v>
      </c>
      <c r="L41" s="31">
        <f>if(OR($E41=1, $E41=2),VLOOKUP($B41,Courts!$B$2:$J$50,9,false),0)</f>
        <v>0</v>
      </c>
      <c r="M41" s="28">
        <f t="shared" ref="M41:N41" si="40">C41+K41</f>
        <v>224</v>
      </c>
      <c r="N41" s="29">
        <f t="shared" si="40"/>
        <v>15</v>
      </c>
      <c r="O41" s="35" t="s">
        <v>46</v>
      </c>
      <c r="P41" s="35" t="s">
        <v>46</v>
      </c>
      <c r="Q41" s="35" t="s">
        <v>46</v>
      </c>
      <c r="R41" s="31">
        <f>if(G41=13,1,0)+VLOOKUP(B41,'062224'!B:T,17,false)</f>
        <v>0</v>
      </c>
      <c r="S41" s="31"/>
      <c r="T41" s="31">
        <f>if(G41=9,1,0)+VLOOKUP(B41,'062224'!B:T,19,false)</f>
        <v>7</v>
      </c>
    </row>
    <row r="42">
      <c r="A42" s="26">
        <f t="shared" si="5"/>
        <v>38</v>
      </c>
      <c r="B42" s="27" t="s">
        <v>79</v>
      </c>
      <c r="C42" s="28">
        <v>224.0</v>
      </c>
      <c r="D42" s="29">
        <v>13.0</v>
      </c>
      <c r="E42" s="30">
        <f>if(isna(VLOOKUP(B42,Checkin!A:B,2,false)),0,VLOOKUP(B42,Checkin!A:B,2,false))</f>
        <v>0</v>
      </c>
      <c r="F42" s="31">
        <f>if(OR($E42=1, $E42=2),VLOOKUP($B42,Courts!$B$2:$K$50,10,false),0)</f>
        <v>0</v>
      </c>
      <c r="G42" s="28">
        <f t="shared" si="2"/>
        <v>0</v>
      </c>
      <c r="H42" s="31">
        <f>if(OR($E42=1, $E42=2),VLOOKUP($B42,Courts!$B$2:$J$50,5,false),0)</f>
        <v>0</v>
      </c>
      <c r="I42" s="31">
        <f>if(OR($E42=1, $E42=2),VLOOKUP($B42,Courts!$B$2:$J$50,6,false),0)</f>
        <v>0</v>
      </c>
      <c r="J42" s="31">
        <f>if(OR($E42=1, $E42=2),VLOOKUP($B42,Courts!$B$2:$J$50,7,false),0)</f>
        <v>0</v>
      </c>
      <c r="K42" s="33">
        <f t="shared" si="3"/>
        <v>0</v>
      </c>
      <c r="L42" s="31">
        <f>if(OR($E42=1, $E42=2),VLOOKUP($B42,Courts!$B$2:$J$50,9,false),0)</f>
        <v>0</v>
      </c>
      <c r="M42" s="28">
        <f t="shared" ref="M42:N42" si="41">C42+K42</f>
        <v>224</v>
      </c>
      <c r="N42" s="29">
        <f t="shared" si="41"/>
        <v>13</v>
      </c>
      <c r="O42" s="35" t="s">
        <v>46</v>
      </c>
      <c r="P42" s="35" t="s">
        <v>46</v>
      </c>
      <c r="Q42" s="35" t="s">
        <v>46</v>
      </c>
      <c r="R42" s="31">
        <f>if(G42=13,1,0)+VLOOKUP(B42,'062224'!B:T,17,false)</f>
        <v>0</v>
      </c>
      <c r="S42" s="31"/>
      <c r="T42" s="31">
        <f>if(G42=9,1,0)+VLOOKUP(B42,'062224'!B:T,19,false)</f>
        <v>12</v>
      </c>
    </row>
    <row r="43">
      <c r="A43" s="26">
        <f t="shared" si="5"/>
        <v>39</v>
      </c>
      <c r="B43" s="39" t="s">
        <v>71</v>
      </c>
      <c r="C43" s="28">
        <v>224.0</v>
      </c>
      <c r="D43" s="29">
        <v>11.0</v>
      </c>
      <c r="E43" s="30">
        <f>if(isna(VLOOKUP(B43,Checkin!A:B,2,false)),0,VLOOKUP(B43,Checkin!A:B,2,false))</f>
        <v>0</v>
      </c>
      <c r="F43" s="31">
        <f>if(OR($E43=1, $E43=2),VLOOKUP($B43,Courts!$B$2:$K$50,10,false),0)</f>
        <v>0</v>
      </c>
      <c r="G43" s="28">
        <f t="shared" si="2"/>
        <v>0</v>
      </c>
      <c r="H43" s="31">
        <f>if(OR($E43=1, $E43=2),VLOOKUP($B43,Courts!$B$2:$J$50,5,false),0)</f>
        <v>0</v>
      </c>
      <c r="I43" s="31">
        <f>if(OR($E43=1, $E43=2),VLOOKUP($B43,Courts!$B$2:$J$50,6,false),0)</f>
        <v>0</v>
      </c>
      <c r="J43" s="31">
        <f>if(OR($E43=1, $E43=2),VLOOKUP($B43,Courts!$B$2:$J$50,7,false),0)</f>
        <v>0</v>
      </c>
      <c r="K43" s="33">
        <f t="shared" si="3"/>
        <v>0</v>
      </c>
      <c r="L43" s="31">
        <f>if(OR($E43=1, $E43=2),VLOOKUP($B43,Courts!$B$2:$J$50,9,false),0)</f>
        <v>0</v>
      </c>
      <c r="M43" s="28">
        <f t="shared" ref="M43:N43" si="42">C43+K43</f>
        <v>224</v>
      </c>
      <c r="N43" s="29">
        <f t="shared" si="42"/>
        <v>11</v>
      </c>
      <c r="O43" s="35" t="s">
        <v>46</v>
      </c>
      <c r="P43" s="35" t="s">
        <v>46</v>
      </c>
      <c r="Q43" s="35" t="s">
        <v>104</v>
      </c>
      <c r="R43" s="31">
        <f>if(G43=13,1,0)+VLOOKUP(B43,'062224'!B:T,17,false)</f>
        <v>0</v>
      </c>
      <c r="S43" s="31"/>
      <c r="T43" s="31">
        <f>if(G43=9,1,0)+VLOOKUP(B43,'062224'!B:T,19,false)</f>
        <v>15</v>
      </c>
    </row>
    <row r="44">
      <c r="A44" s="26">
        <f t="shared" si="5"/>
        <v>40</v>
      </c>
      <c r="B44" s="27" t="s">
        <v>110</v>
      </c>
      <c r="C44" s="28">
        <v>222.0</v>
      </c>
      <c r="D44" s="29">
        <v>10.0</v>
      </c>
      <c r="E44" s="30">
        <f>if(isna(VLOOKUP(B44,Checkin!A:B,2,false)),0,VLOOKUP(B44,Checkin!A:B,2,false))</f>
        <v>0</v>
      </c>
      <c r="F44" s="31">
        <f>if(OR($E44=1, $E44=2),VLOOKUP($B44,Courts!$B$2:$K$50,10,false),0)</f>
        <v>0</v>
      </c>
      <c r="G44" s="28">
        <f t="shared" si="2"/>
        <v>0</v>
      </c>
      <c r="H44" s="31">
        <f>if(OR($E44=1, $E44=2),VLOOKUP($B44,Courts!$B$2:$J$50,5,false),0)</f>
        <v>0</v>
      </c>
      <c r="I44" s="31">
        <f>if(OR($E44=1, $E44=2),VLOOKUP($B44,Courts!$B$2:$J$50,6,false),0)</f>
        <v>0</v>
      </c>
      <c r="J44" s="31">
        <f>if(OR($E44=1, $E44=2),VLOOKUP($B44,Courts!$B$2:$J$50,7,false),0)</f>
        <v>0</v>
      </c>
      <c r="K44" s="33">
        <f t="shared" si="3"/>
        <v>0</v>
      </c>
      <c r="L44" s="31">
        <f>if(OR($E44=1, $E44=2),VLOOKUP($B44,Courts!$B$2:$J$50,9,false),0)</f>
        <v>0</v>
      </c>
      <c r="M44" s="28">
        <f t="shared" ref="M44:N44" si="43">C44+K44</f>
        <v>222</v>
      </c>
      <c r="N44" s="29">
        <f t="shared" si="43"/>
        <v>10</v>
      </c>
      <c r="O44" s="35" t="s">
        <v>46</v>
      </c>
      <c r="P44" s="35" t="s">
        <v>46</v>
      </c>
      <c r="Q44" s="35" t="s">
        <v>46</v>
      </c>
      <c r="R44" s="31">
        <f>if(G44=13,1,0)+VLOOKUP(B44,'062224'!B:T,17,false)</f>
        <v>1</v>
      </c>
      <c r="S44" s="31"/>
      <c r="T44" s="31">
        <f>if(G44=9,1,0)+VLOOKUP(B44,'062224'!B:T,19,false)</f>
        <v>14</v>
      </c>
    </row>
    <row r="45">
      <c r="A45" s="26">
        <f t="shared" si="5"/>
        <v>41</v>
      </c>
      <c r="B45" s="27" t="s">
        <v>109</v>
      </c>
      <c r="C45" s="28">
        <v>222.0</v>
      </c>
      <c r="D45" s="29">
        <v>6.0</v>
      </c>
      <c r="E45" s="30">
        <f>if(isna(VLOOKUP(B45,Checkin!A:B,2,false)),0,VLOOKUP(B45,Checkin!A:B,2,false))</f>
        <v>0</v>
      </c>
      <c r="F45" s="31">
        <f>if(OR($E45=1, $E45=2),VLOOKUP($B45,Courts!$B$2:$K$50,10,false),0)</f>
        <v>0</v>
      </c>
      <c r="G45" s="28">
        <f t="shared" si="2"/>
        <v>0</v>
      </c>
      <c r="H45" s="31">
        <f>if(OR($E45=1, $E45=2),VLOOKUP($B45,Courts!$B$2:$J$50,5,false),0)</f>
        <v>0</v>
      </c>
      <c r="I45" s="31">
        <f>if(OR($E45=1, $E45=2),VLOOKUP($B45,Courts!$B$2:$J$50,6,false),0)</f>
        <v>0</v>
      </c>
      <c r="J45" s="31">
        <f>if(OR($E45=1, $E45=2),VLOOKUP($B45,Courts!$B$2:$J$50,7,false),0)</f>
        <v>0</v>
      </c>
      <c r="K45" s="33">
        <f t="shared" si="3"/>
        <v>0</v>
      </c>
      <c r="L45" s="31">
        <f>if(OR($E45=1, $E45=2),VLOOKUP($B45,Courts!$B$2:$J$50,9,false),0)</f>
        <v>0</v>
      </c>
      <c r="M45" s="28">
        <f t="shared" ref="M45:N45" si="44">C45+K45</f>
        <v>222</v>
      </c>
      <c r="N45" s="29">
        <f t="shared" si="44"/>
        <v>6</v>
      </c>
      <c r="O45" s="35" t="s">
        <v>46</v>
      </c>
      <c r="P45" s="35" t="s">
        <v>46</v>
      </c>
      <c r="Q45" s="35" t="s">
        <v>46</v>
      </c>
      <c r="R45" s="31">
        <f>if(G45=13,1,0)+VLOOKUP(B45,'062224'!B:T,17,false)</f>
        <v>2</v>
      </c>
      <c r="S45" s="31"/>
      <c r="T45" s="31">
        <f>if(G45=9,1,0)+VLOOKUP(B45,'062224'!B:T,19,false)</f>
        <v>13</v>
      </c>
    </row>
    <row r="46">
      <c r="A46" s="26">
        <f t="shared" si="5"/>
        <v>42</v>
      </c>
      <c r="B46" s="39" t="s">
        <v>111</v>
      </c>
      <c r="C46" s="28">
        <v>220.0</v>
      </c>
      <c r="D46" s="29">
        <v>10.0</v>
      </c>
      <c r="E46" s="30">
        <f>if(isna(VLOOKUP(B46,Checkin!A:B,2,false)),0,VLOOKUP(B46,Checkin!A:B,2,false))</f>
        <v>0</v>
      </c>
      <c r="F46" s="31">
        <f>if(OR($E46=1, $E46=2),VLOOKUP($B46,Courts!$B$2:$K$50,10,false),0)</f>
        <v>0</v>
      </c>
      <c r="G46" s="28">
        <f t="shared" si="2"/>
        <v>0</v>
      </c>
      <c r="H46" s="31">
        <f>if(OR($E46=1, $E46=2),VLOOKUP($B46,Courts!$B$2:$J$50,5,false),0)</f>
        <v>0</v>
      </c>
      <c r="I46" s="31">
        <f>if(OR($E46=1, $E46=2),VLOOKUP($B46,Courts!$B$2:$J$50,6,false),0)</f>
        <v>0</v>
      </c>
      <c r="J46" s="31">
        <f>if(OR($E46=1, $E46=2),VLOOKUP($B46,Courts!$B$2:$J$50,7,false),0)</f>
        <v>0</v>
      </c>
      <c r="K46" s="33">
        <f t="shared" si="3"/>
        <v>0</v>
      </c>
      <c r="L46" s="31">
        <f>if(OR($E46=1, $E46=2),VLOOKUP($B46,Courts!$B$2:$J$50,9,false),0)</f>
        <v>0</v>
      </c>
      <c r="M46" s="28">
        <f t="shared" ref="M46:N46" si="45">C46+K46</f>
        <v>220</v>
      </c>
      <c r="N46" s="29">
        <f t="shared" si="45"/>
        <v>10</v>
      </c>
      <c r="O46" s="35" t="s">
        <v>46</v>
      </c>
      <c r="P46" s="35" t="s">
        <v>46</v>
      </c>
      <c r="Q46" s="35" t="s">
        <v>104</v>
      </c>
      <c r="R46" s="31">
        <f>if(G46=13,1,0)+VLOOKUP(B46,'062224'!B:T,17,false)</f>
        <v>0</v>
      </c>
      <c r="S46" s="31"/>
      <c r="T46" s="31">
        <f>if(G46=9,1,0)+VLOOKUP(B46,'062224'!B:T,19,false)</f>
        <v>16</v>
      </c>
    </row>
    <row r="47">
      <c r="A47" s="26">
        <f t="shared" si="5"/>
        <v>43</v>
      </c>
      <c r="B47" s="27" t="s">
        <v>112</v>
      </c>
      <c r="C47" s="28">
        <v>220.0</v>
      </c>
      <c r="D47" s="29">
        <v>9.0</v>
      </c>
      <c r="E47" s="30">
        <f>if(isna(VLOOKUP(B47,Checkin!A:B,2,false)),0,VLOOKUP(B47,Checkin!A:B,2,false))</f>
        <v>0</v>
      </c>
      <c r="F47" s="31">
        <f>if(OR($E47=1, $E47=2),VLOOKUP($B47,Courts!$B$2:$K$50,10,false),0)</f>
        <v>0</v>
      </c>
      <c r="G47" s="28">
        <f t="shared" si="2"/>
        <v>0</v>
      </c>
      <c r="H47" s="31">
        <f>if(OR($E47=1, $E47=2),VLOOKUP($B47,Courts!$B$2:$J$50,5,false),0)</f>
        <v>0</v>
      </c>
      <c r="I47" s="31">
        <f>if(OR($E47=1, $E47=2),VLOOKUP($B47,Courts!$B$2:$J$50,6,false),0)</f>
        <v>0</v>
      </c>
      <c r="J47" s="31">
        <f>if(OR($E47=1, $E47=2),VLOOKUP($B47,Courts!$B$2:$J$50,7,false),0)</f>
        <v>0</v>
      </c>
      <c r="K47" s="33">
        <f t="shared" si="3"/>
        <v>0</v>
      </c>
      <c r="L47" s="31">
        <f>if(OR($E47=1, $E47=2),VLOOKUP($B47,Courts!$B$2:$J$50,9,false),0)</f>
        <v>0</v>
      </c>
      <c r="M47" s="28">
        <f t="shared" ref="M47:N47" si="46">C47+K47</f>
        <v>220</v>
      </c>
      <c r="N47" s="29">
        <f t="shared" si="46"/>
        <v>9</v>
      </c>
      <c r="O47" s="35" t="s">
        <v>46</v>
      </c>
      <c r="P47" s="35" t="s">
        <v>46</v>
      </c>
      <c r="Q47" s="35" t="s">
        <v>104</v>
      </c>
      <c r="R47" s="31">
        <f>if(G47=13,1,0)+VLOOKUP(B47,'062224'!B:T,17,false)</f>
        <v>0</v>
      </c>
      <c r="S47" s="31"/>
      <c r="T47" s="31">
        <f>if(G47=9,1,0)+VLOOKUP(B47,'062224'!B:T,19,false)</f>
        <v>16</v>
      </c>
    </row>
    <row r="48">
      <c r="A48" s="26">
        <f t="shared" si="5"/>
        <v>44</v>
      </c>
      <c r="B48" s="27" t="s">
        <v>98</v>
      </c>
      <c r="C48" s="28">
        <v>219.0</v>
      </c>
      <c r="D48" s="29">
        <v>8.0</v>
      </c>
      <c r="E48" s="30">
        <f>if(isna(VLOOKUP(B48,Checkin!A:B,2,false)),0,VLOOKUP(B48,Checkin!A:B,2,false))</f>
        <v>0</v>
      </c>
      <c r="F48" s="31">
        <f>if(OR($E48=1, $E48=2),VLOOKUP($B48,Courts!$B$2:$K$50,10,false),0)</f>
        <v>0</v>
      </c>
      <c r="G48" s="28">
        <f t="shared" si="2"/>
        <v>0</v>
      </c>
      <c r="H48" s="31">
        <f>if(OR($E48=1, $E48=2),VLOOKUP($B48,Courts!$B$2:$J$50,5,false),0)</f>
        <v>0</v>
      </c>
      <c r="I48" s="31">
        <f>if(OR($E48=1, $E48=2),VLOOKUP($B48,Courts!$B$2:$J$50,6,false),0)</f>
        <v>0</v>
      </c>
      <c r="J48" s="31">
        <f>if(OR($E48=1, $E48=2),VLOOKUP($B48,Courts!$B$2:$J$50,7,false),0)</f>
        <v>0</v>
      </c>
      <c r="K48" s="33">
        <f t="shared" si="3"/>
        <v>0</v>
      </c>
      <c r="L48" s="31">
        <f>if(OR($E48=1, $E48=2),VLOOKUP($B48,Courts!$B$2:$J$50,9,false),0)</f>
        <v>0</v>
      </c>
      <c r="M48" s="28">
        <f t="shared" ref="M48:N48" si="47">C48+K48</f>
        <v>219</v>
      </c>
      <c r="N48" s="29">
        <f t="shared" si="47"/>
        <v>8</v>
      </c>
      <c r="O48" s="35" t="s">
        <v>46</v>
      </c>
      <c r="P48" s="35" t="s">
        <v>46</v>
      </c>
      <c r="Q48" s="35" t="s">
        <v>46</v>
      </c>
      <c r="R48" s="31">
        <f>if(G48=13,1,0)+VLOOKUP(B48,'062224'!B:T,17,false)</f>
        <v>1</v>
      </c>
      <c r="S48" s="31"/>
      <c r="T48" s="31">
        <f>if(G48=9,1,0)+VLOOKUP(B48,'062224'!B:T,19,false)</f>
        <v>16</v>
      </c>
    </row>
    <row r="49">
      <c r="A49" s="26">
        <f t="shared" si="5"/>
        <v>45</v>
      </c>
      <c r="B49" s="54" t="s">
        <v>47</v>
      </c>
      <c r="C49" s="28">
        <v>217.0</v>
      </c>
      <c r="D49" s="29">
        <v>15.0</v>
      </c>
      <c r="E49" s="30">
        <f>if(isna(VLOOKUP(B49,Checkin!A:B,2,false)),0,VLOOKUP(B49,Checkin!A:B,2,false))</f>
        <v>0</v>
      </c>
      <c r="F49" s="31">
        <f>if(OR($E49=1, $E49=2),VLOOKUP($B49,Courts!$B$2:$K$50,10,false),0)</f>
        <v>0</v>
      </c>
      <c r="G49" s="28">
        <f t="shared" si="2"/>
        <v>0</v>
      </c>
      <c r="H49" s="31">
        <f>if(OR($E49=1, $E49=2),VLOOKUP($B49,Courts!$B$2:$J$50,5,false),0)</f>
        <v>0</v>
      </c>
      <c r="I49" s="31">
        <f>if(OR($E49=1, $E49=2),VLOOKUP($B49,Courts!$B$2:$J$50,6,false),0)</f>
        <v>0</v>
      </c>
      <c r="J49" s="31">
        <f>if(OR($E49=1, $E49=2),VLOOKUP($B49,Courts!$B$2:$J$50,7,false),0)</f>
        <v>0</v>
      </c>
      <c r="K49" s="33">
        <f t="shared" si="3"/>
        <v>0</v>
      </c>
      <c r="L49" s="31">
        <f>if(OR($E49=1, $E49=2),VLOOKUP($B49,Courts!$B$2:$J$50,9,false),0)</f>
        <v>0</v>
      </c>
      <c r="M49" s="28">
        <f t="shared" ref="M49:N49" si="48">C49+K49</f>
        <v>217</v>
      </c>
      <c r="N49" s="29">
        <f t="shared" si="48"/>
        <v>15</v>
      </c>
      <c r="O49" s="35" t="s">
        <v>46</v>
      </c>
      <c r="P49" s="35" t="s">
        <v>46</v>
      </c>
      <c r="Q49" s="35" t="s">
        <v>46</v>
      </c>
      <c r="R49" s="31">
        <f>if(G49=13,1,0)+VLOOKUP(B49,'062224'!B:T,17,false)</f>
        <v>0</v>
      </c>
      <c r="S49" s="31"/>
      <c r="T49" s="31">
        <f>if(G49=9,1,0)+VLOOKUP(B49,'062224'!B:T,19,false)</f>
        <v>4</v>
      </c>
    </row>
    <row r="50">
      <c r="A50" s="26">
        <f t="shared" si="5"/>
        <v>46</v>
      </c>
      <c r="B50" s="27" t="s">
        <v>66</v>
      </c>
      <c r="C50" s="28">
        <v>217.0</v>
      </c>
      <c r="D50" s="29">
        <v>11.0</v>
      </c>
      <c r="E50" s="30">
        <f>if(isna(VLOOKUP(B50,Checkin!A:B,2,false)),0,VLOOKUP(B50,Checkin!A:B,2,false))</f>
        <v>0</v>
      </c>
      <c r="F50" s="31">
        <f>if(OR($E50=1, $E50=2),VLOOKUP($B50,Courts!$B$2:$K$50,10,false),0)</f>
        <v>0</v>
      </c>
      <c r="G50" s="28">
        <f t="shared" si="2"/>
        <v>0</v>
      </c>
      <c r="H50" s="31">
        <f>if(OR($E50=1, $E50=2),VLOOKUP($B50,Courts!$B$2:$J$50,5,false),0)</f>
        <v>0</v>
      </c>
      <c r="I50" s="31">
        <f>if(OR($E50=1, $E50=2),VLOOKUP($B50,Courts!$B$2:$J$50,6,false),0)</f>
        <v>0</v>
      </c>
      <c r="J50" s="31">
        <f>if(OR($E50=1, $E50=2),VLOOKUP($B50,Courts!$B$2:$J$50,7,false),0)</f>
        <v>0</v>
      </c>
      <c r="K50" s="33">
        <f t="shared" si="3"/>
        <v>0</v>
      </c>
      <c r="L50" s="31">
        <f>if(OR($E50=1, $E50=2),VLOOKUP($B50,Courts!$B$2:$J$50,9,false),0)</f>
        <v>0</v>
      </c>
      <c r="M50" s="28">
        <f t="shared" ref="M50:N50" si="49">C50+K50</f>
        <v>217</v>
      </c>
      <c r="N50" s="29">
        <f t="shared" si="49"/>
        <v>11</v>
      </c>
      <c r="O50" s="35" t="s">
        <v>46</v>
      </c>
      <c r="P50" s="35" t="s">
        <v>46</v>
      </c>
      <c r="Q50" s="35" t="s">
        <v>46</v>
      </c>
      <c r="R50" s="31">
        <f>if(G50=13,1,0)+VLOOKUP(B50,'062224'!B:T,17,false)</f>
        <v>1</v>
      </c>
      <c r="S50" s="31"/>
      <c r="T50" s="31">
        <f>if(G50=9,1,0)+VLOOKUP(B50,'062224'!B:T,19,false)</f>
        <v>8</v>
      </c>
    </row>
    <row r="51">
      <c r="A51" s="26">
        <f t="shared" si="5"/>
        <v>47</v>
      </c>
      <c r="B51" s="55" t="s">
        <v>39</v>
      </c>
      <c r="C51" s="28">
        <v>214.0</v>
      </c>
      <c r="D51" s="29">
        <v>7.0</v>
      </c>
      <c r="E51" s="30">
        <f>if(isna(VLOOKUP(B51,Checkin!A:B,2,false)),0,VLOOKUP(B51,Checkin!A:B,2,false))</f>
        <v>0</v>
      </c>
      <c r="F51" s="31">
        <f>if(OR($E51=1, $E51=2),VLOOKUP($B51,Courts!$B$2:$K$50,10,false),0)</f>
        <v>0</v>
      </c>
      <c r="G51" s="28">
        <f t="shared" si="2"/>
        <v>0</v>
      </c>
      <c r="H51" s="31">
        <f>if(OR($E51=1, $E51=2),VLOOKUP($B51,Courts!$B$2:$J$50,5,false),0)</f>
        <v>0</v>
      </c>
      <c r="I51" s="31">
        <f>if(OR($E51=1, $E51=2),VLOOKUP($B51,Courts!$B$2:$J$50,6,false),0)</f>
        <v>0</v>
      </c>
      <c r="J51" s="31">
        <f>if(OR($E51=1, $E51=2),VLOOKUP($B51,Courts!$B$2:$J$50,7,false),0)</f>
        <v>0</v>
      </c>
      <c r="K51" s="33">
        <f t="shared" si="3"/>
        <v>0</v>
      </c>
      <c r="L51" s="31">
        <f>if(OR($E51=1, $E51=2),VLOOKUP($B51,Courts!$B$2:$J$50,9,false),0)</f>
        <v>0</v>
      </c>
      <c r="M51" s="28">
        <f t="shared" ref="M51:N51" si="50">C51+K51</f>
        <v>214</v>
      </c>
      <c r="N51" s="29">
        <f t="shared" si="50"/>
        <v>7</v>
      </c>
      <c r="O51" s="35" t="s">
        <v>46</v>
      </c>
      <c r="P51" s="35" t="s">
        <v>46</v>
      </c>
      <c r="Q51" s="35" t="s">
        <v>46</v>
      </c>
      <c r="R51" s="31">
        <f>if(G51=13,1,0)+VLOOKUP(B51,'062224'!B:T,17,false)</f>
        <v>0</v>
      </c>
      <c r="S51" s="31"/>
      <c r="T51" s="31">
        <f>if(G51=9,1,0)+VLOOKUP(B51,'062224'!B:T,19,false)</f>
        <v>18</v>
      </c>
    </row>
    <row r="52">
      <c r="A52" s="26">
        <f t="shared" si="5"/>
        <v>48</v>
      </c>
      <c r="B52" s="27" t="s">
        <v>113</v>
      </c>
      <c r="C52" s="28">
        <v>212.0</v>
      </c>
      <c r="D52" s="29">
        <v>5.0</v>
      </c>
      <c r="E52" s="30">
        <f>if(isna(VLOOKUP(B52,Checkin!A:B,2,false)),0,VLOOKUP(B52,Checkin!A:B,2,false))</f>
        <v>0</v>
      </c>
      <c r="F52" s="31">
        <f>if(OR($E52=1, $E52=2),VLOOKUP($B52,Courts!$B$2:$K$50,10,false),0)</f>
        <v>0</v>
      </c>
      <c r="G52" s="28">
        <f t="shared" si="2"/>
        <v>0</v>
      </c>
      <c r="H52" s="31">
        <f>if(OR($E52=1, $E52=2),VLOOKUP($B52,Courts!$B$2:$J$50,5,false),0)</f>
        <v>0</v>
      </c>
      <c r="I52" s="31">
        <f>if(OR($E52=1, $E52=2),VLOOKUP($B52,Courts!$B$2:$J$50,6,false),0)</f>
        <v>0</v>
      </c>
      <c r="J52" s="31">
        <f>if(OR($E52=1, $E52=2),VLOOKUP($B52,Courts!$B$2:$J$50,7,false),0)</f>
        <v>0</v>
      </c>
      <c r="K52" s="33">
        <f t="shared" si="3"/>
        <v>0</v>
      </c>
      <c r="L52" s="31">
        <f>if(OR($E52=1, $E52=2),VLOOKUP($B52,Courts!$B$2:$J$50,9,false),0)</f>
        <v>0</v>
      </c>
      <c r="M52" s="28">
        <f t="shared" ref="M52:N52" si="51">C52+K52</f>
        <v>212</v>
      </c>
      <c r="N52" s="29">
        <f t="shared" si="51"/>
        <v>5</v>
      </c>
      <c r="O52" s="35" t="s">
        <v>46</v>
      </c>
      <c r="P52" s="35" t="s">
        <v>46</v>
      </c>
      <c r="Q52" s="35" t="s">
        <v>104</v>
      </c>
      <c r="R52" s="31">
        <f>if(G52=13,1,0)+VLOOKUP(B52,'062224'!B:T,17,false)</f>
        <v>1</v>
      </c>
      <c r="S52" s="31"/>
      <c r="T52" s="31">
        <f>if(G52=9,1,0)+VLOOKUP(B52,'062224'!B:T,19,false)</f>
        <v>18</v>
      </c>
    </row>
    <row r="53">
      <c r="A53" s="26">
        <f t="shared" si="5"/>
        <v>49</v>
      </c>
      <c r="B53" s="27" t="s">
        <v>114</v>
      </c>
      <c r="C53" s="28">
        <v>211.0</v>
      </c>
      <c r="D53" s="29">
        <v>4.0</v>
      </c>
      <c r="E53" s="30">
        <f>if(isna(VLOOKUP(B53,Checkin!A:B,2,false)),0,VLOOKUP(B53,Checkin!A:B,2,false))</f>
        <v>0</v>
      </c>
      <c r="F53" s="31">
        <f>if(OR($E53=1, $E53=2),VLOOKUP($B53,Courts!$B$2:$K$50,10,false),0)</f>
        <v>0</v>
      </c>
      <c r="G53" s="28">
        <f t="shared" si="2"/>
        <v>0</v>
      </c>
      <c r="H53" s="31">
        <f>if(OR($E53=1, $E53=2),VLOOKUP($B53,Courts!$B$2:$J$50,5,false),0)</f>
        <v>0</v>
      </c>
      <c r="I53" s="31">
        <f>if(OR($E53=1, $E53=2),VLOOKUP($B53,Courts!$B$2:$J$50,6,false),0)</f>
        <v>0</v>
      </c>
      <c r="J53" s="31">
        <f>if(OR($E53=1, $E53=2),VLOOKUP($B53,Courts!$B$2:$J$50,7,false),0)</f>
        <v>0</v>
      </c>
      <c r="K53" s="33">
        <f t="shared" si="3"/>
        <v>0</v>
      </c>
      <c r="L53" s="31">
        <f>if(OR($E53=1, $E53=2),VLOOKUP($B53,Courts!$B$2:$J$50,9,false),0)</f>
        <v>0</v>
      </c>
      <c r="M53" s="28">
        <f t="shared" ref="M53:N53" si="52">C53+K53</f>
        <v>211</v>
      </c>
      <c r="N53" s="29">
        <f t="shared" si="52"/>
        <v>4</v>
      </c>
      <c r="O53" s="35" t="s">
        <v>46</v>
      </c>
      <c r="P53" s="35" t="s">
        <v>46</v>
      </c>
      <c r="Q53" s="35" t="s">
        <v>46</v>
      </c>
      <c r="R53" s="31">
        <f>if(G53=13,1,0)+VLOOKUP(B53,'062224'!B:T,17,false)</f>
        <v>1</v>
      </c>
      <c r="S53" s="31"/>
      <c r="T53" s="31">
        <f>if(G53=9,1,0)+VLOOKUP(B53,'062224'!B:T,19,false)</f>
        <v>18</v>
      </c>
    </row>
    <row r="54">
      <c r="A54" s="26">
        <f t="shared" si="5"/>
        <v>50</v>
      </c>
      <c r="B54" s="27" t="s">
        <v>115</v>
      </c>
      <c r="C54" s="28">
        <v>210.0</v>
      </c>
      <c r="D54" s="29">
        <v>7.0</v>
      </c>
      <c r="E54" s="30">
        <f>if(isna(VLOOKUP(B54,Checkin!A:B,2,false)),0,VLOOKUP(B54,Checkin!A:B,2,false))</f>
        <v>0</v>
      </c>
      <c r="F54" s="31">
        <f>if(OR($E54=1, $E54=2),VLOOKUP($B54,Courts!$B$2:$K$50,10,false),0)</f>
        <v>0</v>
      </c>
      <c r="G54" s="28">
        <f t="shared" si="2"/>
        <v>0</v>
      </c>
      <c r="H54" s="31">
        <f>if(OR($E54=1, $E54=2),VLOOKUP($B54,Courts!$B$2:$J$50,5,false),0)</f>
        <v>0</v>
      </c>
      <c r="I54" s="31">
        <f>if(OR($E54=1, $E54=2),VLOOKUP($B54,Courts!$B$2:$J$50,6,false),0)</f>
        <v>0</v>
      </c>
      <c r="J54" s="31">
        <f>if(OR($E54=1, $E54=2),VLOOKUP($B54,Courts!$B$2:$J$50,7,false),0)</f>
        <v>0</v>
      </c>
      <c r="K54" s="33">
        <f t="shared" si="3"/>
        <v>0</v>
      </c>
      <c r="L54" s="31">
        <f>if(OR($E54=1, $E54=2),VLOOKUP($B54,Courts!$B$2:$J$50,9,false),0)</f>
        <v>0</v>
      </c>
      <c r="M54" s="28">
        <f t="shared" ref="M54:N54" si="53">C54+K54</f>
        <v>210</v>
      </c>
      <c r="N54" s="29">
        <f t="shared" si="53"/>
        <v>7</v>
      </c>
      <c r="O54" s="35" t="s">
        <v>46</v>
      </c>
      <c r="P54" s="35" t="s">
        <v>46</v>
      </c>
      <c r="Q54" s="35" t="s">
        <v>46</v>
      </c>
      <c r="R54" s="31">
        <f>if(G54=13,1,0)+VLOOKUP(B54,'062224'!B:T,17,false)</f>
        <v>0</v>
      </c>
      <c r="S54" s="31"/>
      <c r="T54" s="31">
        <f>if(G54=9,1,0)+VLOOKUP(B54,'062224'!B:T,19,false)</f>
        <v>17</v>
      </c>
    </row>
    <row r="55">
      <c r="A55" s="26">
        <f t="shared" si="5"/>
        <v>51</v>
      </c>
      <c r="B55" s="54" t="s">
        <v>116</v>
      </c>
      <c r="C55" s="28">
        <v>207.0</v>
      </c>
      <c r="D55" s="29">
        <v>5.0</v>
      </c>
      <c r="E55" s="30">
        <f>if(isna(VLOOKUP(B55,Checkin!A:B,2,false)),0,VLOOKUP(B55,Checkin!A:B,2,false))</f>
        <v>0</v>
      </c>
      <c r="F55" s="31">
        <f>if(OR($E55=1, $E55=2),VLOOKUP($B55,Courts!$B$2:$K$50,10,false),0)</f>
        <v>0</v>
      </c>
      <c r="G55" s="28">
        <f t="shared" si="2"/>
        <v>0</v>
      </c>
      <c r="H55" s="31">
        <f>if(OR($E55=1, $E55=2),VLOOKUP($B55,Courts!$B$2:$J$50,5,false),0)</f>
        <v>0</v>
      </c>
      <c r="I55" s="31">
        <f>if(OR($E55=1, $E55=2),VLOOKUP($B55,Courts!$B$2:$J$50,6,false),0)</f>
        <v>0</v>
      </c>
      <c r="J55" s="31">
        <f>if(OR($E55=1, $E55=2),VLOOKUP($B55,Courts!$B$2:$J$50,7,false),0)</f>
        <v>0</v>
      </c>
      <c r="K55" s="33">
        <f t="shared" si="3"/>
        <v>0</v>
      </c>
      <c r="L55" s="31">
        <f>if(OR($E55=1, $E55=2),VLOOKUP($B55,Courts!$B$2:$J$50,9,false),0)</f>
        <v>0</v>
      </c>
      <c r="M55" s="28">
        <f t="shared" ref="M55:N55" si="54">C55+K55</f>
        <v>207</v>
      </c>
      <c r="N55" s="29">
        <f t="shared" si="54"/>
        <v>5</v>
      </c>
      <c r="O55" s="35" t="s">
        <v>46</v>
      </c>
      <c r="P55" s="35" t="s">
        <v>46</v>
      </c>
      <c r="Q55" s="35" t="s">
        <v>104</v>
      </c>
      <c r="R55" s="31">
        <f>if(G55=13,1,0)+VLOOKUP(B55,'062224'!B:T,17,false)</f>
        <v>0</v>
      </c>
      <c r="S55" s="31"/>
      <c r="T55" s="31">
        <f>if(G55=9,1,0)+VLOOKUP(B55,'062224'!B:T,19,false)</f>
        <v>17</v>
      </c>
    </row>
    <row r="56">
      <c r="A56" s="26">
        <f t="shared" si="5"/>
        <v>52</v>
      </c>
      <c r="B56" s="27" t="s">
        <v>117</v>
      </c>
      <c r="C56" s="28">
        <v>207.0</v>
      </c>
      <c r="D56" s="29">
        <v>4.0</v>
      </c>
      <c r="E56" s="30">
        <f>if(isna(VLOOKUP(B56,Checkin!A:B,2,false)),0,VLOOKUP(B56,Checkin!A:B,2,false))</f>
        <v>0</v>
      </c>
      <c r="F56" s="31">
        <f>if(OR($E56=1, $E56=2),VLOOKUP($B56,Courts!$B$2:$K$50,10,false),0)</f>
        <v>0</v>
      </c>
      <c r="G56" s="28">
        <f t="shared" si="2"/>
        <v>0</v>
      </c>
      <c r="H56" s="31">
        <f>if(OR($E56=1, $E56=2),VLOOKUP($B56,Courts!$B$2:$J$50,5,false),0)</f>
        <v>0</v>
      </c>
      <c r="I56" s="31">
        <f>if(OR($E56=1, $E56=2),VLOOKUP($B56,Courts!$B$2:$J$50,6,false),0)</f>
        <v>0</v>
      </c>
      <c r="J56" s="31">
        <f>if(OR($E56=1, $E56=2),VLOOKUP($B56,Courts!$B$2:$J$50,7,false),0)</f>
        <v>0</v>
      </c>
      <c r="K56" s="33">
        <f t="shared" si="3"/>
        <v>0</v>
      </c>
      <c r="L56" s="31">
        <f>if(OR($E56=1, $E56=2),VLOOKUP($B56,Courts!$B$2:$J$50,9,false),0)</f>
        <v>0</v>
      </c>
      <c r="M56" s="28">
        <f t="shared" ref="M56:N56" si="55">C56+K56</f>
        <v>207</v>
      </c>
      <c r="N56" s="29">
        <f t="shared" si="55"/>
        <v>4</v>
      </c>
      <c r="O56" s="35" t="s">
        <v>46</v>
      </c>
      <c r="P56" s="35" t="s">
        <v>46</v>
      </c>
      <c r="Q56" s="35" t="s">
        <v>46</v>
      </c>
      <c r="R56" s="31">
        <f>if(G56=13,1,0)+VLOOKUP(B56,'062224'!B:T,17,false)</f>
        <v>2</v>
      </c>
      <c r="S56" s="31"/>
      <c r="T56" s="31">
        <f>if(G56=9,1,0)+VLOOKUP(B56,'062224'!B:T,19,false)</f>
        <v>17</v>
      </c>
    </row>
    <row r="57">
      <c r="A57" s="26">
        <f t="shared" si="5"/>
        <v>53</v>
      </c>
      <c r="B57" s="27" t="s">
        <v>118</v>
      </c>
      <c r="C57" s="28">
        <v>204.0</v>
      </c>
      <c r="D57" s="29">
        <v>2.0</v>
      </c>
      <c r="E57" s="30">
        <f>if(isna(VLOOKUP(B57,Checkin!A:B,2,false)),0,VLOOKUP(B57,Checkin!A:B,2,false))</f>
        <v>0</v>
      </c>
      <c r="F57" s="31">
        <f>if(OR($E57=1, $E57=2),VLOOKUP($B57,Courts!$B$2:$K$50,10,false),0)</f>
        <v>0</v>
      </c>
      <c r="G57" s="28">
        <f t="shared" si="2"/>
        <v>0</v>
      </c>
      <c r="H57" s="31">
        <f>if(OR($E57=1, $E57=2),VLOOKUP($B57,Courts!$B$2:$J$50,5,false),0)</f>
        <v>0</v>
      </c>
      <c r="I57" s="31">
        <f>if(OR($E57=1, $E57=2),VLOOKUP($B57,Courts!$B$2:$J$50,6,false),0)</f>
        <v>0</v>
      </c>
      <c r="J57" s="31">
        <f>if(OR($E57=1, $E57=2),VLOOKUP($B57,Courts!$B$2:$J$50,7,false),0)</f>
        <v>0</v>
      </c>
      <c r="K57" s="33">
        <f t="shared" si="3"/>
        <v>0</v>
      </c>
      <c r="L57" s="31">
        <f>if(OR($E57=1, $E57=2),VLOOKUP($B57,Courts!$B$2:$J$50,9,false),0)</f>
        <v>0</v>
      </c>
      <c r="M57" s="28">
        <f t="shared" ref="M57:N57" si="56">C57+K57</f>
        <v>204</v>
      </c>
      <c r="N57" s="29">
        <f t="shared" si="56"/>
        <v>2</v>
      </c>
      <c r="O57" s="35" t="s">
        <v>46</v>
      </c>
      <c r="P57" s="35" t="s">
        <v>46</v>
      </c>
      <c r="Q57" s="35" t="s">
        <v>104</v>
      </c>
      <c r="R57" s="31">
        <f>if(G57=13,1,0)+VLOOKUP(B57,'062224'!B:T,17,false)</f>
        <v>2</v>
      </c>
      <c r="S57" s="31"/>
      <c r="T57" s="31">
        <f>if(G57=9,1,0)+VLOOKUP(B57,'062224'!B:T,19,false)</f>
        <v>18</v>
      </c>
    </row>
    <row r="58">
      <c r="A58" s="26">
        <f t="shared" si="5"/>
        <v>54</v>
      </c>
      <c r="B58" s="54" t="s">
        <v>54</v>
      </c>
      <c r="C58" s="28">
        <v>200.0</v>
      </c>
      <c r="D58" s="29">
        <v>5.0</v>
      </c>
      <c r="E58" s="30">
        <f>if(isna(VLOOKUP(B58,Checkin!A:B,2,false)),0,VLOOKUP(B58,Checkin!A:B,2,false))</f>
        <v>0</v>
      </c>
      <c r="F58" s="31">
        <f>if(OR($E58=1, $E58=2),VLOOKUP($B58,Courts!$B$2:$K$50,10,false),0)</f>
        <v>0</v>
      </c>
      <c r="G58" s="28">
        <f t="shared" si="2"/>
        <v>0</v>
      </c>
      <c r="H58" s="31">
        <f>if(OR($E58=1, $E58=2),VLOOKUP($B58,Courts!$B$2:$J$50,5,false),0)</f>
        <v>0</v>
      </c>
      <c r="I58" s="31">
        <f>if(OR($E58=1, $E58=2),VLOOKUP($B58,Courts!$B$2:$J$50,6,false),0)</f>
        <v>0</v>
      </c>
      <c r="J58" s="31">
        <f>if(OR($E58=1, $E58=2),VLOOKUP($B58,Courts!$B$2:$J$50,7,false),0)</f>
        <v>0</v>
      </c>
      <c r="K58" s="33">
        <f t="shared" si="3"/>
        <v>0</v>
      </c>
      <c r="L58" s="31">
        <f>if(OR($E58=1, $E58=2),VLOOKUP($B58,Courts!$B$2:$J$50,9,false),0)</f>
        <v>0</v>
      </c>
      <c r="M58" s="28">
        <f t="shared" ref="M58:N58" si="57">C58+K58</f>
        <v>200</v>
      </c>
      <c r="N58" s="29">
        <f t="shared" si="57"/>
        <v>5</v>
      </c>
      <c r="O58" s="35" t="s">
        <v>46</v>
      </c>
      <c r="P58" s="35" t="s">
        <v>46</v>
      </c>
      <c r="Q58" s="35" t="s">
        <v>104</v>
      </c>
      <c r="R58" s="31">
        <f>if(G58=13,1,0)+VLOOKUP(B58,'062224'!B:T,17,false)</f>
        <v>1</v>
      </c>
      <c r="S58" s="31"/>
      <c r="T58" s="31">
        <f>if(G58=9,1,0)+VLOOKUP(B58,'062224'!B:T,19,false)</f>
        <v>15</v>
      </c>
    </row>
    <row r="59">
      <c r="A59" s="26">
        <f t="shared" si="5"/>
        <v>55</v>
      </c>
      <c r="B59" s="39" t="s">
        <v>119</v>
      </c>
      <c r="C59" s="28">
        <v>199.0</v>
      </c>
      <c r="D59" s="29">
        <v>4.0</v>
      </c>
      <c r="E59" s="30">
        <f>if(isna(VLOOKUP(B59,Checkin!A:B,2,false)),0,VLOOKUP(B59,Checkin!A:B,2,false))</f>
        <v>0</v>
      </c>
      <c r="F59" s="31">
        <f>if(OR($E59=1, $E59=2),VLOOKUP($B59,Courts!$B$2:$K$50,10,false),0)</f>
        <v>0</v>
      </c>
      <c r="G59" s="28">
        <f t="shared" si="2"/>
        <v>0</v>
      </c>
      <c r="H59" s="31">
        <f>if(OR($E59=1, $E59=2),VLOOKUP($B59,Courts!$B$2:$J$50,5,false),0)</f>
        <v>0</v>
      </c>
      <c r="I59" s="31">
        <f>if(OR($E59=1, $E59=2),VLOOKUP($B59,Courts!$B$2:$J$50,6,false),0)</f>
        <v>0</v>
      </c>
      <c r="J59" s="31">
        <f>if(OR($E59=1, $E59=2),VLOOKUP($B59,Courts!$B$2:$J$50,7,false),0)</f>
        <v>0</v>
      </c>
      <c r="K59" s="33">
        <f t="shared" si="3"/>
        <v>0</v>
      </c>
      <c r="L59" s="31">
        <f>if(OR($E59=1, $E59=2),VLOOKUP($B59,Courts!$B$2:$J$50,9,false),0)</f>
        <v>0</v>
      </c>
      <c r="M59" s="28">
        <f t="shared" ref="M59:N59" si="58">C59+K59</f>
        <v>199</v>
      </c>
      <c r="N59" s="29">
        <f t="shared" si="58"/>
        <v>4</v>
      </c>
      <c r="O59" s="35" t="s">
        <v>46</v>
      </c>
      <c r="P59" s="35" t="s">
        <v>46</v>
      </c>
      <c r="Q59" s="35" t="s">
        <v>46</v>
      </c>
      <c r="R59" s="31">
        <f>if(G59=13,1,0)+VLOOKUP(B59,'062224'!B:T,17,false)</f>
        <v>0</v>
      </c>
      <c r="S59" s="31"/>
      <c r="T59" s="31">
        <f>if(G59=9,1,0)+VLOOKUP(B59,'062224'!B:T,19,false)</f>
        <v>19</v>
      </c>
    </row>
    <row r="60">
      <c r="A60" s="26">
        <f t="shared" si="5"/>
        <v>56</v>
      </c>
      <c r="B60" s="27" t="s">
        <v>120</v>
      </c>
      <c r="C60" s="28">
        <v>198.0</v>
      </c>
      <c r="D60" s="29">
        <v>4.0</v>
      </c>
      <c r="E60" s="30">
        <f>if(isna(VLOOKUP(B60,Checkin!A:B,2,false)),0,VLOOKUP(B60,Checkin!A:B,2,false))</f>
        <v>0</v>
      </c>
      <c r="F60" s="31">
        <f>if(OR($E60=1, $E60=2),VLOOKUP($B60,Courts!$B$2:$K$50,10,false),0)</f>
        <v>0</v>
      </c>
      <c r="G60" s="28">
        <f t="shared" si="2"/>
        <v>0</v>
      </c>
      <c r="H60" s="31">
        <f>if(OR($E60=1, $E60=2),VLOOKUP($B60,Courts!$B$2:$J$50,5,false),0)</f>
        <v>0</v>
      </c>
      <c r="I60" s="31">
        <f>if(OR($E60=1, $E60=2),VLOOKUP($B60,Courts!$B$2:$J$50,6,false),0)</f>
        <v>0</v>
      </c>
      <c r="J60" s="31">
        <f>if(OR($E60=1, $E60=2),VLOOKUP($B60,Courts!$B$2:$J$50,7,false),0)</f>
        <v>0</v>
      </c>
      <c r="K60" s="33">
        <f t="shared" si="3"/>
        <v>0</v>
      </c>
      <c r="L60" s="31">
        <f>if(OR($E60=1, $E60=2),VLOOKUP($B60,Courts!$B$2:$J$50,9,false),0)</f>
        <v>0</v>
      </c>
      <c r="M60" s="28">
        <f t="shared" ref="M60:N60" si="59">C60+K60</f>
        <v>198</v>
      </c>
      <c r="N60" s="29">
        <f t="shared" si="59"/>
        <v>4</v>
      </c>
      <c r="O60" s="35" t="s">
        <v>46</v>
      </c>
      <c r="P60" s="35" t="s">
        <v>46</v>
      </c>
      <c r="Q60" s="35" t="s">
        <v>46</v>
      </c>
      <c r="R60" s="31">
        <f>if(G60=13,1,0)+VLOOKUP(B60,'062224'!B:T,17,false)</f>
        <v>1</v>
      </c>
      <c r="S60" s="31"/>
      <c r="T60" s="31">
        <f>if(G60=9,1,0)+VLOOKUP(B60,'062224'!B:T,19,false)</f>
        <v>18</v>
      </c>
    </row>
    <row r="61">
      <c r="A61" s="26">
        <f t="shared" si="5"/>
        <v>57</v>
      </c>
      <c r="B61" s="39" t="s">
        <v>121</v>
      </c>
      <c r="C61" s="28">
        <v>198.0</v>
      </c>
      <c r="D61" s="29">
        <v>3.0</v>
      </c>
      <c r="E61" s="30">
        <f>if(isna(VLOOKUP(B61,Checkin!A:B,2,false)),0,VLOOKUP(B61,Checkin!A:B,2,false))</f>
        <v>0</v>
      </c>
      <c r="F61" s="31">
        <f>if(OR($E61=1, $E61=2),VLOOKUP($B61,Courts!$B$2:$K$50,10,false),0)</f>
        <v>0</v>
      </c>
      <c r="G61" s="28">
        <f t="shared" si="2"/>
        <v>0</v>
      </c>
      <c r="H61" s="31">
        <f>if(OR($E61=1, $E61=2),VLOOKUP($B61,Courts!$B$2:$J$50,5,false),0)</f>
        <v>0</v>
      </c>
      <c r="I61" s="31">
        <f>if(OR($E61=1, $E61=2),VLOOKUP($B61,Courts!$B$2:$J$50,6,false),0)</f>
        <v>0</v>
      </c>
      <c r="J61" s="31">
        <f>if(OR($E61=1, $E61=2),VLOOKUP($B61,Courts!$B$2:$J$50,7,false),0)</f>
        <v>0</v>
      </c>
      <c r="K61" s="33">
        <f t="shared" si="3"/>
        <v>0</v>
      </c>
      <c r="L61" s="31">
        <f>if(OR($E61=1, $E61=2),VLOOKUP($B61,Courts!$B$2:$J$50,9,false),0)</f>
        <v>0</v>
      </c>
      <c r="M61" s="28">
        <f t="shared" ref="M61:N61" si="60">C61+K61</f>
        <v>198</v>
      </c>
      <c r="N61" s="29">
        <f t="shared" si="60"/>
        <v>3</v>
      </c>
      <c r="O61" s="35" t="s">
        <v>46</v>
      </c>
      <c r="P61" s="35" t="s">
        <v>46</v>
      </c>
      <c r="Q61" s="35" t="s">
        <v>46</v>
      </c>
      <c r="R61" s="31">
        <f>if(G61=13,1,0)+VLOOKUP(B61,'062224'!B:T,17,false)</f>
        <v>0</v>
      </c>
      <c r="S61" s="31"/>
      <c r="T61" s="31">
        <f>if(G61=9,1,0)+VLOOKUP(B61,'062224'!B:T,19,false)</f>
        <v>19</v>
      </c>
    </row>
    <row r="62">
      <c r="A62" s="26">
        <f t="shared" si="5"/>
        <v>58</v>
      </c>
      <c r="B62" s="54" t="s">
        <v>122</v>
      </c>
      <c r="C62" s="28">
        <v>196.0</v>
      </c>
      <c r="D62" s="29">
        <v>1.0</v>
      </c>
      <c r="E62" s="30">
        <f>if(isna(VLOOKUP(B62,Checkin!A:B,2,false)),0,VLOOKUP(B62,Checkin!A:B,2,false))</f>
        <v>0</v>
      </c>
      <c r="F62" s="31">
        <f>if(OR($E62=1, $E62=2),VLOOKUP($B62,Courts!$B$2:$K$50,10,false),0)</f>
        <v>0</v>
      </c>
      <c r="G62" s="28">
        <f t="shared" si="2"/>
        <v>0</v>
      </c>
      <c r="H62" s="31">
        <f>if(OR($E62=1, $E62=2),VLOOKUP($B62,Courts!$B$2:$J$50,5,false),0)</f>
        <v>0</v>
      </c>
      <c r="I62" s="31">
        <f>if(OR($E62=1, $E62=2),VLOOKUP($B62,Courts!$B$2:$J$50,6,false),0)</f>
        <v>0</v>
      </c>
      <c r="J62" s="31">
        <f>if(OR($E62=1, $E62=2),VLOOKUP($B62,Courts!$B$2:$J$50,7,false),0)</f>
        <v>0</v>
      </c>
      <c r="K62" s="33">
        <f t="shared" si="3"/>
        <v>0</v>
      </c>
      <c r="L62" s="31">
        <f>if(OR($E62=1, $E62=2),VLOOKUP($B62,Courts!$B$2:$J$50,9,false),0)</f>
        <v>0</v>
      </c>
      <c r="M62" s="28">
        <f t="shared" ref="M62:N62" si="61">C62+K62</f>
        <v>196</v>
      </c>
      <c r="N62" s="29">
        <f t="shared" si="61"/>
        <v>1</v>
      </c>
      <c r="O62" s="35" t="s">
        <v>46</v>
      </c>
      <c r="P62" s="35" t="s">
        <v>46</v>
      </c>
      <c r="Q62" s="35" t="s">
        <v>104</v>
      </c>
      <c r="R62" s="31">
        <f>if(G62=13,1,0)+VLOOKUP(B62,'062224'!B:T,17,false)</f>
        <v>0</v>
      </c>
      <c r="S62" s="31"/>
      <c r="T62" s="31">
        <f>if(G62=9,1,0)+VLOOKUP(B62,'062224'!B:T,19,false)</f>
        <v>20</v>
      </c>
    </row>
    <row r="63">
      <c r="A63" s="26">
        <f t="shared" si="5"/>
        <v>59</v>
      </c>
      <c r="B63" s="54" t="s">
        <v>123</v>
      </c>
      <c r="C63" s="28">
        <v>193.0</v>
      </c>
      <c r="D63" s="29">
        <v>2.0</v>
      </c>
      <c r="E63" s="30">
        <f>if(isna(VLOOKUP(B63,Checkin!A:B,2,false)),0,VLOOKUP(B63,Checkin!A:B,2,false))</f>
        <v>0</v>
      </c>
      <c r="F63" s="31">
        <f>if(OR($E63=1, $E63=2),VLOOKUP($B63,Courts!$B$2:$K$50,10,false),0)</f>
        <v>0</v>
      </c>
      <c r="G63" s="28">
        <f t="shared" si="2"/>
        <v>0</v>
      </c>
      <c r="H63" s="31">
        <f>if(OR($E63=1, $E63=2),VLOOKUP($B63,Courts!$B$2:$J$50,5,false),0)</f>
        <v>0</v>
      </c>
      <c r="I63" s="31">
        <f>if(OR($E63=1, $E63=2),VLOOKUP($B63,Courts!$B$2:$J$50,6,false),0)</f>
        <v>0</v>
      </c>
      <c r="J63" s="31">
        <f>if(OR($E63=1, $E63=2),VLOOKUP($B63,Courts!$B$2:$J$50,7,false),0)</f>
        <v>0</v>
      </c>
      <c r="K63" s="33">
        <f t="shared" si="3"/>
        <v>0</v>
      </c>
      <c r="L63" s="31">
        <f>if(OR($E63=1, $E63=2),VLOOKUP($B63,Courts!$B$2:$J$50,9,false),0)</f>
        <v>0</v>
      </c>
      <c r="M63" s="28">
        <f t="shared" ref="M63:N63" si="62">C63+K63</f>
        <v>193</v>
      </c>
      <c r="N63" s="29">
        <f t="shared" si="62"/>
        <v>2</v>
      </c>
      <c r="O63" s="35" t="s">
        <v>46</v>
      </c>
      <c r="P63" s="35" t="s">
        <v>46</v>
      </c>
      <c r="Q63" s="35" t="s">
        <v>104</v>
      </c>
      <c r="R63" s="31">
        <f>if(G63=13,1,0)+VLOOKUP(B63,'062224'!B:T,17,false)</f>
        <v>1</v>
      </c>
      <c r="S63" s="31"/>
      <c r="T63" s="31">
        <f>if(G63=9,1,0)+VLOOKUP(B63,'062224'!B:T,19,false)</f>
        <v>19</v>
      </c>
    </row>
    <row r="64">
      <c r="A64" s="26">
        <f t="shared" si="5"/>
        <v>60</v>
      </c>
      <c r="B64" s="39" t="s">
        <v>97</v>
      </c>
      <c r="C64" s="28">
        <v>189.0</v>
      </c>
      <c r="D64" s="29">
        <v>5.0</v>
      </c>
      <c r="E64" s="30">
        <f>if(isna(VLOOKUP(B64,Checkin!A:B,2,false)),0,VLOOKUP(B64,Checkin!A:B,2,false))</f>
        <v>0</v>
      </c>
      <c r="F64" s="31">
        <f>if(OR($E64=1, $E64=2),VLOOKUP($B64,Courts!$B$2:$K$50,10,false),0)</f>
        <v>0</v>
      </c>
      <c r="G64" s="28">
        <f t="shared" si="2"/>
        <v>0</v>
      </c>
      <c r="H64" s="31">
        <f>if(OR($E64=1, $E64=2),VLOOKUP($B64,Courts!$B$2:$J$50,5,false),0)</f>
        <v>0</v>
      </c>
      <c r="I64" s="31">
        <f>if(OR($E64=1, $E64=2),VLOOKUP($B64,Courts!$B$2:$J$50,6,false),0)</f>
        <v>0</v>
      </c>
      <c r="J64" s="31">
        <f>if(OR($E64=1, $E64=2),VLOOKUP($B64,Courts!$B$2:$J$50,7,false),0)</f>
        <v>0</v>
      </c>
      <c r="K64" s="33">
        <f t="shared" si="3"/>
        <v>0</v>
      </c>
      <c r="L64" s="31">
        <f>if(OR($E64=1, $E64=2),VLOOKUP($B64,Courts!$B$2:$J$50,9,false),0)</f>
        <v>0</v>
      </c>
      <c r="M64" s="28">
        <f t="shared" ref="M64:N64" si="63">C64+K64</f>
        <v>189</v>
      </c>
      <c r="N64" s="29">
        <f t="shared" si="63"/>
        <v>5</v>
      </c>
      <c r="O64" s="35" t="s">
        <v>46</v>
      </c>
      <c r="P64" s="35" t="s">
        <v>46</v>
      </c>
      <c r="Q64" s="35" t="s">
        <v>46</v>
      </c>
      <c r="R64" s="31">
        <f>if(G64=13,1,0)+VLOOKUP(B64,'062224'!B:T,17,false)</f>
        <v>0</v>
      </c>
      <c r="S64" s="31"/>
      <c r="T64" s="31">
        <f>if(G64=9,1,0)+VLOOKUP(B64,'062224'!B:T,19,false)</f>
        <v>10</v>
      </c>
    </row>
    <row r="65">
      <c r="A65" s="26">
        <f t="shared" si="5"/>
        <v>61</v>
      </c>
      <c r="B65" s="39" t="s">
        <v>124</v>
      </c>
      <c r="C65" s="28">
        <v>189.0</v>
      </c>
      <c r="D65" s="29">
        <v>0.0</v>
      </c>
      <c r="E65" s="30">
        <f>if(isna(VLOOKUP(B65,Checkin!A:B,2,false)),0,VLOOKUP(B65,Checkin!A:B,2,false))</f>
        <v>0</v>
      </c>
      <c r="F65" s="31">
        <f>if(OR($E65=1, $E65=2),VLOOKUP($B65,Courts!$B$2:$K$50,10,false),0)</f>
        <v>0</v>
      </c>
      <c r="G65" s="28">
        <f t="shared" si="2"/>
        <v>0</v>
      </c>
      <c r="H65" s="31">
        <f>if(OR($E65=1, $E65=2),VLOOKUP($B65,Courts!$B$2:$J$50,5,false),0)</f>
        <v>0</v>
      </c>
      <c r="I65" s="31">
        <f>if(OR($E65=1, $E65=2),VLOOKUP($B65,Courts!$B$2:$J$50,6,false),0)</f>
        <v>0</v>
      </c>
      <c r="J65" s="31">
        <f>if(OR($E65=1, $E65=2),VLOOKUP($B65,Courts!$B$2:$J$50,7,false),0)</f>
        <v>0</v>
      </c>
      <c r="K65" s="33">
        <f t="shared" si="3"/>
        <v>0</v>
      </c>
      <c r="L65" s="31">
        <f>if(OR($E65=1, $E65=2),VLOOKUP($B65,Courts!$B$2:$J$50,9,false),0)</f>
        <v>0</v>
      </c>
      <c r="M65" s="28">
        <f t="shared" ref="M65:N65" si="64">C65+K65</f>
        <v>189</v>
      </c>
      <c r="N65" s="29">
        <f t="shared" si="64"/>
        <v>0</v>
      </c>
      <c r="O65" s="35" t="s">
        <v>46</v>
      </c>
      <c r="P65" s="35" t="s">
        <v>46</v>
      </c>
      <c r="Q65" s="35" t="s">
        <v>104</v>
      </c>
      <c r="R65" s="31">
        <f>if(G65=13,1,0)+VLOOKUP(B65,'062224'!B:T,17,false)</f>
        <v>0</v>
      </c>
      <c r="S65" s="31"/>
      <c r="T65" s="31">
        <f>if(G65=9,1,0)+VLOOKUP(B65,'062224'!B:T,19,false)</f>
        <v>21</v>
      </c>
    </row>
    <row r="66">
      <c r="A66" s="26">
        <f t="shared" si="5"/>
        <v>62</v>
      </c>
      <c r="B66" s="39" t="s">
        <v>125</v>
      </c>
      <c r="C66" s="28">
        <v>189.0</v>
      </c>
      <c r="D66" s="29">
        <v>0.0</v>
      </c>
      <c r="E66" s="30">
        <f>if(isna(VLOOKUP(B66,Checkin!A:B,2,false)),0,VLOOKUP(B66,Checkin!A:B,2,false))</f>
        <v>0</v>
      </c>
      <c r="F66" s="31">
        <f>if(OR($E66=1, $E66=2),VLOOKUP($B66,Courts!$B$2:$K$50,10,false),0)</f>
        <v>0</v>
      </c>
      <c r="G66" s="28">
        <f t="shared" si="2"/>
        <v>0</v>
      </c>
      <c r="H66" s="31">
        <f>if(OR($E66=1, $E66=2),VLOOKUP($B66,Courts!$B$2:$J$50,5,false),0)</f>
        <v>0</v>
      </c>
      <c r="I66" s="31">
        <f>if(OR($E66=1, $E66=2),VLOOKUP($B66,Courts!$B$2:$J$50,6,false),0)</f>
        <v>0</v>
      </c>
      <c r="J66" s="31">
        <f>if(OR($E66=1, $E66=2),VLOOKUP($B66,Courts!$B$2:$J$50,7,false),0)</f>
        <v>0</v>
      </c>
      <c r="K66" s="33">
        <f t="shared" si="3"/>
        <v>0</v>
      </c>
      <c r="L66" s="31">
        <f>if(OR($E66=1, $E66=2),VLOOKUP($B66,Courts!$B$2:$J$50,9,false),0)</f>
        <v>0</v>
      </c>
      <c r="M66" s="28">
        <f t="shared" ref="M66:N66" si="65">C66+K66</f>
        <v>189</v>
      </c>
      <c r="N66" s="29">
        <f t="shared" si="65"/>
        <v>0</v>
      </c>
      <c r="O66" s="35" t="s">
        <v>46</v>
      </c>
      <c r="P66" s="35" t="s">
        <v>46</v>
      </c>
      <c r="Q66" s="35" t="s">
        <v>46</v>
      </c>
      <c r="R66" s="31">
        <f>if(G66=13,1,0)+VLOOKUP(B66,'062224'!B:T,17,false)</f>
        <v>0</v>
      </c>
      <c r="S66" s="31"/>
      <c r="T66" s="31">
        <f>if(G66=9,1,0)+VLOOKUP(B66,'062224'!B:T,19,false)</f>
        <v>20</v>
      </c>
    </row>
    <row r="67">
      <c r="A67" s="26">
        <f t="shared" si="5"/>
        <v>63</v>
      </c>
      <c r="B67" s="39" t="s">
        <v>126</v>
      </c>
      <c r="C67" s="28">
        <v>188.0</v>
      </c>
      <c r="D67" s="29">
        <v>2.0</v>
      </c>
      <c r="E67" s="30">
        <f>if(isna(VLOOKUP(B67,Checkin!A:B,2,false)),0,VLOOKUP(B67,Checkin!A:B,2,false))</f>
        <v>0</v>
      </c>
      <c r="F67" s="31">
        <f>if(OR($E67=1, $E67=2),VLOOKUP($B67,Courts!$B$2:$K$50,10,false),0)</f>
        <v>0</v>
      </c>
      <c r="G67" s="28">
        <f t="shared" si="2"/>
        <v>0</v>
      </c>
      <c r="H67" s="31">
        <f>if(OR($E67=1, $E67=2),VLOOKUP($B67,Courts!$B$2:$J$50,5,false),0)</f>
        <v>0</v>
      </c>
      <c r="I67" s="31">
        <f>if(OR($E67=1, $E67=2),VLOOKUP($B67,Courts!$B$2:$J$50,6,false),0)</f>
        <v>0</v>
      </c>
      <c r="J67" s="31">
        <f>if(OR($E67=1, $E67=2),VLOOKUP($B67,Courts!$B$2:$J$50,7,false),0)</f>
        <v>0</v>
      </c>
      <c r="K67" s="33">
        <f t="shared" si="3"/>
        <v>0</v>
      </c>
      <c r="L67" s="31">
        <f>if(OR($E67=1, $E67=2),VLOOKUP($B67,Courts!$B$2:$J$50,9,false),0)</f>
        <v>0</v>
      </c>
      <c r="M67" s="28">
        <f t="shared" ref="M67:N67" si="66">C67+K67</f>
        <v>188</v>
      </c>
      <c r="N67" s="29">
        <f t="shared" si="66"/>
        <v>2</v>
      </c>
      <c r="O67" s="35" t="s">
        <v>46</v>
      </c>
      <c r="P67" s="35" t="s">
        <v>46</v>
      </c>
      <c r="Q67" s="35" t="s">
        <v>104</v>
      </c>
      <c r="R67" s="31">
        <f>if(G67=13,1,0)+VLOOKUP(B67,'062224'!B:T,17,false)</f>
        <v>0</v>
      </c>
      <c r="S67" s="31"/>
      <c r="T67" s="31">
        <f>if(G67=9,1,0)+VLOOKUP(B67,'062224'!B:T,19,false)</f>
        <v>19</v>
      </c>
    </row>
    <row r="68">
      <c r="A68" s="26">
        <f t="shared" si="5"/>
        <v>64</v>
      </c>
      <c r="B68" s="27" t="s">
        <v>74</v>
      </c>
      <c r="C68" s="28">
        <v>180.0</v>
      </c>
      <c r="D68" s="29">
        <v>0.0</v>
      </c>
      <c r="E68" s="30">
        <f>if(isna(VLOOKUP(B68,Checkin!A:B,2,false)),0,VLOOKUP(B68,Checkin!A:B,2,false))</f>
        <v>0</v>
      </c>
      <c r="F68" s="31">
        <f>if(OR($E68=1, $E68=2),VLOOKUP($B68,Courts!$B$2:$K$50,10,false),0)</f>
        <v>0</v>
      </c>
      <c r="G68" s="28">
        <f t="shared" si="2"/>
        <v>0</v>
      </c>
      <c r="H68" s="31">
        <f>if(OR($E68=1, $E68=2),VLOOKUP($B68,Courts!$B$2:$J$50,5,false),0)</f>
        <v>0</v>
      </c>
      <c r="I68" s="31">
        <f>if(OR($E68=1, $E68=2),VLOOKUP($B68,Courts!$B$2:$J$50,6,false),0)</f>
        <v>0</v>
      </c>
      <c r="J68" s="31">
        <f>if(OR($E68=1, $E68=2),VLOOKUP($B68,Courts!$B$2:$J$50,7,false),0)</f>
        <v>0</v>
      </c>
      <c r="K68" s="33">
        <f t="shared" si="3"/>
        <v>0</v>
      </c>
      <c r="L68" s="31">
        <f>if(OR($E68=1, $E68=2),VLOOKUP($B68,Courts!$B$2:$J$50,9,false),0)</f>
        <v>0</v>
      </c>
      <c r="M68" s="28">
        <f t="shared" ref="M68:N68" si="67">C68+K68</f>
        <v>180</v>
      </c>
      <c r="N68" s="29">
        <f t="shared" si="67"/>
        <v>0</v>
      </c>
      <c r="O68" s="35" t="s">
        <v>46</v>
      </c>
      <c r="P68" s="35" t="s">
        <v>46</v>
      </c>
      <c r="Q68" s="35" t="s">
        <v>46</v>
      </c>
      <c r="R68" s="31">
        <f>if(G68=13,1,0)+VLOOKUP(B68,'062224'!B:T,17,false)</f>
        <v>0</v>
      </c>
      <c r="S68" s="31"/>
      <c r="T68" s="31">
        <f>if(G68=9,1,0)+VLOOKUP(B68,'062224'!B:T,19,false)</f>
        <v>21</v>
      </c>
    </row>
    <row r="69">
      <c r="A69" s="26">
        <f t="shared" si="5"/>
        <v>65</v>
      </c>
      <c r="B69" s="39" t="s">
        <v>127</v>
      </c>
      <c r="C69" s="28">
        <v>179.0</v>
      </c>
      <c r="D69" s="29">
        <v>2.0</v>
      </c>
      <c r="E69" s="30">
        <f>if(isna(VLOOKUP(B69,Checkin!A:B,2,false)),0,VLOOKUP(B69,Checkin!A:B,2,false))</f>
        <v>0</v>
      </c>
      <c r="F69" s="31">
        <f>if(OR($E69=1, $E69=2),VLOOKUP($B69,Courts!$B$2:$K$50,10,false),0)</f>
        <v>0</v>
      </c>
      <c r="G69" s="28">
        <f t="shared" si="2"/>
        <v>0</v>
      </c>
      <c r="H69" s="31">
        <f>if(OR($E69=1, $E69=2),VLOOKUP($B69,Courts!$B$2:$J$50,5,false),0)</f>
        <v>0</v>
      </c>
      <c r="I69" s="31">
        <f>if(OR($E69=1, $E69=2),VLOOKUP($B69,Courts!$B$2:$J$50,6,false),0)</f>
        <v>0</v>
      </c>
      <c r="J69" s="31">
        <f>if(OR($E69=1, $E69=2),VLOOKUP($B69,Courts!$B$2:$J$50,7,false),0)</f>
        <v>0</v>
      </c>
      <c r="K69" s="33">
        <f t="shared" si="3"/>
        <v>0</v>
      </c>
      <c r="L69" s="31">
        <f>if(OR($E69=1, $E69=2),VLOOKUP($B69,Courts!$B$2:$J$50,9,false),0)</f>
        <v>0</v>
      </c>
      <c r="M69" s="28">
        <f t="shared" ref="M69:N69" si="68">C69+K69</f>
        <v>179</v>
      </c>
      <c r="N69" s="29">
        <f t="shared" si="68"/>
        <v>2</v>
      </c>
      <c r="O69" s="35" t="s">
        <v>46</v>
      </c>
      <c r="P69" s="35" t="s">
        <v>46</v>
      </c>
      <c r="Q69" s="35" t="s">
        <v>46</v>
      </c>
      <c r="R69" s="31">
        <f>if(G69=13,1,0)+VLOOKUP(B69,'062224'!B:T,17,false)</f>
        <v>0</v>
      </c>
      <c r="S69" s="31"/>
      <c r="T69" s="31">
        <f>if(G69=9,1,0)+VLOOKUP(B69,'062224'!B:T,19,false)</f>
        <v>19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 t="shared" ref="P72:Q72" si="69">COUNTA(P5:P69)</f>
        <v>65</v>
      </c>
      <c r="Q72" s="14">
        <f t="shared" si="69"/>
        <v>65</v>
      </c>
    </row>
    <row r="73">
      <c r="A73" s="1"/>
      <c r="C73" s="1"/>
      <c r="D73" s="1"/>
      <c r="E73" s="1"/>
      <c r="O73" s="13" t="s">
        <v>129</v>
      </c>
      <c r="P73" s="14">
        <f t="shared" ref="P73:Q73" si="70">P74-P72</f>
        <v>0</v>
      </c>
      <c r="Q73" s="14">
        <f t="shared" si="70"/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  <c r="Q74" s="14">
        <f>P74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  <c r="O77" s="13" t="s">
        <v>128</v>
      </c>
      <c r="P77" s="14"/>
      <c r="Q77" s="14">
        <f>COUNTIF(Q5:Q69,"X")</f>
        <v>52</v>
      </c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  <c r="O78" s="13" t="s">
        <v>134</v>
      </c>
      <c r="P78" s="14"/>
      <c r="Q78" s="14">
        <f>countif(Q5:Q69,"N")</f>
        <v>13</v>
      </c>
    </row>
    <row r="79">
      <c r="A79" s="1"/>
      <c r="B79" s="39" t="str">
        <f>IFERROR(__xludf.DUMMYFUNCTION("QUERY(B5:L69,""Select B, K, L where K &gt;= 18 order by K desc, L desc"",0)"),"#N/A")</f>
        <v>#N/A</v>
      </c>
      <c r="C79" s="39"/>
      <c r="D79" s="39"/>
      <c r="E79" s="1"/>
      <c r="K79" s="57"/>
      <c r="L79" s="58"/>
      <c r="O79" s="13" t="s">
        <v>129</v>
      </c>
      <c r="P79" s="14"/>
      <c r="Q79" s="14">
        <f>countif(Q5:Q69,"")</f>
        <v>0</v>
      </c>
    </row>
    <row r="80">
      <c r="A80" s="1"/>
      <c r="B80" s="39"/>
      <c r="C80" s="39"/>
      <c r="D80" s="39"/>
      <c r="E80" s="1"/>
      <c r="L80" s="61"/>
      <c r="O80" s="13" t="s">
        <v>53</v>
      </c>
      <c r="P80" s="14"/>
      <c r="Q80" s="14">
        <f>sum(Q77:Q79)</f>
        <v>65</v>
      </c>
    </row>
    <row r="81">
      <c r="A81" s="1"/>
      <c r="B81" s="39"/>
      <c r="C81" s="39"/>
      <c r="D81" s="39"/>
      <c r="E81" s="1"/>
    </row>
    <row r="82">
      <c r="A82" s="1"/>
      <c r="B82" s="39"/>
      <c r="C82" s="39"/>
      <c r="D82" s="39"/>
      <c r="E82" s="1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1"")"),"#N/A")</f>
        <v>#N/A</v>
      </c>
      <c r="C92" s="73"/>
      <c r="D92" s="73"/>
      <c r="E92" s="73"/>
      <c r="F92" s="62"/>
      <c r="G92" s="62"/>
      <c r="H92" s="62"/>
      <c r="I92" s="62"/>
      <c r="J92" s="62"/>
      <c r="K92" s="62"/>
      <c r="L92" s="62"/>
      <c r="M92" s="62"/>
      <c r="N92" s="62"/>
    </row>
    <row r="93">
      <c r="A93" s="1"/>
      <c r="B93" s="62"/>
      <c r="C93" s="73"/>
      <c r="D93" s="73"/>
      <c r="E93" s="73"/>
      <c r="F93" s="62"/>
      <c r="G93" s="62"/>
      <c r="H93" s="62"/>
      <c r="I93" s="62"/>
      <c r="J93" s="62"/>
      <c r="K93" s="62"/>
      <c r="L93" s="62"/>
      <c r="M93" s="62"/>
      <c r="N93" s="62"/>
    </row>
    <row r="94">
      <c r="A94" s="1"/>
      <c r="B94" s="62"/>
      <c r="C94" s="73"/>
      <c r="D94" s="73"/>
      <c r="E94" s="73"/>
      <c r="F94" s="62"/>
      <c r="G94" s="62"/>
      <c r="H94" s="62"/>
      <c r="I94" s="62"/>
      <c r="J94" s="62"/>
      <c r="K94" s="62"/>
      <c r="L94" s="62"/>
      <c r="M94" s="62"/>
      <c r="N94" s="62"/>
    </row>
    <row r="95">
      <c r="A95" s="1"/>
      <c r="B95" s="62"/>
      <c r="C95" s="73"/>
      <c r="D95" s="73"/>
      <c r="E95" s="73"/>
      <c r="F95" s="62"/>
      <c r="G95" s="62"/>
      <c r="H95" s="62"/>
      <c r="I95" s="62"/>
      <c r="J95" s="62"/>
      <c r="K95" s="62"/>
      <c r="L95" s="62"/>
      <c r="M95" s="62"/>
      <c r="N95" s="62"/>
    </row>
    <row r="96">
      <c r="A96" s="1"/>
      <c r="B96" s="67"/>
      <c r="C96" s="72"/>
      <c r="D96" s="72"/>
      <c r="E96" s="72"/>
      <c r="F96" s="67"/>
      <c r="G96" s="67"/>
      <c r="H96" s="67"/>
      <c r="I96" s="67"/>
      <c r="J96" s="67"/>
      <c r="K96" s="67"/>
      <c r="L96" s="67"/>
      <c r="M96" s="67"/>
      <c r="N96" s="67"/>
    </row>
    <row r="97">
      <c r="A97" s="1"/>
      <c r="B97" s="67"/>
      <c r="C97" s="72"/>
      <c r="D97" s="72"/>
      <c r="E97" s="72"/>
      <c r="F97" s="67"/>
      <c r="G97" s="67"/>
      <c r="H97" s="67"/>
      <c r="I97" s="67"/>
      <c r="J97" s="67"/>
      <c r="K97" s="67"/>
      <c r="L97" s="67"/>
      <c r="M97" s="67"/>
      <c r="N97" s="67"/>
    </row>
    <row r="98">
      <c r="A98" s="1"/>
      <c r="B98" s="67"/>
      <c r="C98" s="72"/>
      <c r="D98" s="72"/>
      <c r="E98" s="72"/>
      <c r="F98" s="67"/>
      <c r="G98" s="67"/>
      <c r="H98" s="67"/>
      <c r="I98" s="67"/>
      <c r="J98" s="67"/>
      <c r="K98" s="67"/>
      <c r="L98" s="67"/>
      <c r="M98" s="67"/>
      <c r="N98" s="67"/>
    </row>
    <row r="99">
      <c r="A99" s="1"/>
      <c r="B99" s="67"/>
      <c r="C99" s="72"/>
      <c r="D99" s="72"/>
      <c r="E99" s="72"/>
      <c r="F99" s="67"/>
      <c r="G99" s="67"/>
      <c r="H99" s="67"/>
      <c r="I99" s="67"/>
      <c r="J99" s="67"/>
      <c r="K99" s="67"/>
      <c r="L99" s="67"/>
      <c r="M99" s="67"/>
      <c r="N99" s="67"/>
    </row>
    <row r="100">
      <c r="A100" s="1"/>
      <c r="B100" s="67"/>
      <c r="C100" s="73"/>
      <c r="D100" s="73"/>
      <c r="E100" s="73"/>
      <c r="F100" s="62"/>
      <c r="G100" s="62"/>
      <c r="H100" s="62"/>
      <c r="I100" s="62"/>
      <c r="J100" s="62"/>
      <c r="K100" s="62"/>
      <c r="L100" s="62"/>
      <c r="M100" s="62"/>
      <c r="N100" s="62"/>
    </row>
    <row r="101">
      <c r="A101" s="1"/>
      <c r="B101" s="67"/>
      <c r="C101" s="73"/>
      <c r="D101" s="73"/>
      <c r="E101" s="73"/>
      <c r="F101" s="62"/>
      <c r="G101" s="62"/>
      <c r="H101" s="62"/>
      <c r="I101" s="62"/>
      <c r="J101" s="62"/>
      <c r="K101" s="62"/>
      <c r="L101" s="62"/>
      <c r="M101" s="62"/>
      <c r="N101" s="62"/>
    </row>
    <row r="102">
      <c r="A102" s="1"/>
      <c r="B102" s="62"/>
      <c r="C102" s="73"/>
      <c r="D102" s="73"/>
      <c r="E102" s="73"/>
      <c r="F102" s="62"/>
      <c r="G102" s="62"/>
      <c r="H102" s="62"/>
      <c r="I102" s="62"/>
      <c r="J102" s="62"/>
      <c r="K102" s="62"/>
      <c r="L102" s="62"/>
      <c r="M102" s="62"/>
      <c r="N102" s="62"/>
    </row>
    <row r="103">
      <c r="A103" s="1"/>
      <c r="B103" s="62"/>
      <c r="C103" s="73"/>
      <c r="D103" s="73"/>
      <c r="E103" s="73"/>
      <c r="F103" s="62"/>
      <c r="G103" s="62"/>
      <c r="H103" s="62"/>
      <c r="I103" s="62"/>
      <c r="J103" s="62"/>
      <c r="K103" s="62"/>
      <c r="L103" s="62"/>
      <c r="M103" s="62"/>
      <c r="N103" s="62"/>
    </row>
    <row r="104">
      <c r="A104" s="1"/>
      <c r="B104" s="67"/>
      <c r="C104" s="72"/>
      <c r="D104" s="72"/>
      <c r="E104" s="72"/>
      <c r="F104" s="67"/>
      <c r="G104" s="67"/>
      <c r="H104" s="67"/>
      <c r="I104" s="67"/>
      <c r="J104" s="67"/>
      <c r="K104" s="67"/>
      <c r="L104" s="67"/>
      <c r="M104" s="67"/>
      <c r="N104" s="67"/>
    </row>
    <row r="105">
      <c r="A105" s="1"/>
      <c r="B105" s="67"/>
      <c r="C105" s="72"/>
      <c r="D105" s="72"/>
      <c r="E105" s="72"/>
      <c r="F105" s="67"/>
      <c r="G105" s="67"/>
      <c r="H105" s="67"/>
      <c r="I105" s="67"/>
      <c r="J105" s="67"/>
      <c r="K105" s="67"/>
      <c r="L105" s="67"/>
      <c r="M105" s="67"/>
      <c r="N105" s="67"/>
    </row>
    <row r="106">
      <c r="A106" s="1"/>
      <c r="B106" s="67"/>
      <c r="C106" s="72"/>
      <c r="D106" s="72"/>
      <c r="E106" s="72"/>
      <c r="F106" s="67"/>
      <c r="G106" s="67"/>
      <c r="H106" s="67"/>
      <c r="I106" s="67"/>
      <c r="J106" s="67"/>
      <c r="K106" s="67"/>
      <c r="L106" s="67"/>
      <c r="M106" s="67"/>
      <c r="N106" s="67"/>
    </row>
    <row r="107">
      <c r="A107" s="1"/>
      <c r="B107" s="67"/>
      <c r="C107" s="72"/>
      <c r="D107" s="72"/>
      <c r="E107" s="72"/>
      <c r="F107" s="67"/>
      <c r="G107" s="67"/>
      <c r="H107" s="67"/>
      <c r="I107" s="67"/>
      <c r="J107" s="67"/>
      <c r="K107" s="67"/>
      <c r="L107" s="67"/>
      <c r="M107" s="67"/>
      <c r="N107" s="67"/>
    </row>
    <row r="108">
      <c r="A108" s="1"/>
      <c r="B108" s="62"/>
      <c r="C108" s="73"/>
      <c r="D108" s="73"/>
      <c r="E108" s="73"/>
      <c r="F108" s="62"/>
      <c r="G108" s="62"/>
      <c r="H108" s="62"/>
      <c r="I108" s="62"/>
      <c r="J108" s="62"/>
      <c r="K108" s="62"/>
      <c r="L108" s="62"/>
      <c r="M108" s="62"/>
      <c r="N108" s="62"/>
    </row>
    <row r="109">
      <c r="A109" s="1"/>
      <c r="B109" s="62"/>
      <c r="C109" s="73"/>
      <c r="D109" s="73"/>
      <c r="E109" s="73"/>
      <c r="F109" s="62"/>
      <c r="G109" s="62"/>
      <c r="H109" s="62"/>
      <c r="I109" s="62"/>
      <c r="J109" s="62"/>
      <c r="K109" s="62"/>
      <c r="L109" s="62"/>
      <c r="M109" s="62"/>
      <c r="N109" s="62"/>
    </row>
    <row r="110">
      <c r="A110" s="1"/>
      <c r="B110" s="62"/>
      <c r="C110" s="73"/>
      <c r="D110" s="73"/>
      <c r="E110" s="73"/>
      <c r="F110" s="62"/>
      <c r="G110" s="62"/>
      <c r="H110" s="62"/>
      <c r="I110" s="62"/>
      <c r="J110" s="62"/>
      <c r="K110" s="62"/>
      <c r="L110" s="62"/>
      <c r="M110" s="62"/>
      <c r="N110" s="62"/>
    </row>
    <row r="111">
      <c r="A111" s="1"/>
      <c r="B111" s="62"/>
      <c r="C111" s="73"/>
      <c r="D111" s="73"/>
      <c r="E111" s="73"/>
      <c r="F111" s="62"/>
      <c r="G111" s="62"/>
      <c r="H111" s="62"/>
      <c r="I111" s="62"/>
      <c r="J111" s="62"/>
      <c r="K111" s="62"/>
      <c r="L111" s="62"/>
      <c r="M111" s="62"/>
      <c r="N111" s="62"/>
    </row>
    <row r="112">
      <c r="A112" s="1"/>
      <c r="B112" s="67"/>
      <c r="C112" s="72"/>
      <c r="D112" s="72"/>
      <c r="E112" s="72"/>
      <c r="F112" s="67"/>
      <c r="G112" s="67"/>
      <c r="H112" s="67"/>
      <c r="I112" s="67"/>
      <c r="J112" s="67"/>
      <c r="K112" s="67"/>
      <c r="L112" s="67"/>
      <c r="M112" s="67"/>
      <c r="N112" s="67"/>
    </row>
    <row r="113">
      <c r="A113" s="1"/>
      <c r="B113" s="67"/>
      <c r="C113" s="72"/>
      <c r="D113" s="72"/>
      <c r="E113" s="72"/>
      <c r="F113" s="67"/>
      <c r="G113" s="67"/>
      <c r="H113" s="67"/>
      <c r="I113" s="67"/>
      <c r="J113" s="67"/>
      <c r="K113" s="67"/>
      <c r="L113" s="67"/>
      <c r="M113" s="67"/>
      <c r="N113" s="67"/>
    </row>
    <row r="114">
      <c r="A114" s="1"/>
      <c r="B114" s="67"/>
      <c r="C114" s="72"/>
      <c r="D114" s="72"/>
      <c r="E114" s="72"/>
      <c r="F114" s="67"/>
      <c r="G114" s="67"/>
      <c r="H114" s="67"/>
      <c r="I114" s="67"/>
      <c r="J114" s="67"/>
      <c r="K114" s="67"/>
      <c r="L114" s="67"/>
      <c r="M114" s="67"/>
      <c r="N114" s="67"/>
    </row>
    <row r="115">
      <c r="A115" s="1"/>
      <c r="B115" s="67"/>
      <c r="C115" s="72"/>
      <c r="D115" s="72"/>
      <c r="E115" s="72"/>
      <c r="F115" s="67"/>
      <c r="G115" s="67"/>
      <c r="H115" s="67"/>
      <c r="I115" s="67"/>
      <c r="J115" s="67"/>
      <c r="K115" s="67"/>
      <c r="L115" s="67"/>
      <c r="M115" s="67"/>
      <c r="N115" s="67"/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0"")"),"Adrian Tay")</f>
        <v>Adrian Tay</v>
      </c>
      <c r="C136" s="63">
        <f>IFERROR(__xludf.DUMMYFUNCTION("""COMPUTED_VALUE"""),300.0)</f>
        <v>300</v>
      </c>
      <c r="D136" s="64">
        <f>IFERROR(__xludf.DUMMYFUNCTION("""COMPUTED_VALUE"""),34.0)</f>
        <v>34</v>
      </c>
      <c r="E136" s="63">
        <f>IFERROR(__xludf.DUMMYFUNCTION("""COMPUTED_VALUE"""),0.0)</f>
        <v>0</v>
      </c>
      <c r="F136" s="65">
        <f>IFERROR(__xludf.DUMMYFUNCTION("""COMPUTED_VALUE"""),0.0)</f>
        <v>0</v>
      </c>
      <c r="G136" s="65">
        <f>IFERROR(__xludf.DUMMYFUNCTION("""COMPUTED_VALUE"""),0.0)</f>
        <v>0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IFERROR(__xludf.DUMMYFUNCTION("""COMPUTED_VALUE"""),0.0)</f>
        <v>0</v>
      </c>
      <c r="L136" s="65">
        <f>IFERROR(__xludf.DUMMYFUNCTION("""COMPUTED_VALUE"""),0.0)</f>
        <v>0</v>
      </c>
      <c r="M136" s="65">
        <f>IFERROR(__xludf.DUMMYFUNCTION("""COMPUTED_VALUE"""),300.0)</f>
        <v>300</v>
      </c>
      <c r="N136" s="66">
        <f>IFERROR(__xludf.DUMMYFUNCTION("""COMPUTED_VALUE"""),34.0)</f>
        <v>34</v>
      </c>
    </row>
    <row r="137">
      <c r="A137" s="1"/>
      <c r="B137" s="62" t="str">
        <f>IFERROR(__xludf.DUMMYFUNCTION("""COMPUTED_VALUE"""),"Peter Cheng")</f>
        <v>Peter Cheng</v>
      </c>
      <c r="C137" s="63">
        <f>IFERROR(__xludf.DUMMYFUNCTION("""COMPUTED_VALUE"""),278.0)</f>
        <v>278</v>
      </c>
      <c r="D137" s="64">
        <f>IFERROR(__xludf.DUMMYFUNCTION("""COMPUTED_VALUE"""),27.0)</f>
        <v>27</v>
      </c>
      <c r="E137" s="63">
        <f>IFERROR(__xludf.DUMMYFUNCTION("""COMPUTED_VALUE"""),0.0)</f>
        <v>0</v>
      </c>
      <c r="F137" s="65">
        <f>IFERROR(__xludf.DUMMYFUNCTION("""COMPUTED_VALUE"""),0.0)</f>
        <v>0</v>
      </c>
      <c r="G137" s="65">
        <f>IFERROR(__xludf.DUMMYFUNCTION("""COMPUTED_VALUE"""),0.0)</f>
        <v>0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IFERROR(__xludf.DUMMYFUNCTION("""COMPUTED_VALUE"""),0.0)</f>
        <v>0</v>
      </c>
      <c r="L137" s="65">
        <f>IFERROR(__xludf.DUMMYFUNCTION("""COMPUTED_VALUE"""),0.0)</f>
        <v>0</v>
      </c>
      <c r="M137" s="65">
        <f>IFERROR(__xludf.DUMMYFUNCTION("""COMPUTED_VALUE"""),278.0)</f>
        <v>278</v>
      </c>
      <c r="N137" s="66">
        <f>IFERROR(__xludf.DUMMYFUNCTION("""COMPUTED_VALUE"""),27.0)</f>
        <v>27</v>
      </c>
    </row>
    <row r="138">
      <c r="A138" s="1"/>
      <c r="B138" s="62" t="str">
        <f>IFERROR(__xludf.DUMMYFUNCTION("""COMPUTED_VALUE"""),"Suleman Alidina")</f>
        <v>Suleman Alidina</v>
      </c>
      <c r="C138" s="63">
        <f>IFERROR(__xludf.DUMMYFUNCTION("""COMPUTED_VALUE"""),271.0)</f>
        <v>271</v>
      </c>
      <c r="D138" s="64">
        <f>IFERROR(__xludf.DUMMYFUNCTION("""COMPUTED_VALUE"""),30.0)</f>
        <v>30</v>
      </c>
      <c r="E138" s="63">
        <f>IFERROR(__xludf.DUMMYFUNCTION("""COMPUTED_VALUE"""),0.0)</f>
        <v>0</v>
      </c>
      <c r="F138" s="65">
        <f>IFERROR(__xludf.DUMMYFUNCTION("""COMPUTED_VALUE"""),0.0)</f>
        <v>0</v>
      </c>
      <c r="G138" s="65">
        <f>IFERROR(__xludf.DUMMYFUNCTION("""COMPUTED_VALUE"""),0.0)</f>
        <v>0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IFERROR(__xludf.DUMMYFUNCTION("""COMPUTED_VALUE"""),0.0)</f>
        <v>0</v>
      </c>
      <c r="L138" s="65">
        <f>IFERROR(__xludf.DUMMYFUNCTION("""COMPUTED_VALUE"""),0.0)</f>
        <v>0</v>
      </c>
      <c r="M138" s="65">
        <f>IFERROR(__xludf.DUMMYFUNCTION("""COMPUTED_VALUE"""),271.0)</f>
        <v>271</v>
      </c>
      <c r="N138" s="66">
        <f>IFERROR(__xludf.DUMMYFUNCTION("""COMPUTED_VALUE"""),30.0)</f>
        <v>30</v>
      </c>
    </row>
    <row r="139">
      <c r="A139" s="1"/>
      <c r="B139" s="62" t="str">
        <f>IFERROR(__xludf.DUMMYFUNCTION("""COMPUTED_VALUE"""),"Christopher Li")</f>
        <v>Christopher Li</v>
      </c>
      <c r="C139" s="63">
        <f>IFERROR(__xludf.DUMMYFUNCTION("""COMPUTED_VALUE"""),271.0)</f>
        <v>271</v>
      </c>
      <c r="D139" s="64">
        <f>IFERROR(__xludf.DUMMYFUNCTION("""COMPUTED_VALUE"""),27.0)</f>
        <v>27</v>
      </c>
      <c r="E139" s="63">
        <f>IFERROR(__xludf.DUMMYFUNCTION("""COMPUTED_VALUE"""),0.0)</f>
        <v>0</v>
      </c>
      <c r="F139" s="65">
        <f>IFERROR(__xludf.DUMMYFUNCTION("""COMPUTED_VALUE"""),0.0)</f>
        <v>0</v>
      </c>
      <c r="G139" s="65">
        <f>IFERROR(__xludf.DUMMYFUNCTION("""COMPUTED_VALUE"""),0.0)</f>
        <v>0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IFERROR(__xludf.DUMMYFUNCTION("""COMPUTED_VALUE"""),0.0)</f>
        <v>0</v>
      </c>
      <c r="L139" s="65">
        <f>IFERROR(__xludf.DUMMYFUNCTION("""COMPUTED_VALUE"""),0.0)</f>
        <v>0</v>
      </c>
      <c r="M139" s="65">
        <f>IFERROR(__xludf.DUMMYFUNCTION("""COMPUTED_VALUE"""),271.0)</f>
        <v>271</v>
      </c>
      <c r="N139" s="66">
        <f>IFERROR(__xludf.DUMMYFUNCTION("""COMPUTED_VALUE"""),27.0)</f>
        <v>27</v>
      </c>
    </row>
    <row r="140">
      <c r="A140" s="1"/>
      <c r="B140" s="62" t="str">
        <f>IFERROR(__xludf.DUMMYFUNCTION("""COMPUTED_VALUE"""),"Peter Homsey")</f>
        <v>Peter Homsey</v>
      </c>
      <c r="C140" s="63">
        <f>IFERROR(__xludf.DUMMYFUNCTION("""COMPUTED_VALUE"""),263.0)</f>
        <v>263</v>
      </c>
      <c r="D140" s="64">
        <f>IFERROR(__xludf.DUMMYFUNCTION("""COMPUTED_VALUE"""),23.0)</f>
        <v>23</v>
      </c>
      <c r="E140" s="63">
        <f>IFERROR(__xludf.DUMMYFUNCTION("""COMPUTED_VALUE"""),0.0)</f>
        <v>0</v>
      </c>
      <c r="F140" s="65">
        <f>IFERROR(__xludf.DUMMYFUNCTION("""COMPUTED_VALUE"""),0.0)</f>
        <v>0</v>
      </c>
      <c r="G140" s="65">
        <f>IFERROR(__xludf.DUMMYFUNCTION("""COMPUTED_VALUE"""),0.0)</f>
        <v>0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IFERROR(__xludf.DUMMYFUNCTION("""COMPUTED_VALUE"""),0.0)</f>
        <v>0</v>
      </c>
      <c r="L140" s="65">
        <f>IFERROR(__xludf.DUMMYFUNCTION("""COMPUTED_VALUE"""),0.0)</f>
        <v>0</v>
      </c>
      <c r="M140" s="65">
        <f>IFERROR(__xludf.DUMMYFUNCTION("""COMPUTED_VALUE"""),263.0)</f>
        <v>263</v>
      </c>
      <c r="N140" s="66">
        <f>IFERROR(__xludf.DUMMYFUNCTION("""COMPUTED_VALUE"""),23.0)</f>
        <v>23</v>
      </c>
    </row>
    <row r="141">
      <c r="A141" s="1"/>
      <c r="B141" s="62" t="str">
        <f>IFERROR(__xludf.DUMMYFUNCTION("""COMPUTED_VALUE"""),"Lam Bui")</f>
        <v>Lam Bui</v>
      </c>
      <c r="C141" s="63">
        <f>IFERROR(__xludf.DUMMYFUNCTION("""COMPUTED_VALUE"""),263.0)</f>
        <v>263</v>
      </c>
      <c r="D141" s="64">
        <f>IFERROR(__xludf.DUMMYFUNCTION("""COMPUTED_VALUE"""),18.0)</f>
        <v>18</v>
      </c>
      <c r="E141" s="63">
        <f>IFERROR(__xludf.DUMMYFUNCTION("""COMPUTED_VALUE"""),0.0)</f>
        <v>0</v>
      </c>
      <c r="F141" s="65">
        <f>IFERROR(__xludf.DUMMYFUNCTION("""COMPUTED_VALUE"""),0.0)</f>
        <v>0</v>
      </c>
      <c r="G141" s="65">
        <f>IFERROR(__xludf.DUMMYFUNCTION("""COMPUTED_VALUE"""),0.0)</f>
        <v>0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IFERROR(__xludf.DUMMYFUNCTION("""COMPUTED_VALUE"""),0.0)</f>
        <v>0</v>
      </c>
      <c r="L141" s="65">
        <f>IFERROR(__xludf.DUMMYFUNCTION("""COMPUTED_VALUE"""),0.0)</f>
        <v>0</v>
      </c>
      <c r="M141" s="65">
        <f>IFERROR(__xludf.DUMMYFUNCTION("""COMPUTED_VALUE"""),263.0)</f>
        <v>263</v>
      </c>
      <c r="N141" s="66">
        <f>IFERROR(__xludf.DUMMYFUNCTION("""COMPUTED_VALUE"""),18.0)</f>
        <v>18</v>
      </c>
    </row>
    <row r="142">
      <c r="A142" s="1"/>
      <c r="B142" s="62" t="str">
        <f>IFERROR(__xludf.DUMMYFUNCTION("""COMPUTED_VALUE"""),"Jonathan Phan")</f>
        <v>Jonathan Phan</v>
      </c>
      <c r="C142" s="63">
        <f>IFERROR(__xludf.DUMMYFUNCTION("""COMPUTED_VALUE"""),261.0)</f>
        <v>261</v>
      </c>
      <c r="D142" s="64">
        <f>IFERROR(__xludf.DUMMYFUNCTION("""COMPUTED_VALUE"""),22.0)</f>
        <v>22</v>
      </c>
      <c r="E142" s="63">
        <f>IFERROR(__xludf.DUMMYFUNCTION("""COMPUTED_VALUE"""),0.0)</f>
        <v>0</v>
      </c>
      <c r="F142" s="65">
        <f>IFERROR(__xludf.DUMMYFUNCTION("""COMPUTED_VALUE"""),0.0)</f>
        <v>0</v>
      </c>
      <c r="G142" s="65">
        <f>IFERROR(__xludf.DUMMYFUNCTION("""COMPUTED_VALUE"""),0.0)</f>
        <v>0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IFERROR(__xludf.DUMMYFUNCTION("""COMPUTED_VALUE"""),0.0)</f>
        <v>0</v>
      </c>
      <c r="L142" s="65">
        <f>IFERROR(__xludf.DUMMYFUNCTION("""COMPUTED_VALUE"""),0.0)</f>
        <v>0</v>
      </c>
      <c r="M142" s="65">
        <f>IFERROR(__xludf.DUMMYFUNCTION("""COMPUTED_VALUE"""),261.0)</f>
        <v>261</v>
      </c>
      <c r="N142" s="66">
        <f>IFERROR(__xludf.DUMMYFUNCTION("""COMPUTED_VALUE"""),22.0)</f>
        <v>22</v>
      </c>
    </row>
    <row r="143">
      <c r="A143" s="1"/>
      <c r="B143" s="62" t="str">
        <f>IFERROR(__xludf.DUMMYFUNCTION("""COMPUTED_VALUE"""),"David Shin")</f>
        <v>David Shin</v>
      </c>
      <c r="C143" s="63">
        <f>IFERROR(__xludf.DUMMYFUNCTION("""COMPUTED_VALUE"""),259.0)</f>
        <v>259</v>
      </c>
      <c r="D143" s="64">
        <f>IFERROR(__xludf.DUMMYFUNCTION("""COMPUTED_VALUE"""),23.0)</f>
        <v>23</v>
      </c>
      <c r="E143" s="63">
        <f>IFERROR(__xludf.DUMMYFUNCTION("""COMPUTED_VALUE"""),0.0)</f>
        <v>0</v>
      </c>
      <c r="F143" s="65">
        <f>IFERROR(__xludf.DUMMYFUNCTION("""COMPUTED_VALUE"""),0.0)</f>
        <v>0</v>
      </c>
      <c r="G143" s="65">
        <f>IFERROR(__xludf.DUMMYFUNCTION("""COMPUTED_VALUE"""),0.0)</f>
        <v>0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IFERROR(__xludf.DUMMYFUNCTION("""COMPUTED_VALUE"""),0.0)</f>
        <v>0</v>
      </c>
      <c r="L143" s="65">
        <f>IFERROR(__xludf.DUMMYFUNCTION("""COMPUTED_VALUE"""),0.0)</f>
        <v>0</v>
      </c>
      <c r="M143" s="65">
        <f>IFERROR(__xludf.DUMMYFUNCTION("""COMPUTED_VALUE"""),259.0)</f>
        <v>259</v>
      </c>
      <c r="N143" s="66">
        <f>IFERROR(__xludf.DUMMYFUNCTION("""COMPUTED_VALUE"""),23.0)</f>
        <v>23</v>
      </c>
    </row>
    <row r="144">
      <c r="A144" s="1"/>
      <c r="B144" s="62" t="str">
        <f>IFERROR(__xludf.DUMMYFUNCTION("""COMPUTED_VALUE"""),"Luis Hsu")</f>
        <v>Luis Hsu</v>
      </c>
      <c r="C144" s="63">
        <f>IFERROR(__xludf.DUMMYFUNCTION("""COMPUTED_VALUE"""),259.0)</f>
        <v>259</v>
      </c>
      <c r="D144" s="64">
        <f>IFERROR(__xludf.DUMMYFUNCTION("""COMPUTED_VALUE"""),23.0)</f>
        <v>23</v>
      </c>
      <c r="E144" s="63">
        <f>IFERROR(__xludf.DUMMYFUNCTION("""COMPUTED_VALUE"""),0.0)</f>
        <v>0</v>
      </c>
      <c r="F144" s="65">
        <f>IFERROR(__xludf.DUMMYFUNCTION("""COMPUTED_VALUE"""),0.0)</f>
        <v>0</v>
      </c>
      <c r="G144" s="65">
        <f>IFERROR(__xludf.DUMMYFUNCTION("""COMPUTED_VALUE"""),0.0)</f>
        <v>0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IFERROR(__xludf.DUMMYFUNCTION("""COMPUTED_VALUE"""),0.0)</f>
        <v>0</v>
      </c>
      <c r="L144" s="65">
        <f>IFERROR(__xludf.DUMMYFUNCTION("""COMPUTED_VALUE"""),0.0)</f>
        <v>0</v>
      </c>
      <c r="M144" s="65">
        <f>IFERROR(__xludf.DUMMYFUNCTION("""COMPUTED_VALUE"""),259.0)</f>
        <v>259</v>
      </c>
      <c r="N144" s="66">
        <f>IFERROR(__xludf.DUMMYFUNCTION("""COMPUTED_VALUE"""),23.0)</f>
        <v>23</v>
      </c>
    </row>
    <row r="145">
      <c r="A145" s="1"/>
      <c r="B145" s="62" t="str">
        <f>IFERROR(__xludf.DUMMYFUNCTION("""COMPUTED_VALUE"""),"Ted Shen")</f>
        <v>Ted Shen</v>
      </c>
      <c r="C145" s="63">
        <f>IFERROR(__xludf.DUMMYFUNCTION("""COMPUTED_VALUE"""),254.0)</f>
        <v>254</v>
      </c>
      <c r="D145" s="64">
        <f>IFERROR(__xludf.DUMMYFUNCTION("""COMPUTED_VALUE"""),20.0)</f>
        <v>20</v>
      </c>
      <c r="E145" s="63">
        <f>IFERROR(__xludf.DUMMYFUNCTION("""COMPUTED_VALUE"""),0.0)</f>
        <v>0</v>
      </c>
      <c r="F145" s="65">
        <f>IFERROR(__xludf.DUMMYFUNCTION("""COMPUTED_VALUE"""),0.0)</f>
        <v>0</v>
      </c>
      <c r="G145" s="65">
        <f>IFERROR(__xludf.DUMMYFUNCTION("""COMPUTED_VALUE"""),0.0)</f>
        <v>0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IFERROR(__xludf.DUMMYFUNCTION("""COMPUTED_VALUE"""),0.0)</f>
        <v>0</v>
      </c>
      <c r="L145" s="65">
        <f>IFERROR(__xludf.DUMMYFUNCTION("""COMPUTED_VALUE"""),0.0)</f>
        <v>0</v>
      </c>
      <c r="M145" s="65">
        <f>IFERROR(__xludf.DUMMYFUNCTION("""COMPUTED_VALUE"""),254.0)</f>
        <v>254</v>
      </c>
      <c r="N145" s="66">
        <f>IFERROR(__xludf.DUMMYFUNCTION("""COMPUTED_VALUE"""),20.0)</f>
        <v>20</v>
      </c>
    </row>
    <row r="146">
      <c r="A146" s="1"/>
      <c r="B146" s="62" t="str">
        <f>IFERROR(__xludf.DUMMYFUNCTION("""COMPUTED_VALUE"""),"Eric Pan")</f>
        <v>Eric Pan</v>
      </c>
      <c r="C146" s="63">
        <f>IFERROR(__xludf.DUMMYFUNCTION("""COMPUTED_VALUE"""),254.0)</f>
        <v>254</v>
      </c>
      <c r="D146" s="64">
        <f>IFERROR(__xludf.DUMMYFUNCTION("""COMPUTED_VALUE"""),19.0)</f>
        <v>19</v>
      </c>
      <c r="E146" s="63">
        <f>IFERROR(__xludf.DUMMYFUNCTION("""COMPUTED_VALUE"""),0.0)</f>
        <v>0</v>
      </c>
      <c r="F146" s="65">
        <f>IFERROR(__xludf.DUMMYFUNCTION("""COMPUTED_VALUE"""),0.0)</f>
        <v>0</v>
      </c>
      <c r="G146" s="65">
        <f>IFERROR(__xludf.DUMMYFUNCTION("""COMPUTED_VALUE"""),0.0)</f>
        <v>0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IFERROR(__xludf.DUMMYFUNCTION("""COMPUTED_VALUE"""),0.0)</f>
        <v>0</v>
      </c>
      <c r="L146" s="65">
        <f>IFERROR(__xludf.DUMMYFUNCTION("""COMPUTED_VALUE"""),0.0)</f>
        <v>0</v>
      </c>
      <c r="M146" s="65">
        <f>IFERROR(__xludf.DUMMYFUNCTION("""COMPUTED_VALUE"""),254.0)</f>
        <v>254</v>
      </c>
      <c r="N146" s="66">
        <f>IFERROR(__xludf.DUMMYFUNCTION("""COMPUTED_VALUE"""),19.0)</f>
        <v>19</v>
      </c>
    </row>
    <row r="147">
      <c r="A147" s="1"/>
      <c r="B147" s="62" t="str">
        <f>IFERROR(__xludf.DUMMYFUNCTION("""COMPUTED_VALUE"""),"Sean Chang")</f>
        <v>Sean Chang</v>
      </c>
      <c r="C147" s="63">
        <f>IFERROR(__xludf.DUMMYFUNCTION("""COMPUTED_VALUE"""),253.0)</f>
        <v>253</v>
      </c>
      <c r="D147" s="64">
        <f>IFERROR(__xludf.DUMMYFUNCTION("""COMPUTED_VALUE"""),15.0)</f>
        <v>15</v>
      </c>
      <c r="E147" s="63">
        <f>IFERROR(__xludf.DUMMYFUNCTION("""COMPUTED_VALUE"""),0.0)</f>
        <v>0</v>
      </c>
      <c r="F147" s="65">
        <f>IFERROR(__xludf.DUMMYFUNCTION("""COMPUTED_VALUE"""),0.0)</f>
        <v>0</v>
      </c>
      <c r="G147" s="65">
        <f>IFERROR(__xludf.DUMMYFUNCTION("""COMPUTED_VALUE"""),0.0)</f>
        <v>0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IFERROR(__xludf.DUMMYFUNCTION("""COMPUTED_VALUE"""),0.0)</f>
        <v>0</v>
      </c>
      <c r="L147" s="65">
        <f>IFERROR(__xludf.DUMMYFUNCTION("""COMPUTED_VALUE"""),0.0)</f>
        <v>0</v>
      </c>
      <c r="M147" s="65">
        <f>IFERROR(__xludf.DUMMYFUNCTION("""COMPUTED_VALUE"""),253.0)</f>
        <v>253</v>
      </c>
      <c r="N147" s="66">
        <f>IFERROR(__xludf.DUMMYFUNCTION("""COMPUTED_VALUE"""),15.0)</f>
        <v>15</v>
      </c>
    </row>
    <row r="148">
      <c r="A148" s="1"/>
      <c r="B148" s="62" t="str">
        <f>IFERROR(__xludf.DUMMYFUNCTION("""COMPUTED_VALUE"""),"Pavan Akkimsetty")</f>
        <v>Pavan Akkimsetty</v>
      </c>
      <c r="C148" s="63">
        <f>IFERROR(__xludf.DUMMYFUNCTION("""COMPUTED_VALUE"""),252.0)</f>
        <v>252</v>
      </c>
      <c r="D148" s="64">
        <f>IFERROR(__xludf.DUMMYFUNCTION("""COMPUTED_VALUE"""),22.0)</f>
        <v>22</v>
      </c>
      <c r="E148" s="63">
        <f>IFERROR(__xludf.DUMMYFUNCTION("""COMPUTED_VALUE"""),0.0)</f>
        <v>0</v>
      </c>
      <c r="F148" s="65">
        <f>IFERROR(__xludf.DUMMYFUNCTION("""COMPUTED_VALUE"""),0.0)</f>
        <v>0</v>
      </c>
      <c r="G148" s="65">
        <f>IFERROR(__xludf.DUMMYFUNCTION("""COMPUTED_VALUE"""),0.0)</f>
        <v>0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IFERROR(__xludf.DUMMYFUNCTION("""COMPUTED_VALUE"""),0.0)</f>
        <v>0</v>
      </c>
      <c r="L148" s="65">
        <f>IFERROR(__xludf.DUMMYFUNCTION("""COMPUTED_VALUE"""),0.0)</f>
        <v>0</v>
      </c>
      <c r="M148" s="65">
        <f>IFERROR(__xludf.DUMMYFUNCTION("""COMPUTED_VALUE"""),252.0)</f>
        <v>252</v>
      </c>
      <c r="N148" s="66">
        <f>IFERROR(__xludf.DUMMYFUNCTION("""COMPUTED_VALUE"""),22.0)</f>
        <v>22</v>
      </c>
    </row>
    <row r="149">
      <c r="A149" s="1"/>
      <c r="B149" s="62" t="str">
        <f>IFERROR(__xludf.DUMMYFUNCTION("""COMPUTED_VALUE"""),"Susanta Mishra")</f>
        <v>Susanta Mishra</v>
      </c>
      <c r="C149" s="63">
        <f>IFERROR(__xludf.DUMMYFUNCTION("""COMPUTED_VALUE"""),251.0)</f>
        <v>251</v>
      </c>
      <c r="D149" s="64">
        <f>IFERROR(__xludf.DUMMYFUNCTION("""COMPUTED_VALUE"""),18.0)</f>
        <v>18</v>
      </c>
      <c r="E149" s="63">
        <f>IFERROR(__xludf.DUMMYFUNCTION("""COMPUTED_VALUE"""),0.0)</f>
        <v>0</v>
      </c>
      <c r="F149" s="65">
        <f>IFERROR(__xludf.DUMMYFUNCTION("""COMPUTED_VALUE"""),0.0)</f>
        <v>0</v>
      </c>
      <c r="G149" s="65">
        <f>IFERROR(__xludf.DUMMYFUNCTION("""COMPUTED_VALUE"""),0.0)</f>
        <v>0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IFERROR(__xludf.DUMMYFUNCTION("""COMPUTED_VALUE"""),0.0)</f>
        <v>0</v>
      </c>
      <c r="L149" s="65">
        <f>IFERROR(__xludf.DUMMYFUNCTION("""COMPUTED_VALUE"""),0.0)</f>
        <v>0</v>
      </c>
      <c r="M149" s="65">
        <f>IFERROR(__xludf.DUMMYFUNCTION("""COMPUTED_VALUE"""),251.0)</f>
        <v>251</v>
      </c>
      <c r="N149" s="66">
        <f>IFERROR(__xludf.DUMMYFUNCTION("""COMPUTED_VALUE"""),18.0)</f>
        <v>18</v>
      </c>
    </row>
    <row r="150">
      <c r="A150" s="1"/>
      <c r="B150" s="62" t="str">
        <f>IFERROR(__xludf.DUMMYFUNCTION("""COMPUTED_VALUE"""),"Erik Hoeckmann")</f>
        <v>Erik Hoeckmann</v>
      </c>
      <c r="C150" s="63">
        <f>IFERROR(__xludf.DUMMYFUNCTION("""COMPUTED_VALUE"""),248.0)</f>
        <v>248</v>
      </c>
      <c r="D150" s="64">
        <f>IFERROR(__xludf.DUMMYFUNCTION("""COMPUTED_VALUE"""),24.0)</f>
        <v>24</v>
      </c>
      <c r="E150" s="63">
        <f>IFERROR(__xludf.DUMMYFUNCTION("""COMPUTED_VALUE"""),0.0)</f>
        <v>0</v>
      </c>
      <c r="F150" s="65">
        <f>IFERROR(__xludf.DUMMYFUNCTION("""COMPUTED_VALUE"""),0.0)</f>
        <v>0</v>
      </c>
      <c r="G150" s="65">
        <f>IFERROR(__xludf.DUMMYFUNCTION("""COMPUTED_VALUE"""),0.0)</f>
        <v>0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IFERROR(__xludf.DUMMYFUNCTION("""COMPUTED_VALUE"""),0.0)</f>
        <v>0</v>
      </c>
      <c r="L150" s="65">
        <f>IFERROR(__xludf.DUMMYFUNCTION("""COMPUTED_VALUE"""),0.0)</f>
        <v>0</v>
      </c>
      <c r="M150" s="65">
        <f>IFERROR(__xludf.DUMMYFUNCTION("""COMPUTED_VALUE"""),248.0)</f>
        <v>248</v>
      </c>
      <c r="N150" s="66">
        <f>IFERROR(__xludf.DUMMYFUNCTION("""COMPUTED_VALUE"""),24.0)</f>
        <v>24</v>
      </c>
    </row>
    <row r="151">
      <c r="A151" s="1"/>
      <c r="B151" s="62" t="str">
        <f>IFERROR(__xludf.DUMMYFUNCTION("""COMPUTED_VALUE"""),"Joe Luzzi")</f>
        <v>Joe Luzzi</v>
      </c>
      <c r="C151" s="63">
        <f>IFERROR(__xludf.DUMMYFUNCTION("""COMPUTED_VALUE"""),247.0)</f>
        <v>247</v>
      </c>
      <c r="D151" s="64">
        <f>IFERROR(__xludf.DUMMYFUNCTION("""COMPUTED_VALUE"""),17.0)</f>
        <v>17</v>
      </c>
      <c r="E151" s="63">
        <f>IFERROR(__xludf.DUMMYFUNCTION("""COMPUTED_VALUE"""),0.0)</f>
        <v>0</v>
      </c>
      <c r="F151" s="65">
        <f>IFERROR(__xludf.DUMMYFUNCTION("""COMPUTED_VALUE"""),0.0)</f>
        <v>0</v>
      </c>
      <c r="G151" s="65">
        <f>IFERROR(__xludf.DUMMYFUNCTION("""COMPUTED_VALUE"""),0.0)</f>
        <v>0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IFERROR(__xludf.DUMMYFUNCTION("""COMPUTED_VALUE"""),0.0)</f>
        <v>0</v>
      </c>
      <c r="L151" s="65">
        <f>IFERROR(__xludf.DUMMYFUNCTION("""COMPUTED_VALUE"""),0.0)</f>
        <v>0</v>
      </c>
      <c r="M151" s="65">
        <f>IFERROR(__xludf.DUMMYFUNCTION("""COMPUTED_VALUE"""),247.0)</f>
        <v>247</v>
      </c>
      <c r="N151" s="66">
        <f>IFERROR(__xludf.DUMMYFUNCTION("""COMPUTED_VALUE"""),17.0)</f>
        <v>17</v>
      </c>
    </row>
    <row r="152">
      <c r="A152" s="1"/>
      <c r="B152" s="62" t="str">
        <f>IFERROR(__xludf.DUMMYFUNCTION("""COMPUTED_VALUE"""),"Tom Le")</f>
        <v>Tom Le</v>
      </c>
      <c r="C152" s="63">
        <f>IFERROR(__xludf.DUMMYFUNCTION("""COMPUTED_VALUE"""),246.0)</f>
        <v>246</v>
      </c>
      <c r="D152" s="64">
        <f>IFERROR(__xludf.DUMMYFUNCTION("""COMPUTED_VALUE"""),19.0)</f>
        <v>19</v>
      </c>
      <c r="E152" s="63">
        <f>IFERROR(__xludf.DUMMYFUNCTION("""COMPUTED_VALUE"""),0.0)</f>
        <v>0</v>
      </c>
      <c r="F152" s="65">
        <f>IFERROR(__xludf.DUMMYFUNCTION("""COMPUTED_VALUE"""),0.0)</f>
        <v>0</v>
      </c>
      <c r="G152" s="65">
        <f>IFERROR(__xludf.DUMMYFUNCTION("""COMPUTED_VALUE"""),0.0)</f>
        <v>0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IFERROR(__xludf.DUMMYFUNCTION("""COMPUTED_VALUE"""),0.0)</f>
        <v>0</v>
      </c>
      <c r="L152" s="65">
        <f>IFERROR(__xludf.DUMMYFUNCTION("""COMPUTED_VALUE"""),0.0)</f>
        <v>0</v>
      </c>
      <c r="M152" s="65">
        <f>IFERROR(__xludf.DUMMYFUNCTION("""COMPUTED_VALUE"""),246.0)</f>
        <v>246</v>
      </c>
      <c r="N152" s="66">
        <f>IFERROR(__xludf.DUMMYFUNCTION("""COMPUTED_VALUE"""),19.0)</f>
        <v>19</v>
      </c>
    </row>
    <row r="153">
      <c r="A153" s="1"/>
      <c r="B153" s="62" t="str">
        <f>IFERROR(__xludf.DUMMYFUNCTION("""COMPUTED_VALUE"""),"Lloyd Sagar")</f>
        <v>Lloyd Sagar</v>
      </c>
      <c r="C153" s="63">
        <f>IFERROR(__xludf.DUMMYFUNCTION("""COMPUTED_VALUE"""),244.0)</f>
        <v>244</v>
      </c>
      <c r="D153" s="64">
        <f>IFERROR(__xludf.DUMMYFUNCTION("""COMPUTED_VALUE"""),17.0)</f>
        <v>17</v>
      </c>
      <c r="E153" s="63">
        <f>IFERROR(__xludf.DUMMYFUNCTION("""COMPUTED_VALUE"""),0.0)</f>
        <v>0</v>
      </c>
      <c r="F153" s="65">
        <f>IFERROR(__xludf.DUMMYFUNCTION("""COMPUTED_VALUE"""),0.0)</f>
        <v>0</v>
      </c>
      <c r="G153" s="65">
        <f>IFERROR(__xludf.DUMMYFUNCTION("""COMPUTED_VALUE"""),0.0)</f>
        <v>0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IFERROR(__xludf.DUMMYFUNCTION("""COMPUTED_VALUE"""),0.0)</f>
        <v>0</v>
      </c>
      <c r="L153" s="65">
        <f>IFERROR(__xludf.DUMMYFUNCTION("""COMPUTED_VALUE"""),0.0)</f>
        <v>0</v>
      </c>
      <c r="M153" s="65">
        <f>IFERROR(__xludf.DUMMYFUNCTION("""COMPUTED_VALUE"""),244.0)</f>
        <v>244</v>
      </c>
      <c r="N153" s="66">
        <f>IFERROR(__xludf.DUMMYFUNCTION("""COMPUTED_VALUE"""),17.0)</f>
        <v>17</v>
      </c>
    </row>
    <row r="154">
      <c r="A154" s="1"/>
      <c r="B154" s="62" t="str">
        <f>IFERROR(__xludf.DUMMYFUNCTION("""COMPUTED_VALUE"""),"Chinna Ponnaganti")</f>
        <v>Chinna Ponnaganti</v>
      </c>
      <c r="C154" s="63">
        <f>IFERROR(__xludf.DUMMYFUNCTION("""COMPUTED_VALUE"""),243.0)</f>
        <v>243</v>
      </c>
      <c r="D154" s="64">
        <f>IFERROR(__xludf.DUMMYFUNCTION("""COMPUTED_VALUE"""),21.0)</f>
        <v>21</v>
      </c>
      <c r="E154" s="63">
        <f>IFERROR(__xludf.DUMMYFUNCTION("""COMPUTED_VALUE"""),0.0)</f>
        <v>0</v>
      </c>
      <c r="F154" s="65">
        <f>IFERROR(__xludf.DUMMYFUNCTION("""COMPUTED_VALUE"""),0.0)</f>
        <v>0</v>
      </c>
      <c r="G154" s="65">
        <f>IFERROR(__xludf.DUMMYFUNCTION("""COMPUTED_VALUE"""),0.0)</f>
        <v>0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IFERROR(__xludf.DUMMYFUNCTION("""COMPUTED_VALUE"""),0.0)</f>
        <v>0</v>
      </c>
      <c r="L154" s="65">
        <f>IFERROR(__xludf.DUMMYFUNCTION("""COMPUTED_VALUE"""),0.0)</f>
        <v>0</v>
      </c>
      <c r="M154" s="65">
        <f>IFERROR(__xludf.DUMMYFUNCTION("""COMPUTED_VALUE"""),243.0)</f>
        <v>243</v>
      </c>
      <c r="N154" s="66">
        <f>IFERROR(__xludf.DUMMYFUNCTION("""COMPUTED_VALUE"""),21.0)</f>
        <v>21</v>
      </c>
    </row>
    <row r="155">
      <c r="A155" s="1"/>
      <c r="B155" s="62" t="str">
        <f>IFERROR(__xludf.DUMMYFUNCTION("""COMPUTED_VALUE"""),"Pulkit Mathur")</f>
        <v>Pulkit Mathur</v>
      </c>
      <c r="C155" s="63">
        <f>IFERROR(__xludf.DUMMYFUNCTION("""COMPUTED_VALUE"""),241.0)</f>
        <v>241</v>
      </c>
      <c r="D155" s="64">
        <f>IFERROR(__xludf.DUMMYFUNCTION("""COMPUTED_VALUE"""),17.0)</f>
        <v>17</v>
      </c>
      <c r="E155" s="63">
        <f>IFERROR(__xludf.DUMMYFUNCTION("""COMPUTED_VALUE"""),0.0)</f>
        <v>0</v>
      </c>
      <c r="F155" s="65">
        <f>IFERROR(__xludf.DUMMYFUNCTION("""COMPUTED_VALUE"""),0.0)</f>
        <v>0</v>
      </c>
      <c r="G155" s="65">
        <f>IFERROR(__xludf.DUMMYFUNCTION("""COMPUTED_VALUE"""),0.0)</f>
        <v>0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IFERROR(__xludf.DUMMYFUNCTION("""COMPUTED_VALUE"""),0.0)</f>
        <v>0</v>
      </c>
      <c r="L155" s="65">
        <f>IFERROR(__xludf.DUMMYFUNCTION("""COMPUTED_VALUE"""),0.0)</f>
        <v>0</v>
      </c>
      <c r="M155" s="65">
        <f>IFERROR(__xludf.DUMMYFUNCTION("""COMPUTED_VALUE"""),241.0)</f>
        <v>241</v>
      </c>
      <c r="N155" s="66">
        <f>IFERROR(__xludf.DUMMYFUNCTION("""COMPUTED_VALUE"""),17.0)</f>
        <v>17</v>
      </c>
    </row>
    <row r="156">
      <c r="A156" s="1"/>
      <c r="B156" s="62" t="str">
        <f>IFERROR(__xludf.DUMMYFUNCTION("""COMPUTED_VALUE"""),"Oscar Bonilla")</f>
        <v>Oscar Bonilla</v>
      </c>
      <c r="C156" s="63">
        <f>IFERROR(__xludf.DUMMYFUNCTION("""COMPUTED_VALUE"""),240.0)</f>
        <v>240</v>
      </c>
      <c r="D156" s="64">
        <f>IFERROR(__xludf.DUMMYFUNCTION("""COMPUTED_VALUE"""),15.0)</f>
        <v>15</v>
      </c>
      <c r="E156" s="63">
        <f>IFERROR(__xludf.DUMMYFUNCTION("""COMPUTED_VALUE"""),0.0)</f>
        <v>0</v>
      </c>
      <c r="F156" s="65">
        <f>IFERROR(__xludf.DUMMYFUNCTION("""COMPUTED_VALUE"""),0.0)</f>
        <v>0</v>
      </c>
      <c r="G156" s="65">
        <f>IFERROR(__xludf.DUMMYFUNCTION("""COMPUTED_VALUE"""),0.0)</f>
        <v>0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IFERROR(__xludf.DUMMYFUNCTION("""COMPUTED_VALUE"""),0.0)</f>
        <v>0</v>
      </c>
      <c r="L156" s="65">
        <f>IFERROR(__xludf.DUMMYFUNCTION("""COMPUTED_VALUE"""),0.0)</f>
        <v>0</v>
      </c>
      <c r="M156" s="65">
        <f>IFERROR(__xludf.DUMMYFUNCTION("""COMPUTED_VALUE"""),240.0)</f>
        <v>240</v>
      </c>
      <c r="N156" s="66">
        <f>IFERROR(__xludf.DUMMYFUNCTION("""COMPUTED_VALUE"""),15.0)</f>
        <v>15</v>
      </c>
    </row>
    <row r="157">
      <c r="A157" s="1"/>
      <c r="B157" s="62" t="str">
        <f>IFERROR(__xludf.DUMMYFUNCTION("""COMPUTED_VALUE"""),"Andrew Wen")</f>
        <v>Andrew Wen</v>
      </c>
      <c r="C157" s="63">
        <f>IFERROR(__xludf.DUMMYFUNCTION("""COMPUTED_VALUE"""),239.0)</f>
        <v>239</v>
      </c>
      <c r="D157" s="64">
        <f>IFERROR(__xludf.DUMMYFUNCTION("""COMPUTED_VALUE"""),19.0)</f>
        <v>19</v>
      </c>
      <c r="E157" s="63">
        <f>IFERROR(__xludf.DUMMYFUNCTION("""COMPUTED_VALUE"""),0.0)</f>
        <v>0</v>
      </c>
      <c r="F157" s="65">
        <f>IFERROR(__xludf.DUMMYFUNCTION("""COMPUTED_VALUE"""),0.0)</f>
        <v>0</v>
      </c>
      <c r="G157" s="65">
        <f>IFERROR(__xludf.DUMMYFUNCTION("""COMPUTED_VALUE"""),0.0)</f>
        <v>0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IFERROR(__xludf.DUMMYFUNCTION("""COMPUTED_VALUE"""),0.0)</f>
        <v>0</v>
      </c>
      <c r="L157" s="65">
        <f>IFERROR(__xludf.DUMMYFUNCTION("""COMPUTED_VALUE"""),0.0)</f>
        <v>0</v>
      </c>
      <c r="M157" s="65">
        <f>IFERROR(__xludf.DUMMYFUNCTION("""COMPUTED_VALUE"""),239.0)</f>
        <v>239</v>
      </c>
      <c r="N157" s="66">
        <f>IFERROR(__xludf.DUMMYFUNCTION("""COMPUTED_VALUE"""),19.0)</f>
        <v>19</v>
      </c>
    </row>
    <row r="158">
      <c r="A158" s="1"/>
      <c r="B158" s="62" t="str">
        <f>IFERROR(__xludf.DUMMYFUNCTION("""COMPUTED_VALUE"""),"Mauricio Palacios")</f>
        <v>Mauricio Palacios</v>
      </c>
      <c r="C158" s="63">
        <f>IFERROR(__xludf.DUMMYFUNCTION("""COMPUTED_VALUE"""),239.0)</f>
        <v>239</v>
      </c>
      <c r="D158" s="64">
        <f>IFERROR(__xludf.DUMMYFUNCTION("""COMPUTED_VALUE"""),16.0)</f>
        <v>16</v>
      </c>
      <c r="E158" s="63">
        <f>IFERROR(__xludf.DUMMYFUNCTION("""COMPUTED_VALUE"""),0.0)</f>
        <v>0</v>
      </c>
      <c r="F158" s="65">
        <f>IFERROR(__xludf.DUMMYFUNCTION("""COMPUTED_VALUE"""),0.0)</f>
        <v>0</v>
      </c>
      <c r="G158" s="65">
        <f>IFERROR(__xludf.DUMMYFUNCTION("""COMPUTED_VALUE"""),0.0)</f>
        <v>0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IFERROR(__xludf.DUMMYFUNCTION("""COMPUTED_VALUE"""),0.0)</f>
        <v>0</v>
      </c>
      <c r="L158" s="65">
        <f>IFERROR(__xludf.DUMMYFUNCTION("""COMPUTED_VALUE"""),0.0)</f>
        <v>0</v>
      </c>
      <c r="M158" s="65">
        <f>IFERROR(__xludf.DUMMYFUNCTION("""COMPUTED_VALUE"""),239.0)</f>
        <v>239</v>
      </c>
      <c r="N158" s="66">
        <f>IFERROR(__xludf.DUMMYFUNCTION("""COMPUTED_VALUE"""),16.0)</f>
        <v>16</v>
      </c>
    </row>
    <row r="159">
      <c r="A159" s="1"/>
      <c r="B159" s="62" t="str">
        <f>IFERROR(__xludf.DUMMYFUNCTION("""COMPUTED_VALUE"""),"Ramesh Bandaru")</f>
        <v>Ramesh Bandaru</v>
      </c>
      <c r="C159" s="63">
        <f>IFERROR(__xludf.DUMMYFUNCTION("""COMPUTED_VALUE"""),239.0)</f>
        <v>239</v>
      </c>
      <c r="D159" s="64">
        <f>IFERROR(__xludf.DUMMYFUNCTION("""COMPUTED_VALUE"""),16.0)</f>
        <v>16</v>
      </c>
      <c r="E159" s="63">
        <f>IFERROR(__xludf.DUMMYFUNCTION("""COMPUTED_VALUE"""),0.0)</f>
        <v>0</v>
      </c>
      <c r="F159" s="65">
        <f>IFERROR(__xludf.DUMMYFUNCTION("""COMPUTED_VALUE"""),0.0)</f>
        <v>0</v>
      </c>
      <c r="G159" s="65">
        <f>IFERROR(__xludf.DUMMYFUNCTION("""COMPUTED_VALUE"""),0.0)</f>
        <v>0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IFERROR(__xludf.DUMMYFUNCTION("""COMPUTED_VALUE"""),0.0)</f>
        <v>0</v>
      </c>
      <c r="L159" s="65">
        <f>IFERROR(__xludf.DUMMYFUNCTION("""COMPUTED_VALUE"""),0.0)</f>
        <v>0</v>
      </c>
      <c r="M159" s="65">
        <f>IFERROR(__xludf.DUMMYFUNCTION("""COMPUTED_VALUE"""),239.0)</f>
        <v>239</v>
      </c>
      <c r="N159" s="66">
        <f>IFERROR(__xludf.DUMMYFUNCTION("""COMPUTED_VALUE"""),16.0)</f>
        <v>16</v>
      </c>
    </row>
    <row r="160">
      <c r="A160" s="1"/>
      <c r="B160" s="62" t="str">
        <f>IFERROR(__xludf.DUMMYFUNCTION("""COMPUTED_VALUE"""),"David Tam")</f>
        <v>David Tam</v>
      </c>
      <c r="C160" s="63">
        <f>IFERROR(__xludf.DUMMYFUNCTION("""COMPUTED_VALUE"""),238.0)</f>
        <v>238</v>
      </c>
      <c r="D160" s="64">
        <f>IFERROR(__xludf.DUMMYFUNCTION("""COMPUTED_VALUE"""),18.0)</f>
        <v>18</v>
      </c>
      <c r="E160" s="63">
        <f>IFERROR(__xludf.DUMMYFUNCTION("""COMPUTED_VALUE"""),0.0)</f>
        <v>0</v>
      </c>
      <c r="F160" s="65">
        <f>IFERROR(__xludf.DUMMYFUNCTION("""COMPUTED_VALUE"""),0.0)</f>
        <v>0</v>
      </c>
      <c r="G160" s="65">
        <f>IFERROR(__xludf.DUMMYFUNCTION("""COMPUTED_VALUE"""),0.0)</f>
        <v>0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IFERROR(__xludf.DUMMYFUNCTION("""COMPUTED_VALUE"""),0.0)</f>
        <v>0</v>
      </c>
      <c r="L160" s="65">
        <f>IFERROR(__xludf.DUMMYFUNCTION("""COMPUTED_VALUE"""),0.0)</f>
        <v>0</v>
      </c>
      <c r="M160" s="65">
        <f>IFERROR(__xludf.DUMMYFUNCTION("""COMPUTED_VALUE"""),238.0)</f>
        <v>238</v>
      </c>
      <c r="N160" s="66">
        <f>IFERROR(__xludf.DUMMYFUNCTION("""COMPUTED_VALUE"""),18.0)</f>
        <v>18</v>
      </c>
    </row>
    <row r="161">
      <c r="A161" s="1"/>
      <c r="B161" s="62" t="str">
        <f>IFERROR(__xludf.DUMMYFUNCTION("""COMPUTED_VALUE"""),"Vishnu Amarnath")</f>
        <v>Vishnu Amarnath</v>
      </c>
      <c r="C161" s="63">
        <f>IFERROR(__xludf.DUMMYFUNCTION("""COMPUTED_VALUE"""),234.0)</f>
        <v>234</v>
      </c>
      <c r="D161" s="64">
        <f>IFERROR(__xludf.DUMMYFUNCTION("""COMPUTED_VALUE"""),20.0)</f>
        <v>20</v>
      </c>
      <c r="E161" s="63">
        <f>IFERROR(__xludf.DUMMYFUNCTION("""COMPUTED_VALUE"""),0.0)</f>
        <v>0</v>
      </c>
      <c r="F161" s="65">
        <f>IFERROR(__xludf.DUMMYFUNCTION("""COMPUTED_VALUE"""),0.0)</f>
        <v>0</v>
      </c>
      <c r="G161" s="65">
        <f>IFERROR(__xludf.DUMMYFUNCTION("""COMPUTED_VALUE"""),0.0)</f>
        <v>0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IFERROR(__xludf.DUMMYFUNCTION("""COMPUTED_VALUE"""),0.0)</f>
        <v>0</v>
      </c>
      <c r="L161" s="65">
        <f>IFERROR(__xludf.DUMMYFUNCTION("""COMPUTED_VALUE"""),0.0)</f>
        <v>0</v>
      </c>
      <c r="M161" s="65">
        <f>IFERROR(__xludf.DUMMYFUNCTION("""COMPUTED_VALUE"""),234.0)</f>
        <v>234</v>
      </c>
      <c r="N161" s="66">
        <f>IFERROR(__xludf.DUMMYFUNCTION("""COMPUTED_VALUE"""),20.0)</f>
        <v>20</v>
      </c>
    </row>
    <row r="162">
      <c r="A162" s="1"/>
      <c r="B162" s="62" t="str">
        <f>IFERROR(__xludf.DUMMYFUNCTION("""COMPUTED_VALUE"""),"Trinath Goteti")</f>
        <v>Trinath Goteti</v>
      </c>
      <c r="C162" s="63">
        <f>IFERROR(__xludf.DUMMYFUNCTION("""COMPUTED_VALUE"""),234.0)</f>
        <v>234</v>
      </c>
      <c r="D162" s="64">
        <f>IFERROR(__xludf.DUMMYFUNCTION("""COMPUTED_VALUE"""),14.0)</f>
        <v>14</v>
      </c>
      <c r="E162" s="63">
        <f>IFERROR(__xludf.DUMMYFUNCTION("""COMPUTED_VALUE"""),0.0)</f>
        <v>0</v>
      </c>
      <c r="F162" s="65">
        <f>IFERROR(__xludf.DUMMYFUNCTION("""COMPUTED_VALUE"""),0.0)</f>
        <v>0</v>
      </c>
      <c r="G162" s="65">
        <f>IFERROR(__xludf.DUMMYFUNCTION("""COMPUTED_VALUE"""),0.0)</f>
        <v>0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IFERROR(__xludf.DUMMYFUNCTION("""COMPUTED_VALUE"""),0.0)</f>
        <v>0</v>
      </c>
      <c r="L162" s="65">
        <f>IFERROR(__xludf.DUMMYFUNCTION("""COMPUTED_VALUE"""),0.0)</f>
        <v>0</v>
      </c>
      <c r="M162" s="65">
        <f>IFERROR(__xludf.DUMMYFUNCTION("""COMPUTED_VALUE"""),234.0)</f>
        <v>234</v>
      </c>
      <c r="N162" s="66">
        <f>IFERROR(__xludf.DUMMYFUNCTION("""COMPUTED_VALUE"""),14.0)</f>
        <v>14</v>
      </c>
    </row>
    <row r="163">
      <c r="A163" s="1"/>
      <c r="B163" s="62" t="str">
        <f>IFERROR(__xludf.DUMMYFUNCTION("""COMPUTED_VALUE"""),"Eric Tan")</f>
        <v>Eric Tan</v>
      </c>
      <c r="C163" s="63">
        <f>IFERROR(__xludf.DUMMYFUNCTION("""COMPUTED_VALUE"""),231.0)</f>
        <v>231</v>
      </c>
      <c r="D163" s="64">
        <f>IFERROR(__xludf.DUMMYFUNCTION("""COMPUTED_VALUE"""),20.0)</f>
        <v>20</v>
      </c>
      <c r="E163" s="63">
        <f>IFERROR(__xludf.DUMMYFUNCTION("""COMPUTED_VALUE"""),0.0)</f>
        <v>0</v>
      </c>
      <c r="F163" s="65">
        <f>IFERROR(__xludf.DUMMYFUNCTION("""COMPUTED_VALUE"""),0.0)</f>
        <v>0</v>
      </c>
      <c r="G163" s="65">
        <f>IFERROR(__xludf.DUMMYFUNCTION("""COMPUTED_VALUE"""),0.0)</f>
        <v>0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IFERROR(__xludf.DUMMYFUNCTION("""COMPUTED_VALUE"""),0.0)</f>
        <v>0</v>
      </c>
      <c r="L163" s="65">
        <f>IFERROR(__xludf.DUMMYFUNCTION("""COMPUTED_VALUE"""),0.0)</f>
        <v>0</v>
      </c>
      <c r="M163" s="65">
        <f>IFERROR(__xludf.DUMMYFUNCTION("""COMPUTED_VALUE"""),231.0)</f>
        <v>231</v>
      </c>
      <c r="N163" s="66">
        <f>IFERROR(__xludf.DUMMYFUNCTION("""COMPUTED_VALUE"""),20.0)</f>
        <v>20</v>
      </c>
    </row>
    <row r="164">
      <c r="A164" s="1"/>
      <c r="B164" s="62" t="str">
        <f>IFERROR(__xludf.DUMMYFUNCTION("""COMPUTED_VALUE"""),"Scott Li")</f>
        <v>Scott Li</v>
      </c>
      <c r="C164" s="63">
        <f>IFERROR(__xludf.DUMMYFUNCTION("""COMPUTED_VALUE"""),231.0)</f>
        <v>231</v>
      </c>
      <c r="D164" s="64">
        <f>IFERROR(__xludf.DUMMYFUNCTION("""COMPUTED_VALUE"""),18.0)</f>
        <v>18</v>
      </c>
      <c r="E164" s="63">
        <f>IFERROR(__xludf.DUMMYFUNCTION("""COMPUTED_VALUE"""),0.0)</f>
        <v>0</v>
      </c>
      <c r="F164" s="65">
        <f>IFERROR(__xludf.DUMMYFUNCTION("""COMPUTED_VALUE"""),0.0)</f>
        <v>0</v>
      </c>
      <c r="G164" s="65">
        <f>IFERROR(__xludf.DUMMYFUNCTION("""COMPUTED_VALUE"""),0.0)</f>
        <v>0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IFERROR(__xludf.DUMMYFUNCTION("""COMPUTED_VALUE"""),0.0)</f>
        <v>0</v>
      </c>
      <c r="L164" s="65">
        <f>IFERROR(__xludf.DUMMYFUNCTION("""COMPUTED_VALUE"""),0.0)</f>
        <v>0</v>
      </c>
      <c r="M164" s="65">
        <f>IFERROR(__xludf.DUMMYFUNCTION("""COMPUTED_VALUE"""),231.0)</f>
        <v>231</v>
      </c>
      <c r="N164" s="66">
        <f>IFERROR(__xludf.DUMMYFUNCTION("""COMPUTED_VALUE"""),18.0)</f>
        <v>18</v>
      </c>
    </row>
    <row r="165">
      <c r="A165" s="1"/>
      <c r="B165" s="62" t="str">
        <f>IFERROR(__xludf.DUMMYFUNCTION("""COMPUTED_VALUE"""),"Manuel Rivera")</f>
        <v>Manuel Rivera</v>
      </c>
      <c r="C165" s="63">
        <f>IFERROR(__xludf.DUMMYFUNCTION("""COMPUTED_VALUE"""),231.0)</f>
        <v>231</v>
      </c>
      <c r="D165" s="64">
        <f>IFERROR(__xludf.DUMMYFUNCTION("""COMPUTED_VALUE"""),18.0)</f>
        <v>18</v>
      </c>
      <c r="E165" s="63">
        <f>IFERROR(__xludf.DUMMYFUNCTION("""COMPUTED_VALUE"""),0.0)</f>
        <v>0</v>
      </c>
      <c r="F165" s="65">
        <f>IFERROR(__xludf.DUMMYFUNCTION("""COMPUTED_VALUE"""),0.0)</f>
        <v>0</v>
      </c>
      <c r="G165" s="65">
        <f>IFERROR(__xludf.DUMMYFUNCTION("""COMPUTED_VALUE"""),0.0)</f>
        <v>0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IFERROR(__xludf.DUMMYFUNCTION("""COMPUTED_VALUE"""),0.0)</f>
        <v>0</v>
      </c>
      <c r="L165" s="65">
        <f>IFERROR(__xludf.DUMMYFUNCTION("""COMPUTED_VALUE"""),0.0)</f>
        <v>0</v>
      </c>
      <c r="M165" s="65">
        <f>IFERROR(__xludf.DUMMYFUNCTION("""COMPUTED_VALUE"""),231.0)</f>
        <v>231</v>
      </c>
      <c r="N165" s="66">
        <f>IFERROR(__xludf.DUMMYFUNCTION("""COMPUTED_VALUE"""),18.0)</f>
        <v>18</v>
      </c>
    </row>
    <row r="166">
      <c r="A166" s="1"/>
      <c r="B166" s="62" t="str">
        <f>IFERROR(__xludf.DUMMYFUNCTION("""COMPUTED_VALUE"""),"Sandy Weyant")</f>
        <v>Sandy Weyant</v>
      </c>
      <c r="C166" s="63">
        <f>IFERROR(__xludf.DUMMYFUNCTION("""COMPUTED_VALUE"""),231.0)</f>
        <v>231</v>
      </c>
      <c r="D166" s="64">
        <f>IFERROR(__xludf.DUMMYFUNCTION("""COMPUTED_VALUE"""),14.0)</f>
        <v>14</v>
      </c>
      <c r="E166" s="63">
        <f>IFERROR(__xludf.DUMMYFUNCTION("""COMPUTED_VALUE"""),0.0)</f>
        <v>0</v>
      </c>
      <c r="F166" s="65">
        <f>IFERROR(__xludf.DUMMYFUNCTION("""COMPUTED_VALUE"""),0.0)</f>
        <v>0</v>
      </c>
      <c r="G166" s="65">
        <f>IFERROR(__xludf.DUMMYFUNCTION("""COMPUTED_VALUE"""),0.0)</f>
        <v>0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IFERROR(__xludf.DUMMYFUNCTION("""COMPUTED_VALUE"""),0.0)</f>
        <v>0</v>
      </c>
      <c r="L166" s="65">
        <f>IFERROR(__xludf.DUMMYFUNCTION("""COMPUTED_VALUE"""),0.0)</f>
        <v>0</v>
      </c>
      <c r="M166" s="65">
        <f>IFERROR(__xludf.DUMMYFUNCTION("""COMPUTED_VALUE"""),231.0)</f>
        <v>231</v>
      </c>
      <c r="N166" s="66">
        <f>IFERROR(__xludf.DUMMYFUNCTION("""COMPUTED_VALUE"""),14.0)</f>
        <v>14</v>
      </c>
    </row>
    <row r="167">
      <c r="A167" s="1"/>
      <c r="B167" s="62" t="str">
        <f>IFERROR(__xludf.DUMMYFUNCTION("""COMPUTED_VALUE"""),"Matthew Huang")</f>
        <v>Matthew Huang</v>
      </c>
      <c r="C167" s="63">
        <f>IFERROR(__xludf.DUMMYFUNCTION("""COMPUTED_VALUE"""),231.0)</f>
        <v>231</v>
      </c>
      <c r="D167" s="64">
        <f>IFERROR(__xludf.DUMMYFUNCTION("""COMPUTED_VALUE"""),12.0)</f>
        <v>12</v>
      </c>
      <c r="E167" s="63">
        <f>IFERROR(__xludf.DUMMYFUNCTION("""COMPUTED_VALUE"""),0.0)</f>
        <v>0</v>
      </c>
      <c r="F167" s="65">
        <f>IFERROR(__xludf.DUMMYFUNCTION("""COMPUTED_VALUE"""),0.0)</f>
        <v>0</v>
      </c>
      <c r="G167" s="65">
        <f>IFERROR(__xludf.DUMMYFUNCTION("""COMPUTED_VALUE"""),0.0)</f>
        <v>0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IFERROR(__xludf.DUMMYFUNCTION("""COMPUTED_VALUE"""),0.0)</f>
        <v>0</v>
      </c>
      <c r="L167" s="65">
        <f>IFERROR(__xludf.DUMMYFUNCTION("""COMPUTED_VALUE"""),0.0)</f>
        <v>0</v>
      </c>
      <c r="M167" s="65">
        <f>IFERROR(__xludf.DUMMYFUNCTION("""COMPUTED_VALUE"""),231.0)</f>
        <v>231</v>
      </c>
      <c r="N167" s="66">
        <f>IFERROR(__xludf.DUMMYFUNCTION("""COMPUTED_VALUE"""),12.0)</f>
        <v>12</v>
      </c>
    </row>
    <row r="168">
      <c r="A168" s="1"/>
      <c r="B168" s="62" t="str">
        <f>IFERROR(__xludf.DUMMYFUNCTION("""COMPUTED_VALUE"""),"Kumar Palakeel")</f>
        <v>Kumar Palakeel</v>
      </c>
      <c r="C168" s="63">
        <f>IFERROR(__xludf.DUMMYFUNCTION("""COMPUTED_VALUE"""),229.0)</f>
        <v>229</v>
      </c>
      <c r="D168" s="64">
        <f>IFERROR(__xludf.DUMMYFUNCTION("""COMPUTED_VALUE"""),20.0)</f>
        <v>20</v>
      </c>
      <c r="E168" s="63">
        <f>IFERROR(__xludf.DUMMYFUNCTION("""COMPUTED_VALUE"""),0.0)</f>
        <v>0</v>
      </c>
      <c r="F168" s="65">
        <f>IFERROR(__xludf.DUMMYFUNCTION("""COMPUTED_VALUE"""),0.0)</f>
        <v>0</v>
      </c>
      <c r="G168" s="65">
        <f>IFERROR(__xludf.DUMMYFUNCTION("""COMPUTED_VALUE"""),0.0)</f>
        <v>0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IFERROR(__xludf.DUMMYFUNCTION("""COMPUTED_VALUE"""),0.0)</f>
        <v>0</v>
      </c>
      <c r="L168" s="65">
        <f>IFERROR(__xludf.DUMMYFUNCTION("""COMPUTED_VALUE"""),0.0)</f>
        <v>0</v>
      </c>
      <c r="M168" s="65">
        <f>IFERROR(__xludf.DUMMYFUNCTION("""COMPUTED_VALUE"""),229.0)</f>
        <v>229</v>
      </c>
      <c r="N168" s="66">
        <f>IFERROR(__xludf.DUMMYFUNCTION("""COMPUTED_VALUE"""),20.0)</f>
        <v>20</v>
      </c>
    </row>
    <row r="169">
      <c r="A169" s="1"/>
      <c r="B169" s="62" t="str">
        <f>IFERROR(__xludf.DUMMYFUNCTION("""COMPUTED_VALUE"""),"Vamsi Lolla ")</f>
        <v>Vamsi Lolla </v>
      </c>
      <c r="C169" s="63">
        <f>IFERROR(__xludf.DUMMYFUNCTION("""COMPUTED_VALUE"""),229.0)</f>
        <v>229</v>
      </c>
      <c r="D169" s="64">
        <f>IFERROR(__xludf.DUMMYFUNCTION("""COMPUTED_VALUE"""),12.0)</f>
        <v>12</v>
      </c>
      <c r="E169" s="63">
        <f>IFERROR(__xludf.DUMMYFUNCTION("""COMPUTED_VALUE"""),0.0)</f>
        <v>0</v>
      </c>
      <c r="F169" s="65">
        <f>IFERROR(__xludf.DUMMYFUNCTION("""COMPUTED_VALUE"""),0.0)</f>
        <v>0</v>
      </c>
      <c r="G169" s="65">
        <f>IFERROR(__xludf.DUMMYFUNCTION("""COMPUTED_VALUE"""),0.0)</f>
        <v>0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IFERROR(__xludf.DUMMYFUNCTION("""COMPUTED_VALUE"""),0.0)</f>
        <v>0</v>
      </c>
      <c r="L169" s="65">
        <f>IFERROR(__xludf.DUMMYFUNCTION("""COMPUTED_VALUE"""),0.0)</f>
        <v>0</v>
      </c>
      <c r="M169" s="65">
        <f>IFERROR(__xludf.DUMMYFUNCTION("""COMPUTED_VALUE"""),229.0)</f>
        <v>229</v>
      </c>
      <c r="N169" s="66">
        <f>IFERROR(__xludf.DUMMYFUNCTION("""COMPUTED_VALUE"""),12.0)</f>
        <v>12</v>
      </c>
    </row>
    <row r="170">
      <c r="A170" s="1"/>
      <c r="B170" s="62" t="str">
        <f>IFERROR(__xludf.DUMMYFUNCTION("""COMPUTED_VALUE"""),"Jimmy Awolesi")</f>
        <v>Jimmy Awolesi</v>
      </c>
      <c r="C170" s="63">
        <f>IFERROR(__xludf.DUMMYFUNCTION("""COMPUTED_VALUE"""),226.0)</f>
        <v>226</v>
      </c>
      <c r="D170" s="64">
        <f>IFERROR(__xludf.DUMMYFUNCTION("""COMPUTED_VALUE"""),15.0)</f>
        <v>15</v>
      </c>
      <c r="E170" s="63">
        <f>IFERROR(__xludf.DUMMYFUNCTION("""COMPUTED_VALUE"""),0.0)</f>
        <v>0</v>
      </c>
      <c r="F170" s="65">
        <f>IFERROR(__xludf.DUMMYFUNCTION("""COMPUTED_VALUE"""),0.0)</f>
        <v>0</v>
      </c>
      <c r="G170" s="65">
        <f>IFERROR(__xludf.DUMMYFUNCTION("""COMPUTED_VALUE"""),0.0)</f>
        <v>0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IFERROR(__xludf.DUMMYFUNCTION("""COMPUTED_VALUE"""),0.0)</f>
        <v>0</v>
      </c>
      <c r="L170" s="65">
        <f>IFERROR(__xludf.DUMMYFUNCTION("""COMPUTED_VALUE"""),0.0)</f>
        <v>0</v>
      </c>
      <c r="M170" s="65">
        <f>IFERROR(__xludf.DUMMYFUNCTION("""COMPUTED_VALUE"""),226.0)</f>
        <v>226</v>
      </c>
      <c r="N170" s="66">
        <f>IFERROR(__xludf.DUMMYFUNCTION("""COMPUTED_VALUE"""),15.0)</f>
        <v>15</v>
      </c>
    </row>
    <row r="171">
      <c r="A171" s="1"/>
      <c r="B171" s="62" t="str">
        <f>IFERROR(__xludf.DUMMYFUNCTION("""COMPUTED_VALUE"""),"Tony Wong")</f>
        <v>Tony Wong</v>
      </c>
      <c r="C171" s="63">
        <f>IFERROR(__xludf.DUMMYFUNCTION("""COMPUTED_VALUE"""),226.0)</f>
        <v>226</v>
      </c>
      <c r="D171" s="64">
        <f>IFERROR(__xludf.DUMMYFUNCTION("""COMPUTED_VALUE"""),14.0)</f>
        <v>14</v>
      </c>
      <c r="E171" s="63">
        <f>IFERROR(__xludf.DUMMYFUNCTION("""COMPUTED_VALUE"""),0.0)</f>
        <v>0</v>
      </c>
      <c r="F171" s="65">
        <f>IFERROR(__xludf.DUMMYFUNCTION("""COMPUTED_VALUE"""),0.0)</f>
        <v>0</v>
      </c>
      <c r="G171" s="65">
        <f>IFERROR(__xludf.DUMMYFUNCTION("""COMPUTED_VALUE"""),0.0)</f>
        <v>0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IFERROR(__xludf.DUMMYFUNCTION("""COMPUTED_VALUE"""),0.0)</f>
        <v>0</v>
      </c>
      <c r="L171" s="65">
        <f>IFERROR(__xludf.DUMMYFUNCTION("""COMPUTED_VALUE"""),0.0)</f>
        <v>0</v>
      </c>
      <c r="M171" s="65">
        <f>IFERROR(__xludf.DUMMYFUNCTION("""COMPUTED_VALUE"""),226.0)</f>
        <v>226</v>
      </c>
      <c r="N171" s="66">
        <f>IFERROR(__xludf.DUMMYFUNCTION("""COMPUTED_VALUE"""),14.0)</f>
        <v>14</v>
      </c>
    </row>
    <row r="172">
      <c r="A172" s="1"/>
      <c r="B172" s="62" t="str">
        <f>IFERROR(__xludf.DUMMYFUNCTION("""COMPUTED_VALUE"""),"Elayaraja Thangaraj ")</f>
        <v>Elayaraja Thangaraj </v>
      </c>
      <c r="C172" s="63">
        <f>IFERROR(__xludf.DUMMYFUNCTION("""COMPUTED_VALUE"""),224.0)</f>
        <v>224</v>
      </c>
      <c r="D172" s="64">
        <f>IFERROR(__xludf.DUMMYFUNCTION("""COMPUTED_VALUE"""),15.0)</f>
        <v>15</v>
      </c>
      <c r="E172" s="63">
        <f>IFERROR(__xludf.DUMMYFUNCTION("""COMPUTED_VALUE"""),0.0)</f>
        <v>0</v>
      </c>
      <c r="F172" s="65">
        <f>IFERROR(__xludf.DUMMYFUNCTION("""COMPUTED_VALUE"""),0.0)</f>
        <v>0</v>
      </c>
      <c r="G172" s="65">
        <f>IFERROR(__xludf.DUMMYFUNCTION("""COMPUTED_VALUE"""),0.0)</f>
        <v>0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IFERROR(__xludf.DUMMYFUNCTION("""COMPUTED_VALUE"""),0.0)</f>
        <v>0</v>
      </c>
      <c r="L172" s="65">
        <f>IFERROR(__xludf.DUMMYFUNCTION("""COMPUTED_VALUE"""),0.0)</f>
        <v>0</v>
      </c>
      <c r="M172" s="65">
        <f>IFERROR(__xludf.DUMMYFUNCTION("""COMPUTED_VALUE"""),224.0)</f>
        <v>224</v>
      </c>
      <c r="N172" s="66">
        <f>IFERROR(__xludf.DUMMYFUNCTION("""COMPUTED_VALUE"""),15.0)</f>
        <v>15</v>
      </c>
    </row>
    <row r="173">
      <c r="A173" s="1"/>
      <c r="B173" s="62" t="str">
        <f>IFERROR(__xludf.DUMMYFUNCTION("""COMPUTED_VALUE"""),"Rajasekar Ramasamy")</f>
        <v>Rajasekar Ramasamy</v>
      </c>
      <c r="C173" s="63">
        <f>IFERROR(__xludf.DUMMYFUNCTION("""COMPUTED_VALUE"""),224.0)</f>
        <v>224</v>
      </c>
      <c r="D173" s="64">
        <f>IFERROR(__xludf.DUMMYFUNCTION("""COMPUTED_VALUE"""),13.0)</f>
        <v>13</v>
      </c>
      <c r="E173" s="63">
        <f>IFERROR(__xludf.DUMMYFUNCTION("""COMPUTED_VALUE"""),0.0)</f>
        <v>0</v>
      </c>
      <c r="F173" s="65">
        <f>IFERROR(__xludf.DUMMYFUNCTION("""COMPUTED_VALUE"""),0.0)</f>
        <v>0</v>
      </c>
      <c r="G173" s="65">
        <f>IFERROR(__xludf.DUMMYFUNCTION("""COMPUTED_VALUE"""),0.0)</f>
        <v>0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IFERROR(__xludf.DUMMYFUNCTION("""COMPUTED_VALUE"""),0.0)</f>
        <v>0</v>
      </c>
      <c r="L173" s="65">
        <f>IFERROR(__xludf.DUMMYFUNCTION("""COMPUTED_VALUE"""),0.0)</f>
        <v>0</v>
      </c>
      <c r="M173" s="65">
        <f>IFERROR(__xludf.DUMMYFUNCTION("""COMPUTED_VALUE"""),224.0)</f>
        <v>224</v>
      </c>
      <c r="N173" s="66">
        <f>IFERROR(__xludf.DUMMYFUNCTION("""COMPUTED_VALUE"""),13.0)</f>
        <v>13</v>
      </c>
    </row>
    <row r="174">
      <c r="A174" s="1"/>
      <c r="B174" s="62" t="str">
        <f>IFERROR(__xludf.DUMMYFUNCTION("""COMPUTED_VALUE"""),"Kingsley Kuo")</f>
        <v>Kingsley Kuo</v>
      </c>
      <c r="C174" s="63">
        <f>IFERROR(__xludf.DUMMYFUNCTION("""COMPUTED_VALUE"""),224.0)</f>
        <v>224</v>
      </c>
      <c r="D174" s="64">
        <f>IFERROR(__xludf.DUMMYFUNCTION("""COMPUTED_VALUE"""),11.0)</f>
        <v>11</v>
      </c>
      <c r="E174" s="63">
        <f>IFERROR(__xludf.DUMMYFUNCTION("""COMPUTED_VALUE"""),0.0)</f>
        <v>0</v>
      </c>
      <c r="F174" s="65">
        <f>IFERROR(__xludf.DUMMYFUNCTION("""COMPUTED_VALUE"""),0.0)</f>
        <v>0</v>
      </c>
      <c r="G174" s="65">
        <f>IFERROR(__xludf.DUMMYFUNCTION("""COMPUTED_VALUE"""),0.0)</f>
        <v>0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IFERROR(__xludf.DUMMYFUNCTION("""COMPUTED_VALUE"""),0.0)</f>
        <v>0</v>
      </c>
      <c r="L174" s="65">
        <f>IFERROR(__xludf.DUMMYFUNCTION("""COMPUTED_VALUE"""),0.0)</f>
        <v>0</v>
      </c>
      <c r="M174" s="65">
        <f>IFERROR(__xludf.DUMMYFUNCTION("""COMPUTED_VALUE"""),224.0)</f>
        <v>224</v>
      </c>
      <c r="N174" s="66">
        <f>IFERROR(__xludf.DUMMYFUNCTION("""COMPUTED_VALUE"""),11.0)</f>
        <v>11</v>
      </c>
    </row>
    <row r="175">
      <c r="A175" s="1"/>
      <c r="B175" s="62" t="str">
        <f>IFERROR(__xludf.DUMMYFUNCTION("""COMPUTED_VALUE"""),"Manish Anand")</f>
        <v>Manish Anand</v>
      </c>
      <c r="C175" s="63">
        <f>IFERROR(__xludf.DUMMYFUNCTION("""COMPUTED_VALUE"""),222.0)</f>
        <v>222</v>
      </c>
      <c r="D175" s="64">
        <f>IFERROR(__xludf.DUMMYFUNCTION("""COMPUTED_VALUE"""),10.0)</f>
        <v>10</v>
      </c>
      <c r="E175" s="63">
        <f>IFERROR(__xludf.DUMMYFUNCTION("""COMPUTED_VALUE"""),0.0)</f>
        <v>0</v>
      </c>
      <c r="F175" s="65">
        <f>IFERROR(__xludf.DUMMYFUNCTION("""COMPUTED_VALUE"""),0.0)</f>
        <v>0</v>
      </c>
      <c r="G175" s="65">
        <f>IFERROR(__xludf.DUMMYFUNCTION("""COMPUTED_VALUE"""),0.0)</f>
        <v>0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IFERROR(__xludf.DUMMYFUNCTION("""COMPUTED_VALUE"""),0.0)</f>
        <v>0</v>
      </c>
      <c r="L175" s="65">
        <f>IFERROR(__xludf.DUMMYFUNCTION("""COMPUTED_VALUE"""),0.0)</f>
        <v>0</v>
      </c>
      <c r="M175" s="65">
        <f>IFERROR(__xludf.DUMMYFUNCTION("""COMPUTED_VALUE"""),222.0)</f>
        <v>222</v>
      </c>
      <c r="N175" s="66">
        <f>IFERROR(__xludf.DUMMYFUNCTION("""COMPUTED_VALUE"""),10.0)</f>
        <v>10</v>
      </c>
    </row>
    <row r="176">
      <c r="A176" s="1"/>
      <c r="B176" s="62" t="str">
        <f>IFERROR(__xludf.DUMMYFUNCTION("""COMPUTED_VALUE"""),"Nohely Mejia")</f>
        <v>Nohely Mejia</v>
      </c>
      <c r="C176" s="63">
        <f>IFERROR(__xludf.DUMMYFUNCTION("""COMPUTED_VALUE"""),222.0)</f>
        <v>222</v>
      </c>
      <c r="D176" s="64">
        <f>IFERROR(__xludf.DUMMYFUNCTION("""COMPUTED_VALUE"""),6.0)</f>
        <v>6</v>
      </c>
      <c r="E176" s="63">
        <f>IFERROR(__xludf.DUMMYFUNCTION("""COMPUTED_VALUE"""),0.0)</f>
        <v>0</v>
      </c>
      <c r="F176" s="65">
        <f>IFERROR(__xludf.DUMMYFUNCTION("""COMPUTED_VALUE"""),0.0)</f>
        <v>0</v>
      </c>
      <c r="G176" s="65">
        <f>IFERROR(__xludf.DUMMYFUNCTION("""COMPUTED_VALUE"""),0.0)</f>
        <v>0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IFERROR(__xludf.DUMMYFUNCTION("""COMPUTED_VALUE"""),0.0)</f>
        <v>0</v>
      </c>
      <c r="L176" s="65">
        <f>IFERROR(__xludf.DUMMYFUNCTION("""COMPUTED_VALUE"""),0.0)</f>
        <v>0</v>
      </c>
      <c r="M176" s="65">
        <f>IFERROR(__xludf.DUMMYFUNCTION("""COMPUTED_VALUE"""),222.0)</f>
        <v>222</v>
      </c>
      <c r="N176" s="66">
        <f>IFERROR(__xludf.DUMMYFUNCTION("""COMPUTED_VALUE"""),6.0)</f>
        <v>6</v>
      </c>
    </row>
    <row r="177">
      <c r="A177" s="1"/>
      <c r="B177" s="62" t="str">
        <f>IFERROR(__xludf.DUMMYFUNCTION("""COMPUTED_VALUE"""),"Andrew Chin")</f>
        <v>Andrew Chin</v>
      </c>
      <c r="C177" s="63">
        <f>IFERROR(__xludf.DUMMYFUNCTION("""COMPUTED_VALUE"""),220.0)</f>
        <v>220</v>
      </c>
      <c r="D177" s="64">
        <f>IFERROR(__xludf.DUMMYFUNCTION("""COMPUTED_VALUE"""),10.0)</f>
        <v>10</v>
      </c>
      <c r="E177" s="63">
        <f>IFERROR(__xludf.DUMMYFUNCTION("""COMPUTED_VALUE"""),0.0)</f>
        <v>0</v>
      </c>
      <c r="F177" s="65">
        <f>IFERROR(__xludf.DUMMYFUNCTION("""COMPUTED_VALUE"""),0.0)</f>
        <v>0</v>
      </c>
      <c r="G177" s="65">
        <f>IFERROR(__xludf.DUMMYFUNCTION("""COMPUTED_VALUE"""),0.0)</f>
        <v>0</v>
      </c>
      <c r="H177" s="65">
        <f>IFERROR(__xludf.DUMMYFUNCTION("""COMPUTED_VALUE"""),0.0)</f>
        <v>0</v>
      </c>
      <c r="I177" s="65">
        <f>IFERROR(__xludf.DUMMYFUNCTION("""COMPUTED_VALUE"""),0.0)</f>
        <v>0</v>
      </c>
      <c r="J177" s="65">
        <f>IFERROR(__xludf.DUMMYFUNCTION("""COMPUTED_VALUE"""),0.0)</f>
        <v>0</v>
      </c>
      <c r="K177" s="65">
        <f>IFERROR(__xludf.DUMMYFUNCTION("""COMPUTED_VALUE"""),0.0)</f>
        <v>0</v>
      </c>
      <c r="L177" s="65">
        <f>IFERROR(__xludf.DUMMYFUNCTION("""COMPUTED_VALUE"""),0.0)</f>
        <v>0</v>
      </c>
      <c r="M177" s="65">
        <f>IFERROR(__xludf.DUMMYFUNCTION("""COMPUTED_VALUE"""),220.0)</f>
        <v>220</v>
      </c>
      <c r="N177" s="66">
        <f>IFERROR(__xludf.DUMMYFUNCTION("""COMPUTED_VALUE"""),10.0)</f>
        <v>10</v>
      </c>
    </row>
    <row r="178">
      <c r="A178" s="1"/>
      <c r="B178" s="62" t="str">
        <f>IFERROR(__xludf.DUMMYFUNCTION("""COMPUTED_VALUE"""),"Vinot Kumar Nagappan")</f>
        <v>Vinot Kumar Nagappan</v>
      </c>
      <c r="C178" s="63">
        <f>IFERROR(__xludf.DUMMYFUNCTION("""COMPUTED_VALUE"""),220.0)</f>
        <v>220</v>
      </c>
      <c r="D178" s="64">
        <f>IFERROR(__xludf.DUMMYFUNCTION("""COMPUTED_VALUE"""),9.0)</f>
        <v>9</v>
      </c>
      <c r="E178" s="63">
        <f>IFERROR(__xludf.DUMMYFUNCTION("""COMPUTED_VALUE"""),0.0)</f>
        <v>0</v>
      </c>
      <c r="F178" s="65">
        <f>IFERROR(__xludf.DUMMYFUNCTION("""COMPUTED_VALUE"""),0.0)</f>
        <v>0</v>
      </c>
      <c r="G178" s="65">
        <f>IFERROR(__xludf.DUMMYFUNCTION("""COMPUTED_VALUE"""),0.0)</f>
        <v>0</v>
      </c>
      <c r="H178" s="65">
        <f>IFERROR(__xludf.DUMMYFUNCTION("""COMPUTED_VALUE"""),0.0)</f>
        <v>0</v>
      </c>
      <c r="I178" s="65">
        <f>IFERROR(__xludf.DUMMYFUNCTION("""COMPUTED_VALUE"""),0.0)</f>
        <v>0</v>
      </c>
      <c r="J178" s="65">
        <f>IFERROR(__xludf.DUMMYFUNCTION("""COMPUTED_VALUE"""),0.0)</f>
        <v>0</v>
      </c>
      <c r="K178" s="65">
        <f>IFERROR(__xludf.DUMMYFUNCTION("""COMPUTED_VALUE"""),0.0)</f>
        <v>0</v>
      </c>
      <c r="L178" s="65">
        <f>IFERROR(__xludf.DUMMYFUNCTION("""COMPUTED_VALUE"""),0.0)</f>
        <v>0</v>
      </c>
      <c r="M178" s="65">
        <f>IFERROR(__xludf.DUMMYFUNCTION("""COMPUTED_VALUE"""),220.0)</f>
        <v>220</v>
      </c>
      <c r="N178" s="66">
        <f>IFERROR(__xludf.DUMMYFUNCTION("""COMPUTED_VALUE"""),9.0)</f>
        <v>9</v>
      </c>
    </row>
    <row r="179">
      <c r="A179" s="1"/>
      <c r="B179" s="62" t="str">
        <f>IFERROR(__xludf.DUMMYFUNCTION("""COMPUTED_VALUE"""),"Balaji Alahari")</f>
        <v>Balaji Alahari</v>
      </c>
      <c r="C179" s="63">
        <f>IFERROR(__xludf.DUMMYFUNCTION("""COMPUTED_VALUE"""),219.0)</f>
        <v>219</v>
      </c>
      <c r="D179" s="64">
        <f>IFERROR(__xludf.DUMMYFUNCTION("""COMPUTED_VALUE"""),8.0)</f>
        <v>8</v>
      </c>
      <c r="E179" s="63">
        <f>IFERROR(__xludf.DUMMYFUNCTION("""COMPUTED_VALUE"""),0.0)</f>
        <v>0</v>
      </c>
      <c r="F179" s="65">
        <f>IFERROR(__xludf.DUMMYFUNCTION("""COMPUTED_VALUE"""),0.0)</f>
        <v>0</v>
      </c>
      <c r="G179" s="65">
        <f>IFERROR(__xludf.DUMMYFUNCTION("""COMPUTED_VALUE"""),0.0)</f>
        <v>0</v>
      </c>
      <c r="H179" s="65">
        <f>IFERROR(__xludf.DUMMYFUNCTION("""COMPUTED_VALUE"""),0.0)</f>
        <v>0</v>
      </c>
      <c r="I179" s="65">
        <f>IFERROR(__xludf.DUMMYFUNCTION("""COMPUTED_VALUE"""),0.0)</f>
        <v>0</v>
      </c>
      <c r="J179" s="65">
        <f>IFERROR(__xludf.DUMMYFUNCTION("""COMPUTED_VALUE"""),0.0)</f>
        <v>0</v>
      </c>
      <c r="K179" s="65">
        <f>IFERROR(__xludf.DUMMYFUNCTION("""COMPUTED_VALUE"""),0.0)</f>
        <v>0</v>
      </c>
      <c r="L179" s="65">
        <f>IFERROR(__xludf.DUMMYFUNCTION("""COMPUTED_VALUE"""),0.0)</f>
        <v>0</v>
      </c>
      <c r="M179" s="65">
        <f>IFERROR(__xludf.DUMMYFUNCTION("""COMPUTED_VALUE"""),219.0)</f>
        <v>219</v>
      </c>
      <c r="N179" s="66">
        <f>IFERROR(__xludf.DUMMYFUNCTION("""COMPUTED_VALUE"""),8.0)</f>
        <v>8</v>
      </c>
    </row>
    <row r="180">
      <c r="A180" s="1"/>
      <c r="B180" s="62" t="str">
        <f>IFERROR(__xludf.DUMMYFUNCTION("""COMPUTED_VALUE"""),"Vinaya Kajla")</f>
        <v>Vinaya Kajla</v>
      </c>
      <c r="C180" s="63">
        <f>IFERROR(__xludf.DUMMYFUNCTION("""COMPUTED_VALUE"""),217.0)</f>
        <v>217</v>
      </c>
      <c r="D180" s="64">
        <f>IFERROR(__xludf.DUMMYFUNCTION("""COMPUTED_VALUE"""),15.0)</f>
        <v>15</v>
      </c>
      <c r="E180" s="63">
        <f>IFERROR(__xludf.DUMMYFUNCTION("""COMPUTED_VALUE"""),0.0)</f>
        <v>0</v>
      </c>
      <c r="F180" s="65">
        <f>IFERROR(__xludf.DUMMYFUNCTION("""COMPUTED_VALUE"""),0.0)</f>
        <v>0</v>
      </c>
      <c r="G180" s="65">
        <f>IFERROR(__xludf.DUMMYFUNCTION("""COMPUTED_VALUE"""),0.0)</f>
        <v>0</v>
      </c>
      <c r="H180" s="65">
        <f>IFERROR(__xludf.DUMMYFUNCTION("""COMPUTED_VALUE"""),0.0)</f>
        <v>0</v>
      </c>
      <c r="I180" s="65">
        <f>IFERROR(__xludf.DUMMYFUNCTION("""COMPUTED_VALUE"""),0.0)</f>
        <v>0</v>
      </c>
      <c r="J180" s="65">
        <f>IFERROR(__xludf.DUMMYFUNCTION("""COMPUTED_VALUE"""),0.0)</f>
        <v>0</v>
      </c>
      <c r="K180" s="65">
        <f>IFERROR(__xludf.DUMMYFUNCTION("""COMPUTED_VALUE"""),0.0)</f>
        <v>0</v>
      </c>
      <c r="L180" s="65">
        <f>IFERROR(__xludf.DUMMYFUNCTION("""COMPUTED_VALUE"""),0.0)</f>
        <v>0</v>
      </c>
      <c r="M180" s="65">
        <f>IFERROR(__xludf.DUMMYFUNCTION("""COMPUTED_VALUE"""),217.0)</f>
        <v>217</v>
      </c>
      <c r="N180" s="66">
        <f>IFERROR(__xludf.DUMMYFUNCTION("""COMPUTED_VALUE"""),15.0)</f>
        <v>15</v>
      </c>
    </row>
    <row r="181">
      <c r="A181" s="1"/>
      <c r="B181" s="62" t="str">
        <f>IFERROR(__xludf.DUMMYFUNCTION("""COMPUTED_VALUE"""),"Naveen Raj")</f>
        <v>Naveen Raj</v>
      </c>
      <c r="C181" s="63">
        <f>IFERROR(__xludf.DUMMYFUNCTION("""COMPUTED_VALUE"""),217.0)</f>
        <v>217</v>
      </c>
      <c r="D181" s="64">
        <f>IFERROR(__xludf.DUMMYFUNCTION("""COMPUTED_VALUE"""),11.0)</f>
        <v>11</v>
      </c>
      <c r="E181" s="63">
        <f>IFERROR(__xludf.DUMMYFUNCTION("""COMPUTED_VALUE"""),0.0)</f>
        <v>0</v>
      </c>
      <c r="F181" s="65">
        <f>IFERROR(__xludf.DUMMYFUNCTION("""COMPUTED_VALUE"""),0.0)</f>
        <v>0</v>
      </c>
      <c r="G181" s="65">
        <f>IFERROR(__xludf.DUMMYFUNCTION("""COMPUTED_VALUE"""),0.0)</f>
        <v>0</v>
      </c>
      <c r="H181" s="65">
        <f>IFERROR(__xludf.DUMMYFUNCTION("""COMPUTED_VALUE"""),0.0)</f>
        <v>0</v>
      </c>
      <c r="I181" s="65">
        <f>IFERROR(__xludf.DUMMYFUNCTION("""COMPUTED_VALUE"""),0.0)</f>
        <v>0</v>
      </c>
      <c r="J181" s="65">
        <f>IFERROR(__xludf.DUMMYFUNCTION("""COMPUTED_VALUE"""),0.0)</f>
        <v>0</v>
      </c>
      <c r="K181" s="65">
        <f>IFERROR(__xludf.DUMMYFUNCTION("""COMPUTED_VALUE"""),0.0)</f>
        <v>0</v>
      </c>
      <c r="L181" s="65">
        <f>IFERROR(__xludf.DUMMYFUNCTION("""COMPUTED_VALUE"""),0.0)</f>
        <v>0</v>
      </c>
      <c r="M181" s="65">
        <f>IFERROR(__xludf.DUMMYFUNCTION("""COMPUTED_VALUE"""),217.0)</f>
        <v>217</v>
      </c>
      <c r="N181" s="66">
        <f>IFERROR(__xludf.DUMMYFUNCTION("""COMPUTED_VALUE"""),11.0)</f>
        <v>11</v>
      </c>
    </row>
    <row r="182">
      <c r="A182" s="1"/>
      <c r="B182" s="62" t="str">
        <f>IFERROR(__xludf.DUMMYFUNCTION("""COMPUTED_VALUE"""),"Alejandro Mejia")</f>
        <v>Alejandro Mejia</v>
      </c>
      <c r="C182" s="63">
        <f>IFERROR(__xludf.DUMMYFUNCTION("""COMPUTED_VALUE"""),214.0)</f>
        <v>214</v>
      </c>
      <c r="D182" s="64">
        <f>IFERROR(__xludf.DUMMYFUNCTION("""COMPUTED_VALUE"""),7.0)</f>
        <v>7</v>
      </c>
      <c r="E182" s="63">
        <f>IFERROR(__xludf.DUMMYFUNCTION("""COMPUTED_VALUE"""),0.0)</f>
        <v>0</v>
      </c>
      <c r="F182" s="65">
        <f>IFERROR(__xludf.DUMMYFUNCTION("""COMPUTED_VALUE"""),0.0)</f>
        <v>0</v>
      </c>
      <c r="G182" s="65">
        <f>IFERROR(__xludf.DUMMYFUNCTION("""COMPUTED_VALUE"""),0.0)</f>
        <v>0</v>
      </c>
      <c r="H182" s="65">
        <f>IFERROR(__xludf.DUMMYFUNCTION("""COMPUTED_VALUE"""),0.0)</f>
        <v>0</v>
      </c>
      <c r="I182" s="65">
        <f>IFERROR(__xludf.DUMMYFUNCTION("""COMPUTED_VALUE"""),0.0)</f>
        <v>0</v>
      </c>
      <c r="J182" s="65">
        <f>IFERROR(__xludf.DUMMYFUNCTION("""COMPUTED_VALUE"""),0.0)</f>
        <v>0</v>
      </c>
      <c r="K182" s="65">
        <f>IFERROR(__xludf.DUMMYFUNCTION("""COMPUTED_VALUE"""),0.0)</f>
        <v>0</v>
      </c>
      <c r="L182" s="65">
        <f>IFERROR(__xludf.DUMMYFUNCTION("""COMPUTED_VALUE"""),0.0)</f>
        <v>0</v>
      </c>
      <c r="M182" s="65">
        <f>IFERROR(__xludf.DUMMYFUNCTION("""COMPUTED_VALUE"""),214.0)</f>
        <v>214</v>
      </c>
      <c r="N182" s="66">
        <f>IFERROR(__xludf.DUMMYFUNCTION("""COMPUTED_VALUE"""),7.0)</f>
        <v>7</v>
      </c>
    </row>
    <row r="183">
      <c r="A183" s="1"/>
      <c r="B183" s="62" t="str">
        <f>IFERROR(__xludf.DUMMYFUNCTION("""COMPUTED_VALUE"""),"Savay Lieu")</f>
        <v>Savay Lieu</v>
      </c>
      <c r="C183" s="63">
        <f>IFERROR(__xludf.DUMMYFUNCTION("""COMPUTED_VALUE"""),212.0)</f>
        <v>212</v>
      </c>
      <c r="D183" s="64">
        <f>IFERROR(__xludf.DUMMYFUNCTION("""COMPUTED_VALUE"""),5.0)</f>
        <v>5</v>
      </c>
      <c r="E183" s="63">
        <f>IFERROR(__xludf.DUMMYFUNCTION("""COMPUTED_VALUE"""),0.0)</f>
        <v>0</v>
      </c>
      <c r="F183" s="65">
        <f>IFERROR(__xludf.DUMMYFUNCTION("""COMPUTED_VALUE"""),0.0)</f>
        <v>0</v>
      </c>
      <c r="G183" s="65">
        <f>IFERROR(__xludf.DUMMYFUNCTION("""COMPUTED_VALUE"""),0.0)</f>
        <v>0</v>
      </c>
      <c r="H183" s="65">
        <f>IFERROR(__xludf.DUMMYFUNCTION("""COMPUTED_VALUE"""),0.0)</f>
        <v>0</v>
      </c>
      <c r="I183" s="65">
        <f>IFERROR(__xludf.DUMMYFUNCTION("""COMPUTED_VALUE"""),0.0)</f>
        <v>0</v>
      </c>
      <c r="J183" s="65">
        <f>IFERROR(__xludf.DUMMYFUNCTION("""COMPUTED_VALUE"""),0.0)</f>
        <v>0</v>
      </c>
      <c r="K183" s="65">
        <f>IFERROR(__xludf.DUMMYFUNCTION("""COMPUTED_VALUE"""),0.0)</f>
        <v>0</v>
      </c>
      <c r="L183" s="65">
        <f>IFERROR(__xludf.DUMMYFUNCTION("""COMPUTED_VALUE"""),0.0)</f>
        <v>0</v>
      </c>
      <c r="M183" s="65">
        <f>IFERROR(__xludf.DUMMYFUNCTION("""COMPUTED_VALUE"""),212.0)</f>
        <v>212</v>
      </c>
      <c r="N183" s="66">
        <f>IFERROR(__xludf.DUMMYFUNCTION("""COMPUTED_VALUE"""),5.0)</f>
        <v>5</v>
      </c>
    </row>
    <row r="184">
      <c r="A184" s="1"/>
      <c r="B184" s="62" t="str">
        <f>IFERROR(__xludf.DUMMYFUNCTION("""COMPUTED_VALUE"""),"Sanjaye Elayattu")</f>
        <v>Sanjaye Elayattu</v>
      </c>
      <c r="C184" s="63">
        <f>IFERROR(__xludf.DUMMYFUNCTION("""COMPUTED_VALUE"""),211.0)</f>
        <v>211</v>
      </c>
      <c r="D184" s="64">
        <f>IFERROR(__xludf.DUMMYFUNCTION("""COMPUTED_VALUE"""),4.0)</f>
        <v>4</v>
      </c>
      <c r="E184" s="63">
        <f>IFERROR(__xludf.DUMMYFUNCTION("""COMPUTED_VALUE"""),0.0)</f>
        <v>0</v>
      </c>
      <c r="F184" s="65">
        <f>IFERROR(__xludf.DUMMYFUNCTION("""COMPUTED_VALUE"""),0.0)</f>
        <v>0</v>
      </c>
      <c r="G184" s="65">
        <f>IFERROR(__xludf.DUMMYFUNCTION("""COMPUTED_VALUE"""),0.0)</f>
        <v>0</v>
      </c>
      <c r="H184" s="65">
        <f>IFERROR(__xludf.DUMMYFUNCTION("""COMPUTED_VALUE"""),0.0)</f>
        <v>0</v>
      </c>
      <c r="I184" s="65">
        <f>IFERROR(__xludf.DUMMYFUNCTION("""COMPUTED_VALUE"""),0.0)</f>
        <v>0</v>
      </c>
      <c r="J184" s="65">
        <f>IFERROR(__xludf.DUMMYFUNCTION("""COMPUTED_VALUE"""),0.0)</f>
        <v>0</v>
      </c>
      <c r="K184" s="65">
        <f>IFERROR(__xludf.DUMMYFUNCTION("""COMPUTED_VALUE"""),0.0)</f>
        <v>0</v>
      </c>
      <c r="L184" s="65">
        <f>IFERROR(__xludf.DUMMYFUNCTION("""COMPUTED_VALUE"""),0.0)</f>
        <v>0</v>
      </c>
      <c r="M184" s="65">
        <f>IFERROR(__xludf.DUMMYFUNCTION("""COMPUTED_VALUE"""),211.0)</f>
        <v>211</v>
      </c>
      <c r="N184" s="66">
        <f>IFERROR(__xludf.DUMMYFUNCTION("""COMPUTED_VALUE"""),4.0)</f>
        <v>4</v>
      </c>
    </row>
    <row r="185">
      <c r="A185" s="1"/>
      <c r="B185" s="62" t="str">
        <f>IFERROR(__xludf.DUMMYFUNCTION("""COMPUTED_VALUE"""),"Amit Patel")</f>
        <v>Amit Patel</v>
      </c>
      <c r="C185" s="63">
        <f>IFERROR(__xludf.DUMMYFUNCTION("""COMPUTED_VALUE"""),210.0)</f>
        <v>210</v>
      </c>
      <c r="D185" s="64">
        <f>IFERROR(__xludf.DUMMYFUNCTION("""COMPUTED_VALUE"""),7.0)</f>
        <v>7</v>
      </c>
      <c r="E185" s="63">
        <f>IFERROR(__xludf.DUMMYFUNCTION("""COMPUTED_VALUE"""),0.0)</f>
        <v>0</v>
      </c>
      <c r="F185" s="65">
        <f>IFERROR(__xludf.DUMMYFUNCTION("""COMPUTED_VALUE"""),0.0)</f>
        <v>0</v>
      </c>
      <c r="G185" s="65">
        <f>IFERROR(__xludf.DUMMYFUNCTION("""COMPUTED_VALUE"""),0.0)</f>
        <v>0</v>
      </c>
      <c r="H185" s="65">
        <f>IFERROR(__xludf.DUMMYFUNCTION("""COMPUTED_VALUE"""),0.0)</f>
        <v>0</v>
      </c>
      <c r="I185" s="65">
        <f>IFERROR(__xludf.DUMMYFUNCTION("""COMPUTED_VALUE"""),0.0)</f>
        <v>0</v>
      </c>
      <c r="J185" s="65">
        <f>IFERROR(__xludf.DUMMYFUNCTION("""COMPUTED_VALUE"""),0.0)</f>
        <v>0</v>
      </c>
      <c r="K185" s="65">
        <f>IFERROR(__xludf.DUMMYFUNCTION("""COMPUTED_VALUE"""),0.0)</f>
        <v>0</v>
      </c>
      <c r="L185" s="65">
        <f>IFERROR(__xludf.DUMMYFUNCTION("""COMPUTED_VALUE"""),0.0)</f>
        <v>0</v>
      </c>
      <c r="M185" s="65">
        <f>IFERROR(__xludf.DUMMYFUNCTION("""COMPUTED_VALUE"""),210.0)</f>
        <v>210</v>
      </c>
      <c r="N185" s="66">
        <f>IFERROR(__xludf.DUMMYFUNCTION("""COMPUTED_VALUE"""),7.0)</f>
        <v>7</v>
      </c>
    </row>
    <row r="186">
      <c r="A186" s="1"/>
      <c r="B186" s="62" t="str">
        <f>IFERROR(__xludf.DUMMYFUNCTION("""COMPUTED_VALUE"""),"Sudhagar Subbaian")</f>
        <v>Sudhagar Subbaian</v>
      </c>
      <c r="C186" s="63">
        <f>IFERROR(__xludf.DUMMYFUNCTION("""COMPUTED_VALUE"""),207.0)</f>
        <v>207</v>
      </c>
      <c r="D186" s="64">
        <f>IFERROR(__xludf.DUMMYFUNCTION("""COMPUTED_VALUE"""),5.0)</f>
        <v>5</v>
      </c>
      <c r="E186" s="63">
        <f>IFERROR(__xludf.DUMMYFUNCTION("""COMPUTED_VALUE"""),0.0)</f>
        <v>0</v>
      </c>
      <c r="F186" s="65">
        <f>IFERROR(__xludf.DUMMYFUNCTION("""COMPUTED_VALUE"""),0.0)</f>
        <v>0</v>
      </c>
      <c r="G186" s="65">
        <f>IFERROR(__xludf.DUMMYFUNCTION("""COMPUTED_VALUE"""),0.0)</f>
        <v>0</v>
      </c>
      <c r="H186" s="65">
        <f>IFERROR(__xludf.DUMMYFUNCTION("""COMPUTED_VALUE"""),0.0)</f>
        <v>0</v>
      </c>
      <c r="I186" s="65">
        <f>IFERROR(__xludf.DUMMYFUNCTION("""COMPUTED_VALUE"""),0.0)</f>
        <v>0</v>
      </c>
      <c r="J186" s="65">
        <f>IFERROR(__xludf.DUMMYFUNCTION("""COMPUTED_VALUE"""),0.0)</f>
        <v>0</v>
      </c>
      <c r="K186" s="65">
        <f>IFERROR(__xludf.DUMMYFUNCTION("""COMPUTED_VALUE"""),0.0)</f>
        <v>0</v>
      </c>
      <c r="L186" s="65">
        <f>IFERROR(__xludf.DUMMYFUNCTION("""COMPUTED_VALUE"""),0.0)</f>
        <v>0</v>
      </c>
      <c r="M186" s="65">
        <f>IFERROR(__xludf.DUMMYFUNCTION("""COMPUTED_VALUE"""),207.0)</f>
        <v>207</v>
      </c>
      <c r="N186" s="66">
        <f>IFERROR(__xludf.DUMMYFUNCTION("""COMPUTED_VALUE"""),5.0)</f>
        <v>5</v>
      </c>
    </row>
    <row r="187">
      <c r="A187" s="1"/>
      <c r="B187" s="62" t="str">
        <f>IFERROR(__xludf.DUMMYFUNCTION("""COMPUTED_VALUE"""),"Robert Chang")</f>
        <v>Robert Chang</v>
      </c>
      <c r="C187" s="63">
        <f>IFERROR(__xludf.DUMMYFUNCTION("""COMPUTED_VALUE"""),207.0)</f>
        <v>207</v>
      </c>
      <c r="D187" s="64">
        <f>IFERROR(__xludf.DUMMYFUNCTION("""COMPUTED_VALUE"""),4.0)</f>
        <v>4</v>
      </c>
      <c r="E187" s="63">
        <f>IFERROR(__xludf.DUMMYFUNCTION("""COMPUTED_VALUE"""),0.0)</f>
        <v>0</v>
      </c>
      <c r="F187" s="65">
        <f>IFERROR(__xludf.DUMMYFUNCTION("""COMPUTED_VALUE"""),0.0)</f>
        <v>0</v>
      </c>
      <c r="G187" s="65">
        <f>IFERROR(__xludf.DUMMYFUNCTION("""COMPUTED_VALUE"""),0.0)</f>
        <v>0</v>
      </c>
      <c r="H187" s="65">
        <f>IFERROR(__xludf.DUMMYFUNCTION("""COMPUTED_VALUE"""),0.0)</f>
        <v>0</v>
      </c>
      <c r="I187" s="65">
        <f>IFERROR(__xludf.DUMMYFUNCTION("""COMPUTED_VALUE"""),0.0)</f>
        <v>0</v>
      </c>
      <c r="J187" s="65">
        <f>IFERROR(__xludf.DUMMYFUNCTION("""COMPUTED_VALUE"""),0.0)</f>
        <v>0</v>
      </c>
      <c r="K187" s="65">
        <f>IFERROR(__xludf.DUMMYFUNCTION("""COMPUTED_VALUE"""),0.0)</f>
        <v>0</v>
      </c>
      <c r="L187" s="65">
        <f>IFERROR(__xludf.DUMMYFUNCTION("""COMPUTED_VALUE"""),0.0)</f>
        <v>0</v>
      </c>
      <c r="M187" s="65">
        <f>IFERROR(__xludf.DUMMYFUNCTION("""COMPUTED_VALUE"""),207.0)</f>
        <v>207</v>
      </c>
      <c r="N187" s="66">
        <f>IFERROR(__xludf.DUMMYFUNCTION("""COMPUTED_VALUE"""),4.0)</f>
        <v>4</v>
      </c>
    </row>
    <row r="188">
      <c r="A188" s="1"/>
      <c r="B188" s="62" t="str">
        <f>IFERROR(__xludf.DUMMYFUNCTION("""COMPUTED_VALUE"""),"Rosie Bonilla")</f>
        <v>Rosie Bonilla</v>
      </c>
      <c r="C188" s="63">
        <f>IFERROR(__xludf.DUMMYFUNCTION("""COMPUTED_VALUE"""),204.0)</f>
        <v>204</v>
      </c>
      <c r="D188" s="64">
        <f>IFERROR(__xludf.DUMMYFUNCTION("""COMPUTED_VALUE"""),2.0)</f>
        <v>2</v>
      </c>
      <c r="E188" s="63">
        <f>IFERROR(__xludf.DUMMYFUNCTION("""COMPUTED_VALUE"""),0.0)</f>
        <v>0</v>
      </c>
      <c r="F188" s="65">
        <f>IFERROR(__xludf.DUMMYFUNCTION("""COMPUTED_VALUE"""),0.0)</f>
        <v>0</v>
      </c>
      <c r="G188" s="65">
        <f>IFERROR(__xludf.DUMMYFUNCTION("""COMPUTED_VALUE"""),0.0)</f>
        <v>0</v>
      </c>
      <c r="H188" s="65">
        <f>IFERROR(__xludf.DUMMYFUNCTION("""COMPUTED_VALUE"""),0.0)</f>
        <v>0</v>
      </c>
      <c r="I188" s="65">
        <f>IFERROR(__xludf.DUMMYFUNCTION("""COMPUTED_VALUE"""),0.0)</f>
        <v>0</v>
      </c>
      <c r="J188" s="65">
        <f>IFERROR(__xludf.DUMMYFUNCTION("""COMPUTED_VALUE"""),0.0)</f>
        <v>0</v>
      </c>
      <c r="K188" s="65">
        <f>IFERROR(__xludf.DUMMYFUNCTION("""COMPUTED_VALUE"""),0.0)</f>
        <v>0</v>
      </c>
      <c r="L188" s="65">
        <f>IFERROR(__xludf.DUMMYFUNCTION("""COMPUTED_VALUE"""),0.0)</f>
        <v>0</v>
      </c>
      <c r="M188" s="65">
        <f>IFERROR(__xludf.DUMMYFUNCTION("""COMPUTED_VALUE"""),204.0)</f>
        <v>204</v>
      </c>
      <c r="N188" s="66">
        <f>IFERROR(__xludf.DUMMYFUNCTION("""COMPUTED_VALUE"""),2.0)</f>
        <v>2</v>
      </c>
    </row>
    <row r="189">
      <c r="A189" s="1"/>
      <c r="B189" s="62" t="str">
        <f>IFERROR(__xludf.DUMMYFUNCTION("""COMPUTED_VALUE"""),"Ash Nikravan")</f>
        <v>Ash Nikravan</v>
      </c>
      <c r="C189" s="63">
        <f>IFERROR(__xludf.DUMMYFUNCTION("""COMPUTED_VALUE"""),200.0)</f>
        <v>200</v>
      </c>
      <c r="D189" s="64">
        <f>IFERROR(__xludf.DUMMYFUNCTION("""COMPUTED_VALUE"""),5.0)</f>
        <v>5</v>
      </c>
      <c r="E189" s="63">
        <f>IFERROR(__xludf.DUMMYFUNCTION("""COMPUTED_VALUE"""),0.0)</f>
        <v>0</v>
      </c>
      <c r="F189" s="65">
        <f>IFERROR(__xludf.DUMMYFUNCTION("""COMPUTED_VALUE"""),0.0)</f>
        <v>0</v>
      </c>
      <c r="G189" s="65">
        <f>IFERROR(__xludf.DUMMYFUNCTION("""COMPUTED_VALUE"""),0.0)</f>
        <v>0</v>
      </c>
      <c r="H189" s="65">
        <f>IFERROR(__xludf.DUMMYFUNCTION("""COMPUTED_VALUE"""),0.0)</f>
        <v>0</v>
      </c>
      <c r="I189" s="65">
        <f>IFERROR(__xludf.DUMMYFUNCTION("""COMPUTED_VALUE"""),0.0)</f>
        <v>0</v>
      </c>
      <c r="J189" s="65">
        <f>IFERROR(__xludf.DUMMYFUNCTION("""COMPUTED_VALUE"""),0.0)</f>
        <v>0</v>
      </c>
      <c r="K189" s="65">
        <f>IFERROR(__xludf.DUMMYFUNCTION("""COMPUTED_VALUE"""),0.0)</f>
        <v>0</v>
      </c>
      <c r="L189" s="65">
        <f>IFERROR(__xludf.DUMMYFUNCTION("""COMPUTED_VALUE"""),0.0)</f>
        <v>0</v>
      </c>
      <c r="M189" s="65">
        <f>IFERROR(__xludf.DUMMYFUNCTION("""COMPUTED_VALUE"""),200.0)</f>
        <v>200</v>
      </c>
      <c r="N189" s="66">
        <f>IFERROR(__xludf.DUMMYFUNCTION("""COMPUTED_VALUE"""),5.0)</f>
        <v>5</v>
      </c>
    </row>
    <row r="190">
      <c r="A190" s="1"/>
      <c r="B190" s="62" t="str">
        <f>IFERROR(__xludf.DUMMYFUNCTION("""COMPUTED_VALUE"""),"Troy Wong")</f>
        <v>Troy Wong</v>
      </c>
      <c r="C190" s="63">
        <f>IFERROR(__xludf.DUMMYFUNCTION("""COMPUTED_VALUE"""),199.0)</f>
        <v>199</v>
      </c>
      <c r="D190" s="64">
        <f>IFERROR(__xludf.DUMMYFUNCTION("""COMPUTED_VALUE"""),4.0)</f>
        <v>4</v>
      </c>
      <c r="E190" s="63">
        <f>IFERROR(__xludf.DUMMYFUNCTION("""COMPUTED_VALUE"""),0.0)</f>
        <v>0</v>
      </c>
      <c r="F190" s="65">
        <f>IFERROR(__xludf.DUMMYFUNCTION("""COMPUTED_VALUE"""),0.0)</f>
        <v>0</v>
      </c>
      <c r="G190" s="65">
        <f>IFERROR(__xludf.DUMMYFUNCTION("""COMPUTED_VALUE"""),0.0)</f>
        <v>0</v>
      </c>
      <c r="H190" s="65">
        <f>IFERROR(__xludf.DUMMYFUNCTION("""COMPUTED_VALUE"""),0.0)</f>
        <v>0</v>
      </c>
      <c r="I190" s="65">
        <f>IFERROR(__xludf.DUMMYFUNCTION("""COMPUTED_VALUE"""),0.0)</f>
        <v>0</v>
      </c>
      <c r="J190" s="65">
        <f>IFERROR(__xludf.DUMMYFUNCTION("""COMPUTED_VALUE"""),0.0)</f>
        <v>0</v>
      </c>
      <c r="K190" s="65">
        <f>IFERROR(__xludf.DUMMYFUNCTION("""COMPUTED_VALUE"""),0.0)</f>
        <v>0</v>
      </c>
      <c r="L190" s="65">
        <f>IFERROR(__xludf.DUMMYFUNCTION("""COMPUTED_VALUE"""),0.0)</f>
        <v>0</v>
      </c>
      <c r="M190" s="65">
        <f>IFERROR(__xludf.DUMMYFUNCTION("""COMPUTED_VALUE"""),199.0)</f>
        <v>199</v>
      </c>
      <c r="N190" s="66">
        <f>IFERROR(__xludf.DUMMYFUNCTION("""COMPUTED_VALUE"""),4.0)</f>
        <v>4</v>
      </c>
    </row>
    <row r="191">
      <c r="A191" s="1"/>
      <c r="B191" s="62" t="str">
        <f>IFERROR(__xludf.DUMMYFUNCTION("""COMPUTED_VALUE"""),"Santosh Sundaresan ")</f>
        <v>Santosh Sundaresan </v>
      </c>
      <c r="C191" s="63">
        <f>IFERROR(__xludf.DUMMYFUNCTION("""COMPUTED_VALUE"""),198.0)</f>
        <v>198</v>
      </c>
      <c r="D191" s="64">
        <f>IFERROR(__xludf.DUMMYFUNCTION("""COMPUTED_VALUE"""),4.0)</f>
        <v>4</v>
      </c>
      <c r="E191" s="63">
        <f>IFERROR(__xludf.DUMMYFUNCTION("""COMPUTED_VALUE"""),0.0)</f>
        <v>0</v>
      </c>
      <c r="F191" s="65">
        <f>IFERROR(__xludf.DUMMYFUNCTION("""COMPUTED_VALUE"""),0.0)</f>
        <v>0</v>
      </c>
      <c r="G191" s="65">
        <f>IFERROR(__xludf.DUMMYFUNCTION("""COMPUTED_VALUE"""),0.0)</f>
        <v>0</v>
      </c>
      <c r="H191" s="65">
        <f>IFERROR(__xludf.DUMMYFUNCTION("""COMPUTED_VALUE"""),0.0)</f>
        <v>0</v>
      </c>
      <c r="I191" s="65">
        <f>IFERROR(__xludf.DUMMYFUNCTION("""COMPUTED_VALUE"""),0.0)</f>
        <v>0</v>
      </c>
      <c r="J191" s="65">
        <f>IFERROR(__xludf.DUMMYFUNCTION("""COMPUTED_VALUE"""),0.0)</f>
        <v>0</v>
      </c>
      <c r="K191" s="65">
        <f>IFERROR(__xludf.DUMMYFUNCTION("""COMPUTED_VALUE"""),0.0)</f>
        <v>0</v>
      </c>
      <c r="L191" s="65">
        <f>IFERROR(__xludf.DUMMYFUNCTION("""COMPUTED_VALUE"""),0.0)</f>
        <v>0</v>
      </c>
      <c r="M191" s="65">
        <f>IFERROR(__xludf.DUMMYFUNCTION("""COMPUTED_VALUE"""),198.0)</f>
        <v>198</v>
      </c>
      <c r="N191" s="66">
        <f>IFERROR(__xludf.DUMMYFUNCTION("""COMPUTED_VALUE"""),4.0)</f>
        <v>4</v>
      </c>
    </row>
    <row r="192">
      <c r="A192" s="1"/>
      <c r="B192" s="62" t="str">
        <f>IFERROR(__xludf.DUMMYFUNCTION("""COMPUTED_VALUE"""),"Tony Lin")</f>
        <v>Tony Lin</v>
      </c>
      <c r="C192" s="63">
        <f>IFERROR(__xludf.DUMMYFUNCTION("""COMPUTED_VALUE"""),198.0)</f>
        <v>198</v>
      </c>
      <c r="D192" s="64">
        <f>IFERROR(__xludf.DUMMYFUNCTION("""COMPUTED_VALUE"""),3.0)</f>
        <v>3</v>
      </c>
      <c r="E192" s="63">
        <f>IFERROR(__xludf.DUMMYFUNCTION("""COMPUTED_VALUE"""),0.0)</f>
        <v>0</v>
      </c>
      <c r="F192" s="65">
        <f>IFERROR(__xludf.DUMMYFUNCTION("""COMPUTED_VALUE"""),0.0)</f>
        <v>0</v>
      </c>
      <c r="G192" s="65">
        <f>IFERROR(__xludf.DUMMYFUNCTION("""COMPUTED_VALUE"""),0.0)</f>
        <v>0</v>
      </c>
      <c r="H192" s="65">
        <f>IFERROR(__xludf.DUMMYFUNCTION("""COMPUTED_VALUE"""),0.0)</f>
        <v>0</v>
      </c>
      <c r="I192" s="65">
        <f>IFERROR(__xludf.DUMMYFUNCTION("""COMPUTED_VALUE"""),0.0)</f>
        <v>0</v>
      </c>
      <c r="J192" s="65">
        <f>IFERROR(__xludf.DUMMYFUNCTION("""COMPUTED_VALUE"""),0.0)</f>
        <v>0</v>
      </c>
      <c r="K192" s="65">
        <f>IFERROR(__xludf.DUMMYFUNCTION("""COMPUTED_VALUE"""),0.0)</f>
        <v>0</v>
      </c>
      <c r="L192" s="65">
        <f>IFERROR(__xludf.DUMMYFUNCTION("""COMPUTED_VALUE"""),0.0)</f>
        <v>0</v>
      </c>
      <c r="M192" s="65">
        <f>IFERROR(__xludf.DUMMYFUNCTION("""COMPUTED_VALUE"""),198.0)</f>
        <v>198</v>
      </c>
      <c r="N192" s="66">
        <f>IFERROR(__xludf.DUMMYFUNCTION("""COMPUTED_VALUE"""),3.0)</f>
        <v>3</v>
      </c>
    </row>
    <row r="193">
      <c r="A193" s="1"/>
      <c r="B193" s="62" t="str">
        <f>IFERROR(__xludf.DUMMYFUNCTION("""COMPUTED_VALUE"""),"Chandrasekar Chinnathambi")</f>
        <v>Chandrasekar Chinnathambi</v>
      </c>
      <c r="C193" s="63">
        <f>IFERROR(__xludf.DUMMYFUNCTION("""COMPUTED_VALUE"""),196.0)</f>
        <v>196</v>
      </c>
      <c r="D193" s="64">
        <f>IFERROR(__xludf.DUMMYFUNCTION("""COMPUTED_VALUE"""),1.0)</f>
        <v>1</v>
      </c>
      <c r="E193" s="63">
        <f>IFERROR(__xludf.DUMMYFUNCTION("""COMPUTED_VALUE"""),0.0)</f>
        <v>0</v>
      </c>
      <c r="F193" s="65">
        <f>IFERROR(__xludf.DUMMYFUNCTION("""COMPUTED_VALUE"""),0.0)</f>
        <v>0</v>
      </c>
      <c r="G193" s="65">
        <f>IFERROR(__xludf.DUMMYFUNCTION("""COMPUTED_VALUE"""),0.0)</f>
        <v>0</v>
      </c>
      <c r="H193" s="65">
        <f>IFERROR(__xludf.DUMMYFUNCTION("""COMPUTED_VALUE"""),0.0)</f>
        <v>0</v>
      </c>
      <c r="I193" s="65">
        <f>IFERROR(__xludf.DUMMYFUNCTION("""COMPUTED_VALUE"""),0.0)</f>
        <v>0</v>
      </c>
      <c r="J193" s="65">
        <f>IFERROR(__xludf.DUMMYFUNCTION("""COMPUTED_VALUE"""),0.0)</f>
        <v>0</v>
      </c>
      <c r="K193" s="65">
        <f>IFERROR(__xludf.DUMMYFUNCTION("""COMPUTED_VALUE"""),0.0)</f>
        <v>0</v>
      </c>
      <c r="L193" s="65">
        <f>IFERROR(__xludf.DUMMYFUNCTION("""COMPUTED_VALUE"""),0.0)</f>
        <v>0</v>
      </c>
      <c r="M193" s="65">
        <f>IFERROR(__xludf.DUMMYFUNCTION("""COMPUTED_VALUE"""),196.0)</f>
        <v>196</v>
      </c>
      <c r="N193" s="66">
        <f>IFERROR(__xludf.DUMMYFUNCTION("""COMPUTED_VALUE"""),1.0)</f>
        <v>1</v>
      </c>
    </row>
    <row r="194">
      <c r="A194" s="1"/>
      <c r="B194" s="62" t="str">
        <f>IFERROR(__xludf.DUMMYFUNCTION("""COMPUTED_VALUE"""),"Marcus Yovas")</f>
        <v>Marcus Yovas</v>
      </c>
      <c r="C194" s="63">
        <f>IFERROR(__xludf.DUMMYFUNCTION("""COMPUTED_VALUE"""),193.0)</f>
        <v>193</v>
      </c>
      <c r="D194" s="64">
        <f>IFERROR(__xludf.DUMMYFUNCTION("""COMPUTED_VALUE"""),2.0)</f>
        <v>2</v>
      </c>
      <c r="E194" s="63">
        <f>IFERROR(__xludf.DUMMYFUNCTION("""COMPUTED_VALUE"""),0.0)</f>
        <v>0</v>
      </c>
      <c r="F194" s="65">
        <f>IFERROR(__xludf.DUMMYFUNCTION("""COMPUTED_VALUE"""),0.0)</f>
        <v>0</v>
      </c>
      <c r="G194" s="65">
        <f>IFERROR(__xludf.DUMMYFUNCTION("""COMPUTED_VALUE"""),0.0)</f>
        <v>0</v>
      </c>
      <c r="H194" s="65">
        <f>IFERROR(__xludf.DUMMYFUNCTION("""COMPUTED_VALUE"""),0.0)</f>
        <v>0</v>
      </c>
      <c r="I194" s="65">
        <f>IFERROR(__xludf.DUMMYFUNCTION("""COMPUTED_VALUE"""),0.0)</f>
        <v>0</v>
      </c>
      <c r="J194" s="65">
        <f>IFERROR(__xludf.DUMMYFUNCTION("""COMPUTED_VALUE"""),0.0)</f>
        <v>0</v>
      </c>
      <c r="K194" s="65">
        <f>IFERROR(__xludf.DUMMYFUNCTION("""COMPUTED_VALUE"""),0.0)</f>
        <v>0</v>
      </c>
      <c r="L194" s="65">
        <f>IFERROR(__xludf.DUMMYFUNCTION("""COMPUTED_VALUE"""),0.0)</f>
        <v>0</v>
      </c>
      <c r="M194" s="65">
        <f>IFERROR(__xludf.DUMMYFUNCTION("""COMPUTED_VALUE"""),193.0)</f>
        <v>193</v>
      </c>
      <c r="N194" s="66">
        <f>IFERROR(__xludf.DUMMYFUNCTION("""COMPUTED_VALUE"""),2.0)</f>
        <v>2</v>
      </c>
    </row>
    <row r="195">
      <c r="A195" s="1"/>
      <c r="B195" s="62" t="str">
        <f>IFERROR(__xludf.DUMMYFUNCTION("""COMPUTED_VALUE"""),"Joyce Zhu")</f>
        <v>Joyce Zhu</v>
      </c>
      <c r="C195" s="63">
        <f>IFERROR(__xludf.DUMMYFUNCTION("""COMPUTED_VALUE"""),189.0)</f>
        <v>189</v>
      </c>
      <c r="D195" s="64">
        <f>IFERROR(__xludf.DUMMYFUNCTION("""COMPUTED_VALUE"""),5.0)</f>
        <v>5</v>
      </c>
      <c r="E195" s="63">
        <f>IFERROR(__xludf.DUMMYFUNCTION("""COMPUTED_VALUE"""),0.0)</f>
        <v>0</v>
      </c>
      <c r="F195" s="65">
        <f>IFERROR(__xludf.DUMMYFUNCTION("""COMPUTED_VALUE"""),0.0)</f>
        <v>0</v>
      </c>
      <c r="G195" s="65">
        <f>IFERROR(__xludf.DUMMYFUNCTION("""COMPUTED_VALUE"""),0.0)</f>
        <v>0</v>
      </c>
      <c r="H195" s="65">
        <f>IFERROR(__xludf.DUMMYFUNCTION("""COMPUTED_VALUE"""),0.0)</f>
        <v>0</v>
      </c>
      <c r="I195" s="65">
        <f>IFERROR(__xludf.DUMMYFUNCTION("""COMPUTED_VALUE"""),0.0)</f>
        <v>0</v>
      </c>
      <c r="J195" s="65">
        <f>IFERROR(__xludf.DUMMYFUNCTION("""COMPUTED_VALUE"""),0.0)</f>
        <v>0</v>
      </c>
      <c r="K195" s="65">
        <f>IFERROR(__xludf.DUMMYFUNCTION("""COMPUTED_VALUE"""),0.0)</f>
        <v>0</v>
      </c>
      <c r="L195" s="65">
        <f>IFERROR(__xludf.DUMMYFUNCTION("""COMPUTED_VALUE"""),0.0)</f>
        <v>0</v>
      </c>
      <c r="M195" s="65">
        <f>IFERROR(__xludf.DUMMYFUNCTION("""COMPUTED_VALUE"""),189.0)</f>
        <v>189</v>
      </c>
      <c r="N195" s="66">
        <f>IFERROR(__xludf.DUMMYFUNCTION("""COMPUTED_VALUE"""),5.0)</f>
        <v>5</v>
      </c>
    </row>
    <row r="196">
      <c r="A196" s="1"/>
      <c r="B196" s="62" t="str">
        <f>IFERROR(__xludf.DUMMYFUNCTION("""COMPUTED_VALUE"""),"Vilas Janardhanan")</f>
        <v>Vilas Janardhanan</v>
      </c>
      <c r="C196" s="63">
        <f>IFERROR(__xludf.DUMMYFUNCTION("""COMPUTED_VALUE"""),189.0)</f>
        <v>189</v>
      </c>
      <c r="D196" s="64">
        <f>IFERROR(__xludf.DUMMYFUNCTION("""COMPUTED_VALUE"""),0.0)</f>
        <v>0</v>
      </c>
      <c r="E196" s="63">
        <f>IFERROR(__xludf.DUMMYFUNCTION("""COMPUTED_VALUE"""),0.0)</f>
        <v>0</v>
      </c>
      <c r="F196" s="65">
        <f>IFERROR(__xludf.DUMMYFUNCTION("""COMPUTED_VALUE"""),0.0)</f>
        <v>0</v>
      </c>
      <c r="G196" s="65">
        <f>IFERROR(__xludf.DUMMYFUNCTION("""COMPUTED_VALUE"""),0.0)</f>
        <v>0</v>
      </c>
      <c r="H196" s="65">
        <f>IFERROR(__xludf.DUMMYFUNCTION("""COMPUTED_VALUE"""),0.0)</f>
        <v>0</v>
      </c>
      <c r="I196" s="65">
        <f>IFERROR(__xludf.DUMMYFUNCTION("""COMPUTED_VALUE"""),0.0)</f>
        <v>0</v>
      </c>
      <c r="J196" s="65">
        <f>IFERROR(__xludf.DUMMYFUNCTION("""COMPUTED_VALUE"""),0.0)</f>
        <v>0</v>
      </c>
      <c r="K196" s="65">
        <f>IFERROR(__xludf.DUMMYFUNCTION("""COMPUTED_VALUE"""),0.0)</f>
        <v>0</v>
      </c>
      <c r="L196" s="65">
        <f>IFERROR(__xludf.DUMMYFUNCTION("""COMPUTED_VALUE"""),0.0)</f>
        <v>0</v>
      </c>
      <c r="M196" s="65">
        <f>IFERROR(__xludf.DUMMYFUNCTION("""COMPUTED_VALUE"""),189.0)</f>
        <v>189</v>
      </c>
      <c r="N196" s="66">
        <f>IFERROR(__xludf.DUMMYFUNCTION("""COMPUTED_VALUE"""),0.0)</f>
        <v>0</v>
      </c>
    </row>
    <row r="197">
      <c r="A197" s="1"/>
      <c r="B197" s="62" t="str">
        <f>IFERROR(__xludf.DUMMYFUNCTION("""COMPUTED_VALUE"""),"Coco Yan")</f>
        <v>Coco Yan</v>
      </c>
      <c r="C197" s="63">
        <f>IFERROR(__xludf.DUMMYFUNCTION("""COMPUTED_VALUE"""),189.0)</f>
        <v>189</v>
      </c>
      <c r="D197" s="64">
        <f>IFERROR(__xludf.DUMMYFUNCTION("""COMPUTED_VALUE"""),0.0)</f>
        <v>0</v>
      </c>
      <c r="E197" s="63">
        <f>IFERROR(__xludf.DUMMYFUNCTION("""COMPUTED_VALUE"""),0.0)</f>
        <v>0</v>
      </c>
      <c r="F197" s="65">
        <f>IFERROR(__xludf.DUMMYFUNCTION("""COMPUTED_VALUE"""),0.0)</f>
        <v>0</v>
      </c>
      <c r="G197" s="65">
        <f>IFERROR(__xludf.DUMMYFUNCTION("""COMPUTED_VALUE"""),0.0)</f>
        <v>0</v>
      </c>
      <c r="H197" s="65">
        <f>IFERROR(__xludf.DUMMYFUNCTION("""COMPUTED_VALUE"""),0.0)</f>
        <v>0</v>
      </c>
      <c r="I197" s="65">
        <f>IFERROR(__xludf.DUMMYFUNCTION("""COMPUTED_VALUE"""),0.0)</f>
        <v>0</v>
      </c>
      <c r="J197" s="65">
        <f>IFERROR(__xludf.DUMMYFUNCTION("""COMPUTED_VALUE"""),0.0)</f>
        <v>0</v>
      </c>
      <c r="K197" s="65">
        <f>IFERROR(__xludf.DUMMYFUNCTION("""COMPUTED_VALUE"""),0.0)</f>
        <v>0</v>
      </c>
      <c r="L197" s="65">
        <f>IFERROR(__xludf.DUMMYFUNCTION("""COMPUTED_VALUE"""),0.0)</f>
        <v>0</v>
      </c>
      <c r="M197" s="65">
        <f>IFERROR(__xludf.DUMMYFUNCTION("""COMPUTED_VALUE"""),189.0)</f>
        <v>189</v>
      </c>
      <c r="N197" s="66">
        <f>IFERROR(__xludf.DUMMYFUNCTION("""COMPUTED_VALUE"""),0.0)</f>
        <v>0</v>
      </c>
    </row>
    <row r="198">
      <c r="A198" s="1"/>
      <c r="B198" s="62" t="str">
        <f>IFERROR(__xludf.DUMMYFUNCTION("""COMPUTED_VALUE"""),"Tiffany Yu")</f>
        <v>Tiffany Yu</v>
      </c>
      <c r="C198" s="63">
        <f>IFERROR(__xludf.DUMMYFUNCTION("""COMPUTED_VALUE"""),188.0)</f>
        <v>188</v>
      </c>
      <c r="D198" s="64">
        <f>IFERROR(__xludf.DUMMYFUNCTION("""COMPUTED_VALUE"""),2.0)</f>
        <v>2</v>
      </c>
      <c r="E198" s="63">
        <f>IFERROR(__xludf.DUMMYFUNCTION("""COMPUTED_VALUE"""),0.0)</f>
        <v>0</v>
      </c>
      <c r="F198" s="65">
        <f>IFERROR(__xludf.DUMMYFUNCTION("""COMPUTED_VALUE"""),0.0)</f>
        <v>0</v>
      </c>
      <c r="G198" s="65">
        <f>IFERROR(__xludf.DUMMYFUNCTION("""COMPUTED_VALUE"""),0.0)</f>
        <v>0</v>
      </c>
      <c r="H198" s="65">
        <f>IFERROR(__xludf.DUMMYFUNCTION("""COMPUTED_VALUE"""),0.0)</f>
        <v>0</v>
      </c>
      <c r="I198" s="65">
        <f>IFERROR(__xludf.DUMMYFUNCTION("""COMPUTED_VALUE"""),0.0)</f>
        <v>0</v>
      </c>
      <c r="J198" s="65">
        <f>IFERROR(__xludf.DUMMYFUNCTION("""COMPUTED_VALUE"""),0.0)</f>
        <v>0</v>
      </c>
      <c r="K198" s="65">
        <f>IFERROR(__xludf.DUMMYFUNCTION("""COMPUTED_VALUE"""),0.0)</f>
        <v>0</v>
      </c>
      <c r="L198" s="65">
        <f>IFERROR(__xludf.DUMMYFUNCTION("""COMPUTED_VALUE"""),0.0)</f>
        <v>0</v>
      </c>
      <c r="M198" s="65">
        <f>IFERROR(__xludf.DUMMYFUNCTION("""COMPUTED_VALUE"""),188.0)</f>
        <v>188</v>
      </c>
      <c r="N198" s="66">
        <f>IFERROR(__xludf.DUMMYFUNCTION("""COMPUTED_VALUE"""),2.0)</f>
        <v>2</v>
      </c>
    </row>
    <row r="199">
      <c r="A199" s="1"/>
      <c r="B199" s="62" t="str">
        <f>IFERROR(__xludf.DUMMYFUNCTION("""COMPUTED_VALUE"""),"Sai Dilip Ponnaganti")</f>
        <v>Sai Dilip Ponnaganti</v>
      </c>
      <c r="C199" s="63">
        <f>IFERROR(__xludf.DUMMYFUNCTION("""COMPUTED_VALUE"""),180.0)</f>
        <v>180</v>
      </c>
      <c r="D199" s="64">
        <f>IFERROR(__xludf.DUMMYFUNCTION("""COMPUTED_VALUE"""),0.0)</f>
        <v>0</v>
      </c>
      <c r="E199" s="63">
        <f>IFERROR(__xludf.DUMMYFUNCTION("""COMPUTED_VALUE"""),0.0)</f>
        <v>0</v>
      </c>
      <c r="F199" s="65">
        <f>IFERROR(__xludf.DUMMYFUNCTION("""COMPUTED_VALUE"""),0.0)</f>
        <v>0</v>
      </c>
      <c r="G199" s="65">
        <f>IFERROR(__xludf.DUMMYFUNCTION("""COMPUTED_VALUE"""),0.0)</f>
        <v>0</v>
      </c>
      <c r="H199" s="65">
        <f>IFERROR(__xludf.DUMMYFUNCTION("""COMPUTED_VALUE"""),0.0)</f>
        <v>0</v>
      </c>
      <c r="I199" s="65">
        <f>IFERROR(__xludf.DUMMYFUNCTION("""COMPUTED_VALUE"""),0.0)</f>
        <v>0</v>
      </c>
      <c r="J199" s="65">
        <f>IFERROR(__xludf.DUMMYFUNCTION("""COMPUTED_VALUE"""),0.0)</f>
        <v>0</v>
      </c>
      <c r="K199" s="65">
        <f>IFERROR(__xludf.DUMMYFUNCTION("""COMPUTED_VALUE"""),0.0)</f>
        <v>0</v>
      </c>
      <c r="L199" s="65">
        <f>IFERROR(__xludf.DUMMYFUNCTION("""COMPUTED_VALUE"""),0.0)</f>
        <v>0</v>
      </c>
      <c r="M199" s="65">
        <f>IFERROR(__xludf.DUMMYFUNCTION("""COMPUTED_VALUE"""),180.0)</f>
        <v>180</v>
      </c>
      <c r="N199" s="66">
        <f>IFERROR(__xludf.DUMMYFUNCTION("""COMPUTED_VALUE"""),0.0)</f>
        <v>0</v>
      </c>
    </row>
    <row r="200">
      <c r="A200" s="1"/>
      <c r="B200" s="62" t="str">
        <f>IFERROR(__xludf.DUMMYFUNCTION("""COMPUTED_VALUE"""),"Jose Ortiz")</f>
        <v>Jose Ortiz</v>
      </c>
      <c r="C200" s="63">
        <f>IFERROR(__xludf.DUMMYFUNCTION("""COMPUTED_VALUE"""),179.0)</f>
        <v>179</v>
      </c>
      <c r="D200" s="64">
        <f>IFERROR(__xludf.DUMMYFUNCTION("""COMPUTED_VALUE"""),2.0)</f>
        <v>2</v>
      </c>
      <c r="E200" s="63">
        <f>IFERROR(__xludf.DUMMYFUNCTION("""COMPUTED_VALUE"""),0.0)</f>
        <v>0</v>
      </c>
      <c r="F200" s="65">
        <f>IFERROR(__xludf.DUMMYFUNCTION("""COMPUTED_VALUE"""),0.0)</f>
        <v>0</v>
      </c>
      <c r="G200" s="65">
        <f>IFERROR(__xludf.DUMMYFUNCTION("""COMPUTED_VALUE"""),0.0)</f>
        <v>0</v>
      </c>
      <c r="H200" s="65">
        <f>IFERROR(__xludf.DUMMYFUNCTION("""COMPUTED_VALUE"""),0.0)</f>
        <v>0</v>
      </c>
      <c r="I200" s="65">
        <f>IFERROR(__xludf.DUMMYFUNCTION("""COMPUTED_VALUE"""),0.0)</f>
        <v>0</v>
      </c>
      <c r="J200" s="65">
        <f>IFERROR(__xludf.DUMMYFUNCTION("""COMPUTED_VALUE"""),0.0)</f>
        <v>0</v>
      </c>
      <c r="K200" s="65">
        <f>IFERROR(__xludf.DUMMYFUNCTION("""COMPUTED_VALUE"""),0.0)</f>
        <v>0</v>
      </c>
      <c r="L200" s="65">
        <f>IFERROR(__xludf.DUMMYFUNCTION("""COMPUTED_VALUE"""),0.0)</f>
        <v>0</v>
      </c>
      <c r="M200" s="65">
        <f>IFERROR(__xludf.DUMMYFUNCTION("""COMPUTED_VALUE"""),179.0)</f>
        <v>179</v>
      </c>
      <c r="N200" s="66">
        <f>IFERROR(__xludf.DUMMYFUNCTION("""COMPUTED_VALUE"""),2.0)</f>
        <v>2</v>
      </c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B222" s="74" t="s">
        <v>137</v>
      </c>
      <c r="C222" s="1"/>
      <c r="D222" s="1"/>
      <c r="E222" s="1"/>
      <c r="U222" s="74" t="s">
        <v>138</v>
      </c>
    </row>
    <row r="223">
      <c r="A223" s="41">
        <v>1.0</v>
      </c>
      <c r="B223" s="62" t="str">
        <f>IFERROR(__xludf.DUMMYFUNCTION("QUERY(B5:Q69, ""Select B   where Q is null"")"),"#N/A")</f>
        <v>#N/A</v>
      </c>
      <c r="C223" s="1"/>
      <c r="D223" s="1"/>
      <c r="E223" s="1"/>
      <c r="T223" s="41">
        <v>1.0</v>
      </c>
      <c r="U223" s="21" t="str">
        <f>IFERROR(__xludf.DUMMYFUNCTION("QUERY(B5:Q69, ""Select B   where Q = 'N' "")"),"David Tam")</f>
        <v>David Tam</v>
      </c>
    </row>
    <row r="224">
      <c r="A224" s="1">
        <f t="shared" ref="A224:A244" si="71">A223+1</f>
        <v>2</v>
      </c>
      <c r="B224" s="62"/>
      <c r="C224" s="1"/>
      <c r="D224" s="1"/>
      <c r="E224" s="1"/>
      <c r="T224" s="1">
        <f t="shared" ref="T224:T235" si="72">T223+1</f>
        <v>2</v>
      </c>
      <c r="U224" s="21" t="str">
        <f>IFERROR(__xludf.DUMMYFUNCTION("""COMPUTED_VALUE"""),"Tony Wong")</f>
        <v>Tony Wong</v>
      </c>
    </row>
    <row r="225">
      <c r="A225" s="1">
        <f t="shared" si="71"/>
        <v>3</v>
      </c>
      <c r="B225" s="62"/>
      <c r="C225" s="1"/>
      <c r="D225" s="1"/>
      <c r="E225" s="1"/>
      <c r="T225" s="1">
        <f t="shared" si="72"/>
        <v>3</v>
      </c>
      <c r="U225" s="21" t="str">
        <f>IFERROR(__xludf.DUMMYFUNCTION("""COMPUTED_VALUE"""),"Kingsley Kuo")</f>
        <v>Kingsley Kuo</v>
      </c>
    </row>
    <row r="226">
      <c r="A226" s="1">
        <f t="shared" si="71"/>
        <v>4</v>
      </c>
      <c r="B226" s="62"/>
      <c r="C226" s="1"/>
      <c r="D226" s="1"/>
      <c r="E226" s="1"/>
      <c r="T226" s="1">
        <f t="shared" si="72"/>
        <v>4</v>
      </c>
      <c r="U226" s="21" t="str">
        <f>IFERROR(__xludf.DUMMYFUNCTION("""COMPUTED_VALUE"""),"Andrew Chin")</f>
        <v>Andrew Chin</v>
      </c>
    </row>
    <row r="227">
      <c r="A227" s="1">
        <f t="shared" si="71"/>
        <v>5</v>
      </c>
      <c r="B227" s="62"/>
      <c r="C227" s="1"/>
      <c r="D227" s="1"/>
      <c r="E227" s="1"/>
      <c r="T227" s="1">
        <f t="shared" si="72"/>
        <v>5</v>
      </c>
      <c r="U227" s="21" t="str">
        <f>IFERROR(__xludf.DUMMYFUNCTION("""COMPUTED_VALUE"""),"Vinot Kumar Nagappan")</f>
        <v>Vinot Kumar Nagappan</v>
      </c>
    </row>
    <row r="228">
      <c r="A228" s="1">
        <f t="shared" si="71"/>
        <v>6</v>
      </c>
      <c r="B228" s="62"/>
      <c r="C228" s="1"/>
      <c r="D228" s="1"/>
      <c r="E228" s="1"/>
      <c r="T228" s="1">
        <f t="shared" si="72"/>
        <v>6</v>
      </c>
      <c r="U228" s="21" t="str">
        <f>IFERROR(__xludf.DUMMYFUNCTION("""COMPUTED_VALUE"""),"Savay Lieu")</f>
        <v>Savay Lieu</v>
      </c>
    </row>
    <row r="229">
      <c r="A229" s="1">
        <f t="shared" si="71"/>
        <v>7</v>
      </c>
      <c r="B229" s="62"/>
      <c r="C229" s="1"/>
      <c r="D229" s="1"/>
      <c r="E229" s="1"/>
      <c r="T229" s="1">
        <f t="shared" si="72"/>
        <v>7</v>
      </c>
      <c r="U229" s="21" t="str">
        <f>IFERROR(__xludf.DUMMYFUNCTION("""COMPUTED_VALUE"""),"Sudhagar Subbaian")</f>
        <v>Sudhagar Subbaian</v>
      </c>
    </row>
    <row r="230">
      <c r="A230" s="1">
        <f t="shared" si="71"/>
        <v>8</v>
      </c>
      <c r="B230" s="62"/>
      <c r="C230" s="1"/>
      <c r="D230" s="1"/>
      <c r="E230" s="1"/>
      <c r="T230" s="1">
        <f t="shared" si="72"/>
        <v>8</v>
      </c>
      <c r="U230" s="21" t="str">
        <f>IFERROR(__xludf.DUMMYFUNCTION("""COMPUTED_VALUE"""),"Rosie Bonilla")</f>
        <v>Rosie Bonilla</v>
      </c>
    </row>
    <row r="231">
      <c r="A231" s="1">
        <f t="shared" si="71"/>
        <v>9</v>
      </c>
      <c r="B231" s="62"/>
      <c r="C231" s="1"/>
      <c r="D231" s="1"/>
      <c r="E231" s="1"/>
      <c r="T231" s="1">
        <f t="shared" si="72"/>
        <v>9</v>
      </c>
      <c r="U231" s="21" t="str">
        <f>IFERROR(__xludf.DUMMYFUNCTION("""COMPUTED_VALUE"""),"Ash Nikravan")</f>
        <v>Ash Nikravan</v>
      </c>
    </row>
    <row r="232">
      <c r="A232" s="1">
        <f t="shared" si="71"/>
        <v>10</v>
      </c>
      <c r="B232" s="62"/>
      <c r="C232" s="1"/>
      <c r="D232" s="1"/>
      <c r="E232" s="1"/>
      <c r="T232" s="1">
        <f t="shared" si="72"/>
        <v>10</v>
      </c>
      <c r="U232" s="21" t="str">
        <f>IFERROR(__xludf.DUMMYFUNCTION("""COMPUTED_VALUE"""),"Chandrasekar Chinnathambi")</f>
        <v>Chandrasekar Chinnathambi</v>
      </c>
    </row>
    <row r="233">
      <c r="A233" s="1">
        <f t="shared" si="71"/>
        <v>11</v>
      </c>
      <c r="B233" s="62"/>
      <c r="C233" s="1"/>
      <c r="D233" s="1"/>
      <c r="E233" s="1"/>
      <c r="T233" s="1">
        <f t="shared" si="72"/>
        <v>11</v>
      </c>
      <c r="U233" s="21" t="str">
        <f>IFERROR(__xludf.DUMMYFUNCTION("""COMPUTED_VALUE"""),"Marcus Yovas")</f>
        <v>Marcus Yovas</v>
      </c>
    </row>
    <row r="234">
      <c r="A234" s="1">
        <f t="shared" si="71"/>
        <v>12</v>
      </c>
      <c r="B234" s="62"/>
      <c r="C234" s="1"/>
      <c r="D234" s="1"/>
      <c r="E234" s="1"/>
      <c r="T234" s="1">
        <f t="shared" si="72"/>
        <v>12</v>
      </c>
      <c r="U234" s="21" t="str">
        <f>IFERROR(__xludf.DUMMYFUNCTION("""COMPUTED_VALUE"""),"Vilas Janardhanan")</f>
        <v>Vilas Janardhanan</v>
      </c>
    </row>
    <row r="235">
      <c r="A235" s="1">
        <f t="shared" si="71"/>
        <v>13</v>
      </c>
      <c r="B235" s="62"/>
      <c r="C235" s="1"/>
      <c r="D235" s="1"/>
      <c r="E235" s="1"/>
      <c r="T235" s="1">
        <f t="shared" si="72"/>
        <v>13</v>
      </c>
      <c r="U235" s="21" t="str">
        <f>IFERROR(__xludf.DUMMYFUNCTION("""COMPUTED_VALUE"""),"Tiffany Yu")</f>
        <v>Tiffany Yu</v>
      </c>
    </row>
    <row r="236">
      <c r="A236" s="1">
        <f t="shared" si="71"/>
        <v>14</v>
      </c>
      <c r="B236" s="62"/>
      <c r="C236" s="1"/>
      <c r="D236" s="1"/>
      <c r="E236" s="1"/>
    </row>
    <row r="237">
      <c r="A237" s="1">
        <f t="shared" si="71"/>
        <v>15</v>
      </c>
      <c r="B237" s="62"/>
      <c r="C237" s="1"/>
      <c r="D237" s="1"/>
      <c r="E237" s="1"/>
    </row>
    <row r="238">
      <c r="A238" s="1">
        <f t="shared" si="71"/>
        <v>16</v>
      </c>
      <c r="B238" s="62"/>
      <c r="C238" s="1"/>
      <c r="D238" s="1"/>
      <c r="E238" s="1"/>
    </row>
    <row r="239">
      <c r="A239" s="1">
        <f t="shared" si="71"/>
        <v>17</v>
      </c>
      <c r="B239" s="62"/>
      <c r="C239" s="1"/>
      <c r="D239" s="1"/>
      <c r="E239" s="1"/>
    </row>
    <row r="240">
      <c r="A240" s="1">
        <f t="shared" si="71"/>
        <v>18</v>
      </c>
      <c r="B240" s="62"/>
      <c r="C240" s="1"/>
      <c r="D240" s="1"/>
      <c r="E240" s="1"/>
    </row>
    <row r="241">
      <c r="A241" s="1">
        <f t="shared" si="71"/>
        <v>19</v>
      </c>
      <c r="B241" s="62"/>
      <c r="C241" s="1"/>
      <c r="D241" s="1"/>
      <c r="E241" s="1"/>
    </row>
    <row r="242">
      <c r="A242" s="1">
        <f t="shared" si="71"/>
        <v>20</v>
      </c>
      <c r="B242" s="62"/>
      <c r="C242" s="1"/>
      <c r="D242" s="1"/>
      <c r="E242" s="1"/>
    </row>
    <row r="243">
      <c r="A243" s="1">
        <f t="shared" si="71"/>
        <v>21</v>
      </c>
      <c r="B243" s="62"/>
      <c r="C243" s="1"/>
      <c r="D243" s="1"/>
      <c r="E243" s="1"/>
    </row>
    <row r="244">
      <c r="A244" s="1">
        <f t="shared" si="71"/>
        <v>22</v>
      </c>
      <c r="B244" s="62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8.25"/>
    <col customWidth="1" min="3" max="3" width="6.63"/>
    <col customWidth="1" min="4" max="4" width="5.13"/>
    <col customWidth="1" min="5" max="5" width="6.0"/>
    <col customWidth="1" min="6" max="8" width="5.0"/>
    <col customWidth="1" min="9" max="9" width="6.5"/>
    <col customWidth="1" min="10" max="10" width="6.13"/>
    <col customWidth="1" min="11" max="11" width="7.25"/>
    <col customWidth="1" min="16" max="16" width="5.13"/>
    <col customWidth="1" min="18" max="18" width="13.0"/>
  </cols>
  <sheetData>
    <row r="1">
      <c r="A1" s="3" t="s">
        <v>0</v>
      </c>
      <c r="B1" s="3" t="s">
        <v>4</v>
      </c>
      <c r="C1" s="6" t="s">
        <v>5</v>
      </c>
      <c r="D1" s="6" t="s">
        <v>7</v>
      </c>
      <c r="E1" s="6" t="s">
        <v>9</v>
      </c>
      <c r="F1" s="6" t="s">
        <v>11</v>
      </c>
      <c r="G1" s="6" t="s">
        <v>13</v>
      </c>
      <c r="H1" s="6" t="s">
        <v>14</v>
      </c>
      <c r="I1" s="6" t="s">
        <v>16</v>
      </c>
      <c r="J1" s="6" t="s">
        <v>7</v>
      </c>
      <c r="K1" s="3" t="s">
        <v>0</v>
      </c>
      <c r="M1" s="11" t="s">
        <v>11</v>
      </c>
      <c r="N1" s="11" t="s">
        <v>13</v>
      </c>
      <c r="O1" s="11" t="s">
        <v>13</v>
      </c>
      <c r="P1" s="11"/>
      <c r="Q1" s="11" t="s">
        <v>22</v>
      </c>
      <c r="T1" s="11" t="s">
        <v>11</v>
      </c>
      <c r="U1" s="11" t="s">
        <v>13</v>
      </c>
      <c r="V1" s="11" t="s">
        <v>13</v>
      </c>
    </row>
    <row r="2">
      <c r="A2" s="13">
        <v>1.0</v>
      </c>
      <c r="B2" s="14" t="str">
        <f>IFERROR(__xludf.DUMMYFUNCTION("QUERY(Current!B5:E69,""Select B, C, D, E where E = 1 or E = 2 "",0)"),"#N/A")</f>
        <v>#N/A</v>
      </c>
      <c r="C2" s="14"/>
      <c r="D2" s="14"/>
      <c r="E2" s="14"/>
      <c r="F2" s="13">
        <v>7.0</v>
      </c>
      <c r="G2" s="13">
        <v>2.0</v>
      </c>
      <c r="H2" s="13">
        <v>6.0</v>
      </c>
      <c r="I2" s="13">
        <f t="shared" ref="I2:I46" si="3">sum(F2:H2)</f>
        <v>15</v>
      </c>
      <c r="J2" s="13">
        <v>2.0</v>
      </c>
      <c r="K2" s="13">
        <f t="shared" ref="K2:K33" si="4">A2</f>
        <v>1</v>
      </c>
      <c r="M2" s="21" t="str">
        <f t="shared" ref="M2:O2" si="1">if(COUNTIF(T2:T4,"Good")=2,"Good","Error")</f>
        <v>Good</v>
      </c>
      <c r="N2" s="21" t="str">
        <f t="shared" si="1"/>
        <v>Good</v>
      </c>
      <c r="O2" s="21" t="str">
        <f t="shared" si="1"/>
        <v>Good</v>
      </c>
      <c r="Q2" s="21">
        <f>sum(J2:J5)</f>
        <v>6</v>
      </c>
      <c r="R2" s="21" t="str">
        <f>if(Q2=0,"",if(Q2=6,"Good","ERROR"))</f>
        <v>Good</v>
      </c>
      <c r="T2" s="21" t="str">
        <f t="shared" ref="T2:V2" si="2">if(isna(VLOOKUP(F2,F3:F5,1,false)),"Error","Good")</f>
        <v>Good</v>
      </c>
      <c r="U2" s="21" t="str">
        <f t="shared" si="2"/>
        <v>Good</v>
      </c>
      <c r="V2" s="21" t="str">
        <f t="shared" si="2"/>
        <v>Good</v>
      </c>
    </row>
    <row r="3">
      <c r="A3" s="13">
        <v>1.0</v>
      </c>
      <c r="B3" s="14"/>
      <c r="C3" s="14"/>
      <c r="D3" s="14"/>
      <c r="E3" s="14"/>
      <c r="F3" s="13">
        <v>5.0</v>
      </c>
      <c r="G3" s="13">
        <v>6.0</v>
      </c>
      <c r="H3" s="13">
        <v>6.0</v>
      </c>
      <c r="I3" s="13">
        <f t="shared" si="3"/>
        <v>17</v>
      </c>
      <c r="J3" s="13">
        <v>2.0</v>
      </c>
      <c r="K3" s="13">
        <f t="shared" si="4"/>
        <v>1</v>
      </c>
      <c r="T3" s="21" t="str">
        <f t="shared" ref="T3:V3" si="5">if(isna(VLOOKUP(F3,F4:F5,1,false)),"Error","Good")</f>
        <v>Good</v>
      </c>
      <c r="U3" s="21" t="str">
        <f t="shared" si="5"/>
        <v>Good</v>
      </c>
      <c r="V3" s="21" t="str">
        <f t="shared" si="5"/>
        <v>Error</v>
      </c>
      <c r="AB3" s="21" t="s">
        <v>39</v>
      </c>
    </row>
    <row r="4">
      <c r="A4" s="13">
        <v>1.0</v>
      </c>
      <c r="B4" s="14"/>
      <c r="C4" s="14"/>
      <c r="D4" s="14"/>
      <c r="E4" s="14"/>
      <c r="F4" s="13">
        <v>5.0</v>
      </c>
      <c r="G4" s="13">
        <v>2.0</v>
      </c>
      <c r="H4" s="13">
        <v>4.0</v>
      </c>
      <c r="I4" s="13">
        <f t="shared" si="3"/>
        <v>11</v>
      </c>
      <c r="J4" s="13">
        <v>0.0</v>
      </c>
      <c r="K4" s="13">
        <f t="shared" si="4"/>
        <v>1</v>
      </c>
      <c r="T4" s="21" t="b">
        <f t="shared" ref="T4:V4" si="6">if(F4=F5,"Good")</f>
        <v>0</v>
      </c>
      <c r="U4" s="21" t="b">
        <f t="shared" si="6"/>
        <v>0</v>
      </c>
      <c r="V4" s="21" t="str">
        <f t="shared" si="6"/>
        <v>Good</v>
      </c>
      <c r="W4" s="21"/>
      <c r="X4" s="9" t="s">
        <v>41</v>
      </c>
      <c r="AB4" s="21" t="s">
        <v>42</v>
      </c>
    </row>
    <row r="5">
      <c r="A5" s="13">
        <v>1.0</v>
      </c>
      <c r="B5" s="14"/>
      <c r="C5" s="14"/>
      <c r="D5" s="14"/>
      <c r="E5" s="14"/>
      <c r="F5" s="13">
        <v>7.0</v>
      </c>
      <c r="G5" s="13">
        <v>6.0</v>
      </c>
      <c r="H5" s="13">
        <v>4.0</v>
      </c>
      <c r="I5" s="13">
        <f t="shared" si="3"/>
        <v>17</v>
      </c>
      <c r="J5" s="13">
        <v>2.0</v>
      </c>
      <c r="K5" s="13">
        <f t="shared" si="4"/>
        <v>1</v>
      </c>
      <c r="W5" s="9" t="s">
        <v>43</v>
      </c>
      <c r="X5" s="9" t="s">
        <v>44</v>
      </c>
      <c r="AB5" s="21" t="s">
        <v>45</v>
      </c>
    </row>
    <row r="6">
      <c r="A6" s="36">
        <v>2.0</v>
      </c>
      <c r="B6" s="37"/>
      <c r="C6" s="37"/>
      <c r="D6" s="37"/>
      <c r="E6" s="37"/>
      <c r="F6" s="36">
        <v>6.0</v>
      </c>
      <c r="G6" s="36">
        <v>6.0</v>
      </c>
      <c r="H6" s="36">
        <v>4.0</v>
      </c>
      <c r="I6" s="36">
        <f t="shared" si="3"/>
        <v>16</v>
      </c>
      <c r="J6" s="36">
        <v>2.0</v>
      </c>
      <c r="K6" s="36">
        <f t="shared" si="4"/>
        <v>2</v>
      </c>
      <c r="M6" s="21" t="str">
        <f t="shared" ref="M6:O6" si="7">if(COUNTIF(T6:T8,"Good")=2,"Good","Error")</f>
        <v>Good</v>
      </c>
      <c r="N6" s="21" t="str">
        <f t="shared" si="7"/>
        <v>Good</v>
      </c>
      <c r="O6" s="21" t="str">
        <f t="shared" si="7"/>
        <v>Good</v>
      </c>
      <c r="Q6" s="21">
        <f>sum(J6:J9)</f>
        <v>6</v>
      </c>
      <c r="R6" s="21" t="str">
        <f>if(Q6=0,"",if(Q6=6,"Good","ERROR"))</f>
        <v>Good</v>
      </c>
      <c r="T6" s="21" t="str">
        <f t="shared" ref="T6:V6" si="8">if(isna(VLOOKUP(F6,F7:F9,1,false)),"Error","Good")</f>
        <v>Good</v>
      </c>
      <c r="U6" s="21" t="str">
        <f t="shared" si="8"/>
        <v>Good</v>
      </c>
      <c r="V6" s="21" t="str">
        <f t="shared" si="8"/>
        <v>Good</v>
      </c>
      <c r="AB6" s="21" t="s">
        <v>47</v>
      </c>
    </row>
    <row r="7">
      <c r="A7" s="36">
        <v>2.0</v>
      </c>
      <c r="B7" s="37"/>
      <c r="C7" s="37"/>
      <c r="D7" s="37"/>
      <c r="E7" s="37"/>
      <c r="F7" s="36">
        <v>4.0</v>
      </c>
      <c r="G7" s="36">
        <v>6.0</v>
      </c>
      <c r="H7" s="36">
        <v>6.0</v>
      </c>
      <c r="I7" s="36">
        <f t="shared" si="3"/>
        <v>16</v>
      </c>
      <c r="J7" s="36">
        <v>0.0</v>
      </c>
      <c r="K7" s="36">
        <f t="shared" si="4"/>
        <v>2</v>
      </c>
      <c r="T7" s="21" t="str">
        <f t="shared" ref="T7:V7" si="9">if(isna(VLOOKUP(F7,F8:F9,1,false)),"Error","Good")</f>
        <v>Good</v>
      </c>
      <c r="U7" s="21" t="str">
        <f t="shared" si="9"/>
        <v>Error</v>
      </c>
      <c r="V7" s="21" t="str">
        <f t="shared" si="9"/>
        <v>Good</v>
      </c>
    </row>
    <row r="8">
      <c r="A8" s="36">
        <v>2.0</v>
      </c>
      <c r="B8" s="37"/>
      <c r="C8" s="37"/>
      <c r="D8" s="37"/>
      <c r="E8" s="37"/>
      <c r="F8" s="36">
        <v>4.0</v>
      </c>
      <c r="G8" s="36">
        <v>3.0</v>
      </c>
      <c r="H8" s="36">
        <v>4.0</v>
      </c>
      <c r="I8" s="36">
        <f t="shared" si="3"/>
        <v>11</v>
      </c>
      <c r="J8" s="36">
        <v>2.0</v>
      </c>
      <c r="K8" s="36">
        <f t="shared" si="4"/>
        <v>2</v>
      </c>
      <c r="L8" s="38"/>
      <c r="T8" s="21" t="b">
        <f t="shared" ref="T8:V8" si="10">if(F8=F9,"Good")</f>
        <v>0</v>
      </c>
      <c r="U8" s="21" t="str">
        <f t="shared" si="10"/>
        <v>Good</v>
      </c>
      <c r="V8" s="21" t="b">
        <f t="shared" si="10"/>
        <v>0</v>
      </c>
    </row>
    <row r="9">
      <c r="A9" s="36">
        <v>2.0</v>
      </c>
      <c r="B9" s="37"/>
      <c r="C9" s="37"/>
      <c r="D9" s="37"/>
      <c r="E9" s="37"/>
      <c r="F9" s="36">
        <v>6.0</v>
      </c>
      <c r="G9" s="36">
        <v>3.0</v>
      </c>
      <c r="H9" s="36">
        <v>6.0</v>
      </c>
      <c r="I9" s="36">
        <f t="shared" si="3"/>
        <v>15</v>
      </c>
      <c r="J9" s="36">
        <v>2.0</v>
      </c>
      <c r="K9" s="36">
        <f t="shared" si="4"/>
        <v>2</v>
      </c>
      <c r="L9" s="38"/>
    </row>
    <row r="10">
      <c r="A10" s="13">
        <f>if(W4="Y",A9+3,A9+1)</f>
        <v>3</v>
      </c>
      <c r="B10" s="14"/>
      <c r="C10" s="14"/>
      <c r="D10" s="14"/>
      <c r="E10" s="14"/>
      <c r="F10" s="13">
        <v>3.0</v>
      </c>
      <c r="G10" s="13">
        <v>4.0</v>
      </c>
      <c r="H10" s="13">
        <v>2.0</v>
      </c>
      <c r="I10" s="13">
        <f t="shared" si="3"/>
        <v>9</v>
      </c>
      <c r="J10" s="13">
        <v>0.0</v>
      </c>
      <c r="K10" s="13">
        <f t="shared" si="4"/>
        <v>3</v>
      </c>
      <c r="M10" s="21" t="str">
        <f t="shared" ref="M10:O10" si="11">if(COUNTIF(T10:T12,"Good")=2,"Good","Error")</f>
        <v>Good</v>
      </c>
      <c r="N10" s="21" t="str">
        <f t="shared" si="11"/>
        <v>Good</v>
      </c>
      <c r="O10" s="21" t="str">
        <f t="shared" si="11"/>
        <v>Good</v>
      </c>
      <c r="Q10" s="21">
        <f>sum(J10:J13)</f>
        <v>6</v>
      </c>
      <c r="R10" s="21" t="str">
        <f>if(Q10=0,"",if(Q10=6,"Good","ERROR"))</f>
        <v>Good</v>
      </c>
      <c r="T10" s="21" t="str">
        <f t="shared" ref="T10:V10" si="12">if(isna(VLOOKUP(F10,F11:F13,1,false)),"Error","Good")</f>
        <v>Good</v>
      </c>
      <c r="U10" s="21" t="str">
        <f t="shared" si="12"/>
        <v>Good</v>
      </c>
      <c r="V10" s="21" t="str">
        <f t="shared" si="12"/>
        <v>Good</v>
      </c>
    </row>
    <row r="11">
      <c r="A11" s="13">
        <f t="shared" ref="A11:A13" si="14">A10</f>
        <v>3</v>
      </c>
      <c r="B11" s="14"/>
      <c r="C11" s="14"/>
      <c r="D11" s="14"/>
      <c r="E11" s="14"/>
      <c r="F11" s="13">
        <v>6.0</v>
      </c>
      <c r="G11" s="13">
        <v>4.0</v>
      </c>
      <c r="H11" s="13">
        <v>6.0</v>
      </c>
      <c r="I11" s="13">
        <f t="shared" si="3"/>
        <v>16</v>
      </c>
      <c r="J11" s="13">
        <v>2.0</v>
      </c>
      <c r="K11" s="13">
        <f t="shared" si="4"/>
        <v>3</v>
      </c>
      <c r="T11" s="21" t="str">
        <f t="shared" ref="T11:V11" si="13">if(isna(VLOOKUP(F11,F12:F13,1,false)),"Error","Good")</f>
        <v>Good</v>
      </c>
      <c r="U11" s="21" t="str">
        <f t="shared" si="13"/>
        <v>Error</v>
      </c>
      <c r="V11" s="21" t="str">
        <f t="shared" si="13"/>
        <v>Good</v>
      </c>
      <c r="AB11" s="21" t="s">
        <v>52</v>
      </c>
    </row>
    <row r="12">
      <c r="A12" s="13">
        <f t="shared" si="14"/>
        <v>3</v>
      </c>
      <c r="B12" s="14"/>
      <c r="C12" s="14"/>
      <c r="D12" s="14"/>
      <c r="E12" s="14"/>
      <c r="F12" s="13">
        <v>3.0</v>
      </c>
      <c r="G12" s="13">
        <v>6.0</v>
      </c>
      <c r="H12" s="13">
        <v>6.0</v>
      </c>
      <c r="I12" s="13">
        <f t="shared" si="3"/>
        <v>15</v>
      </c>
      <c r="J12" s="13">
        <v>2.0</v>
      </c>
      <c r="K12" s="13">
        <f t="shared" si="4"/>
        <v>3</v>
      </c>
      <c r="T12" s="21" t="b">
        <f t="shared" ref="T12:V12" si="15">if(F12=F13,"Good")</f>
        <v>0</v>
      </c>
      <c r="U12" s="21" t="str">
        <f t="shared" si="15"/>
        <v>Good</v>
      </c>
      <c r="V12" s="21" t="b">
        <f t="shared" si="15"/>
        <v>0</v>
      </c>
      <c r="AB12" s="21" t="s">
        <v>54</v>
      </c>
    </row>
    <row r="13">
      <c r="A13" s="13">
        <f t="shared" si="14"/>
        <v>3</v>
      </c>
      <c r="B13" s="14"/>
      <c r="C13" s="14"/>
      <c r="D13" s="14"/>
      <c r="E13" s="14"/>
      <c r="F13" s="13">
        <v>6.0</v>
      </c>
      <c r="G13" s="13">
        <v>6.0</v>
      </c>
      <c r="H13" s="13">
        <v>2.0</v>
      </c>
      <c r="I13" s="13">
        <f t="shared" si="3"/>
        <v>14</v>
      </c>
      <c r="J13" s="13">
        <v>2.0</v>
      </c>
      <c r="K13" s="13">
        <f t="shared" si="4"/>
        <v>3</v>
      </c>
      <c r="AB13" s="21" t="s">
        <v>56</v>
      </c>
    </row>
    <row r="14">
      <c r="A14" s="36">
        <f>if(W5="Y",A13+2,A13+1)</f>
        <v>5</v>
      </c>
      <c r="B14" s="37"/>
      <c r="C14" s="37"/>
      <c r="D14" s="37"/>
      <c r="E14" s="37"/>
      <c r="F14" s="36">
        <v>6.0</v>
      </c>
      <c r="G14" s="36">
        <v>6.0</v>
      </c>
      <c r="H14" s="36">
        <v>6.0</v>
      </c>
      <c r="I14" s="36">
        <f t="shared" si="3"/>
        <v>18</v>
      </c>
      <c r="J14" s="36">
        <v>3.0</v>
      </c>
      <c r="K14" s="36">
        <f t="shared" si="4"/>
        <v>5</v>
      </c>
      <c r="M14" s="21" t="str">
        <f t="shared" ref="M14:O14" si="16">if(COUNTIF(T14:T16,"Good")=2,"Good","Error")</f>
        <v>Good</v>
      </c>
      <c r="N14" s="21" t="str">
        <f t="shared" si="16"/>
        <v>Good</v>
      </c>
      <c r="O14" s="21" t="str">
        <f t="shared" si="16"/>
        <v>Good</v>
      </c>
      <c r="Q14" s="21">
        <f>sum(J14:J17)</f>
        <v>6</v>
      </c>
      <c r="R14" s="21" t="str">
        <f>if(Q14=0,"",if(Q14=6,"Good","ERROR"))</f>
        <v>Good</v>
      </c>
      <c r="T14" s="21" t="str">
        <f t="shared" ref="T14:V14" si="17">if(isna(VLOOKUP(F14,F15:F17,1,false)),"Error","Good")</f>
        <v>Good</v>
      </c>
      <c r="U14" s="21" t="str">
        <f t="shared" si="17"/>
        <v>Good</v>
      </c>
      <c r="V14" s="21" t="str">
        <f t="shared" si="17"/>
        <v>Good</v>
      </c>
      <c r="AB14" s="21" t="s">
        <v>59</v>
      </c>
    </row>
    <row r="15">
      <c r="A15" s="36">
        <f t="shared" ref="A15:A17" si="19">A14</f>
        <v>5</v>
      </c>
      <c r="B15" s="37"/>
      <c r="C15" s="37"/>
      <c r="D15" s="37"/>
      <c r="E15" s="37"/>
      <c r="F15" s="36">
        <v>0.0</v>
      </c>
      <c r="G15" s="36">
        <v>6.0</v>
      </c>
      <c r="H15" s="36">
        <v>3.0</v>
      </c>
      <c r="I15" s="36">
        <f t="shared" si="3"/>
        <v>9</v>
      </c>
      <c r="J15" s="36">
        <v>1.0</v>
      </c>
      <c r="K15" s="36">
        <f t="shared" si="4"/>
        <v>5</v>
      </c>
      <c r="S15" s="40"/>
      <c r="T15" s="21" t="str">
        <f t="shared" ref="T15:V15" si="18">if(isna(VLOOKUP(F15,F16:F17,1,false)),"Error","Good")</f>
        <v>Good</v>
      </c>
      <c r="U15" s="21" t="str">
        <f t="shared" si="18"/>
        <v>Error</v>
      </c>
      <c r="V15" s="21" t="str">
        <f t="shared" si="18"/>
        <v>Good</v>
      </c>
    </row>
    <row r="16">
      <c r="A16" s="36">
        <f t="shared" si="19"/>
        <v>5</v>
      </c>
      <c r="B16" s="37"/>
      <c r="C16" s="37"/>
      <c r="D16" s="37"/>
      <c r="E16" s="37"/>
      <c r="F16" s="36">
        <v>0.0</v>
      </c>
      <c r="G16" s="36">
        <v>3.0</v>
      </c>
      <c r="H16" s="36">
        <v>6.0</v>
      </c>
      <c r="I16" s="36">
        <f t="shared" si="3"/>
        <v>9</v>
      </c>
      <c r="J16" s="36">
        <v>1.0</v>
      </c>
      <c r="K16" s="36">
        <f t="shared" si="4"/>
        <v>5</v>
      </c>
      <c r="T16" s="21" t="b">
        <f t="shared" ref="T16:V16" si="20">if(F16=F17,"Good")</f>
        <v>0</v>
      </c>
      <c r="U16" s="21" t="str">
        <f t="shared" si="20"/>
        <v>Good</v>
      </c>
      <c r="V16" s="21" t="b">
        <f t="shared" si="20"/>
        <v>0</v>
      </c>
    </row>
    <row r="17">
      <c r="A17" s="36">
        <f t="shared" si="19"/>
        <v>5</v>
      </c>
      <c r="B17" s="37"/>
      <c r="C17" s="37"/>
      <c r="D17" s="37"/>
      <c r="E17" s="37"/>
      <c r="F17" s="36">
        <v>6.0</v>
      </c>
      <c r="G17" s="36">
        <v>3.0</v>
      </c>
      <c r="H17" s="36">
        <v>3.0</v>
      </c>
      <c r="I17" s="36">
        <f t="shared" si="3"/>
        <v>12</v>
      </c>
      <c r="J17" s="36">
        <v>1.0</v>
      </c>
      <c r="K17" s="36">
        <f t="shared" si="4"/>
        <v>5</v>
      </c>
    </row>
    <row r="18">
      <c r="A18" s="13">
        <f>A17+1</f>
        <v>6</v>
      </c>
      <c r="B18" s="14"/>
      <c r="C18" s="14"/>
      <c r="D18" s="14"/>
      <c r="E18" s="14"/>
      <c r="F18" s="13">
        <v>5.0</v>
      </c>
      <c r="G18" s="13">
        <v>5.0</v>
      </c>
      <c r="H18" s="13">
        <v>6.0</v>
      </c>
      <c r="I18" s="13">
        <f t="shared" si="3"/>
        <v>16</v>
      </c>
      <c r="J18" s="13">
        <v>1.0</v>
      </c>
      <c r="K18" s="13">
        <f t="shared" si="4"/>
        <v>6</v>
      </c>
      <c r="M18" s="21" t="str">
        <f t="shared" ref="M18:O18" si="21">if(COUNTIF(T18:T20,"Good")=2,"Good","Error")</f>
        <v>Good</v>
      </c>
      <c r="N18" s="21" t="str">
        <f t="shared" si="21"/>
        <v>Good</v>
      </c>
      <c r="O18" s="21" t="str">
        <f t="shared" si="21"/>
        <v>Good</v>
      </c>
      <c r="Q18" s="21">
        <f>sum(J18:J21)</f>
        <v>6</v>
      </c>
      <c r="R18" s="21" t="str">
        <f>if(Q18=0,"",if(Q18=6,"Good","ERROR"))</f>
        <v>Good</v>
      </c>
      <c r="T18" s="21" t="str">
        <f t="shared" ref="T18:V18" si="22">if(isna(VLOOKUP(F18,F19:F21,1,false)),"Error","Good")</f>
        <v>Good</v>
      </c>
      <c r="U18" s="21" t="str">
        <f t="shared" si="22"/>
        <v>Good</v>
      </c>
      <c r="V18" s="21" t="str">
        <f t="shared" si="22"/>
        <v>Good</v>
      </c>
      <c r="AB18" s="21" t="s">
        <v>65</v>
      </c>
    </row>
    <row r="19">
      <c r="A19" s="13">
        <f t="shared" ref="A19:A21" si="24">A18</f>
        <v>6</v>
      </c>
      <c r="B19" s="14"/>
      <c r="C19" s="14"/>
      <c r="D19" s="14"/>
      <c r="E19" s="14"/>
      <c r="F19" s="13">
        <v>7.0</v>
      </c>
      <c r="G19" s="13">
        <v>7.0</v>
      </c>
      <c r="H19" s="13">
        <v>6.0</v>
      </c>
      <c r="I19" s="13">
        <f t="shared" si="3"/>
        <v>20</v>
      </c>
      <c r="J19" s="13">
        <v>3.0</v>
      </c>
      <c r="K19" s="13">
        <f t="shared" si="4"/>
        <v>6</v>
      </c>
      <c r="T19" s="21" t="str">
        <f t="shared" ref="T19:V19" si="23">if(isna(VLOOKUP(F19,F20:F21,1,false)),"Error","Good")</f>
        <v>Good</v>
      </c>
      <c r="U19" s="21" t="str">
        <f t="shared" si="23"/>
        <v>Good</v>
      </c>
      <c r="V19" s="21" t="str">
        <f t="shared" si="23"/>
        <v>Error</v>
      </c>
      <c r="AB19" s="21" t="s">
        <v>71</v>
      </c>
    </row>
    <row r="20">
      <c r="A20" s="13">
        <f t="shared" si="24"/>
        <v>6</v>
      </c>
      <c r="B20" s="14"/>
      <c r="C20" s="14"/>
      <c r="D20" s="14"/>
      <c r="E20" s="14"/>
      <c r="F20" s="13">
        <v>5.0</v>
      </c>
      <c r="G20" s="13">
        <v>7.0</v>
      </c>
      <c r="H20" s="13">
        <v>3.0</v>
      </c>
      <c r="I20" s="13">
        <f t="shared" si="3"/>
        <v>15</v>
      </c>
      <c r="J20" s="13">
        <v>1.0</v>
      </c>
      <c r="K20" s="13">
        <f t="shared" si="4"/>
        <v>6</v>
      </c>
      <c r="T20" s="21" t="b">
        <f t="shared" ref="T20:V20" si="25">if(F20=F21,"Good")</f>
        <v>0</v>
      </c>
      <c r="U20" s="21" t="b">
        <f t="shared" si="25"/>
        <v>0</v>
      </c>
      <c r="V20" s="21" t="str">
        <f t="shared" si="25"/>
        <v>Good</v>
      </c>
      <c r="AB20" s="21" t="s">
        <v>73</v>
      </c>
    </row>
    <row r="21">
      <c r="A21" s="13">
        <f t="shared" si="24"/>
        <v>6</v>
      </c>
      <c r="B21" s="14"/>
      <c r="C21" s="14"/>
      <c r="D21" s="14"/>
      <c r="E21" s="14"/>
      <c r="F21" s="13">
        <v>7.0</v>
      </c>
      <c r="G21" s="13">
        <v>5.0</v>
      </c>
      <c r="H21" s="13">
        <v>3.0</v>
      </c>
      <c r="I21" s="13">
        <f t="shared" si="3"/>
        <v>15</v>
      </c>
      <c r="J21" s="13">
        <v>1.0</v>
      </c>
      <c r="K21" s="13">
        <f t="shared" si="4"/>
        <v>6</v>
      </c>
      <c r="AB21" s="21" t="s">
        <v>76</v>
      </c>
    </row>
    <row r="22">
      <c r="A22" s="36">
        <f>A21+1</f>
        <v>7</v>
      </c>
      <c r="B22" s="37"/>
      <c r="C22" s="37"/>
      <c r="D22" s="37"/>
      <c r="E22" s="37"/>
      <c r="F22" s="36"/>
      <c r="G22" s="36"/>
      <c r="H22" s="36"/>
      <c r="I22" s="36">
        <f t="shared" si="3"/>
        <v>0</v>
      </c>
      <c r="J22" s="36"/>
      <c r="K22" s="36">
        <f t="shared" si="4"/>
        <v>7</v>
      </c>
      <c r="M22" s="21" t="str">
        <f t="shared" ref="M22:O22" si="26">if(COUNTIF(T22:T24,"Good")=2,"Good","Error")</f>
        <v>Error</v>
      </c>
      <c r="N22" s="21" t="str">
        <f t="shared" si="26"/>
        <v>Error</v>
      </c>
      <c r="O22" s="21" t="str">
        <f t="shared" si="26"/>
        <v>Error</v>
      </c>
      <c r="Q22" s="21">
        <f>sum(J22:J25)</f>
        <v>0</v>
      </c>
      <c r="R22" s="21" t="str">
        <f>if(Q22=0,"",if(Q22=6,"Good","ERROR"))</f>
        <v/>
      </c>
      <c r="T22" s="21" t="str">
        <f t="shared" ref="T22:V22" si="27">if(isna(VLOOKUP(F22,F23:F25,1,false)),"Error","Good")</f>
        <v>Error</v>
      </c>
      <c r="U22" s="21" t="str">
        <f t="shared" si="27"/>
        <v>Error</v>
      </c>
      <c r="V22" s="21" t="str">
        <f t="shared" si="27"/>
        <v>Error</v>
      </c>
    </row>
    <row r="23">
      <c r="A23" s="36">
        <f t="shared" ref="A23:A25" si="29">A22</f>
        <v>7</v>
      </c>
      <c r="B23" s="37"/>
      <c r="C23" s="37"/>
      <c r="D23" s="37"/>
      <c r="E23" s="37"/>
      <c r="F23" s="36"/>
      <c r="G23" s="36"/>
      <c r="H23" s="36"/>
      <c r="I23" s="36">
        <f t="shared" si="3"/>
        <v>0</v>
      </c>
      <c r="J23" s="36"/>
      <c r="K23" s="36">
        <f t="shared" si="4"/>
        <v>7</v>
      </c>
      <c r="T23" s="21" t="str">
        <f t="shared" ref="T23:V23" si="28">if(isna(VLOOKUP(F23,F24:F25,1,false)),"Error","Good")</f>
        <v>Error</v>
      </c>
      <c r="U23" s="21" t="str">
        <f t="shared" si="28"/>
        <v>Error</v>
      </c>
      <c r="V23" s="21" t="str">
        <f t="shared" si="28"/>
        <v>Error</v>
      </c>
    </row>
    <row r="24">
      <c r="A24" s="36">
        <f t="shared" si="29"/>
        <v>7</v>
      </c>
      <c r="B24" s="37"/>
      <c r="C24" s="37"/>
      <c r="D24" s="37"/>
      <c r="E24" s="37"/>
      <c r="F24" s="36"/>
      <c r="G24" s="36"/>
      <c r="H24" s="36"/>
      <c r="I24" s="36">
        <f t="shared" si="3"/>
        <v>0</v>
      </c>
      <c r="J24" s="36"/>
      <c r="K24" s="36">
        <f t="shared" si="4"/>
        <v>7</v>
      </c>
      <c r="T24" s="21" t="str">
        <f t="shared" ref="T24:V24" si="30">if(F24=F25,"Good")</f>
        <v>Good</v>
      </c>
      <c r="U24" s="21" t="str">
        <f t="shared" si="30"/>
        <v>Good</v>
      </c>
      <c r="V24" s="21" t="str">
        <f t="shared" si="30"/>
        <v>Good</v>
      </c>
      <c r="AB24" s="21" t="s">
        <v>79</v>
      </c>
    </row>
    <row r="25">
      <c r="A25" s="36">
        <f t="shared" si="29"/>
        <v>7</v>
      </c>
      <c r="B25" s="37"/>
      <c r="C25" s="37"/>
      <c r="D25" s="37"/>
      <c r="E25" s="37"/>
      <c r="F25" s="36"/>
      <c r="G25" s="36"/>
      <c r="H25" s="36"/>
      <c r="I25" s="36">
        <f t="shared" si="3"/>
        <v>0</v>
      </c>
      <c r="J25" s="36"/>
      <c r="K25" s="36">
        <f t="shared" si="4"/>
        <v>7</v>
      </c>
      <c r="AB25" s="21" t="s">
        <v>80</v>
      </c>
    </row>
    <row r="26">
      <c r="A26" s="13">
        <f>A25+1</f>
        <v>8</v>
      </c>
      <c r="B26" s="14"/>
      <c r="C26" s="14"/>
      <c r="D26" s="14"/>
      <c r="E26" s="14"/>
      <c r="F26" s="13"/>
      <c r="G26" s="13"/>
      <c r="H26" s="13"/>
      <c r="I26" s="13">
        <f t="shared" si="3"/>
        <v>0</v>
      </c>
      <c r="J26" s="13"/>
      <c r="K26" s="13">
        <f t="shared" si="4"/>
        <v>8</v>
      </c>
      <c r="M26" s="21" t="str">
        <f t="shared" ref="M26:O26" si="31">if(COUNTIF(T26:T28,"Good")=2,"Good","Error")</f>
        <v>Error</v>
      </c>
      <c r="N26" s="21" t="str">
        <f t="shared" si="31"/>
        <v>Error</v>
      </c>
      <c r="O26" s="21" t="str">
        <f t="shared" si="31"/>
        <v>Error</v>
      </c>
      <c r="Q26" s="21">
        <f>sum(J26:J29)</f>
        <v>0</v>
      </c>
      <c r="R26" s="21" t="str">
        <f>if(Q26=0,"",if(Q26=6,"Good","ERROR"))</f>
        <v/>
      </c>
      <c r="T26" s="21" t="str">
        <f t="shared" ref="T26:V26" si="32">if(isna(VLOOKUP(F26,F27:F29,1,false)),"Error","Good")</f>
        <v>Error</v>
      </c>
      <c r="U26" s="21" t="str">
        <f t="shared" si="32"/>
        <v>Error</v>
      </c>
      <c r="V26" s="21" t="str">
        <f t="shared" si="32"/>
        <v>Error</v>
      </c>
      <c r="AB26" s="21" t="s">
        <v>83</v>
      </c>
    </row>
    <row r="27">
      <c r="A27" s="13">
        <f t="shared" ref="A27:A29" si="34">A26</f>
        <v>8</v>
      </c>
      <c r="B27" s="14"/>
      <c r="C27" s="14"/>
      <c r="D27" s="14"/>
      <c r="E27" s="14"/>
      <c r="F27" s="13"/>
      <c r="G27" s="13"/>
      <c r="H27" s="13"/>
      <c r="I27" s="13">
        <f t="shared" si="3"/>
        <v>0</v>
      </c>
      <c r="J27" s="13"/>
      <c r="K27" s="13">
        <f t="shared" si="4"/>
        <v>8</v>
      </c>
      <c r="T27" s="21" t="str">
        <f t="shared" ref="T27:V27" si="33">if(isna(VLOOKUP(F27,F28:F29,1,false)),"Error","Good")</f>
        <v>Error</v>
      </c>
      <c r="U27" s="21" t="str">
        <f t="shared" si="33"/>
        <v>Error</v>
      </c>
      <c r="V27" s="21" t="str">
        <f t="shared" si="33"/>
        <v>Error</v>
      </c>
      <c r="AB27" s="21" t="s">
        <v>63</v>
      </c>
    </row>
    <row r="28">
      <c r="A28" s="13">
        <f t="shared" si="34"/>
        <v>8</v>
      </c>
      <c r="B28" s="14"/>
      <c r="C28" s="14"/>
      <c r="D28" s="14"/>
      <c r="E28" s="14"/>
      <c r="F28" s="13"/>
      <c r="G28" s="13"/>
      <c r="H28" s="13"/>
      <c r="I28" s="13">
        <f t="shared" si="3"/>
        <v>0</v>
      </c>
      <c r="J28" s="13"/>
      <c r="K28" s="13">
        <f t="shared" si="4"/>
        <v>8</v>
      </c>
      <c r="T28" s="21" t="str">
        <f t="shared" ref="T28:V28" si="35">if(F28=F29,"Good")</f>
        <v>Good</v>
      </c>
      <c r="U28" s="21" t="str">
        <f t="shared" si="35"/>
        <v>Good</v>
      </c>
      <c r="V28" s="21" t="str">
        <f t="shared" si="35"/>
        <v>Good</v>
      </c>
    </row>
    <row r="29">
      <c r="A29" s="13">
        <f t="shared" si="34"/>
        <v>8</v>
      </c>
      <c r="B29" s="14"/>
      <c r="C29" s="14"/>
      <c r="D29" s="14"/>
      <c r="E29" s="14"/>
      <c r="F29" s="13"/>
      <c r="G29" s="13"/>
      <c r="H29" s="13"/>
      <c r="I29" s="13">
        <f t="shared" si="3"/>
        <v>0</v>
      </c>
      <c r="J29" s="13"/>
      <c r="K29" s="13">
        <f t="shared" si="4"/>
        <v>8</v>
      </c>
    </row>
    <row r="30">
      <c r="A30" s="36">
        <f>A29+1</f>
        <v>9</v>
      </c>
      <c r="B30" s="37"/>
      <c r="C30" s="37"/>
      <c r="D30" s="37"/>
      <c r="E30" s="37"/>
      <c r="F30" s="36"/>
      <c r="G30" s="36"/>
      <c r="H30" s="36"/>
      <c r="I30" s="36">
        <f t="shared" si="3"/>
        <v>0</v>
      </c>
      <c r="J30" s="36"/>
      <c r="K30" s="36">
        <f t="shared" si="4"/>
        <v>9</v>
      </c>
      <c r="M30" s="21" t="str">
        <f t="shared" ref="M30:O30" si="36">if(COUNTIF(T30:T32,"Good")=2,"Good","Error")</f>
        <v>Error</v>
      </c>
      <c r="N30" s="21" t="str">
        <f t="shared" si="36"/>
        <v>Error</v>
      </c>
      <c r="O30" s="21" t="str">
        <f t="shared" si="36"/>
        <v>Error</v>
      </c>
      <c r="Q30" s="21">
        <f>sum(J30:J33)</f>
        <v>0</v>
      </c>
      <c r="R30" s="21" t="str">
        <f>if(Q30=0,"",if(Q30=6,"Good","ERROR"))</f>
        <v/>
      </c>
      <c r="T30" s="21" t="str">
        <f t="shared" ref="T30:V30" si="37">if(isna(VLOOKUP(F30,F31:F33,1,false)),"Error","Good")</f>
        <v>Error</v>
      </c>
      <c r="U30" s="21" t="str">
        <f t="shared" si="37"/>
        <v>Error</v>
      </c>
      <c r="V30" s="21" t="str">
        <f t="shared" si="37"/>
        <v>Error</v>
      </c>
    </row>
    <row r="31">
      <c r="A31" s="36">
        <f t="shared" ref="A31:A33" si="39">A30</f>
        <v>9</v>
      </c>
      <c r="B31" s="37"/>
      <c r="C31" s="37"/>
      <c r="D31" s="37"/>
      <c r="E31" s="37"/>
      <c r="F31" s="36"/>
      <c r="G31" s="36"/>
      <c r="H31" s="36"/>
      <c r="I31" s="36">
        <f t="shared" si="3"/>
        <v>0</v>
      </c>
      <c r="J31" s="36"/>
      <c r="K31" s="36">
        <f t="shared" si="4"/>
        <v>9</v>
      </c>
      <c r="T31" s="21" t="str">
        <f t="shared" ref="T31:V31" si="38">if(isna(VLOOKUP(F31,F32:F33,1,false)),"Error","Good")</f>
        <v>Error</v>
      </c>
      <c r="U31" s="21" t="str">
        <f t="shared" si="38"/>
        <v>Error</v>
      </c>
      <c r="V31" s="21" t="str">
        <f t="shared" si="38"/>
        <v>Error</v>
      </c>
    </row>
    <row r="32">
      <c r="A32" s="36">
        <f t="shared" si="39"/>
        <v>9</v>
      </c>
      <c r="B32" s="37"/>
      <c r="C32" s="37"/>
      <c r="D32" s="37"/>
      <c r="E32" s="37"/>
      <c r="F32" s="36"/>
      <c r="G32" s="36"/>
      <c r="H32" s="36"/>
      <c r="I32" s="36">
        <f t="shared" si="3"/>
        <v>0</v>
      </c>
      <c r="J32" s="36"/>
      <c r="K32" s="36">
        <f t="shared" si="4"/>
        <v>9</v>
      </c>
      <c r="T32" s="21" t="str">
        <f t="shared" ref="T32:V32" si="40">if(F32=F33,"Good")</f>
        <v>Good</v>
      </c>
      <c r="U32" s="21" t="str">
        <f t="shared" si="40"/>
        <v>Good</v>
      </c>
      <c r="V32" s="21" t="str">
        <f t="shared" si="40"/>
        <v>Good</v>
      </c>
    </row>
    <row r="33">
      <c r="A33" s="36">
        <f t="shared" si="39"/>
        <v>9</v>
      </c>
      <c r="B33" s="37"/>
      <c r="C33" s="37"/>
      <c r="D33" s="37"/>
      <c r="E33" s="37"/>
      <c r="F33" s="36"/>
      <c r="G33" s="36"/>
      <c r="H33" s="36"/>
      <c r="I33" s="36">
        <f t="shared" si="3"/>
        <v>0</v>
      </c>
      <c r="J33" s="36"/>
      <c r="K33" s="36">
        <f t="shared" si="4"/>
        <v>9</v>
      </c>
      <c r="AB33" s="21" t="s">
        <v>86</v>
      </c>
    </row>
    <row r="34">
      <c r="A34" s="51">
        <v>99.0</v>
      </c>
      <c r="B34" s="52"/>
      <c r="C34" s="52"/>
      <c r="D34" s="52"/>
      <c r="E34" s="52"/>
      <c r="F34" s="52"/>
      <c r="G34" s="52"/>
      <c r="H34" s="52"/>
      <c r="I34" s="13">
        <f t="shared" si="3"/>
        <v>0</v>
      </c>
      <c r="J34" s="52"/>
      <c r="K34" s="51">
        <v>99.0</v>
      </c>
      <c r="AB34" s="21" t="s">
        <v>96</v>
      </c>
    </row>
    <row r="35">
      <c r="A35" s="51">
        <v>99.0</v>
      </c>
      <c r="B35" s="52"/>
      <c r="C35" s="52"/>
      <c r="D35" s="52"/>
      <c r="E35" s="52"/>
      <c r="F35" s="52"/>
      <c r="G35" s="52"/>
      <c r="H35" s="52"/>
      <c r="I35" s="13">
        <f t="shared" si="3"/>
        <v>0</v>
      </c>
      <c r="J35" s="52"/>
      <c r="K35" s="51">
        <v>99.0</v>
      </c>
      <c r="AB35" s="21" t="s">
        <v>97</v>
      </c>
    </row>
    <row r="36">
      <c r="A36" s="51">
        <v>99.0</v>
      </c>
      <c r="B36" s="52"/>
      <c r="C36" s="52"/>
      <c r="D36" s="52"/>
      <c r="E36" s="52"/>
      <c r="F36" s="52"/>
      <c r="G36" s="52"/>
      <c r="H36" s="52"/>
      <c r="I36" s="13">
        <f t="shared" si="3"/>
        <v>0</v>
      </c>
      <c r="J36" s="52"/>
      <c r="K36" s="51">
        <v>99.0</v>
      </c>
      <c r="AB36" s="21" t="s">
        <v>98</v>
      </c>
    </row>
    <row r="37">
      <c r="A37" s="51">
        <v>99.0</v>
      </c>
      <c r="B37" s="52"/>
      <c r="C37" s="52"/>
      <c r="D37" s="52"/>
      <c r="E37" s="52"/>
      <c r="F37" s="52"/>
      <c r="G37" s="52"/>
      <c r="H37" s="52"/>
      <c r="I37" s="13">
        <f t="shared" si="3"/>
        <v>0</v>
      </c>
      <c r="J37" s="52"/>
      <c r="K37" s="51">
        <v>99.0</v>
      </c>
    </row>
    <row r="38">
      <c r="A38" s="51">
        <v>99.0</v>
      </c>
      <c r="B38" s="52"/>
      <c r="C38" s="52"/>
      <c r="D38" s="52"/>
      <c r="E38" s="52"/>
      <c r="F38" s="52"/>
      <c r="G38" s="52"/>
      <c r="H38" s="52"/>
      <c r="I38" s="13">
        <f t="shared" si="3"/>
        <v>0</v>
      </c>
      <c r="J38" s="52"/>
      <c r="K38" s="51">
        <v>99.0</v>
      </c>
    </row>
    <row r="39">
      <c r="A39" s="51">
        <v>99.0</v>
      </c>
      <c r="B39" s="52"/>
      <c r="C39" s="52"/>
      <c r="D39" s="52"/>
      <c r="E39" s="52"/>
      <c r="F39" s="52"/>
      <c r="G39" s="52"/>
      <c r="H39" s="52"/>
      <c r="I39" s="13">
        <f t="shared" si="3"/>
        <v>0</v>
      </c>
      <c r="J39" s="52"/>
      <c r="K39" s="51">
        <v>99.0</v>
      </c>
    </row>
    <row r="40">
      <c r="A40" s="51">
        <v>99.0</v>
      </c>
      <c r="B40" s="52"/>
      <c r="C40" s="52"/>
      <c r="D40" s="52"/>
      <c r="E40" s="52"/>
      <c r="F40" s="52"/>
      <c r="G40" s="52"/>
      <c r="H40" s="52"/>
      <c r="I40" s="13">
        <f t="shared" si="3"/>
        <v>0</v>
      </c>
      <c r="J40" s="52"/>
      <c r="K40" s="51">
        <v>99.0</v>
      </c>
    </row>
    <row r="41">
      <c r="A41" s="51">
        <v>99.0</v>
      </c>
      <c r="B41" s="52"/>
      <c r="C41" s="52"/>
      <c r="D41" s="52"/>
      <c r="E41" s="52"/>
      <c r="F41" s="52"/>
      <c r="G41" s="52"/>
      <c r="H41" s="52"/>
      <c r="I41" s="13">
        <f t="shared" si="3"/>
        <v>0</v>
      </c>
      <c r="J41" s="52"/>
      <c r="K41" s="51">
        <v>99.0</v>
      </c>
    </row>
    <row r="42">
      <c r="A42" s="51">
        <v>99.0</v>
      </c>
      <c r="B42" s="52"/>
      <c r="C42" s="52"/>
      <c r="D42" s="52"/>
      <c r="E42" s="52"/>
      <c r="F42" s="52"/>
      <c r="G42" s="52"/>
      <c r="H42" s="52"/>
      <c r="I42" s="13">
        <f t="shared" si="3"/>
        <v>0</v>
      </c>
      <c r="J42" s="52"/>
      <c r="K42" s="51">
        <v>99.0</v>
      </c>
    </row>
    <row r="43">
      <c r="A43" s="51">
        <v>99.0</v>
      </c>
      <c r="B43" s="52"/>
      <c r="C43" s="52"/>
      <c r="D43" s="52"/>
      <c r="E43" s="52"/>
      <c r="F43" s="52"/>
      <c r="G43" s="52"/>
      <c r="H43" s="52"/>
      <c r="I43" s="13">
        <f t="shared" si="3"/>
        <v>0</v>
      </c>
      <c r="J43" s="52"/>
      <c r="K43" s="51">
        <v>99.0</v>
      </c>
    </row>
    <row r="44">
      <c r="A44" s="51">
        <v>99.0</v>
      </c>
      <c r="B44" s="52"/>
      <c r="C44" s="52"/>
      <c r="D44" s="52"/>
      <c r="E44" s="52"/>
      <c r="F44" s="52"/>
      <c r="G44" s="52"/>
      <c r="H44" s="52"/>
      <c r="I44" s="13">
        <f t="shared" si="3"/>
        <v>0</v>
      </c>
      <c r="J44" s="52"/>
      <c r="K44" s="51">
        <v>99.0</v>
      </c>
    </row>
    <row r="45">
      <c r="A45" s="51">
        <v>99.0</v>
      </c>
      <c r="B45" s="52"/>
      <c r="C45" s="52"/>
      <c r="D45" s="52"/>
      <c r="E45" s="52"/>
      <c r="F45" s="52"/>
      <c r="G45" s="52"/>
      <c r="H45" s="52"/>
      <c r="I45" s="13">
        <f t="shared" si="3"/>
        <v>0</v>
      </c>
      <c r="J45" s="52"/>
      <c r="K45" s="51">
        <v>99.0</v>
      </c>
    </row>
    <row r="46">
      <c r="A46" s="51">
        <v>99.0</v>
      </c>
      <c r="B46" s="52"/>
      <c r="C46" s="52"/>
      <c r="D46" s="52"/>
      <c r="E46" s="52"/>
      <c r="F46" s="52"/>
      <c r="G46" s="52"/>
      <c r="H46" s="52"/>
      <c r="I46" s="13">
        <f t="shared" si="3"/>
        <v>0</v>
      </c>
      <c r="J46" s="52"/>
      <c r="K46" s="51">
        <v>99.0</v>
      </c>
    </row>
  </sheetData>
  <mergeCells count="1">
    <mergeCell ref="Q1:R1"/>
  </mergeCells>
  <conditionalFormatting sqref="M2:O2 R2 M6:O6 R6 M10:O10 R10 M14:O15 R14 M18:O18 R18 M22:O22 R22 M26:O26 R26 M30:O30 R30">
    <cfRule type="containsText" dxfId="1" priority="1" operator="containsText" text="ERROR">
      <formula>NOT(ISERROR(SEARCH(("ERROR"),(M2))))</formula>
    </cfRule>
  </conditionalFormatting>
  <dataValidations>
    <dataValidation type="list" allowBlank="1" showErrorMessage="1" sqref="W4:W5">
      <formula1>"Y,  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.38"/>
    <col customWidth="1" min="3" max="3" width="8.88"/>
    <col customWidth="1" min="4" max="4" width="5.13"/>
    <col customWidth="1" min="5" max="5" width="17.63"/>
    <col customWidth="1" min="6" max="6" width="18.5"/>
    <col customWidth="1" min="7" max="7" width="22.25"/>
    <col customWidth="1" min="8" max="8" width="19.25"/>
    <col customWidth="1" min="9" max="9" width="27.5"/>
    <col customWidth="1" min="10" max="10" width="17.25"/>
    <col customWidth="1" min="13" max="13" width="6.38"/>
    <col customWidth="1" min="14" max="14" width="16.0"/>
    <col customWidth="1" min="15" max="15" width="14.88"/>
    <col customWidth="1" min="16" max="16" width="13.5"/>
  </cols>
  <sheetData>
    <row r="1">
      <c r="A1" s="4" t="s">
        <v>2</v>
      </c>
      <c r="B1" s="4" t="s">
        <v>3</v>
      </c>
      <c r="D1" s="7" t="s">
        <v>6</v>
      </c>
      <c r="E1" s="4" t="s">
        <v>8</v>
      </c>
      <c r="F1" s="4" t="s">
        <v>10</v>
      </c>
      <c r="G1" s="4" t="s">
        <v>12</v>
      </c>
      <c r="H1" s="4" t="s">
        <v>15</v>
      </c>
      <c r="I1" s="4" t="s">
        <v>17</v>
      </c>
      <c r="J1" s="4" t="s">
        <v>18</v>
      </c>
      <c r="K1" s="9" t="s">
        <v>19</v>
      </c>
      <c r="L1" s="9" t="s">
        <v>21</v>
      </c>
    </row>
    <row r="2">
      <c r="A2" s="14" t="str">
        <f>IFERROR(__xludf.DUMMYFUNCTION("IMPORTRANGE(""1uZFF2o7rrfB0YZtASdZnP52Ef50ZinvtOPb1Tbuq8J4"",""CheckIn!C1:D99"")"),"#REF!")</f>
        <v>#REF!</v>
      </c>
      <c r="B2" s="14"/>
      <c r="D2" s="13">
        <v>1.0</v>
      </c>
      <c r="E2" s="14" t="str">
        <f>IFERROR(__xludf.DUMMYFUNCTION("QUERY(A2:B70, ""Select A  where B = 1   order by A"")"),"#N/A")</f>
        <v>#N/A</v>
      </c>
      <c r="F2" s="14" t="str">
        <f>IFERROR(__xludf.DUMMYFUNCTION("QUERY($A2:$B65, ""Select A where B = 2"")"),"#N/A")</f>
        <v>#N/A</v>
      </c>
      <c r="G2" s="14" t="str">
        <f>IFERROR(__xludf.DUMMYFUNCTION("QUERY($A2:$B99, ""Select A where B = 3 order by A"")"),"#N/A")</f>
        <v>#N/A</v>
      </c>
      <c r="H2" s="14" t="str">
        <f>IFERROR(__xludf.DUMMYFUNCTION("QUERY($A2:$B65, ""Select A where B = 4 order by A"")"),"#N/A")</f>
        <v>#N/A</v>
      </c>
      <c r="I2" s="14" t="str">
        <f>IFERROR(__xludf.DUMMYFUNCTION("QUERY(Current!B5:E72, ""Select B  where E = 0 order by B"")"),"Adrian Tay")</f>
        <v>Adrian Tay</v>
      </c>
      <c r="J2" s="14" t="str">
        <f>IFERROR(__xludf.DUMMYFUNCTION("QUERY(Current!B5:E100, ""Select B  where E = 5 order by B"")"),"#N/A")</f>
        <v>#N/A</v>
      </c>
      <c r="K2" s="21" t="str">
        <f>VLOOKUP(F2,Current!B:R,17,false)</f>
        <v>#N/A</v>
      </c>
      <c r="L2" s="21">
        <f t="shared" ref="L2:L23" si="1">if(isna(if(K2=0,1,0)),0,IF(K2=0,1,0))</f>
        <v>0</v>
      </c>
    </row>
    <row r="3">
      <c r="A3" s="14"/>
      <c r="B3" s="14"/>
      <c r="D3" s="14">
        <f t="shared" ref="D3:D66" si="2">D2+1</f>
        <v>2</v>
      </c>
      <c r="E3" s="14"/>
      <c r="F3" s="14"/>
      <c r="G3" s="14"/>
      <c r="I3" s="14" t="str">
        <f>IFERROR(__xludf.DUMMYFUNCTION("""COMPUTED_VALUE"""),"Alejandro Mejia")</f>
        <v>Alejandro Mejia</v>
      </c>
      <c r="J3" s="14"/>
      <c r="K3" s="21" t="str">
        <f>VLOOKUP(F3,Current!B:R,17,false)</f>
        <v>#N/A</v>
      </c>
      <c r="L3" s="21">
        <f t="shared" si="1"/>
        <v>0</v>
      </c>
    </row>
    <row r="4">
      <c r="A4" s="14"/>
      <c r="B4" s="14"/>
      <c r="D4" s="14">
        <f t="shared" si="2"/>
        <v>3</v>
      </c>
      <c r="E4" s="14"/>
      <c r="F4" s="14"/>
      <c r="G4" s="14"/>
      <c r="H4" s="14"/>
      <c r="I4" s="14" t="str">
        <f>IFERROR(__xludf.DUMMYFUNCTION("""COMPUTED_VALUE"""),"Amit Patel")</f>
        <v>Amit Patel</v>
      </c>
      <c r="J4" s="14"/>
      <c r="K4" s="21" t="str">
        <f>VLOOKUP(F4,Current!B:R,17,false)</f>
        <v>#N/A</v>
      </c>
      <c r="L4" s="21">
        <f t="shared" si="1"/>
        <v>0</v>
      </c>
      <c r="N4" s="32" t="s">
        <v>40</v>
      </c>
      <c r="O4" s="34">
        <f>now()</f>
        <v>46311.56456</v>
      </c>
    </row>
    <row r="5">
      <c r="A5" s="14"/>
      <c r="B5" s="14"/>
      <c r="D5" s="14">
        <f t="shared" si="2"/>
        <v>4</v>
      </c>
      <c r="E5" s="14"/>
      <c r="F5" s="14"/>
      <c r="G5" s="14"/>
      <c r="H5" s="14"/>
      <c r="I5" s="14" t="str">
        <f>IFERROR(__xludf.DUMMYFUNCTION("""COMPUTED_VALUE"""),"Andrew Chin")</f>
        <v>Andrew Chin</v>
      </c>
      <c r="J5" s="14"/>
      <c r="K5" s="21" t="str">
        <f>VLOOKUP(F5,Current!B:R,17,false)</f>
        <v>#N/A</v>
      </c>
      <c r="L5" s="21">
        <f t="shared" si="1"/>
        <v>0</v>
      </c>
    </row>
    <row r="6">
      <c r="A6" s="14"/>
      <c r="B6" s="14"/>
      <c r="D6" s="14">
        <f t="shared" si="2"/>
        <v>5</v>
      </c>
      <c r="E6" s="14"/>
      <c r="F6" s="14"/>
      <c r="G6" s="14"/>
      <c r="H6" s="14"/>
      <c r="I6" s="14" t="str">
        <f>IFERROR(__xludf.DUMMYFUNCTION("""COMPUTED_VALUE"""),"Andrew Wen")</f>
        <v>Andrew Wen</v>
      </c>
      <c r="J6" s="14"/>
      <c r="K6" s="21" t="str">
        <f>VLOOKUP(F6,Current!B:R,17,false)</f>
        <v>#N/A</v>
      </c>
      <c r="L6" s="21">
        <f t="shared" si="1"/>
        <v>0</v>
      </c>
    </row>
    <row r="7">
      <c r="A7" s="14"/>
      <c r="B7" s="14"/>
      <c r="D7" s="14">
        <f t="shared" si="2"/>
        <v>6</v>
      </c>
      <c r="E7" s="14"/>
      <c r="F7" s="14"/>
      <c r="G7" s="14"/>
      <c r="H7" s="14"/>
      <c r="I7" s="14" t="str">
        <f>IFERROR(__xludf.DUMMYFUNCTION("""COMPUTED_VALUE"""),"Ash Nikravan")</f>
        <v>Ash Nikravan</v>
      </c>
      <c r="J7" s="14"/>
      <c r="K7" s="21" t="str">
        <f>VLOOKUP(F7,Current!B:R,17,false)</f>
        <v>#N/A</v>
      </c>
      <c r="L7" s="21">
        <f t="shared" si="1"/>
        <v>0</v>
      </c>
    </row>
    <row r="8">
      <c r="A8" s="14"/>
      <c r="B8" s="14"/>
      <c r="D8" s="14">
        <f t="shared" si="2"/>
        <v>7</v>
      </c>
      <c r="E8" s="14"/>
      <c r="F8" s="14"/>
      <c r="G8" s="14"/>
      <c r="H8" s="14"/>
      <c r="I8" s="14" t="str">
        <f>IFERROR(__xludf.DUMMYFUNCTION("""COMPUTED_VALUE"""),"Balaji Alahari")</f>
        <v>Balaji Alahari</v>
      </c>
      <c r="J8" s="14"/>
      <c r="K8" s="21" t="str">
        <f>VLOOKUP(F8,Current!B:R,17,false)</f>
        <v>#N/A</v>
      </c>
      <c r="L8" s="21">
        <f t="shared" si="1"/>
        <v>0</v>
      </c>
    </row>
    <row r="9">
      <c r="A9" s="14"/>
      <c r="B9" s="14"/>
      <c r="D9" s="14">
        <f t="shared" si="2"/>
        <v>8</v>
      </c>
      <c r="E9" s="14"/>
      <c r="F9" s="14"/>
      <c r="G9" s="14"/>
      <c r="H9" s="14"/>
      <c r="I9" s="14" t="str">
        <f>IFERROR(__xludf.DUMMYFUNCTION("""COMPUTED_VALUE"""),"Chandrasekar Chinnathambi")</f>
        <v>Chandrasekar Chinnathambi</v>
      </c>
      <c r="J9" s="14"/>
      <c r="K9" s="21" t="str">
        <f>VLOOKUP(F9,Current!B:R,17,false)</f>
        <v>#N/A</v>
      </c>
      <c r="L9" s="21">
        <f t="shared" si="1"/>
        <v>0</v>
      </c>
      <c r="M9" s="9"/>
      <c r="N9" s="13" t="s">
        <v>8</v>
      </c>
      <c r="O9" s="14">
        <f>if(isna(E2),0,COUNTA(E$2:E$58))</f>
        <v>0</v>
      </c>
    </row>
    <row r="10">
      <c r="A10" s="14"/>
      <c r="B10" s="14"/>
      <c r="D10" s="14">
        <f t="shared" si="2"/>
        <v>9</v>
      </c>
      <c r="E10" s="14"/>
      <c r="F10" s="14"/>
      <c r="G10" s="14"/>
      <c r="H10" s="14"/>
      <c r="I10" s="14" t="str">
        <f>IFERROR(__xludf.DUMMYFUNCTION("""COMPUTED_VALUE"""),"Chinna Ponnaganti")</f>
        <v>Chinna Ponnaganti</v>
      </c>
      <c r="J10" s="14"/>
      <c r="K10" s="21" t="str">
        <f>VLOOKUP(F10,Current!B:R,17,false)</f>
        <v>#N/A</v>
      </c>
      <c r="L10" s="21">
        <f t="shared" si="1"/>
        <v>0</v>
      </c>
      <c r="M10" s="9"/>
      <c r="N10" s="13" t="s">
        <v>10</v>
      </c>
      <c r="O10" s="14">
        <f>if(isna(F2),0,COUNTA(F$2:F$58))</f>
        <v>0</v>
      </c>
    </row>
    <row r="11">
      <c r="A11" s="14"/>
      <c r="B11" s="14"/>
      <c r="D11" s="14">
        <f t="shared" si="2"/>
        <v>10</v>
      </c>
      <c r="E11" s="14"/>
      <c r="F11" s="14"/>
      <c r="G11" s="14"/>
      <c r="H11" s="14"/>
      <c r="I11" s="14" t="str">
        <f>IFERROR(__xludf.DUMMYFUNCTION("""COMPUTED_VALUE"""),"Christopher Li")</f>
        <v>Christopher Li</v>
      </c>
      <c r="J11" s="14"/>
      <c r="K11" s="21" t="str">
        <f>VLOOKUP(F11,Current!B:R,17,false)</f>
        <v>#N/A</v>
      </c>
      <c r="L11" s="21">
        <f t="shared" si="1"/>
        <v>0</v>
      </c>
      <c r="M11" s="9"/>
      <c r="N11" s="13" t="s">
        <v>49</v>
      </c>
      <c r="O11" s="14">
        <f>if(isna(H2),0,COUNTA(H$2:H$58))</f>
        <v>0</v>
      </c>
    </row>
    <row r="12">
      <c r="A12" s="14"/>
      <c r="B12" s="14"/>
      <c r="D12" s="14">
        <f t="shared" si="2"/>
        <v>11</v>
      </c>
      <c r="E12" s="14"/>
      <c r="F12" s="14"/>
      <c r="G12" s="14"/>
      <c r="H12" s="14"/>
      <c r="I12" s="14" t="str">
        <f>IFERROR(__xludf.DUMMYFUNCTION("""COMPUTED_VALUE"""),"Coco Yan")</f>
        <v>Coco Yan</v>
      </c>
      <c r="J12" s="14"/>
      <c r="K12" s="21" t="str">
        <f>VLOOKUP(F12,Current!B:R,17,false)</f>
        <v>#N/A</v>
      </c>
      <c r="L12" s="21">
        <f t="shared" si="1"/>
        <v>0</v>
      </c>
      <c r="M12" s="9"/>
      <c r="N12" s="13" t="s">
        <v>12</v>
      </c>
      <c r="O12" s="14">
        <f>if(isna(G2),0,COUNTA(G$2:G$58))</f>
        <v>0</v>
      </c>
    </row>
    <row r="13">
      <c r="A13" s="14"/>
      <c r="B13" s="14"/>
      <c r="D13" s="14">
        <f t="shared" si="2"/>
        <v>12</v>
      </c>
      <c r="E13" s="14"/>
      <c r="F13" s="14"/>
      <c r="G13" s="14"/>
      <c r="H13" s="14"/>
      <c r="I13" s="14" t="str">
        <f>IFERROR(__xludf.DUMMYFUNCTION("""COMPUTED_VALUE"""),"David Shin")</f>
        <v>David Shin</v>
      </c>
      <c r="J13" s="14"/>
      <c r="K13" s="21" t="str">
        <f>VLOOKUP(F13,Current!B:R,17,false)</f>
        <v>#N/A</v>
      </c>
      <c r="L13" s="21">
        <f t="shared" si="1"/>
        <v>0</v>
      </c>
      <c r="M13" s="9"/>
      <c r="N13" s="13" t="s">
        <v>51</v>
      </c>
      <c r="O13" s="14">
        <f>if(isna(I2),0,COUNTA(I$2:I$99))</f>
        <v>65</v>
      </c>
    </row>
    <row r="14">
      <c r="A14" s="14"/>
      <c r="B14" s="14"/>
      <c r="D14" s="14">
        <f t="shared" si="2"/>
        <v>13</v>
      </c>
      <c r="E14" s="14"/>
      <c r="F14" s="14"/>
      <c r="G14" s="14"/>
      <c r="H14" s="14"/>
      <c r="I14" s="14" t="str">
        <f>IFERROR(__xludf.DUMMYFUNCTION("""COMPUTED_VALUE"""),"David Tam")</f>
        <v>David Tam</v>
      </c>
      <c r="J14" s="14"/>
      <c r="K14" s="21" t="str">
        <f>VLOOKUP(F14,Current!B:R,17,false)</f>
        <v>#N/A</v>
      </c>
      <c r="L14" s="21">
        <f t="shared" si="1"/>
        <v>0</v>
      </c>
      <c r="M14" s="9"/>
      <c r="N14" s="13" t="s">
        <v>53</v>
      </c>
      <c r="O14" s="14">
        <f>sum(O9:O13)</f>
        <v>65</v>
      </c>
    </row>
    <row r="15">
      <c r="A15" s="14"/>
      <c r="B15" s="14"/>
      <c r="D15" s="14">
        <f t="shared" si="2"/>
        <v>14</v>
      </c>
      <c r="E15" s="14"/>
      <c r="F15" s="14"/>
      <c r="G15" s="14"/>
      <c r="H15" s="14"/>
      <c r="I15" s="14" t="str">
        <f>IFERROR(__xludf.DUMMYFUNCTION("""COMPUTED_VALUE"""),"Elayaraja Thangaraj ")</f>
        <v>Elayaraja Thangaraj </v>
      </c>
      <c r="J15" s="14"/>
      <c r="K15" s="21" t="str">
        <f>VLOOKUP(F15,Current!B:R,17,false)</f>
        <v>#N/A</v>
      </c>
      <c r="L15" s="21">
        <f t="shared" si="1"/>
        <v>0</v>
      </c>
    </row>
    <row r="16">
      <c r="A16" s="14"/>
      <c r="B16" s="14"/>
      <c r="D16" s="14">
        <f t="shared" si="2"/>
        <v>15</v>
      </c>
      <c r="E16" s="14"/>
      <c r="F16" s="14"/>
      <c r="G16" s="14"/>
      <c r="H16" s="14"/>
      <c r="I16" s="14" t="str">
        <f>IFERROR(__xludf.DUMMYFUNCTION("""COMPUTED_VALUE"""),"Eric Pan")</f>
        <v>Eric Pan</v>
      </c>
      <c r="J16" s="14"/>
      <c r="K16" s="21" t="str">
        <f>VLOOKUP(F16,Current!B:R,17,false)</f>
        <v>#N/A</v>
      </c>
      <c r="L16" s="21">
        <f t="shared" si="1"/>
        <v>0</v>
      </c>
      <c r="M16" s="9"/>
    </row>
    <row r="17">
      <c r="A17" s="14"/>
      <c r="B17" s="14"/>
      <c r="D17" s="14">
        <f t="shared" si="2"/>
        <v>16</v>
      </c>
      <c r="E17" s="14"/>
      <c r="F17" s="14"/>
      <c r="G17" s="14"/>
      <c r="H17" s="14"/>
      <c r="I17" s="14" t="str">
        <f>IFERROR(__xludf.DUMMYFUNCTION("""COMPUTED_VALUE"""),"Eric Tan")</f>
        <v>Eric Tan</v>
      </c>
      <c r="J17" s="14"/>
      <c r="K17" s="21" t="str">
        <f>VLOOKUP(F17,Current!B:R,17,false)</f>
        <v>#N/A</v>
      </c>
      <c r="L17" s="21">
        <f t="shared" si="1"/>
        <v>0</v>
      </c>
      <c r="M17" s="9"/>
      <c r="N17" s="13" t="s">
        <v>8</v>
      </c>
      <c r="O17" s="14">
        <f>sum(O9:O11)</f>
        <v>0</v>
      </c>
      <c r="P17" s="9" t="s">
        <v>58</v>
      </c>
    </row>
    <row r="18">
      <c r="A18" s="14"/>
      <c r="B18" s="14"/>
      <c r="D18" s="14">
        <f t="shared" si="2"/>
        <v>17</v>
      </c>
      <c r="E18" s="14"/>
      <c r="F18" s="14"/>
      <c r="G18" s="14"/>
      <c r="H18" s="14"/>
      <c r="I18" s="14" t="str">
        <f>IFERROR(__xludf.DUMMYFUNCTION("""COMPUTED_VALUE"""),"Erik Hoeckmann")</f>
        <v>Erik Hoeckmann</v>
      </c>
      <c r="J18" s="14"/>
      <c r="K18" s="21" t="str">
        <f>VLOOKUP(F18,Current!B:R,17,false)</f>
        <v>#N/A</v>
      </c>
      <c r="L18" s="21">
        <f t="shared" si="1"/>
        <v>0</v>
      </c>
      <c r="M18" s="9"/>
      <c r="N18" s="13" t="s">
        <v>12</v>
      </c>
      <c r="O18" s="14">
        <f>if(isna(G2),0,COUNTA(G$2:G$58))</f>
        <v>0</v>
      </c>
    </row>
    <row r="19">
      <c r="A19" s="14"/>
      <c r="B19" s="14"/>
      <c r="D19" s="14">
        <f t="shared" si="2"/>
        <v>18</v>
      </c>
      <c r="E19" s="14"/>
      <c r="F19" s="14"/>
      <c r="G19" s="14"/>
      <c r="H19" s="14"/>
      <c r="I19" s="14" t="str">
        <f>IFERROR(__xludf.DUMMYFUNCTION("""COMPUTED_VALUE"""),"Jimmy Awolesi")</f>
        <v>Jimmy Awolesi</v>
      </c>
      <c r="J19" s="14"/>
      <c r="K19" s="21" t="str">
        <f>VLOOKUP(F19,Current!B:R,17,false)</f>
        <v>#N/A</v>
      </c>
      <c r="L19" s="21">
        <f t="shared" si="1"/>
        <v>0</v>
      </c>
      <c r="M19" s="9"/>
      <c r="N19" s="13" t="s">
        <v>51</v>
      </c>
      <c r="O19" s="14">
        <f>O13</f>
        <v>65</v>
      </c>
    </row>
    <row r="20">
      <c r="A20" s="14"/>
      <c r="B20" s="14"/>
      <c r="D20" s="14">
        <f t="shared" si="2"/>
        <v>19</v>
      </c>
      <c r="E20" s="14"/>
      <c r="F20" s="14"/>
      <c r="G20" s="14"/>
      <c r="H20" s="14"/>
      <c r="I20" s="14" t="str">
        <f>IFERROR(__xludf.DUMMYFUNCTION("""COMPUTED_VALUE"""),"Joe Luzzi")</f>
        <v>Joe Luzzi</v>
      </c>
      <c r="J20" s="14"/>
      <c r="K20" s="21" t="str">
        <f>VLOOKUP(F20,Current!B:R,17,false)</f>
        <v>#N/A</v>
      </c>
      <c r="L20" s="21">
        <f t="shared" si="1"/>
        <v>0</v>
      </c>
      <c r="N20" s="13" t="s">
        <v>53</v>
      </c>
      <c r="O20" s="14">
        <f>sum(O17:O19)</f>
        <v>65</v>
      </c>
    </row>
    <row r="21">
      <c r="A21" s="14"/>
      <c r="B21" s="14"/>
      <c r="D21" s="14">
        <f t="shared" si="2"/>
        <v>20</v>
      </c>
      <c r="E21" s="14"/>
      <c r="F21" s="14"/>
      <c r="G21" s="14"/>
      <c r="H21" s="14"/>
      <c r="I21" s="14" t="str">
        <f>IFERROR(__xludf.DUMMYFUNCTION("""COMPUTED_VALUE"""),"Jonathan Phan")</f>
        <v>Jonathan Phan</v>
      </c>
      <c r="J21" s="14"/>
      <c r="K21" s="21" t="str">
        <f>VLOOKUP(F21,Current!B:R,17,false)</f>
        <v>#N/A</v>
      </c>
      <c r="L21" s="21">
        <f t="shared" si="1"/>
        <v>0</v>
      </c>
    </row>
    <row r="22">
      <c r="A22" s="14"/>
      <c r="B22" s="14"/>
      <c r="D22" s="14">
        <f t="shared" si="2"/>
        <v>21</v>
      </c>
      <c r="E22" s="14"/>
      <c r="F22" s="14"/>
      <c r="G22" s="14"/>
      <c r="H22" s="14"/>
      <c r="I22" s="14" t="str">
        <f>IFERROR(__xludf.DUMMYFUNCTION("""COMPUTED_VALUE"""),"Jose Ortiz")</f>
        <v>Jose Ortiz</v>
      </c>
      <c r="J22" s="14"/>
      <c r="K22" s="21" t="str">
        <f>VLOOKUP(F22,Current!B:R,17,false)</f>
        <v>#N/A</v>
      </c>
      <c r="L22" s="21">
        <f t="shared" si="1"/>
        <v>0</v>
      </c>
    </row>
    <row r="23">
      <c r="A23" s="14"/>
      <c r="B23" s="14"/>
      <c r="D23" s="14">
        <f t="shared" si="2"/>
        <v>22</v>
      </c>
      <c r="E23" s="14"/>
      <c r="F23" s="14"/>
      <c r="G23" s="14"/>
      <c r="H23" s="14"/>
      <c r="I23" s="14" t="str">
        <f>IFERROR(__xludf.DUMMYFUNCTION("""COMPUTED_VALUE"""),"Joyce Zhu")</f>
        <v>Joyce Zhu</v>
      </c>
      <c r="J23" s="14"/>
      <c r="K23" s="21" t="str">
        <f>VLOOKUP(F23,Current!B:R,17,false)</f>
        <v>#N/A</v>
      </c>
      <c r="L23" s="21">
        <f t="shared" si="1"/>
        <v>0</v>
      </c>
      <c r="M23" s="9"/>
    </row>
    <row r="24">
      <c r="A24" s="14"/>
      <c r="B24" s="14"/>
      <c r="D24" s="14">
        <f t="shared" si="2"/>
        <v>23</v>
      </c>
      <c r="E24" s="14"/>
      <c r="F24" s="14"/>
      <c r="G24" s="14"/>
      <c r="H24" s="14"/>
      <c r="I24" s="14" t="str">
        <f>IFERROR(__xludf.DUMMYFUNCTION("""COMPUTED_VALUE"""),"Kingsley Kuo")</f>
        <v>Kingsley Kuo</v>
      </c>
      <c r="J24" s="14"/>
      <c r="K24" s="41" t="s">
        <v>62</v>
      </c>
      <c r="L24" s="21">
        <f>sum(L2:L23)</f>
        <v>0</v>
      </c>
      <c r="N24" s="42" t="s">
        <v>64</v>
      </c>
    </row>
    <row r="25">
      <c r="A25" s="14"/>
      <c r="B25" s="14"/>
      <c r="D25" s="14">
        <f t="shared" si="2"/>
        <v>24</v>
      </c>
      <c r="E25" s="14"/>
      <c r="F25" s="14"/>
      <c r="G25" s="14"/>
      <c r="H25" s="14"/>
      <c r="I25" s="14" t="str">
        <f>IFERROR(__xludf.DUMMYFUNCTION("""COMPUTED_VALUE"""),"Kumar Palakeel")</f>
        <v>Kumar Palakeel</v>
      </c>
      <c r="J25" s="14"/>
      <c r="L25" s="43"/>
      <c r="N25" s="14" t="s">
        <v>66</v>
      </c>
      <c r="O25" s="9" t="s">
        <v>67</v>
      </c>
    </row>
    <row r="26">
      <c r="A26" s="14"/>
      <c r="B26" s="14"/>
      <c r="D26" s="14">
        <f t="shared" si="2"/>
        <v>25</v>
      </c>
      <c r="E26" s="14"/>
      <c r="F26" s="14"/>
      <c r="G26" s="14"/>
      <c r="H26" s="14"/>
      <c r="I26" s="14" t="str">
        <f>IFERROR(__xludf.DUMMYFUNCTION("""COMPUTED_VALUE"""),"Lam Bui")</f>
        <v>Lam Bui</v>
      </c>
      <c r="J26" s="14"/>
      <c r="N26" s="14" t="s">
        <v>68</v>
      </c>
      <c r="O26" s="9" t="s">
        <v>69</v>
      </c>
    </row>
    <row r="27">
      <c r="A27" s="14"/>
      <c r="B27" s="14"/>
      <c r="D27" s="14">
        <f t="shared" si="2"/>
        <v>26</v>
      </c>
      <c r="E27" s="14"/>
      <c r="F27" s="14"/>
      <c r="G27" s="14"/>
      <c r="H27" s="14"/>
      <c r="I27" s="14" t="str">
        <f>IFERROR(__xludf.DUMMYFUNCTION("""COMPUTED_VALUE"""),"Lloyd Sagar")</f>
        <v>Lloyd Sagar</v>
      </c>
      <c r="J27" s="14"/>
      <c r="N27" s="9" t="s">
        <v>70</v>
      </c>
      <c r="O27" s="43">
        <v>45464.0</v>
      </c>
    </row>
    <row r="28">
      <c r="A28" s="14"/>
      <c r="B28" s="14"/>
      <c r="D28" s="14">
        <f t="shared" si="2"/>
        <v>27</v>
      </c>
      <c r="E28" s="14"/>
      <c r="F28" s="14"/>
      <c r="G28" s="14"/>
      <c r="H28" s="14"/>
      <c r="I28" s="14" t="str">
        <f>IFERROR(__xludf.DUMMYFUNCTION("""COMPUTED_VALUE"""),"Luis Hsu")</f>
        <v>Luis Hsu</v>
      </c>
      <c r="J28" s="14"/>
    </row>
    <row r="29">
      <c r="A29" s="14"/>
      <c r="B29" s="14"/>
      <c r="D29" s="14">
        <f t="shared" si="2"/>
        <v>28</v>
      </c>
      <c r="E29" s="14"/>
      <c r="F29" s="14"/>
      <c r="G29" s="14"/>
      <c r="H29" s="14"/>
      <c r="I29" s="14" t="str">
        <f>IFERROR(__xludf.DUMMYFUNCTION("""COMPUTED_VALUE"""),"Manish Anand")</f>
        <v>Manish Anand</v>
      </c>
      <c r="J29" s="14"/>
    </row>
    <row r="30">
      <c r="A30" s="14"/>
      <c r="B30" s="14"/>
      <c r="D30" s="14">
        <f t="shared" si="2"/>
        <v>29</v>
      </c>
      <c r="E30" s="14"/>
      <c r="F30" s="14"/>
      <c r="G30" s="14"/>
      <c r="H30" s="14"/>
      <c r="I30" s="14" t="str">
        <f>IFERROR(__xludf.DUMMYFUNCTION("""COMPUTED_VALUE"""),"Manuel Rivera")</f>
        <v>Manuel Rivera</v>
      </c>
      <c r="J30" s="14"/>
      <c r="N30" s="42" t="s">
        <v>72</v>
      </c>
    </row>
    <row r="31">
      <c r="A31" s="14"/>
      <c r="B31" s="14"/>
      <c r="D31" s="14">
        <f t="shared" si="2"/>
        <v>30</v>
      </c>
      <c r="E31" s="14"/>
      <c r="F31" s="14"/>
      <c r="G31" s="14"/>
      <c r="H31" s="14"/>
      <c r="I31" s="14" t="str">
        <f>IFERROR(__xludf.DUMMYFUNCTION("""COMPUTED_VALUE"""),"Marcus Yovas")</f>
        <v>Marcus Yovas</v>
      </c>
      <c r="J31" s="14"/>
      <c r="N31" s="21" t="s">
        <v>74</v>
      </c>
    </row>
    <row r="32">
      <c r="A32" s="14"/>
      <c r="B32" s="14"/>
      <c r="D32" s="14">
        <f t="shared" si="2"/>
        <v>31</v>
      </c>
      <c r="E32" s="14"/>
      <c r="F32" s="14"/>
      <c r="G32" s="14"/>
      <c r="H32" s="14"/>
      <c r="I32" s="14" t="str">
        <f>IFERROR(__xludf.DUMMYFUNCTION("""COMPUTED_VALUE"""),"Matthew Huang")</f>
        <v>Matthew Huang</v>
      </c>
      <c r="J32" s="14"/>
    </row>
    <row r="33">
      <c r="A33" s="14"/>
      <c r="B33" s="14"/>
      <c r="D33" s="14">
        <f t="shared" si="2"/>
        <v>32</v>
      </c>
      <c r="E33" s="14"/>
      <c r="F33" s="14"/>
      <c r="G33" s="14"/>
      <c r="H33" s="14"/>
      <c r="I33" s="14" t="str">
        <f>IFERROR(__xludf.DUMMYFUNCTION("""COMPUTED_VALUE"""),"Mauricio Palacios")</f>
        <v>Mauricio Palacios</v>
      </c>
      <c r="J33" s="14"/>
    </row>
    <row r="34">
      <c r="A34" s="14"/>
      <c r="B34" s="14"/>
      <c r="D34" s="14">
        <f t="shared" si="2"/>
        <v>33</v>
      </c>
      <c r="E34" s="14"/>
      <c r="F34" s="14"/>
      <c r="G34" s="14"/>
      <c r="H34" s="14"/>
      <c r="I34" s="14" t="str">
        <f>IFERROR(__xludf.DUMMYFUNCTION("""COMPUTED_VALUE"""),"Naveen Raj")</f>
        <v>Naveen Raj</v>
      </c>
      <c r="J34" s="14"/>
    </row>
    <row r="35">
      <c r="A35" s="14"/>
      <c r="B35" s="14"/>
      <c r="D35" s="14">
        <f t="shared" si="2"/>
        <v>34</v>
      </c>
      <c r="E35" s="14"/>
      <c r="F35" s="14"/>
      <c r="G35" s="14"/>
      <c r="H35" s="14"/>
      <c r="I35" s="14" t="str">
        <f>IFERROR(__xludf.DUMMYFUNCTION("""COMPUTED_VALUE"""),"Nohely Mejia")</f>
        <v>Nohely Mejia</v>
      </c>
      <c r="J35" s="14"/>
    </row>
    <row r="36">
      <c r="A36" s="14"/>
      <c r="B36" s="14"/>
      <c r="D36" s="14">
        <f t="shared" si="2"/>
        <v>35</v>
      </c>
      <c r="E36" s="14"/>
      <c r="F36" s="14"/>
      <c r="G36" s="14"/>
      <c r="H36" s="14"/>
      <c r="I36" s="14" t="str">
        <f>IFERROR(__xludf.DUMMYFUNCTION("""COMPUTED_VALUE"""),"Oscar Bonilla")</f>
        <v>Oscar Bonilla</v>
      </c>
      <c r="J36" s="14"/>
    </row>
    <row r="37">
      <c r="A37" s="14"/>
      <c r="B37" s="14"/>
      <c r="D37" s="14">
        <f t="shared" si="2"/>
        <v>36</v>
      </c>
      <c r="E37" s="14"/>
      <c r="F37" s="14"/>
      <c r="G37" s="14"/>
      <c r="H37" s="14"/>
      <c r="I37" s="14" t="str">
        <f>IFERROR(__xludf.DUMMYFUNCTION("""COMPUTED_VALUE"""),"Pavan Akkimsetty")</f>
        <v>Pavan Akkimsetty</v>
      </c>
      <c r="J37" s="14"/>
    </row>
    <row r="38">
      <c r="A38" s="14"/>
      <c r="B38" s="14"/>
      <c r="D38" s="14">
        <f t="shared" si="2"/>
        <v>37</v>
      </c>
      <c r="E38" s="14"/>
      <c r="F38" s="14"/>
      <c r="G38" s="14"/>
      <c r="H38" s="14"/>
      <c r="I38" s="14" t="str">
        <f>IFERROR(__xludf.DUMMYFUNCTION("""COMPUTED_VALUE"""),"Peter Cheng")</f>
        <v>Peter Cheng</v>
      </c>
      <c r="J38" s="14"/>
    </row>
    <row r="39">
      <c r="A39" s="14"/>
      <c r="B39" s="14"/>
      <c r="D39" s="14">
        <f t="shared" si="2"/>
        <v>38</v>
      </c>
      <c r="E39" s="14"/>
      <c r="F39" s="14"/>
      <c r="G39" s="14"/>
      <c r="H39" s="14"/>
      <c r="I39" s="14" t="str">
        <f>IFERROR(__xludf.DUMMYFUNCTION("""COMPUTED_VALUE"""),"Peter Homsey")</f>
        <v>Peter Homsey</v>
      </c>
      <c r="J39" s="14"/>
    </row>
    <row r="40">
      <c r="A40" s="14"/>
      <c r="B40" s="14"/>
      <c r="D40" s="14">
        <f t="shared" si="2"/>
        <v>39</v>
      </c>
      <c r="E40" s="14"/>
      <c r="F40" s="14"/>
      <c r="G40" s="14"/>
      <c r="H40" s="14"/>
      <c r="I40" s="14" t="str">
        <f>IFERROR(__xludf.DUMMYFUNCTION("""COMPUTED_VALUE"""),"Pulkit Mathur")</f>
        <v>Pulkit Mathur</v>
      </c>
      <c r="J40" s="14"/>
    </row>
    <row r="41">
      <c r="A41" s="14"/>
      <c r="B41" s="14"/>
      <c r="D41" s="14">
        <f t="shared" si="2"/>
        <v>40</v>
      </c>
      <c r="E41" s="14"/>
      <c r="F41" s="14"/>
      <c r="G41" s="14"/>
      <c r="H41" s="14"/>
      <c r="I41" s="14" t="str">
        <f>IFERROR(__xludf.DUMMYFUNCTION("""COMPUTED_VALUE"""),"Rajasekar Ramasamy")</f>
        <v>Rajasekar Ramasamy</v>
      </c>
      <c r="J41" s="14"/>
    </row>
    <row r="42">
      <c r="A42" s="14"/>
      <c r="B42" s="14"/>
      <c r="D42" s="14">
        <f t="shared" si="2"/>
        <v>41</v>
      </c>
      <c r="E42" s="14"/>
      <c r="F42" s="14"/>
      <c r="G42" s="14"/>
      <c r="H42" s="14"/>
      <c r="I42" s="14" t="str">
        <f>IFERROR(__xludf.DUMMYFUNCTION("""COMPUTED_VALUE"""),"Ramesh Bandaru")</f>
        <v>Ramesh Bandaru</v>
      </c>
      <c r="J42" s="14"/>
    </row>
    <row r="43">
      <c r="A43" s="14"/>
      <c r="B43" s="14"/>
      <c r="D43" s="14">
        <f t="shared" si="2"/>
        <v>42</v>
      </c>
      <c r="E43" s="14"/>
      <c r="F43" s="14"/>
      <c r="G43" s="14"/>
      <c r="H43" s="14"/>
      <c r="I43" s="14" t="str">
        <f>IFERROR(__xludf.DUMMYFUNCTION("""COMPUTED_VALUE"""),"Robert Chang")</f>
        <v>Robert Chang</v>
      </c>
      <c r="J43" s="14"/>
    </row>
    <row r="44">
      <c r="A44" s="14"/>
      <c r="B44" s="14"/>
      <c r="D44" s="14">
        <f t="shared" si="2"/>
        <v>43</v>
      </c>
      <c r="E44" s="14"/>
      <c r="F44" s="14"/>
      <c r="G44" s="14"/>
      <c r="H44" s="14"/>
      <c r="I44" s="14" t="str">
        <f>IFERROR(__xludf.DUMMYFUNCTION("""COMPUTED_VALUE"""),"Rosie Bonilla")</f>
        <v>Rosie Bonilla</v>
      </c>
      <c r="J44" s="14"/>
    </row>
    <row r="45">
      <c r="A45" s="14"/>
      <c r="B45" s="14"/>
      <c r="D45" s="14">
        <f t="shared" si="2"/>
        <v>44</v>
      </c>
      <c r="E45" s="14"/>
      <c r="F45" s="14"/>
      <c r="G45" s="14"/>
      <c r="H45" s="14"/>
      <c r="I45" s="14" t="str">
        <f>IFERROR(__xludf.DUMMYFUNCTION("""COMPUTED_VALUE"""),"Sai Dilip Ponnaganti")</f>
        <v>Sai Dilip Ponnaganti</v>
      </c>
      <c r="J45" s="14"/>
    </row>
    <row r="46">
      <c r="A46" s="14"/>
      <c r="B46" s="14"/>
      <c r="D46" s="14">
        <f t="shared" si="2"/>
        <v>45</v>
      </c>
      <c r="E46" s="14"/>
      <c r="F46" s="14"/>
      <c r="G46" s="14"/>
      <c r="H46" s="14"/>
      <c r="I46" s="14" t="str">
        <f>IFERROR(__xludf.DUMMYFUNCTION("""COMPUTED_VALUE"""),"Sandy Weyant")</f>
        <v>Sandy Weyant</v>
      </c>
      <c r="J46" s="14"/>
    </row>
    <row r="47">
      <c r="A47" s="14"/>
      <c r="B47" s="14"/>
      <c r="D47" s="14">
        <f t="shared" si="2"/>
        <v>46</v>
      </c>
      <c r="E47" s="14"/>
      <c r="F47" s="14"/>
      <c r="G47" s="14"/>
      <c r="H47" s="14"/>
      <c r="I47" s="14" t="str">
        <f>IFERROR(__xludf.DUMMYFUNCTION("""COMPUTED_VALUE"""),"Sanjaye Elayattu")</f>
        <v>Sanjaye Elayattu</v>
      </c>
      <c r="J47" s="14"/>
    </row>
    <row r="48">
      <c r="A48" s="14"/>
      <c r="B48" s="14"/>
      <c r="D48" s="14">
        <f t="shared" si="2"/>
        <v>47</v>
      </c>
      <c r="E48" s="14"/>
      <c r="F48" s="14"/>
      <c r="G48" s="14"/>
      <c r="H48" s="14"/>
      <c r="I48" s="14" t="str">
        <f>IFERROR(__xludf.DUMMYFUNCTION("""COMPUTED_VALUE"""),"Santosh Sundaresan ")</f>
        <v>Santosh Sundaresan </v>
      </c>
      <c r="J48" s="14"/>
    </row>
    <row r="49">
      <c r="A49" s="14"/>
      <c r="B49" s="14"/>
      <c r="D49" s="14">
        <f t="shared" si="2"/>
        <v>48</v>
      </c>
      <c r="E49" s="14"/>
      <c r="F49" s="14"/>
      <c r="G49" s="14"/>
      <c r="H49" s="14"/>
      <c r="I49" s="14" t="str">
        <f>IFERROR(__xludf.DUMMYFUNCTION("""COMPUTED_VALUE"""),"Savay Lieu")</f>
        <v>Savay Lieu</v>
      </c>
      <c r="J49" s="14"/>
    </row>
    <row r="50">
      <c r="A50" s="14"/>
      <c r="B50" s="14"/>
      <c r="D50" s="14">
        <f t="shared" si="2"/>
        <v>49</v>
      </c>
      <c r="E50" s="14"/>
      <c r="F50" s="14"/>
      <c r="G50" s="14"/>
      <c r="H50" s="14"/>
      <c r="I50" s="14" t="str">
        <f>IFERROR(__xludf.DUMMYFUNCTION("""COMPUTED_VALUE"""),"Scott Li")</f>
        <v>Scott Li</v>
      </c>
      <c r="J50" s="14"/>
    </row>
    <row r="51">
      <c r="A51" s="14"/>
      <c r="B51" s="14"/>
      <c r="D51" s="14">
        <f t="shared" si="2"/>
        <v>50</v>
      </c>
      <c r="E51" s="14"/>
      <c r="F51" s="14"/>
      <c r="G51" s="14"/>
      <c r="H51" s="14"/>
      <c r="I51" s="14" t="str">
        <f>IFERROR(__xludf.DUMMYFUNCTION("""COMPUTED_VALUE"""),"Sean Chang")</f>
        <v>Sean Chang</v>
      </c>
      <c r="J51" s="14"/>
    </row>
    <row r="52">
      <c r="A52" s="14"/>
      <c r="B52" s="14"/>
      <c r="D52" s="14">
        <f t="shared" si="2"/>
        <v>51</v>
      </c>
      <c r="E52" s="14"/>
      <c r="F52" s="14"/>
      <c r="G52" s="14"/>
      <c r="H52" s="14"/>
      <c r="I52" s="14" t="str">
        <f>IFERROR(__xludf.DUMMYFUNCTION("""COMPUTED_VALUE"""),"Sudhagar Subbaian")</f>
        <v>Sudhagar Subbaian</v>
      </c>
      <c r="J52" s="14"/>
    </row>
    <row r="53">
      <c r="A53" s="14"/>
      <c r="B53" s="14"/>
      <c r="D53" s="14">
        <f t="shared" si="2"/>
        <v>52</v>
      </c>
      <c r="E53" s="14"/>
      <c r="F53" s="14"/>
      <c r="G53" s="14"/>
      <c r="H53" s="14"/>
      <c r="I53" s="14" t="str">
        <f>IFERROR(__xludf.DUMMYFUNCTION("""COMPUTED_VALUE"""),"Suleman Alidina")</f>
        <v>Suleman Alidina</v>
      </c>
      <c r="J53" s="14"/>
    </row>
    <row r="54">
      <c r="A54" s="14"/>
      <c r="B54" s="14"/>
      <c r="D54" s="14">
        <f t="shared" si="2"/>
        <v>53</v>
      </c>
      <c r="E54" s="14"/>
      <c r="F54" s="14"/>
      <c r="G54" s="14"/>
      <c r="H54" s="14"/>
      <c r="I54" s="14" t="str">
        <f>IFERROR(__xludf.DUMMYFUNCTION("""COMPUTED_VALUE"""),"Susanta Mishra")</f>
        <v>Susanta Mishra</v>
      </c>
      <c r="J54" s="14"/>
    </row>
    <row r="55">
      <c r="A55" s="14"/>
      <c r="B55" s="14"/>
      <c r="D55" s="14">
        <f t="shared" si="2"/>
        <v>54</v>
      </c>
      <c r="E55" s="14"/>
      <c r="F55" s="14"/>
      <c r="G55" s="14"/>
      <c r="H55" s="14"/>
      <c r="I55" s="14" t="str">
        <f>IFERROR(__xludf.DUMMYFUNCTION("""COMPUTED_VALUE"""),"Ted Shen")</f>
        <v>Ted Shen</v>
      </c>
      <c r="J55" s="14"/>
    </row>
    <row r="56">
      <c r="A56" s="14"/>
      <c r="B56" s="14"/>
      <c r="D56" s="14">
        <f t="shared" si="2"/>
        <v>55</v>
      </c>
      <c r="E56" s="14"/>
      <c r="F56" s="14"/>
      <c r="G56" s="14"/>
      <c r="H56" s="14"/>
      <c r="I56" s="14" t="str">
        <f>IFERROR(__xludf.DUMMYFUNCTION("""COMPUTED_VALUE"""),"Tiffany Yu")</f>
        <v>Tiffany Yu</v>
      </c>
      <c r="J56" s="14"/>
    </row>
    <row r="57">
      <c r="A57" s="14"/>
      <c r="B57" s="14"/>
      <c r="D57" s="14">
        <f t="shared" si="2"/>
        <v>56</v>
      </c>
      <c r="E57" s="14"/>
      <c r="F57" s="14"/>
      <c r="G57" s="14"/>
      <c r="H57" s="14"/>
      <c r="I57" s="14" t="str">
        <f>IFERROR(__xludf.DUMMYFUNCTION("""COMPUTED_VALUE"""),"Tom Le")</f>
        <v>Tom Le</v>
      </c>
      <c r="J57" s="14"/>
    </row>
    <row r="58">
      <c r="A58" s="14"/>
      <c r="B58" s="14"/>
      <c r="D58" s="14">
        <f t="shared" si="2"/>
        <v>57</v>
      </c>
      <c r="E58" s="14"/>
      <c r="F58" s="14"/>
      <c r="G58" s="14"/>
      <c r="H58" s="14"/>
      <c r="I58" s="14" t="str">
        <f>IFERROR(__xludf.DUMMYFUNCTION("""COMPUTED_VALUE"""),"Tony Lin")</f>
        <v>Tony Lin</v>
      </c>
      <c r="J58" s="14"/>
    </row>
    <row r="59">
      <c r="A59" s="14"/>
      <c r="B59" s="14"/>
      <c r="D59" s="14">
        <f t="shared" si="2"/>
        <v>58</v>
      </c>
      <c r="E59" s="14"/>
      <c r="F59" s="14"/>
      <c r="G59" s="14"/>
      <c r="H59" s="14"/>
      <c r="I59" s="14" t="str">
        <f>IFERROR(__xludf.DUMMYFUNCTION("""COMPUTED_VALUE"""),"Tony Wong")</f>
        <v>Tony Wong</v>
      </c>
      <c r="J59" s="14"/>
    </row>
    <row r="60">
      <c r="A60" s="14"/>
      <c r="B60" s="14"/>
      <c r="D60" s="14">
        <f t="shared" si="2"/>
        <v>59</v>
      </c>
      <c r="E60" s="14"/>
      <c r="F60" s="14"/>
      <c r="G60" s="14"/>
      <c r="H60" s="14"/>
      <c r="I60" s="14" t="str">
        <f>IFERROR(__xludf.DUMMYFUNCTION("""COMPUTED_VALUE"""),"Trinath Goteti")</f>
        <v>Trinath Goteti</v>
      </c>
      <c r="J60" s="14"/>
    </row>
    <row r="61">
      <c r="A61" s="14"/>
      <c r="B61" s="14"/>
      <c r="D61" s="14">
        <f t="shared" si="2"/>
        <v>60</v>
      </c>
      <c r="E61" s="14"/>
      <c r="F61" s="14"/>
      <c r="G61" s="14"/>
      <c r="H61" s="14"/>
      <c r="I61" s="14" t="str">
        <f>IFERROR(__xludf.DUMMYFUNCTION("""COMPUTED_VALUE"""),"Troy Wong")</f>
        <v>Troy Wong</v>
      </c>
      <c r="J61" s="14"/>
    </row>
    <row r="62">
      <c r="A62" s="14"/>
      <c r="B62" s="14"/>
      <c r="D62" s="14">
        <f t="shared" si="2"/>
        <v>61</v>
      </c>
      <c r="E62" s="14"/>
      <c r="F62" s="14"/>
      <c r="G62" s="14"/>
      <c r="H62" s="14"/>
      <c r="I62" s="14" t="str">
        <f>IFERROR(__xludf.DUMMYFUNCTION("""COMPUTED_VALUE"""),"Vamsi Lolla ")</f>
        <v>Vamsi Lolla </v>
      </c>
      <c r="J62" s="14"/>
    </row>
    <row r="63">
      <c r="A63" s="14"/>
      <c r="B63" s="14"/>
      <c r="D63" s="14">
        <f t="shared" si="2"/>
        <v>62</v>
      </c>
      <c r="E63" s="14"/>
      <c r="F63" s="14"/>
      <c r="G63" s="14"/>
      <c r="H63" s="14"/>
      <c r="I63" s="14" t="str">
        <f>IFERROR(__xludf.DUMMYFUNCTION("""COMPUTED_VALUE"""),"Vilas Janardhanan")</f>
        <v>Vilas Janardhanan</v>
      </c>
      <c r="J63" s="14"/>
    </row>
    <row r="64">
      <c r="A64" s="14"/>
      <c r="B64" s="14"/>
      <c r="D64" s="14">
        <f t="shared" si="2"/>
        <v>63</v>
      </c>
      <c r="E64" s="14"/>
      <c r="F64" s="14"/>
      <c r="G64" s="14"/>
      <c r="H64" s="14"/>
      <c r="I64" s="14" t="str">
        <f>IFERROR(__xludf.DUMMYFUNCTION("""COMPUTED_VALUE"""),"Vinaya Kajla")</f>
        <v>Vinaya Kajla</v>
      </c>
      <c r="J64" s="14"/>
    </row>
    <row r="65">
      <c r="A65" s="14"/>
      <c r="B65" s="14"/>
      <c r="D65" s="14">
        <f t="shared" si="2"/>
        <v>64</v>
      </c>
      <c r="E65" s="14"/>
      <c r="F65" s="14"/>
      <c r="G65" s="14"/>
      <c r="H65" s="14"/>
      <c r="I65" s="14" t="str">
        <f>IFERROR(__xludf.DUMMYFUNCTION("""COMPUTED_VALUE"""),"Vinot Kumar Nagappan")</f>
        <v>Vinot Kumar Nagappan</v>
      </c>
      <c r="J65" s="14"/>
    </row>
    <row r="66">
      <c r="A66" s="14"/>
      <c r="B66" s="14"/>
      <c r="D66" s="14">
        <f t="shared" si="2"/>
        <v>65</v>
      </c>
      <c r="E66" s="14"/>
      <c r="F66" s="14"/>
      <c r="G66" s="14"/>
      <c r="H66" s="14"/>
      <c r="I66" s="14" t="str">
        <f>IFERROR(__xludf.DUMMYFUNCTION("""COMPUTED_VALUE"""),"Vishnu Amarnath")</f>
        <v>Vishnu Amarnath</v>
      </c>
      <c r="J66" s="14"/>
    </row>
    <row r="176">
      <c r="E176" s="44" t="s">
        <v>85</v>
      </c>
      <c r="F176" s="45"/>
      <c r="G176" s="45"/>
    </row>
    <row r="177">
      <c r="E177" s="44" t="s">
        <v>87</v>
      </c>
      <c r="F177" s="46">
        <v>75.0</v>
      </c>
      <c r="G177" s="45"/>
    </row>
    <row r="178">
      <c r="E178" s="45"/>
      <c r="F178" s="45"/>
      <c r="G178" s="45"/>
    </row>
    <row r="179">
      <c r="E179" s="44" t="s">
        <v>88</v>
      </c>
      <c r="F179" s="45"/>
      <c r="G179" s="45"/>
    </row>
    <row r="180">
      <c r="E180" s="47" t="s">
        <v>89</v>
      </c>
      <c r="F180" s="46">
        <v>50.0</v>
      </c>
      <c r="G180" s="45"/>
    </row>
    <row r="181">
      <c r="E181" s="47" t="s">
        <v>56</v>
      </c>
      <c r="F181" s="46">
        <v>50.0</v>
      </c>
      <c r="G181" s="45"/>
    </row>
    <row r="182">
      <c r="E182" s="48"/>
      <c r="F182" s="49">
        <f>sum(F177:F181)</f>
        <v>175</v>
      </c>
      <c r="G182" s="44" t="s">
        <v>91</v>
      </c>
    </row>
    <row r="184">
      <c r="E184" s="44" t="s">
        <v>92</v>
      </c>
      <c r="F184" s="50">
        <v>50.0</v>
      </c>
      <c r="G184" s="44" t="s">
        <v>93</v>
      </c>
    </row>
    <row r="185">
      <c r="E185" s="44" t="s">
        <v>94</v>
      </c>
      <c r="F185" s="50">
        <v>50.0</v>
      </c>
      <c r="G185" s="45"/>
    </row>
    <row r="186">
      <c r="E186" s="44" t="s">
        <v>95</v>
      </c>
      <c r="F186" s="50">
        <v>50.0</v>
      </c>
      <c r="G186" s="45"/>
    </row>
    <row r="187">
      <c r="E187" s="45"/>
      <c r="F187" s="53">
        <f>sum(F184:F186)</f>
        <v>150</v>
      </c>
      <c r="G187" s="44" t="s">
        <v>99</v>
      </c>
    </row>
    <row r="189">
      <c r="E189" s="44" t="s">
        <v>100</v>
      </c>
      <c r="F189" s="44">
        <v>50.0</v>
      </c>
      <c r="G189" s="44" t="s">
        <v>101</v>
      </c>
    </row>
  </sheetData>
  <conditionalFormatting sqref="F2:F23">
    <cfRule type="expression" dxfId="0" priority="1">
      <formula>L2 = 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"/>
      <c r="B1" s="2" t="s">
        <v>1</v>
      </c>
      <c r="C1" s="5">
        <v>45472.0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0.0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  <c r="Q3" s="20" t="s">
        <v>27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34</v>
      </c>
      <c r="R4" s="24" t="s">
        <v>35</v>
      </c>
      <c r="S4" s="24" t="s">
        <v>36</v>
      </c>
      <c r="T4" s="24" t="s">
        <v>37</v>
      </c>
    </row>
    <row r="5">
      <c r="A5" s="26">
        <v>1.0</v>
      </c>
      <c r="B5" s="27" t="s">
        <v>38</v>
      </c>
      <c r="C5" s="28">
        <v>300.0</v>
      </c>
      <c r="D5" s="29">
        <v>34.0</v>
      </c>
      <c r="E5" s="30">
        <v>3.0</v>
      </c>
      <c r="F5" s="31">
        <v>0.0</v>
      </c>
      <c r="G5" s="28">
        <v>9.0</v>
      </c>
      <c r="H5" s="31">
        <v>0.0</v>
      </c>
      <c r="I5" s="31">
        <v>0.0</v>
      </c>
      <c r="J5" s="31">
        <v>0.0</v>
      </c>
      <c r="K5" s="33">
        <v>9.0</v>
      </c>
      <c r="L5" s="31">
        <v>0.0</v>
      </c>
      <c r="M5" s="28">
        <f t="shared" ref="M5:N5" si="1">C5+K5</f>
        <v>309</v>
      </c>
      <c r="N5" s="29">
        <f t="shared" si="1"/>
        <v>34</v>
      </c>
      <c r="O5" s="35" t="s">
        <v>46</v>
      </c>
      <c r="P5" s="35" t="s">
        <v>46</v>
      </c>
      <c r="Q5" s="35" t="s">
        <v>46</v>
      </c>
      <c r="R5" s="31">
        <f>if(G5=13,1,0)+VLOOKUP(B5,'062224'!B:T,17,false)</f>
        <v>1</v>
      </c>
      <c r="S5" s="31"/>
      <c r="T5" s="31">
        <f>if(G5=9,1,0)+VLOOKUP(B5,'062224'!B:T,19,false)</f>
        <v>8</v>
      </c>
    </row>
    <row r="6">
      <c r="A6" s="26">
        <f t="shared" ref="A6:A69" si="3">A5+1</f>
        <v>2</v>
      </c>
      <c r="B6" s="27" t="s">
        <v>48</v>
      </c>
      <c r="C6" s="28">
        <v>278.0</v>
      </c>
      <c r="D6" s="29">
        <v>27.0</v>
      </c>
      <c r="E6" s="30">
        <v>1.0</v>
      </c>
      <c r="F6" s="31">
        <v>1.0</v>
      </c>
      <c r="G6" s="28">
        <v>0.0</v>
      </c>
      <c r="H6" s="31">
        <v>7.0</v>
      </c>
      <c r="I6" s="31">
        <v>2.0</v>
      </c>
      <c r="J6" s="31">
        <v>6.0</v>
      </c>
      <c r="K6" s="33">
        <v>15.0</v>
      </c>
      <c r="L6" s="31">
        <v>2.0</v>
      </c>
      <c r="M6" s="28">
        <f t="shared" ref="M6:N6" si="2">C6+K6</f>
        <v>293</v>
      </c>
      <c r="N6" s="29">
        <f t="shared" si="2"/>
        <v>29</v>
      </c>
      <c r="O6" s="35" t="s">
        <v>46</v>
      </c>
      <c r="P6" s="35" t="s">
        <v>46</v>
      </c>
      <c r="Q6" s="35" t="s">
        <v>46</v>
      </c>
      <c r="R6" s="31">
        <f>if(G6=13,1,0)+VLOOKUP(B6,'062224'!B:T,17,false)</f>
        <v>2</v>
      </c>
      <c r="S6" s="31"/>
      <c r="T6" s="31">
        <f>if(G6=9,1,0)+VLOOKUP(B6,'062224'!B:T,19,false)</f>
        <v>7</v>
      </c>
    </row>
    <row r="7">
      <c r="A7" s="26">
        <f t="shared" si="3"/>
        <v>3</v>
      </c>
      <c r="B7" s="39" t="s">
        <v>50</v>
      </c>
      <c r="C7" s="28">
        <v>271.0</v>
      </c>
      <c r="D7" s="29">
        <v>27.0</v>
      </c>
      <c r="E7" s="30">
        <v>1.0</v>
      </c>
      <c r="F7" s="31">
        <v>1.0</v>
      </c>
      <c r="G7" s="28">
        <v>0.0</v>
      </c>
      <c r="H7" s="31">
        <v>5.0</v>
      </c>
      <c r="I7" s="31">
        <v>6.0</v>
      </c>
      <c r="J7" s="31">
        <v>6.0</v>
      </c>
      <c r="K7" s="33">
        <v>17.0</v>
      </c>
      <c r="L7" s="31">
        <v>2.0</v>
      </c>
      <c r="M7" s="28">
        <f t="shared" ref="M7:N7" si="4">C7+K7</f>
        <v>288</v>
      </c>
      <c r="N7" s="29">
        <f t="shared" si="4"/>
        <v>29</v>
      </c>
      <c r="O7" s="35" t="s">
        <v>46</v>
      </c>
      <c r="P7" s="35" t="s">
        <v>46</v>
      </c>
      <c r="Q7" s="35" t="s">
        <v>46</v>
      </c>
      <c r="R7" s="31">
        <f>if(G7=13,1,0)+VLOOKUP(B7,'062224'!B:T,17,false)</f>
        <v>0</v>
      </c>
      <c r="S7" s="31"/>
      <c r="T7" s="31">
        <f>if(G7=9,1,0)+VLOOKUP(B7,'062224'!B:T,19,false)</f>
        <v>10</v>
      </c>
    </row>
    <row r="8">
      <c r="A8" s="26">
        <f t="shared" si="3"/>
        <v>4</v>
      </c>
      <c r="B8" s="39" t="s">
        <v>52</v>
      </c>
      <c r="C8" s="28">
        <v>271.0</v>
      </c>
      <c r="D8" s="29">
        <v>30.0</v>
      </c>
      <c r="E8" s="30">
        <v>5.0</v>
      </c>
      <c r="F8" s="31">
        <v>0.0</v>
      </c>
      <c r="G8" s="28">
        <v>13.0</v>
      </c>
      <c r="H8" s="31">
        <v>0.0</v>
      </c>
      <c r="I8" s="31">
        <v>0.0</v>
      </c>
      <c r="J8" s="31">
        <v>0.0</v>
      </c>
      <c r="K8" s="33">
        <v>13.0</v>
      </c>
      <c r="L8" s="31">
        <v>0.0</v>
      </c>
      <c r="M8" s="28">
        <f t="shared" ref="M8:N8" si="5">C8+K8</f>
        <v>284</v>
      </c>
      <c r="N8" s="29">
        <f t="shared" si="5"/>
        <v>30</v>
      </c>
      <c r="O8" s="35" t="s">
        <v>46</v>
      </c>
      <c r="P8" s="35" t="s">
        <v>46</v>
      </c>
      <c r="Q8" s="35" t="s">
        <v>46</v>
      </c>
      <c r="R8" s="31">
        <f>if(G8=13,1,0)+VLOOKUP(B8,'062224'!B:T,17,false)</f>
        <v>1</v>
      </c>
      <c r="S8" s="31"/>
      <c r="T8" s="31">
        <f>if(G8=9,1,0)+VLOOKUP(B8,'062224'!B:T,19,false)</f>
        <v>4</v>
      </c>
    </row>
    <row r="9">
      <c r="A9" s="26">
        <f t="shared" si="3"/>
        <v>5</v>
      </c>
      <c r="B9" s="39" t="s">
        <v>55</v>
      </c>
      <c r="C9" s="28">
        <v>259.0</v>
      </c>
      <c r="D9" s="29">
        <v>23.0</v>
      </c>
      <c r="E9" s="30">
        <v>2.0</v>
      </c>
      <c r="F9" s="31">
        <v>1.0</v>
      </c>
      <c r="G9" s="28">
        <v>0.0</v>
      </c>
      <c r="H9" s="31">
        <v>7.0</v>
      </c>
      <c r="I9" s="31">
        <v>6.0</v>
      </c>
      <c r="J9" s="31">
        <v>4.0</v>
      </c>
      <c r="K9" s="33">
        <v>17.0</v>
      </c>
      <c r="L9" s="31">
        <v>2.0</v>
      </c>
      <c r="M9" s="28">
        <f t="shared" ref="M9:N9" si="6">C9+K9</f>
        <v>276</v>
      </c>
      <c r="N9" s="29">
        <f t="shared" si="6"/>
        <v>25</v>
      </c>
      <c r="O9" s="35" t="s">
        <v>46</v>
      </c>
      <c r="P9" s="35" t="s">
        <v>46</v>
      </c>
      <c r="Q9" s="35" t="s">
        <v>46</v>
      </c>
      <c r="R9" s="31">
        <f>if(G9=13,1,0)+VLOOKUP(B9,'062224'!B:T,17,false)</f>
        <v>1</v>
      </c>
      <c r="S9" s="31"/>
      <c r="T9" s="31">
        <f>if(G9=9,1,0)+VLOOKUP(B9,'062224'!B:T,19,false)</f>
        <v>10</v>
      </c>
    </row>
    <row r="10">
      <c r="A10" s="26">
        <f t="shared" si="3"/>
        <v>6</v>
      </c>
      <c r="B10" s="27" t="s">
        <v>57</v>
      </c>
      <c r="C10" s="28">
        <v>263.0</v>
      </c>
      <c r="D10" s="29">
        <v>23.0</v>
      </c>
      <c r="E10" s="30">
        <v>3.0</v>
      </c>
      <c r="F10" s="31">
        <v>0.0</v>
      </c>
      <c r="G10" s="28">
        <v>9.0</v>
      </c>
      <c r="H10" s="31">
        <v>0.0</v>
      </c>
      <c r="I10" s="31">
        <v>0.0</v>
      </c>
      <c r="J10" s="31">
        <v>0.0</v>
      </c>
      <c r="K10" s="33">
        <v>9.0</v>
      </c>
      <c r="L10" s="31">
        <v>0.0</v>
      </c>
      <c r="M10" s="28">
        <f t="shared" ref="M10:N10" si="7">C10+K10</f>
        <v>272</v>
      </c>
      <c r="N10" s="29">
        <f t="shared" si="7"/>
        <v>23</v>
      </c>
      <c r="O10" s="35" t="s">
        <v>46</v>
      </c>
      <c r="P10" s="35" t="s">
        <v>46</v>
      </c>
      <c r="Q10" s="35" t="s">
        <v>46</v>
      </c>
      <c r="R10" s="31">
        <f>if(G10=13,1,0)+VLOOKUP(B10,'062224'!B:T,17,false)</f>
        <v>0</v>
      </c>
      <c r="S10" s="31"/>
      <c r="T10" s="31">
        <f>if(G10=9,1,0)+VLOOKUP(B10,'062224'!B:T,19,false)</f>
        <v>8</v>
      </c>
    </row>
    <row r="11">
      <c r="A11" s="26">
        <f t="shared" si="3"/>
        <v>7</v>
      </c>
      <c r="B11" s="27" t="s">
        <v>60</v>
      </c>
      <c r="C11" s="28">
        <v>263.0</v>
      </c>
      <c r="D11" s="29">
        <v>18.0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272</v>
      </c>
      <c r="N11" s="29">
        <f t="shared" si="8"/>
        <v>18</v>
      </c>
      <c r="O11" s="35" t="s">
        <v>46</v>
      </c>
      <c r="P11" s="35" t="s">
        <v>46</v>
      </c>
      <c r="Q11" s="35" t="s">
        <v>46</v>
      </c>
      <c r="R11" s="31">
        <f>if(G11=13,1,0)+VLOOKUP(B11,'062224'!B:T,17,false)</f>
        <v>2</v>
      </c>
      <c r="S11" s="31"/>
      <c r="T11" s="31">
        <f>if(G11=9,1,0)+VLOOKUP(B11,'062224'!B:T,19,false)</f>
        <v>12</v>
      </c>
    </row>
    <row r="12">
      <c r="A12" s="26">
        <f t="shared" si="3"/>
        <v>8</v>
      </c>
      <c r="B12" s="27" t="s">
        <v>61</v>
      </c>
      <c r="C12" s="28">
        <v>259.0</v>
      </c>
      <c r="D12" s="29">
        <v>23.0</v>
      </c>
      <c r="E12" s="30">
        <v>2.0</v>
      </c>
      <c r="F12" s="31">
        <v>1.0</v>
      </c>
      <c r="G12" s="28">
        <v>0.0</v>
      </c>
      <c r="H12" s="31">
        <v>5.0</v>
      </c>
      <c r="I12" s="31">
        <v>2.0</v>
      </c>
      <c r="J12" s="31">
        <v>4.0</v>
      </c>
      <c r="K12" s="33">
        <v>11.0</v>
      </c>
      <c r="L12" s="31">
        <v>0.0</v>
      </c>
      <c r="M12" s="28">
        <f t="shared" ref="M12:N12" si="9">C12+K12</f>
        <v>270</v>
      </c>
      <c r="N12" s="29">
        <f t="shared" si="9"/>
        <v>23</v>
      </c>
      <c r="O12" s="35" t="s">
        <v>46</v>
      </c>
      <c r="P12" s="35" t="s">
        <v>46</v>
      </c>
      <c r="Q12" s="35" t="s">
        <v>46</v>
      </c>
      <c r="R12" s="31">
        <f>if(G12=13,1,0)+VLOOKUP(B12,'062224'!B:T,17,false)</f>
        <v>2</v>
      </c>
      <c r="S12" s="31"/>
      <c r="T12" s="31">
        <f>if(G12=9,1,0)+VLOOKUP(B12,'062224'!B:T,19,false)</f>
        <v>4</v>
      </c>
    </row>
    <row r="13">
      <c r="A13" s="26">
        <f t="shared" si="3"/>
        <v>9</v>
      </c>
      <c r="B13" s="27" t="s">
        <v>63</v>
      </c>
      <c r="C13" s="28">
        <v>254.0</v>
      </c>
      <c r="D13" s="29">
        <v>20.0</v>
      </c>
      <c r="E13" s="30">
        <v>1.0</v>
      </c>
      <c r="F13" s="31">
        <v>2.0</v>
      </c>
      <c r="G13" s="28">
        <v>0.0</v>
      </c>
      <c r="H13" s="31">
        <v>6.0</v>
      </c>
      <c r="I13" s="31">
        <v>6.0</v>
      </c>
      <c r="J13" s="31">
        <v>4.0</v>
      </c>
      <c r="K13" s="33">
        <v>16.0</v>
      </c>
      <c r="L13" s="31">
        <v>2.0</v>
      </c>
      <c r="M13" s="28">
        <f t="shared" ref="M13:N13" si="10">C13+K13</f>
        <v>270</v>
      </c>
      <c r="N13" s="29">
        <f t="shared" si="10"/>
        <v>22</v>
      </c>
      <c r="O13" s="35" t="s">
        <v>46</v>
      </c>
      <c r="P13" s="35" t="s">
        <v>46</v>
      </c>
      <c r="Q13" s="35" t="s">
        <v>46</v>
      </c>
      <c r="R13" s="31">
        <f>if(G13=13,1,0)+VLOOKUP(B13,'062224'!B:T,17,false)</f>
        <v>2</v>
      </c>
      <c r="S13" s="31"/>
      <c r="T13" s="31">
        <f>if(G13=9,1,0)+VLOOKUP(B13,'062224'!B:T,19,false)</f>
        <v>2</v>
      </c>
    </row>
    <row r="14">
      <c r="A14" s="26">
        <f t="shared" si="3"/>
        <v>10</v>
      </c>
      <c r="B14" s="27" t="s">
        <v>75</v>
      </c>
      <c r="C14" s="28">
        <v>261.0</v>
      </c>
      <c r="D14" s="29">
        <v>22.0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270</v>
      </c>
      <c r="N14" s="29">
        <f t="shared" si="11"/>
        <v>22</v>
      </c>
      <c r="O14" s="35" t="s">
        <v>46</v>
      </c>
      <c r="P14" s="35" t="s">
        <v>46</v>
      </c>
      <c r="Q14" s="35" t="s">
        <v>46</v>
      </c>
      <c r="R14" s="31">
        <f>if(G14=13,1,0)+VLOOKUP(B14,'062224'!B:T,17,false)</f>
        <v>1</v>
      </c>
      <c r="S14" s="31"/>
      <c r="T14" s="31">
        <f>if(G14=9,1,0)+VLOOKUP(B14,'062224'!B:T,19,false)</f>
        <v>5</v>
      </c>
    </row>
    <row r="15">
      <c r="A15" s="26">
        <f t="shared" si="3"/>
        <v>11</v>
      </c>
      <c r="B15" s="27" t="s">
        <v>77</v>
      </c>
      <c r="C15" s="28">
        <v>253.0</v>
      </c>
      <c r="D15" s="29">
        <v>15.0</v>
      </c>
      <c r="E15" s="30">
        <v>1.0</v>
      </c>
      <c r="F15" s="31">
        <v>2.0</v>
      </c>
      <c r="G15" s="28">
        <v>0.0</v>
      </c>
      <c r="H15" s="31">
        <v>4.0</v>
      </c>
      <c r="I15" s="31">
        <v>6.0</v>
      </c>
      <c r="J15" s="31">
        <v>6.0</v>
      </c>
      <c r="K15" s="33">
        <v>16.0</v>
      </c>
      <c r="L15" s="31">
        <v>0.0</v>
      </c>
      <c r="M15" s="28">
        <f t="shared" ref="M15:N15" si="12">C15+K15</f>
        <v>269</v>
      </c>
      <c r="N15" s="29">
        <f t="shared" si="12"/>
        <v>15</v>
      </c>
      <c r="O15" s="35" t="s">
        <v>46</v>
      </c>
      <c r="P15" s="35" t="s">
        <v>46</v>
      </c>
      <c r="Q15" s="35" t="s">
        <v>46</v>
      </c>
      <c r="R15" s="31">
        <f>if(G15=13,1,0)+VLOOKUP(B15,'062224'!B:T,17,false)</f>
        <v>2</v>
      </c>
      <c r="S15" s="31"/>
      <c r="T15" s="31">
        <f>if(G15=9,1,0)+VLOOKUP(B15,'062224'!B:T,19,false)</f>
        <v>6</v>
      </c>
    </row>
    <row r="16">
      <c r="A16" s="26">
        <f t="shared" si="3"/>
        <v>12</v>
      </c>
      <c r="B16" s="27" t="s">
        <v>78</v>
      </c>
      <c r="C16" s="28">
        <v>248.0</v>
      </c>
      <c r="D16" s="29">
        <v>24.0</v>
      </c>
      <c r="E16" s="30">
        <v>1.0</v>
      </c>
      <c r="F16" s="31">
        <v>2.0</v>
      </c>
      <c r="G16" s="28">
        <v>0.0</v>
      </c>
      <c r="H16" s="31">
        <v>6.0</v>
      </c>
      <c r="I16" s="31">
        <v>3.0</v>
      </c>
      <c r="J16" s="31">
        <v>6.0</v>
      </c>
      <c r="K16" s="33">
        <v>15.0</v>
      </c>
      <c r="L16" s="31">
        <v>2.0</v>
      </c>
      <c r="M16" s="28">
        <f t="shared" ref="M16:N16" si="13">C16+K16</f>
        <v>263</v>
      </c>
      <c r="N16" s="29">
        <f t="shared" si="13"/>
        <v>26</v>
      </c>
      <c r="O16" s="35" t="s">
        <v>46</v>
      </c>
      <c r="P16" s="35" t="s">
        <v>46</v>
      </c>
      <c r="Q16" s="35" t="s">
        <v>46</v>
      </c>
      <c r="R16" s="31">
        <f>if(G16=13,1,0)+VLOOKUP(B16,'062224'!B:T,17,false)</f>
        <v>0</v>
      </c>
      <c r="S16" s="31"/>
      <c r="T16" s="31">
        <f>if(G16=9,1,0)+VLOOKUP(B16,'062224'!B:T,19,false)</f>
        <v>6</v>
      </c>
    </row>
    <row r="17">
      <c r="A17" s="26">
        <f t="shared" si="3"/>
        <v>13</v>
      </c>
      <c r="B17" s="27" t="s">
        <v>81</v>
      </c>
      <c r="C17" s="28">
        <v>252.0</v>
      </c>
      <c r="D17" s="29">
        <v>22.0</v>
      </c>
      <c r="E17" s="30">
        <v>1.0</v>
      </c>
      <c r="F17" s="31">
        <v>2.0</v>
      </c>
      <c r="G17" s="28">
        <v>0.0</v>
      </c>
      <c r="H17" s="31">
        <v>4.0</v>
      </c>
      <c r="I17" s="31">
        <v>3.0</v>
      </c>
      <c r="J17" s="31">
        <v>4.0</v>
      </c>
      <c r="K17" s="33">
        <v>11.0</v>
      </c>
      <c r="L17" s="31">
        <v>2.0</v>
      </c>
      <c r="M17" s="28">
        <f t="shared" ref="M17:N17" si="14">C17+K17</f>
        <v>263</v>
      </c>
      <c r="N17" s="29">
        <f t="shared" si="14"/>
        <v>24</v>
      </c>
      <c r="O17" s="35" t="s">
        <v>46</v>
      </c>
      <c r="P17" s="35" t="s">
        <v>46</v>
      </c>
      <c r="Q17" s="35" t="s">
        <v>46</v>
      </c>
      <c r="R17" s="31">
        <f>if(G17=13,1,0)+VLOOKUP(B17,'062224'!B:T,17,false)</f>
        <v>0</v>
      </c>
      <c r="S17" s="31"/>
      <c r="T17" s="31">
        <f>if(G17=9,1,0)+VLOOKUP(B17,'062224'!B:T,19,false)</f>
        <v>7</v>
      </c>
    </row>
    <row r="18">
      <c r="A18" s="26">
        <f t="shared" si="3"/>
        <v>14</v>
      </c>
      <c r="B18" s="27" t="s">
        <v>82</v>
      </c>
      <c r="C18" s="28">
        <v>254.0</v>
      </c>
      <c r="D18" s="29">
        <v>19.0</v>
      </c>
      <c r="E18" s="30">
        <v>3.0</v>
      </c>
      <c r="F18" s="31">
        <v>0.0</v>
      </c>
      <c r="G18" s="28">
        <v>9.0</v>
      </c>
      <c r="H18" s="31">
        <v>0.0</v>
      </c>
      <c r="I18" s="31">
        <v>0.0</v>
      </c>
      <c r="J18" s="31">
        <v>0.0</v>
      </c>
      <c r="K18" s="33">
        <v>9.0</v>
      </c>
      <c r="L18" s="31">
        <v>0.0</v>
      </c>
      <c r="M18" s="28">
        <f t="shared" ref="M18:N18" si="15">C18+K18</f>
        <v>263</v>
      </c>
      <c r="N18" s="29">
        <f t="shared" si="15"/>
        <v>19</v>
      </c>
      <c r="O18" s="35" t="s">
        <v>46</v>
      </c>
      <c r="P18" s="35" t="s">
        <v>46</v>
      </c>
      <c r="Q18" s="35" t="s">
        <v>46</v>
      </c>
      <c r="R18" s="31">
        <f>if(G18=13,1,0)+VLOOKUP(B18,'062224'!B:T,17,false)</f>
        <v>1</v>
      </c>
      <c r="S18" s="31"/>
      <c r="T18" s="31">
        <f>if(G18=9,1,0)+VLOOKUP(B18,'062224'!B:T,19,false)</f>
        <v>13</v>
      </c>
    </row>
    <row r="19">
      <c r="A19" s="26">
        <f t="shared" si="3"/>
        <v>15</v>
      </c>
      <c r="B19" s="27" t="s">
        <v>56</v>
      </c>
      <c r="C19" s="28">
        <v>251.0</v>
      </c>
      <c r="D19" s="29">
        <v>18.0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260</v>
      </c>
      <c r="N19" s="29">
        <f t="shared" si="16"/>
        <v>18</v>
      </c>
      <c r="O19" s="35" t="s">
        <v>46</v>
      </c>
      <c r="P19" s="35" t="s">
        <v>46</v>
      </c>
      <c r="Q19" s="35" t="s">
        <v>46</v>
      </c>
      <c r="R19" s="31">
        <f>if(G19=13,1,0)+VLOOKUP(B19,'062224'!B:T,17,false)</f>
        <v>0</v>
      </c>
      <c r="S19" s="31"/>
      <c r="T19" s="31">
        <f>if(G19=9,1,0)+VLOOKUP(B19,'062224'!B:T,19,false)</f>
        <v>15</v>
      </c>
    </row>
    <row r="20">
      <c r="A20" s="26">
        <f t="shared" si="3"/>
        <v>16</v>
      </c>
      <c r="B20" s="27" t="s">
        <v>84</v>
      </c>
      <c r="C20" s="28">
        <v>247.0</v>
      </c>
      <c r="D20" s="29">
        <v>17.0</v>
      </c>
      <c r="E20" s="30">
        <v>5.0</v>
      </c>
      <c r="F20" s="31">
        <v>0.0</v>
      </c>
      <c r="G20" s="28">
        <v>13.0</v>
      </c>
      <c r="H20" s="31">
        <v>0.0</v>
      </c>
      <c r="I20" s="31">
        <v>0.0</v>
      </c>
      <c r="J20" s="31">
        <v>0.0</v>
      </c>
      <c r="K20" s="33">
        <v>13.0</v>
      </c>
      <c r="L20" s="31">
        <v>0.0</v>
      </c>
      <c r="M20" s="28">
        <f t="shared" ref="M20:N20" si="17">C20+K20</f>
        <v>260</v>
      </c>
      <c r="N20" s="29">
        <f t="shared" si="17"/>
        <v>17</v>
      </c>
      <c r="O20" s="35" t="s">
        <v>46</v>
      </c>
      <c r="P20" s="35" t="s">
        <v>46</v>
      </c>
      <c r="Q20" s="35" t="s">
        <v>46</v>
      </c>
      <c r="R20" s="31">
        <f>if(G20=13,1,0)+VLOOKUP(B20,'062224'!B:T,17,false)</f>
        <v>3</v>
      </c>
      <c r="S20" s="31"/>
      <c r="T20" s="31">
        <f>if(G20=9,1,0)+VLOOKUP(B20,'062224'!B:T,19,false)</f>
        <v>2</v>
      </c>
    </row>
    <row r="21">
      <c r="A21" s="26">
        <f t="shared" si="3"/>
        <v>17</v>
      </c>
      <c r="B21" s="39" t="s">
        <v>86</v>
      </c>
      <c r="C21" s="28">
        <v>243.0</v>
      </c>
      <c r="D21" s="29">
        <v>21.0</v>
      </c>
      <c r="E21" s="30">
        <v>2.0</v>
      </c>
      <c r="F21" s="31">
        <v>3.0</v>
      </c>
      <c r="G21" s="28">
        <v>0.0</v>
      </c>
      <c r="H21" s="31">
        <v>6.0</v>
      </c>
      <c r="I21" s="31">
        <v>4.0</v>
      </c>
      <c r="J21" s="31">
        <v>6.0</v>
      </c>
      <c r="K21" s="33">
        <v>16.0</v>
      </c>
      <c r="L21" s="31">
        <v>2.0</v>
      </c>
      <c r="M21" s="28">
        <f t="shared" ref="M21:N21" si="18">C21+K21</f>
        <v>259</v>
      </c>
      <c r="N21" s="29">
        <f t="shared" si="18"/>
        <v>23</v>
      </c>
      <c r="O21" s="35" t="s">
        <v>46</v>
      </c>
      <c r="P21" s="35" t="s">
        <v>46</v>
      </c>
      <c r="Q21" s="35" t="s">
        <v>46</v>
      </c>
      <c r="R21" s="31">
        <f>if(G21=13,1,0)+VLOOKUP(B21,'062224'!B:T,17,false)</f>
        <v>1</v>
      </c>
      <c r="S21" s="31"/>
      <c r="T21" s="31">
        <f>if(G21=9,1,0)+VLOOKUP(B21,'062224'!B:T,19,false)</f>
        <v>5</v>
      </c>
    </row>
    <row r="22">
      <c r="A22" s="26">
        <f t="shared" si="3"/>
        <v>18</v>
      </c>
      <c r="B22" s="27" t="s">
        <v>90</v>
      </c>
      <c r="C22" s="28">
        <v>246.0</v>
      </c>
      <c r="D22" s="29">
        <v>19.0</v>
      </c>
      <c r="E22" s="30">
        <v>1.0</v>
      </c>
      <c r="F22" s="31">
        <v>3.0</v>
      </c>
      <c r="G22" s="28">
        <v>0.0</v>
      </c>
      <c r="H22" s="31">
        <v>3.0</v>
      </c>
      <c r="I22" s="31">
        <v>4.0</v>
      </c>
      <c r="J22" s="31">
        <v>2.0</v>
      </c>
      <c r="K22" s="33">
        <v>9.0</v>
      </c>
      <c r="L22" s="31">
        <v>0.0</v>
      </c>
      <c r="M22" s="28">
        <f t="shared" ref="M22:N22" si="19">C22+K22</f>
        <v>255</v>
      </c>
      <c r="N22" s="29">
        <f t="shared" si="19"/>
        <v>19</v>
      </c>
      <c r="O22" s="35" t="s">
        <v>46</v>
      </c>
      <c r="P22" s="35" t="s">
        <v>46</v>
      </c>
      <c r="Q22" s="35" t="s">
        <v>46</v>
      </c>
      <c r="R22" s="31">
        <f>if(G22=13,1,0)+VLOOKUP(B22,'062224'!B:T,17,false)</f>
        <v>0</v>
      </c>
      <c r="S22" s="31"/>
      <c r="T22" s="31">
        <f>if(G22=9,1,0)+VLOOKUP(B22,'062224'!B:T,19,false)</f>
        <v>12</v>
      </c>
    </row>
    <row r="23">
      <c r="A23" s="26">
        <f t="shared" si="3"/>
        <v>19</v>
      </c>
      <c r="B23" s="27" t="s">
        <v>102</v>
      </c>
      <c r="C23" s="28">
        <v>240.0</v>
      </c>
      <c r="D23" s="29">
        <v>15.0</v>
      </c>
      <c r="E23" s="30">
        <v>1.0</v>
      </c>
      <c r="F23" s="31">
        <v>3.0</v>
      </c>
      <c r="G23" s="28">
        <v>0.0</v>
      </c>
      <c r="H23" s="31">
        <v>3.0</v>
      </c>
      <c r="I23" s="31">
        <v>6.0</v>
      </c>
      <c r="J23" s="31">
        <v>6.0</v>
      </c>
      <c r="K23" s="33">
        <v>15.0</v>
      </c>
      <c r="L23" s="31">
        <v>2.0</v>
      </c>
      <c r="M23" s="28">
        <f t="shared" ref="M23:N23" si="20">C23+K23</f>
        <v>255</v>
      </c>
      <c r="N23" s="29">
        <f t="shared" si="20"/>
        <v>17</v>
      </c>
      <c r="O23" s="35" t="s">
        <v>46</v>
      </c>
      <c r="P23" s="35" t="s">
        <v>46</v>
      </c>
      <c r="Q23" s="35" t="s">
        <v>46</v>
      </c>
      <c r="R23" s="31">
        <f>if(G23=13,1,0)+VLOOKUP(B23,'062224'!B:T,17,false)</f>
        <v>0</v>
      </c>
      <c r="S23" s="31"/>
      <c r="T23" s="31">
        <f>if(G23=9,1,0)+VLOOKUP(B23,'062224'!B:T,19,false)</f>
        <v>14</v>
      </c>
    </row>
    <row r="24">
      <c r="A24" s="26">
        <f t="shared" si="3"/>
        <v>20</v>
      </c>
      <c r="B24" s="27" t="s">
        <v>96</v>
      </c>
      <c r="C24" s="28">
        <v>239.0</v>
      </c>
      <c r="D24" s="29">
        <v>16.0</v>
      </c>
      <c r="E24" s="30">
        <v>2.0</v>
      </c>
      <c r="F24" s="31">
        <v>3.0</v>
      </c>
      <c r="G24" s="28">
        <v>0.0</v>
      </c>
      <c r="H24" s="31">
        <v>6.0</v>
      </c>
      <c r="I24" s="31">
        <v>6.0</v>
      </c>
      <c r="J24" s="31">
        <v>2.0</v>
      </c>
      <c r="K24" s="33">
        <v>14.0</v>
      </c>
      <c r="L24" s="31">
        <v>2.0</v>
      </c>
      <c r="M24" s="28">
        <f t="shared" ref="M24:N24" si="21">C24+K24</f>
        <v>253</v>
      </c>
      <c r="N24" s="29">
        <f t="shared" si="21"/>
        <v>18</v>
      </c>
      <c r="O24" s="35" t="s">
        <v>46</v>
      </c>
      <c r="P24" s="35" t="s">
        <v>46</v>
      </c>
      <c r="Q24" s="35" t="s">
        <v>46</v>
      </c>
      <c r="R24" s="31">
        <f>if(G24=13,1,0)+VLOOKUP(B24,'062224'!B:T,17,false)</f>
        <v>1</v>
      </c>
      <c r="S24" s="31"/>
      <c r="T24" s="31">
        <f>if(G24=9,1,0)+VLOOKUP(B24,'062224'!B:T,19,false)</f>
        <v>6</v>
      </c>
    </row>
    <row r="25">
      <c r="A25" s="26">
        <f t="shared" si="3"/>
        <v>21</v>
      </c>
      <c r="B25" s="39" t="s">
        <v>103</v>
      </c>
      <c r="C25" s="28">
        <v>244.0</v>
      </c>
      <c r="D25" s="29">
        <v>17.0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253</v>
      </c>
      <c r="N25" s="29">
        <f t="shared" si="22"/>
        <v>17</v>
      </c>
      <c r="O25" s="35" t="s">
        <v>46</v>
      </c>
      <c r="P25" s="35" t="s">
        <v>46</v>
      </c>
      <c r="Q25" s="35" t="s">
        <v>46</v>
      </c>
      <c r="R25" s="31">
        <f>if(G25=13,1,0)+VLOOKUP(B25,'062224'!B:T,17,false)</f>
        <v>1</v>
      </c>
      <c r="S25" s="31"/>
      <c r="T25" s="31">
        <f>if(G25=9,1,0)+VLOOKUP(B25,'062224'!B:T,19,false)</f>
        <v>11</v>
      </c>
    </row>
    <row r="26">
      <c r="A26" s="26">
        <f t="shared" si="3"/>
        <v>22</v>
      </c>
      <c r="B26" s="54" t="s">
        <v>89</v>
      </c>
      <c r="C26" s="28">
        <v>234.0</v>
      </c>
      <c r="D26" s="29">
        <v>20.0</v>
      </c>
      <c r="E26" s="30">
        <v>1.0</v>
      </c>
      <c r="F26" s="31">
        <v>5.0</v>
      </c>
      <c r="G26" s="28">
        <v>0.0</v>
      </c>
      <c r="H26" s="31">
        <v>6.0</v>
      </c>
      <c r="I26" s="31">
        <v>6.0</v>
      </c>
      <c r="J26" s="31">
        <v>6.0</v>
      </c>
      <c r="K26" s="33">
        <v>18.0</v>
      </c>
      <c r="L26" s="31">
        <v>3.0</v>
      </c>
      <c r="M26" s="28">
        <f t="shared" ref="M26:N26" si="23">C26+K26</f>
        <v>252</v>
      </c>
      <c r="N26" s="29">
        <f t="shared" si="23"/>
        <v>23</v>
      </c>
      <c r="O26" s="35" t="s">
        <v>46</v>
      </c>
      <c r="P26" s="35" t="s">
        <v>46</v>
      </c>
      <c r="Q26" s="35" t="s">
        <v>46</v>
      </c>
      <c r="R26" s="31">
        <f>if(G26=13,1,0)+VLOOKUP(B26,'062224'!B:T,17,false)</f>
        <v>0</v>
      </c>
      <c r="S26" s="31"/>
      <c r="T26" s="31">
        <f>if(G26=9,1,0)+VLOOKUP(B26,'062224'!B:T,19,false)</f>
        <v>5</v>
      </c>
    </row>
    <row r="27">
      <c r="A27" s="26">
        <f t="shared" si="3"/>
        <v>23</v>
      </c>
      <c r="B27" s="27" t="s">
        <v>65</v>
      </c>
      <c r="C27" s="28">
        <v>241.0</v>
      </c>
      <c r="D27" s="29">
        <v>17.0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250</v>
      </c>
      <c r="N27" s="29">
        <f t="shared" si="24"/>
        <v>17</v>
      </c>
      <c r="O27" s="35" t="s">
        <v>46</v>
      </c>
      <c r="P27" s="35" t="s">
        <v>46</v>
      </c>
      <c r="Q27" s="35" t="s">
        <v>46</v>
      </c>
      <c r="R27" s="31">
        <f>if(G27=13,1,0)+VLOOKUP(B27,'062224'!B:T,17,false)</f>
        <v>0</v>
      </c>
      <c r="S27" s="31"/>
      <c r="T27" s="31">
        <f>if(G27=9,1,0)+VLOOKUP(B27,'062224'!B:T,19,false)</f>
        <v>16</v>
      </c>
    </row>
    <row r="28">
      <c r="A28" s="26">
        <f t="shared" si="3"/>
        <v>24</v>
      </c>
      <c r="B28" s="54" t="s">
        <v>95</v>
      </c>
      <c r="C28" s="28">
        <v>239.0</v>
      </c>
      <c r="D28" s="29">
        <v>19.0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248</v>
      </c>
      <c r="N28" s="29">
        <f t="shared" si="25"/>
        <v>19</v>
      </c>
      <c r="O28" s="35" t="s">
        <v>46</v>
      </c>
      <c r="P28" s="35" t="s">
        <v>46</v>
      </c>
      <c r="Q28" s="35" t="s">
        <v>46</v>
      </c>
      <c r="R28" s="31">
        <f>if(G28=13,1,0)+VLOOKUP(B28,'062224'!B:T,17,false)</f>
        <v>0</v>
      </c>
      <c r="S28" s="31"/>
      <c r="T28" s="31">
        <f>if(G28=9,1,0)+VLOOKUP(B28,'062224'!B:T,19,false)</f>
        <v>5</v>
      </c>
    </row>
    <row r="29">
      <c r="A29" s="26">
        <f t="shared" si="3"/>
        <v>25</v>
      </c>
      <c r="B29" s="54" t="s">
        <v>100</v>
      </c>
      <c r="C29" s="28">
        <v>239.0</v>
      </c>
      <c r="D29" s="29">
        <v>16.0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248</v>
      </c>
      <c r="N29" s="29">
        <f t="shared" si="26"/>
        <v>16</v>
      </c>
      <c r="O29" s="35" t="s">
        <v>46</v>
      </c>
      <c r="P29" s="35" t="s">
        <v>46</v>
      </c>
      <c r="Q29" s="35" t="s">
        <v>46</v>
      </c>
      <c r="R29" s="31">
        <f>if(G29=13,1,0)+VLOOKUP(B29,'062224'!B:T,17,false)</f>
        <v>1</v>
      </c>
      <c r="S29" s="31"/>
      <c r="T29" s="31">
        <f>if(G29=9,1,0)+VLOOKUP(B29,'062224'!B:T,19,false)</f>
        <v>12</v>
      </c>
    </row>
    <row r="30">
      <c r="A30" s="26">
        <f t="shared" si="3"/>
        <v>26</v>
      </c>
      <c r="B30" s="54" t="s">
        <v>59</v>
      </c>
      <c r="C30" s="28">
        <v>238.0</v>
      </c>
      <c r="D30" s="29">
        <v>18.0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247</v>
      </c>
      <c r="N30" s="29">
        <f t="shared" si="27"/>
        <v>18</v>
      </c>
      <c r="O30" s="35" t="s">
        <v>46</v>
      </c>
      <c r="P30" s="35" t="s">
        <v>46</v>
      </c>
      <c r="Q30" s="35" t="s">
        <v>104</v>
      </c>
      <c r="R30" s="31">
        <f>if(G30=13,1,0)+VLOOKUP(B30,'062224'!B:T,17,false)</f>
        <v>1</v>
      </c>
      <c r="S30" s="31"/>
      <c r="T30" s="31">
        <f>if(G30=9,1,0)+VLOOKUP(B30,'062224'!B:T,19,false)</f>
        <v>10</v>
      </c>
    </row>
    <row r="31">
      <c r="A31" s="26">
        <f t="shared" si="3"/>
        <v>27</v>
      </c>
      <c r="B31" s="27" t="s">
        <v>68</v>
      </c>
      <c r="C31" s="28">
        <v>234.0</v>
      </c>
      <c r="D31" s="29">
        <v>14.0</v>
      </c>
      <c r="E31" s="30">
        <v>5.0</v>
      </c>
      <c r="F31" s="31">
        <v>0.0</v>
      </c>
      <c r="G31" s="28">
        <v>13.0</v>
      </c>
      <c r="H31" s="31">
        <v>0.0</v>
      </c>
      <c r="I31" s="31">
        <v>0.0</v>
      </c>
      <c r="J31" s="31">
        <v>0.0</v>
      </c>
      <c r="K31" s="33">
        <v>13.0</v>
      </c>
      <c r="L31" s="31">
        <v>0.0</v>
      </c>
      <c r="M31" s="28">
        <f t="shared" ref="M31:N31" si="28">C31+K31</f>
        <v>247</v>
      </c>
      <c r="N31" s="29">
        <f t="shared" si="28"/>
        <v>14</v>
      </c>
      <c r="O31" s="35" t="s">
        <v>46</v>
      </c>
      <c r="P31" s="35" t="s">
        <v>46</v>
      </c>
      <c r="Q31" s="35" t="s">
        <v>46</v>
      </c>
      <c r="R31" s="31">
        <f>if(G31=13,1,0)+VLOOKUP(B31,'062224'!B:T,17,false)</f>
        <v>3</v>
      </c>
      <c r="S31" s="31"/>
      <c r="T31" s="31">
        <f>if(G31=9,1,0)+VLOOKUP(B31,'062224'!B:T,19,false)</f>
        <v>13</v>
      </c>
    </row>
    <row r="32">
      <c r="A32" s="26">
        <f t="shared" si="3"/>
        <v>28</v>
      </c>
      <c r="B32" s="39" t="s">
        <v>105</v>
      </c>
      <c r="C32" s="28">
        <v>224.0</v>
      </c>
      <c r="D32" s="29">
        <v>15.0</v>
      </c>
      <c r="E32" s="30">
        <v>1.0</v>
      </c>
      <c r="F32" s="31">
        <v>6.0</v>
      </c>
      <c r="G32" s="28">
        <v>0.0</v>
      </c>
      <c r="H32" s="31">
        <v>7.0</v>
      </c>
      <c r="I32" s="31">
        <v>7.0</v>
      </c>
      <c r="J32" s="31">
        <v>6.0</v>
      </c>
      <c r="K32" s="33">
        <v>20.0</v>
      </c>
      <c r="L32" s="31">
        <v>3.0</v>
      </c>
      <c r="M32" s="28">
        <f t="shared" ref="M32:N32" si="29">C32+K32</f>
        <v>244</v>
      </c>
      <c r="N32" s="29">
        <f t="shared" si="29"/>
        <v>18</v>
      </c>
      <c r="O32" s="35" t="s">
        <v>46</v>
      </c>
      <c r="P32" s="35" t="s">
        <v>46</v>
      </c>
      <c r="Q32" s="35" t="s">
        <v>46</v>
      </c>
      <c r="R32" s="31">
        <f>if(G32=13,1,0)+VLOOKUP(B32,'062224'!B:T,17,false)</f>
        <v>0</v>
      </c>
      <c r="S32" s="31"/>
      <c r="T32" s="31">
        <f>if(G32=9,1,0)+VLOOKUP(B32,'062224'!B:T,19,false)</f>
        <v>7</v>
      </c>
    </row>
    <row r="33">
      <c r="A33" s="26">
        <f t="shared" si="3"/>
        <v>29</v>
      </c>
      <c r="B33" s="27" t="s">
        <v>42</v>
      </c>
      <c r="C33" s="28">
        <v>226.0</v>
      </c>
      <c r="D33" s="29">
        <v>15.0</v>
      </c>
      <c r="E33" s="30">
        <v>1.0</v>
      </c>
      <c r="F33" s="31">
        <v>6.0</v>
      </c>
      <c r="G33" s="28">
        <v>0.0</v>
      </c>
      <c r="H33" s="31">
        <v>5.0</v>
      </c>
      <c r="I33" s="31">
        <v>5.0</v>
      </c>
      <c r="J33" s="31">
        <v>6.0</v>
      </c>
      <c r="K33" s="33">
        <v>16.0</v>
      </c>
      <c r="L33" s="31">
        <v>1.0</v>
      </c>
      <c r="M33" s="28">
        <f t="shared" ref="M33:N33" si="30">C33+K33</f>
        <v>242</v>
      </c>
      <c r="N33" s="29">
        <f t="shared" si="30"/>
        <v>16</v>
      </c>
      <c r="O33" s="35" t="s">
        <v>46</v>
      </c>
      <c r="P33" s="35" t="s">
        <v>46</v>
      </c>
      <c r="Q33" s="35" t="s">
        <v>46</v>
      </c>
      <c r="R33" s="31">
        <f>if(G33=13,1,0)+VLOOKUP(B33,'062224'!B:T,17,false)</f>
        <v>0</v>
      </c>
      <c r="S33" s="31"/>
      <c r="T33" s="31">
        <f>if(G33=9,1,0)+VLOOKUP(B33,'062224'!B:T,19,false)</f>
        <v>6</v>
      </c>
    </row>
    <row r="34">
      <c r="A34" s="26">
        <f t="shared" si="3"/>
        <v>30</v>
      </c>
      <c r="B34" s="27" t="s">
        <v>76</v>
      </c>
      <c r="C34" s="28">
        <v>229.0</v>
      </c>
      <c r="D34" s="29">
        <v>12.0</v>
      </c>
      <c r="E34" s="30">
        <v>2.0</v>
      </c>
      <c r="F34" s="31">
        <v>5.0</v>
      </c>
      <c r="G34" s="28">
        <v>0.0</v>
      </c>
      <c r="H34" s="31">
        <v>6.0</v>
      </c>
      <c r="I34" s="31">
        <v>3.0</v>
      </c>
      <c r="J34" s="31">
        <v>3.0</v>
      </c>
      <c r="K34" s="33">
        <v>12.0</v>
      </c>
      <c r="L34" s="31">
        <v>1.0</v>
      </c>
      <c r="M34" s="28">
        <f t="shared" ref="M34:N34" si="31">C34+K34</f>
        <v>241</v>
      </c>
      <c r="N34" s="29">
        <f t="shared" si="31"/>
        <v>13</v>
      </c>
      <c r="O34" s="35" t="s">
        <v>46</v>
      </c>
      <c r="P34" s="35" t="s">
        <v>46</v>
      </c>
      <c r="Q34" s="35" t="s">
        <v>46</v>
      </c>
      <c r="R34" s="31">
        <f>if(G34=13,1,0)+VLOOKUP(B34,'062224'!B:T,17,false)</f>
        <v>1</v>
      </c>
      <c r="S34" s="31"/>
      <c r="T34" s="31">
        <f>if(G34=9,1,0)+VLOOKUP(B34,'062224'!B:T,19,false)</f>
        <v>11</v>
      </c>
    </row>
    <row r="35">
      <c r="A35" s="26">
        <f t="shared" si="3"/>
        <v>31</v>
      </c>
      <c r="B35" s="54" t="s">
        <v>94</v>
      </c>
      <c r="C35" s="28">
        <v>231.0</v>
      </c>
      <c r="D35" s="29">
        <v>20.0</v>
      </c>
      <c r="E35" s="30">
        <v>1.0</v>
      </c>
      <c r="F35" s="31">
        <v>5.0</v>
      </c>
      <c r="G35" s="28">
        <v>0.0</v>
      </c>
      <c r="H35" s="31">
        <v>0.0</v>
      </c>
      <c r="I35" s="31">
        <v>6.0</v>
      </c>
      <c r="J35" s="31">
        <v>3.0</v>
      </c>
      <c r="K35" s="33">
        <v>9.0</v>
      </c>
      <c r="L35" s="31">
        <v>1.0</v>
      </c>
      <c r="M35" s="28">
        <f t="shared" ref="M35:N35" si="32">C35+K35</f>
        <v>240</v>
      </c>
      <c r="N35" s="29">
        <f t="shared" si="32"/>
        <v>21</v>
      </c>
      <c r="O35" s="35" t="s">
        <v>46</v>
      </c>
      <c r="P35" s="35" t="s">
        <v>46</v>
      </c>
      <c r="Q35" s="35" t="s">
        <v>46</v>
      </c>
      <c r="R35" s="31">
        <f>if(G35=13,1,0)+VLOOKUP(B35,'062224'!B:T,17,false)</f>
        <v>0</v>
      </c>
      <c r="S35" s="31"/>
      <c r="T35" s="31">
        <f>if(G35=9,1,0)+VLOOKUP(B35,'062224'!B:T,19,false)</f>
        <v>1</v>
      </c>
    </row>
    <row r="36">
      <c r="A36" s="26">
        <f t="shared" si="3"/>
        <v>32</v>
      </c>
      <c r="B36" s="27" t="s">
        <v>83</v>
      </c>
      <c r="C36" s="28">
        <v>231.0</v>
      </c>
      <c r="D36" s="29">
        <v>18.0</v>
      </c>
      <c r="E36" s="30">
        <v>2.0</v>
      </c>
      <c r="F36" s="31">
        <v>5.0</v>
      </c>
      <c r="G36" s="28">
        <v>0.0</v>
      </c>
      <c r="H36" s="31">
        <v>0.0</v>
      </c>
      <c r="I36" s="31">
        <v>3.0</v>
      </c>
      <c r="J36" s="31">
        <v>6.0</v>
      </c>
      <c r="K36" s="33">
        <v>9.0</v>
      </c>
      <c r="L36" s="31">
        <v>1.0</v>
      </c>
      <c r="M36" s="28">
        <f t="shared" ref="M36:N36" si="33">C36+K36</f>
        <v>240</v>
      </c>
      <c r="N36" s="29">
        <f t="shared" si="33"/>
        <v>19</v>
      </c>
      <c r="O36" s="35" t="s">
        <v>46</v>
      </c>
      <c r="P36" s="35" t="s">
        <v>46</v>
      </c>
      <c r="Q36" s="35" t="s">
        <v>46</v>
      </c>
      <c r="R36" s="31">
        <f>if(G36=13,1,0)+VLOOKUP(B36,'062224'!B:T,17,false)</f>
        <v>1</v>
      </c>
      <c r="S36" s="31"/>
      <c r="T36" s="31">
        <f>if(G36=9,1,0)+VLOOKUP(B36,'062224'!B:T,19,false)</f>
        <v>6</v>
      </c>
    </row>
    <row r="37">
      <c r="A37" s="26">
        <f t="shared" si="3"/>
        <v>33</v>
      </c>
      <c r="B37" s="54" t="s">
        <v>73</v>
      </c>
      <c r="C37" s="28">
        <v>231.0</v>
      </c>
      <c r="D37" s="29">
        <v>18.0</v>
      </c>
      <c r="E37" s="30">
        <v>3.0</v>
      </c>
      <c r="F37" s="31">
        <v>0.0</v>
      </c>
      <c r="G37" s="28">
        <v>9.0</v>
      </c>
      <c r="H37" s="31">
        <v>0.0</v>
      </c>
      <c r="I37" s="31">
        <v>0.0</v>
      </c>
      <c r="J37" s="31">
        <v>0.0</v>
      </c>
      <c r="K37" s="33">
        <v>9.0</v>
      </c>
      <c r="L37" s="31">
        <v>0.0</v>
      </c>
      <c r="M37" s="28">
        <f t="shared" ref="M37:N37" si="34">C37+K37</f>
        <v>240</v>
      </c>
      <c r="N37" s="29">
        <f t="shared" si="34"/>
        <v>18</v>
      </c>
      <c r="O37" s="35" t="s">
        <v>46</v>
      </c>
      <c r="P37" s="35" t="s">
        <v>46</v>
      </c>
      <c r="Q37" s="35" t="s">
        <v>46</v>
      </c>
      <c r="R37" s="31">
        <f>if(G37=13,1,0)+VLOOKUP(B37,'062224'!B:T,17,false)</f>
        <v>0</v>
      </c>
      <c r="S37" s="31"/>
      <c r="T37" s="31">
        <f>if(G37=9,1,0)+VLOOKUP(B37,'062224'!B:T,19,false)</f>
        <v>6</v>
      </c>
    </row>
    <row r="38">
      <c r="A38" s="26">
        <f t="shared" si="3"/>
        <v>34</v>
      </c>
      <c r="B38" s="39" t="s">
        <v>106</v>
      </c>
      <c r="C38" s="28">
        <v>231.0</v>
      </c>
      <c r="D38" s="29">
        <v>14.0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240</v>
      </c>
      <c r="N38" s="29">
        <f t="shared" si="35"/>
        <v>14</v>
      </c>
      <c r="O38" s="35" t="s">
        <v>46</v>
      </c>
      <c r="P38" s="35" t="s">
        <v>46</v>
      </c>
      <c r="Q38" s="35" t="s">
        <v>46</v>
      </c>
      <c r="R38" s="31">
        <f>if(G38=13,1,0)+VLOOKUP(B38,'062224'!B:T,17,false)</f>
        <v>0</v>
      </c>
      <c r="S38" s="31"/>
      <c r="T38" s="31">
        <f>if(G38=9,1,0)+VLOOKUP(B38,'062224'!B:T,19,false)</f>
        <v>12</v>
      </c>
    </row>
    <row r="39">
      <c r="A39" s="26">
        <f t="shared" si="3"/>
        <v>35</v>
      </c>
      <c r="B39" s="27" t="s">
        <v>107</v>
      </c>
      <c r="C39" s="28">
        <v>231.0</v>
      </c>
      <c r="D39" s="29">
        <v>12.0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240</v>
      </c>
      <c r="N39" s="29">
        <f t="shared" si="36"/>
        <v>12</v>
      </c>
      <c r="O39" s="35" t="s">
        <v>46</v>
      </c>
      <c r="P39" s="35" t="s">
        <v>46</v>
      </c>
      <c r="Q39" s="35" t="s">
        <v>46</v>
      </c>
      <c r="R39" s="31">
        <f>if(G39=13,1,0)+VLOOKUP(B39,'062224'!B:T,17,false)</f>
        <v>2</v>
      </c>
      <c r="S39" s="31"/>
      <c r="T39" s="31">
        <f>if(G39=9,1,0)+VLOOKUP(B39,'062224'!B:T,19,false)</f>
        <v>14</v>
      </c>
    </row>
    <row r="40">
      <c r="A40" s="26">
        <f t="shared" si="3"/>
        <v>36</v>
      </c>
      <c r="B40" s="54" t="s">
        <v>108</v>
      </c>
      <c r="C40" s="28">
        <v>229.0</v>
      </c>
      <c r="D40" s="29">
        <v>20.0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238</v>
      </c>
      <c r="N40" s="29">
        <f t="shared" si="37"/>
        <v>20</v>
      </c>
      <c r="O40" s="35" t="s">
        <v>46</v>
      </c>
      <c r="P40" s="35" t="s">
        <v>46</v>
      </c>
      <c r="Q40" s="35" t="s">
        <v>46</v>
      </c>
      <c r="R40" s="31">
        <f>if(G40=13,1,0)+VLOOKUP(B40,'062224'!B:T,17,false)</f>
        <v>0</v>
      </c>
      <c r="S40" s="31"/>
      <c r="T40" s="31">
        <f>if(G40=9,1,0)+VLOOKUP(B40,'062224'!B:T,19,false)</f>
        <v>4</v>
      </c>
    </row>
    <row r="41">
      <c r="A41" s="26">
        <f t="shared" si="3"/>
        <v>37</v>
      </c>
      <c r="B41" s="27" t="s">
        <v>109</v>
      </c>
      <c r="C41" s="28">
        <v>222.0</v>
      </c>
      <c r="D41" s="29">
        <v>6.0</v>
      </c>
      <c r="E41" s="30">
        <v>2.0</v>
      </c>
      <c r="F41" s="31">
        <v>6.0</v>
      </c>
      <c r="G41" s="28">
        <v>0.0</v>
      </c>
      <c r="H41" s="31">
        <v>5.0</v>
      </c>
      <c r="I41" s="31">
        <v>7.0</v>
      </c>
      <c r="J41" s="31">
        <v>3.0</v>
      </c>
      <c r="K41" s="33">
        <v>15.0</v>
      </c>
      <c r="L41" s="31">
        <v>1.0</v>
      </c>
      <c r="M41" s="28">
        <f t="shared" ref="M41:N41" si="38">C41+K41</f>
        <v>237</v>
      </c>
      <c r="N41" s="29">
        <f t="shared" si="38"/>
        <v>7</v>
      </c>
      <c r="O41" s="35" t="s">
        <v>46</v>
      </c>
      <c r="P41" s="35" t="s">
        <v>46</v>
      </c>
      <c r="Q41" s="35" t="s">
        <v>46</v>
      </c>
      <c r="R41" s="31">
        <f>if(G41=13,1,0)+VLOOKUP(B41,'062224'!B:T,17,false)</f>
        <v>2</v>
      </c>
      <c r="S41" s="31"/>
      <c r="T41" s="31">
        <f>if(G41=9,1,0)+VLOOKUP(B41,'062224'!B:T,19,false)</f>
        <v>13</v>
      </c>
    </row>
    <row r="42">
      <c r="A42" s="26">
        <f t="shared" si="3"/>
        <v>38</v>
      </c>
      <c r="B42" s="39" t="s">
        <v>45</v>
      </c>
      <c r="C42" s="28">
        <v>226.0</v>
      </c>
      <c r="D42" s="29">
        <v>14.0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235</v>
      </c>
      <c r="N42" s="29">
        <f t="shared" si="39"/>
        <v>14</v>
      </c>
      <c r="O42" s="35" t="s">
        <v>46</v>
      </c>
      <c r="P42" s="35" t="s">
        <v>46</v>
      </c>
      <c r="Q42" s="35" t="s">
        <v>104</v>
      </c>
      <c r="R42" s="31">
        <f>if(G42=13,1,0)+VLOOKUP(B42,'062224'!B:T,17,false)</f>
        <v>1</v>
      </c>
      <c r="S42" s="31"/>
      <c r="T42" s="31">
        <f>if(G42=9,1,0)+VLOOKUP(B42,'062224'!B:T,19,false)</f>
        <v>8</v>
      </c>
    </row>
    <row r="43">
      <c r="A43" s="26">
        <f t="shared" si="3"/>
        <v>39</v>
      </c>
      <c r="B43" s="27" t="s">
        <v>79</v>
      </c>
      <c r="C43" s="28">
        <v>224.0</v>
      </c>
      <c r="D43" s="29">
        <v>13.0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233</v>
      </c>
      <c r="N43" s="29">
        <f t="shared" si="40"/>
        <v>13</v>
      </c>
      <c r="O43" s="35" t="s">
        <v>46</v>
      </c>
      <c r="P43" s="35" t="s">
        <v>46</v>
      </c>
      <c r="Q43" s="35" t="s">
        <v>46</v>
      </c>
      <c r="R43" s="31">
        <f>if(G43=13,1,0)+VLOOKUP(B43,'062224'!B:T,17,false)</f>
        <v>0</v>
      </c>
      <c r="S43" s="31"/>
      <c r="T43" s="31">
        <f>if(G43=9,1,0)+VLOOKUP(B43,'062224'!B:T,19,false)</f>
        <v>13</v>
      </c>
    </row>
    <row r="44">
      <c r="A44" s="26">
        <f t="shared" si="3"/>
        <v>40</v>
      </c>
      <c r="B44" s="39" t="s">
        <v>71</v>
      </c>
      <c r="C44" s="28">
        <v>224.0</v>
      </c>
      <c r="D44" s="29">
        <v>11.0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233</v>
      </c>
      <c r="N44" s="29">
        <f t="shared" si="41"/>
        <v>11</v>
      </c>
      <c r="O44" s="35" t="s">
        <v>46</v>
      </c>
      <c r="P44" s="35" t="s">
        <v>46</v>
      </c>
      <c r="Q44" s="35" t="s">
        <v>104</v>
      </c>
      <c r="R44" s="31">
        <f>if(G44=13,1,0)+VLOOKUP(B44,'062224'!B:T,17,false)</f>
        <v>0</v>
      </c>
      <c r="S44" s="31"/>
      <c r="T44" s="31">
        <f>if(G44=9,1,0)+VLOOKUP(B44,'062224'!B:T,19,false)</f>
        <v>16</v>
      </c>
    </row>
    <row r="45">
      <c r="A45" s="26">
        <f t="shared" si="3"/>
        <v>41</v>
      </c>
      <c r="B45" s="27" t="s">
        <v>110</v>
      </c>
      <c r="C45" s="28">
        <v>222.0</v>
      </c>
      <c r="D45" s="29">
        <v>10.0</v>
      </c>
      <c r="E45" s="30">
        <v>3.0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231</v>
      </c>
      <c r="N45" s="29">
        <f t="shared" si="42"/>
        <v>10</v>
      </c>
      <c r="O45" s="35" t="s">
        <v>46</v>
      </c>
      <c r="P45" s="35" t="s">
        <v>46</v>
      </c>
      <c r="Q45" s="35" t="s">
        <v>46</v>
      </c>
      <c r="R45" s="31">
        <f>if(G45=13,1,0)+VLOOKUP(B45,'062224'!B:T,17,false)</f>
        <v>1</v>
      </c>
      <c r="S45" s="31"/>
      <c r="T45" s="31">
        <f>if(G45=9,1,0)+VLOOKUP(B45,'062224'!B:T,19,false)</f>
        <v>15</v>
      </c>
    </row>
    <row r="46">
      <c r="A46" s="26">
        <f t="shared" si="3"/>
        <v>42</v>
      </c>
      <c r="B46" s="39" t="s">
        <v>111</v>
      </c>
      <c r="C46" s="28">
        <v>220.0</v>
      </c>
      <c r="D46" s="29">
        <v>10.0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229</v>
      </c>
      <c r="N46" s="29">
        <f t="shared" si="43"/>
        <v>10</v>
      </c>
      <c r="O46" s="35" t="s">
        <v>46</v>
      </c>
      <c r="P46" s="35" t="s">
        <v>46</v>
      </c>
      <c r="Q46" s="35" t="s">
        <v>104</v>
      </c>
      <c r="R46" s="31">
        <f>if(G46=13,1,0)+VLOOKUP(B46,'062224'!B:T,17,false)</f>
        <v>0</v>
      </c>
      <c r="S46" s="31"/>
      <c r="T46" s="31">
        <f>if(G46=9,1,0)+VLOOKUP(B46,'062224'!B:T,19,false)</f>
        <v>17</v>
      </c>
    </row>
    <row r="47">
      <c r="A47" s="26">
        <f t="shared" si="3"/>
        <v>43</v>
      </c>
      <c r="B47" s="27" t="s">
        <v>112</v>
      </c>
      <c r="C47" s="28">
        <v>220.0</v>
      </c>
      <c r="D47" s="29">
        <v>9.0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229</v>
      </c>
      <c r="N47" s="29">
        <f t="shared" si="44"/>
        <v>9</v>
      </c>
      <c r="O47" s="35" t="s">
        <v>46</v>
      </c>
      <c r="P47" s="35" t="s">
        <v>46</v>
      </c>
      <c r="Q47" s="35" t="s">
        <v>104</v>
      </c>
      <c r="R47" s="31">
        <f>if(G47=13,1,0)+VLOOKUP(B47,'062224'!B:T,17,false)</f>
        <v>0</v>
      </c>
      <c r="S47" s="31"/>
      <c r="T47" s="31">
        <f>if(G47=9,1,0)+VLOOKUP(B47,'062224'!B:T,19,false)</f>
        <v>17</v>
      </c>
    </row>
    <row r="48">
      <c r="A48" s="26">
        <f t="shared" si="3"/>
        <v>44</v>
      </c>
      <c r="B48" s="27" t="s">
        <v>39</v>
      </c>
      <c r="C48" s="28">
        <v>214.0</v>
      </c>
      <c r="D48" s="29">
        <v>7.0</v>
      </c>
      <c r="E48" s="30">
        <v>1.0</v>
      </c>
      <c r="F48" s="31">
        <v>6.0</v>
      </c>
      <c r="G48" s="28">
        <v>0.0</v>
      </c>
      <c r="H48" s="31">
        <v>7.0</v>
      </c>
      <c r="I48" s="31">
        <v>5.0</v>
      </c>
      <c r="J48" s="31">
        <v>3.0</v>
      </c>
      <c r="K48" s="33">
        <v>15.0</v>
      </c>
      <c r="L48" s="31">
        <v>1.0</v>
      </c>
      <c r="M48" s="28">
        <f t="shared" ref="M48:N48" si="45">C48+K48</f>
        <v>229</v>
      </c>
      <c r="N48" s="29">
        <f t="shared" si="45"/>
        <v>8</v>
      </c>
      <c r="O48" s="35" t="s">
        <v>46</v>
      </c>
      <c r="P48" s="35" t="s">
        <v>46</v>
      </c>
      <c r="Q48" s="35" t="s">
        <v>46</v>
      </c>
      <c r="R48" s="31">
        <f>if(G48=13,1,0)+VLOOKUP(B48,'062224'!B:T,17,false)</f>
        <v>0</v>
      </c>
      <c r="S48" s="31"/>
      <c r="T48" s="31">
        <f>if(G48=9,1,0)+VLOOKUP(B48,'062224'!B:T,19,false)</f>
        <v>18</v>
      </c>
    </row>
    <row r="49">
      <c r="A49" s="26">
        <f t="shared" si="3"/>
        <v>45</v>
      </c>
      <c r="B49" s="27" t="s">
        <v>98</v>
      </c>
      <c r="C49" s="28">
        <v>219.0</v>
      </c>
      <c r="D49" s="29">
        <v>8.0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228</v>
      </c>
      <c r="N49" s="29">
        <f t="shared" si="46"/>
        <v>8</v>
      </c>
      <c r="O49" s="35" t="s">
        <v>46</v>
      </c>
      <c r="P49" s="35" t="s">
        <v>46</v>
      </c>
      <c r="Q49" s="35" t="s">
        <v>46</v>
      </c>
      <c r="R49" s="31">
        <f>if(G49=13,1,0)+VLOOKUP(B49,'062224'!B:T,17,false)</f>
        <v>1</v>
      </c>
      <c r="S49" s="31"/>
      <c r="T49" s="31">
        <f>if(G49=9,1,0)+VLOOKUP(B49,'062224'!B:T,19,false)</f>
        <v>17</v>
      </c>
    </row>
    <row r="50">
      <c r="A50" s="26">
        <f t="shared" si="3"/>
        <v>46</v>
      </c>
      <c r="B50" s="54" t="s">
        <v>47</v>
      </c>
      <c r="C50" s="28">
        <v>217.0</v>
      </c>
      <c r="D50" s="29">
        <v>15.0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226</v>
      </c>
      <c r="N50" s="29">
        <f t="shared" si="47"/>
        <v>15</v>
      </c>
      <c r="O50" s="35" t="s">
        <v>46</v>
      </c>
      <c r="P50" s="35" t="s">
        <v>46</v>
      </c>
      <c r="Q50" s="35" t="s">
        <v>46</v>
      </c>
      <c r="R50" s="31">
        <f>if(G50=13,1,0)+VLOOKUP(B50,'062224'!B:T,17,false)</f>
        <v>0</v>
      </c>
      <c r="S50" s="31"/>
      <c r="T50" s="31">
        <f>if(G50=9,1,0)+VLOOKUP(B50,'062224'!B:T,19,false)</f>
        <v>5</v>
      </c>
    </row>
    <row r="51">
      <c r="A51" s="26">
        <f t="shared" si="3"/>
        <v>47</v>
      </c>
      <c r="B51" s="55" t="s">
        <v>66</v>
      </c>
      <c r="C51" s="28">
        <v>217.0</v>
      </c>
      <c r="D51" s="29">
        <v>11.0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226</v>
      </c>
      <c r="N51" s="29">
        <f t="shared" si="48"/>
        <v>11</v>
      </c>
      <c r="O51" s="35" t="s">
        <v>46</v>
      </c>
      <c r="P51" s="35" t="s">
        <v>46</v>
      </c>
      <c r="Q51" s="35" t="s">
        <v>46</v>
      </c>
      <c r="R51" s="31">
        <f>if(G51=13,1,0)+VLOOKUP(B51,'062224'!B:T,17,false)</f>
        <v>1</v>
      </c>
      <c r="S51" s="31"/>
      <c r="T51" s="31">
        <f>if(G51=9,1,0)+VLOOKUP(B51,'062224'!B:T,19,false)</f>
        <v>9</v>
      </c>
    </row>
    <row r="52">
      <c r="A52" s="26">
        <f t="shared" si="3"/>
        <v>48</v>
      </c>
      <c r="B52" s="27" t="s">
        <v>113</v>
      </c>
      <c r="C52" s="28">
        <v>212.0</v>
      </c>
      <c r="D52" s="29">
        <v>5.0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221</v>
      </c>
      <c r="N52" s="29">
        <f t="shared" si="49"/>
        <v>5</v>
      </c>
      <c r="O52" s="35" t="s">
        <v>46</v>
      </c>
      <c r="P52" s="35" t="s">
        <v>46</v>
      </c>
      <c r="Q52" s="35" t="s">
        <v>104</v>
      </c>
      <c r="R52" s="31">
        <f>if(G52=13,1,0)+VLOOKUP(B52,'062224'!B:T,17,false)</f>
        <v>1</v>
      </c>
      <c r="S52" s="31"/>
      <c r="T52" s="31">
        <f>if(G52=9,1,0)+VLOOKUP(B52,'062224'!B:T,19,false)</f>
        <v>19</v>
      </c>
    </row>
    <row r="53">
      <c r="A53" s="26">
        <f t="shared" si="3"/>
        <v>49</v>
      </c>
      <c r="B53" s="27" t="s">
        <v>114</v>
      </c>
      <c r="C53" s="28">
        <v>211.0</v>
      </c>
      <c r="D53" s="29">
        <v>4.0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220</v>
      </c>
      <c r="N53" s="29">
        <f t="shared" si="50"/>
        <v>4</v>
      </c>
      <c r="O53" s="35" t="s">
        <v>46</v>
      </c>
      <c r="P53" s="35" t="s">
        <v>46</v>
      </c>
      <c r="Q53" s="35" t="s">
        <v>46</v>
      </c>
      <c r="R53" s="31">
        <f>if(G53=13,1,0)+VLOOKUP(B53,'062224'!B:T,17,false)</f>
        <v>1</v>
      </c>
      <c r="S53" s="31"/>
      <c r="T53" s="31">
        <f>if(G53=9,1,0)+VLOOKUP(B53,'062224'!B:T,19,false)</f>
        <v>19</v>
      </c>
    </row>
    <row r="54">
      <c r="A54" s="26">
        <f t="shared" si="3"/>
        <v>50</v>
      </c>
      <c r="B54" s="27" t="s">
        <v>115</v>
      </c>
      <c r="C54" s="28">
        <v>210.0</v>
      </c>
      <c r="D54" s="29">
        <v>7.0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219</v>
      </c>
      <c r="N54" s="29">
        <f t="shared" si="51"/>
        <v>7</v>
      </c>
      <c r="O54" s="35" t="s">
        <v>46</v>
      </c>
      <c r="P54" s="35" t="s">
        <v>46</v>
      </c>
      <c r="Q54" s="35" t="s">
        <v>46</v>
      </c>
      <c r="R54" s="31">
        <f>if(G54=13,1,0)+VLOOKUP(B54,'062224'!B:T,17,false)</f>
        <v>0</v>
      </c>
      <c r="S54" s="31"/>
      <c r="T54" s="31">
        <f>if(G54=9,1,0)+VLOOKUP(B54,'062224'!B:T,19,false)</f>
        <v>18</v>
      </c>
    </row>
    <row r="55">
      <c r="A55" s="26">
        <f t="shared" si="3"/>
        <v>51</v>
      </c>
      <c r="B55" s="54" t="s">
        <v>116</v>
      </c>
      <c r="C55" s="28">
        <v>207.0</v>
      </c>
      <c r="D55" s="29">
        <v>5.0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216</v>
      </c>
      <c r="N55" s="29">
        <f t="shared" si="52"/>
        <v>5</v>
      </c>
      <c r="O55" s="35" t="s">
        <v>46</v>
      </c>
      <c r="P55" s="35" t="s">
        <v>46</v>
      </c>
      <c r="Q55" s="35" t="s">
        <v>104</v>
      </c>
      <c r="R55" s="31">
        <f>if(G55=13,1,0)+VLOOKUP(B55,'062224'!B:T,17,false)</f>
        <v>0</v>
      </c>
      <c r="S55" s="31"/>
      <c r="T55" s="31">
        <f>if(G55=9,1,0)+VLOOKUP(B55,'062224'!B:T,19,false)</f>
        <v>18</v>
      </c>
    </row>
    <row r="56">
      <c r="A56" s="26">
        <f t="shared" si="3"/>
        <v>52</v>
      </c>
      <c r="B56" s="27" t="s">
        <v>117</v>
      </c>
      <c r="C56" s="28">
        <v>207.0</v>
      </c>
      <c r="D56" s="29">
        <v>4.0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216</v>
      </c>
      <c r="N56" s="29">
        <f t="shared" si="53"/>
        <v>4</v>
      </c>
      <c r="O56" s="35" t="s">
        <v>46</v>
      </c>
      <c r="P56" s="35" t="s">
        <v>46</v>
      </c>
      <c r="Q56" s="35" t="s">
        <v>46</v>
      </c>
      <c r="R56" s="31">
        <f>if(G56=13,1,0)+VLOOKUP(B56,'062224'!B:T,17,false)</f>
        <v>2</v>
      </c>
      <c r="S56" s="31"/>
      <c r="T56" s="31">
        <f>if(G56=9,1,0)+VLOOKUP(B56,'062224'!B:T,19,false)</f>
        <v>18</v>
      </c>
    </row>
    <row r="57">
      <c r="A57" s="26">
        <f t="shared" si="3"/>
        <v>53</v>
      </c>
      <c r="B57" s="27" t="s">
        <v>118</v>
      </c>
      <c r="C57" s="28">
        <v>204.0</v>
      </c>
      <c r="D57" s="29">
        <v>2.0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213</v>
      </c>
      <c r="N57" s="29">
        <f t="shared" si="54"/>
        <v>2</v>
      </c>
      <c r="O57" s="35" t="s">
        <v>46</v>
      </c>
      <c r="P57" s="35" t="s">
        <v>46</v>
      </c>
      <c r="Q57" s="35" t="s">
        <v>104</v>
      </c>
      <c r="R57" s="31">
        <f>if(G57=13,1,0)+VLOOKUP(B57,'062224'!B:T,17,false)</f>
        <v>2</v>
      </c>
      <c r="S57" s="31"/>
      <c r="T57" s="31">
        <f>if(G57=9,1,0)+VLOOKUP(B57,'062224'!B:T,19,false)</f>
        <v>19</v>
      </c>
    </row>
    <row r="58">
      <c r="A58" s="26">
        <f t="shared" si="3"/>
        <v>54</v>
      </c>
      <c r="B58" s="54" t="s">
        <v>54</v>
      </c>
      <c r="C58" s="28">
        <v>200.0</v>
      </c>
      <c r="D58" s="29">
        <v>5.0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209</v>
      </c>
      <c r="N58" s="29">
        <f t="shared" si="55"/>
        <v>5</v>
      </c>
      <c r="O58" s="35" t="s">
        <v>46</v>
      </c>
      <c r="P58" s="35" t="s">
        <v>46</v>
      </c>
      <c r="Q58" s="35" t="s">
        <v>104</v>
      </c>
      <c r="R58" s="31">
        <f>if(G58=13,1,0)+VLOOKUP(B58,'062224'!B:T,17,false)</f>
        <v>1</v>
      </c>
      <c r="S58" s="31"/>
      <c r="T58" s="31">
        <f>if(G58=9,1,0)+VLOOKUP(B58,'062224'!B:T,19,false)</f>
        <v>16</v>
      </c>
    </row>
    <row r="59">
      <c r="A59" s="26">
        <f t="shared" si="3"/>
        <v>55</v>
      </c>
      <c r="B59" s="39" t="s">
        <v>119</v>
      </c>
      <c r="C59" s="28">
        <v>199.0</v>
      </c>
      <c r="D59" s="29">
        <v>4.0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208</v>
      </c>
      <c r="N59" s="29">
        <f t="shared" si="56"/>
        <v>4</v>
      </c>
      <c r="O59" s="35" t="s">
        <v>46</v>
      </c>
      <c r="P59" s="35" t="s">
        <v>46</v>
      </c>
      <c r="Q59" s="35" t="s">
        <v>46</v>
      </c>
      <c r="R59" s="31">
        <f>if(G59=13,1,0)+VLOOKUP(B59,'062224'!B:T,17,false)</f>
        <v>0</v>
      </c>
      <c r="S59" s="31"/>
      <c r="T59" s="31">
        <f>if(G59=9,1,0)+VLOOKUP(B59,'062224'!B:T,19,false)</f>
        <v>20</v>
      </c>
    </row>
    <row r="60">
      <c r="A60" s="26">
        <f t="shared" si="3"/>
        <v>56</v>
      </c>
      <c r="B60" s="27" t="s">
        <v>120</v>
      </c>
      <c r="C60" s="28">
        <v>198.0</v>
      </c>
      <c r="D60" s="29">
        <v>4.0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207</v>
      </c>
      <c r="N60" s="29">
        <f t="shared" si="57"/>
        <v>4</v>
      </c>
      <c r="O60" s="35" t="s">
        <v>46</v>
      </c>
      <c r="P60" s="35" t="s">
        <v>46</v>
      </c>
      <c r="Q60" s="35" t="s">
        <v>46</v>
      </c>
      <c r="R60" s="31">
        <f>if(G60=13,1,0)+VLOOKUP(B60,'062224'!B:T,17,false)</f>
        <v>1</v>
      </c>
      <c r="S60" s="31"/>
      <c r="T60" s="31">
        <f>if(G60=9,1,0)+VLOOKUP(B60,'062224'!B:T,19,false)</f>
        <v>19</v>
      </c>
    </row>
    <row r="61">
      <c r="A61" s="26">
        <f t="shared" si="3"/>
        <v>57</v>
      </c>
      <c r="B61" s="39" t="s">
        <v>121</v>
      </c>
      <c r="C61" s="28">
        <v>198.0</v>
      </c>
      <c r="D61" s="29">
        <v>3.0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207</v>
      </c>
      <c r="N61" s="29">
        <f t="shared" si="58"/>
        <v>3</v>
      </c>
      <c r="O61" s="35" t="s">
        <v>46</v>
      </c>
      <c r="P61" s="35" t="s">
        <v>46</v>
      </c>
      <c r="Q61" s="35" t="s">
        <v>46</v>
      </c>
      <c r="R61" s="31">
        <f>if(G61=13,1,0)+VLOOKUP(B61,'062224'!B:T,17,false)</f>
        <v>0</v>
      </c>
      <c r="S61" s="31"/>
      <c r="T61" s="31">
        <f>if(G61=9,1,0)+VLOOKUP(B61,'062224'!B:T,19,false)</f>
        <v>20</v>
      </c>
    </row>
    <row r="62">
      <c r="A62" s="26">
        <f t="shared" si="3"/>
        <v>58</v>
      </c>
      <c r="B62" s="54" t="s">
        <v>122</v>
      </c>
      <c r="C62" s="28">
        <v>196.0</v>
      </c>
      <c r="D62" s="29">
        <v>1.0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205</v>
      </c>
      <c r="N62" s="29">
        <f t="shared" si="59"/>
        <v>1</v>
      </c>
      <c r="O62" s="35" t="s">
        <v>46</v>
      </c>
      <c r="P62" s="35" t="s">
        <v>46</v>
      </c>
      <c r="Q62" s="35" t="s">
        <v>104</v>
      </c>
      <c r="R62" s="31">
        <f>if(G62=13,1,0)+VLOOKUP(B62,'062224'!B:T,17,false)</f>
        <v>0</v>
      </c>
      <c r="S62" s="31"/>
      <c r="T62" s="31">
        <f>if(G62=9,1,0)+VLOOKUP(B62,'062224'!B:T,19,false)</f>
        <v>21</v>
      </c>
    </row>
    <row r="63">
      <c r="A63" s="26">
        <f t="shared" si="3"/>
        <v>59</v>
      </c>
      <c r="B63" s="54" t="s">
        <v>123</v>
      </c>
      <c r="C63" s="28">
        <v>193.0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202</v>
      </c>
      <c r="N63" s="29">
        <f t="shared" si="60"/>
        <v>2</v>
      </c>
      <c r="O63" s="35" t="s">
        <v>46</v>
      </c>
      <c r="P63" s="35" t="s">
        <v>46</v>
      </c>
      <c r="Q63" s="35" t="s">
        <v>104</v>
      </c>
      <c r="R63" s="31">
        <f>if(G63=13,1,0)+VLOOKUP(B63,'062224'!B:T,17,false)</f>
        <v>1</v>
      </c>
      <c r="S63" s="31"/>
      <c r="T63" s="31">
        <f>if(G63=9,1,0)+VLOOKUP(B63,'062224'!B:T,19,false)</f>
        <v>20</v>
      </c>
    </row>
    <row r="64">
      <c r="A64" s="26">
        <f t="shared" si="3"/>
        <v>60</v>
      </c>
      <c r="B64" s="39" t="s">
        <v>97</v>
      </c>
      <c r="C64" s="28">
        <v>189.0</v>
      </c>
      <c r="D64" s="29">
        <v>5.0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198</v>
      </c>
      <c r="N64" s="29">
        <f t="shared" si="61"/>
        <v>5</v>
      </c>
      <c r="O64" s="35" t="s">
        <v>46</v>
      </c>
      <c r="P64" s="35" t="s">
        <v>46</v>
      </c>
      <c r="Q64" s="35" t="s">
        <v>46</v>
      </c>
      <c r="R64" s="31">
        <f>if(G64=13,1,0)+VLOOKUP(B64,'062224'!B:T,17,false)</f>
        <v>0</v>
      </c>
      <c r="S64" s="31"/>
      <c r="T64" s="31">
        <f>if(G64=9,1,0)+VLOOKUP(B64,'062224'!B:T,19,false)</f>
        <v>11</v>
      </c>
    </row>
    <row r="65">
      <c r="A65" s="26">
        <f t="shared" si="3"/>
        <v>61</v>
      </c>
      <c r="B65" s="39" t="s">
        <v>124</v>
      </c>
      <c r="C65" s="28">
        <v>189.0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198</v>
      </c>
      <c r="N65" s="29">
        <f t="shared" si="62"/>
        <v>0</v>
      </c>
      <c r="O65" s="35" t="s">
        <v>46</v>
      </c>
      <c r="P65" s="35" t="s">
        <v>46</v>
      </c>
      <c r="Q65" s="35" t="s">
        <v>104</v>
      </c>
      <c r="R65" s="31">
        <f>if(G65=13,1,0)+VLOOKUP(B65,'062224'!B:T,17,false)</f>
        <v>0</v>
      </c>
      <c r="S65" s="31"/>
      <c r="T65" s="31">
        <f>if(G65=9,1,0)+VLOOKUP(B65,'062224'!B:T,19,false)</f>
        <v>22</v>
      </c>
    </row>
    <row r="66">
      <c r="A66" s="26">
        <f t="shared" si="3"/>
        <v>62</v>
      </c>
      <c r="B66" s="39" t="s">
        <v>125</v>
      </c>
      <c r="C66" s="28">
        <v>189.0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198</v>
      </c>
      <c r="N66" s="29">
        <f t="shared" si="63"/>
        <v>0</v>
      </c>
      <c r="O66" s="35" t="s">
        <v>46</v>
      </c>
      <c r="P66" s="35" t="s">
        <v>46</v>
      </c>
      <c r="Q66" s="35" t="s">
        <v>46</v>
      </c>
      <c r="R66" s="31">
        <f>if(G66=13,1,0)+VLOOKUP(B66,'062224'!B:T,17,false)</f>
        <v>0</v>
      </c>
      <c r="S66" s="31"/>
      <c r="T66" s="31">
        <f>if(G66=9,1,0)+VLOOKUP(B66,'062224'!B:T,19,false)</f>
        <v>21</v>
      </c>
    </row>
    <row r="67">
      <c r="A67" s="26">
        <f t="shared" si="3"/>
        <v>63</v>
      </c>
      <c r="B67" s="39" t="s">
        <v>126</v>
      </c>
      <c r="C67" s="28">
        <v>188.0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197</v>
      </c>
      <c r="N67" s="29">
        <f t="shared" si="64"/>
        <v>2</v>
      </c>
      <c r="O67" s="35" t="s">
        <v>46</v>
      </c>
      <c r="P67" s="35" t="s">
        <v>46</v>
      </c>
      <c r="Q67" s="35" t="s">
        <v>104</v>
      </c>
      <c r="R67" s="31">
        <f>if(G67=13,1,0)+VLOOKUP(B67,'062224'!B:T,17,false)</f>
        <v>0</v>
      </c>
      <c r="S67" s="31"/>
      <c r="T67" s="31">
        <f>if(G67=9,1,0)+VLOOKUP(B67,'062224'!B:T,19,false)</f>
        <v>20</v>
      </c>
    </row>
    <row r="68">
      <c r="A68" s="26">
        <f t="shared" si="3"/>
        <v>64</v>
      </c>
      <c r="B68" s="27" t="s">
        <v>74</v>
      </c>
      <c r="C68" s="28">
        <v>180.0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189</v>
      </c>
      <c r="N68" s="29">
        <f t="shared" si="65"/>
        <v>0</v>
      </c>
      <c r="O68" s="35" t="s">
        <v>46</v>
      </c>
      <c r="P68" s="35" t="s">
        <v>46</v>
      </c>
      <c r="Q68" s="35" t="s">
        <v>46</v>
      </c>
      <c r="R68" s="31">
        <f>if(G68=13,1,0)+VLOOKUP(B68,'062224'!B:T,17,false)</f>
        <v>0</v>
      </c>
      <c r="S68" s="31"/>
      <c r="T68" s="31">
        <f>if(G68=9,1,0)+VLOOKUP(B68,'062224'!B:T,19,false)</f>
        <v>22</v>
      </c>
    </row>
    <row r="69">
      <c r="A69" s="26">
        <f t="shared" si="3"/>
        <v>65</v>
      </c>
      <c r="B69" s="39" t="s">
        <v>127</v>
      </c>
      <c r="C69" s="28">
        <v>179.0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188</v>
      </c>
      <c r="N69" s="29">
        <f t="shared" si="66"/>
        <v>2</v>
      </c>
      <c r="O69" s="35" t="s">
        <v>46</v>
      </c>
      <c r="P69" s="35" t="s">
        <v>46</v>
      </c>
      <c r="Q69" s="35" t="s">
        <v>46</v>
      </c>
      <c r="R69" s="31">
        <f>if(G69=13,1,0)+VLOOKUP(B69,'062224'!B:T,17,false)</f>
        <v>0</v>
      </c>
      <c r="S69" s="31"/>
      <c r="T69" s="31">
        <f>if(G69=9,1,0)+VLOOKUP(B69,'062224'!B:T,19,false)</f>
        <v>20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 t="shared" ref="P72:Q72" si="67">COUNTA(P5:P69)</f>
        <v>65</v>
      </c>
      <c r="Q72" s="14">
        <f t="shared" si="67"/>
        <v>65</v>
      </c>
    </row>
    <row r="73">
      <c r="A73" s="1"/>
      <c r="C73" s="1"/>
      <c r="D73" s="1"/>
      <c r="E73" s="1"/>
      <c r="O73" s="13" t="s">
        <v>129</v>
      </c>
      <c r="P73" s="14">
        <f t="shared" ref="P73:Q73" si="68">P74-P72</f>
        <v>0</v>
      </c>
      <c r="Q73" s="14">
        <f t="shared" si="68"/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  <c r="Q74" s="14">
        <f>P74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  <c r="O77" s="13" t="s">
        <v>128</v>
      </c>
      <c r="P77" s="14"/>
      <c r="Q77" s="14">
        <f>COUNTIF(Q5:Q69,"X")</f>
        <v>52</v>
      </c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  <c r="O78" s="13" t="s">
        <v>134</v>
      </c>
      <c r="P78" s="14"/>
      <c r="Q78" s="14">
        <f>countif(Q5:Q69,"N")</f>
        <v>13</v>
      </c>
    </row>
    <row r="79">
      <c r="A79" s="1"/>
      <c r="B79" s="39" t="str">
        <f>IFERROR(__xludf.DUMMYFUNCTION("QUERY(B5:L69,""Select B, K, L where K &gt;= 18 order by K desc, L desc"",0)"),"Elayaraja Thangaraj ")</f>
        <v>Elayaraja Thangaraj </v>
      </c>
      <c r="C79" s="60">
        <f>IFERROR(__xludf.DUMMYFUNCTION("""COMPUTED_VALUE"""),20.0)</f>
        <v>20</v>
      </c>
      <c r="D79" s="60">
        <f>IFERROR(__xludf.DUMMYFUNCTION("""COMPUTED_VALUE"""),3.0)</f>
        <v>3</v>
      </c>
      <c r="E79" s="1"/>
      <c r="K79" s="57"/>
      <c r="L79" s="58"/>
      <c r="O79" s="13" t="s">
        <v>129</v>
      </c>
      <c r="P79" s="14"/>
      <c r="Q79" s="14">
        <f>countif(Q5:Q69,"")</f>
        <v>0</v>
      </c>
    </row>
    <row r="80">
      <c r="A80" s="1"/>
      <c r="B80" s="39" t="str">
        <f>IFERROR(__xludf.DUMMYFUNCTION("""COMPUTED_VALUE"""),"Vishnu Amarnath")</f>
        <v>Vishnu Amarnath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  <c r="O80" s="13" t="s">
        <v>53</v>
      </c>
      <c r="P80" s="14"/>
      <c r="Q80" s="14">
        <f>sum(Q77:Q79)</f>
        <v>65</v>
      </c>
    </row>
    <row r="81">
      <c r="A81" s="1"/>
      <c r="B81" s="39"/>
      <c r="C81" s="39"/>
      <c r="D81" s="39"/>
      <c r="E81" s="1"/>
    </row>
    <row r="82">
      <c r="A82" s="1"/>
      <c r="B82" s="39"/>
      <c r="C82" s="39"/>
      <c r="D82" s="39"/>
      <c r="E82" s="1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1"")"),"Peter Cheng")</f>
        <v>Peter Cheng</v>
      </c>
      <c r="C92" s="63">
        <f>IFERROR(__xludf.DUMMYFUNCTION("""COMPUTED_VALUE"""),278.0)</f>
        <v>278</v>
      </c>
      <c r="D92" s="64">
        <f>IFERROR(__xludf.DUMMYFUNCTION("""COMPUTED_VALUE"""),27.0)</f>
        <v>27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IFERROR(__xludf.DUMMYFUNCTION("""COMPUTED_VALUE"""),7.0)</f>
        <v>7</v>
      </c>
      <c r="I92" s="65">
        <f>IFERROR(__xludf.DUMMYFUNCTION("""COMPUTED_VALUE"""),2.0)</f>
        <v>2</v>
      </c>
      <c r="J92" s="65">
        <f>IFERROR(__xludf.DUMMYFUNCTION("""COMPUTED_VALUE"""),6.0)</f>
        <v>6</v>
      </c>
      <c r="K92" s="65">
        <f>IFERROR(__xludf.DUMMYFUNCTION("""COMPUTED_VALUE"""),15.0)</f>
        <v>15</v>
      </c>
      <c r="L92" s="65">
        <f>IFERROR(__xludf.DUMMYFUNCTION("""COMPUTED_VALUE"""),2.0)</f>
        <v>2</v>
      </c>
      <c r="M92" s="65">
        <f>IFERROR(__xludf.DUMMYFUNCTION("""COMPUTED_VALUE"""),293.0)</f>
        <v>293</v>
      </c>
      <c r="N92" s="66">
        <f>IFERROR(__xludf.DUMMYFUNCTION("""COMPUTED_VALUE"""),29.0)</f>
        <v>29</v>
      </c>
    </row>
    <row r="93">
      <c r="A93" s="1"/>
      <c r="B93" s="62" t="str">
        <f>IFERROR(__xludf.DUMMYFUNCTION("""COMPUTED_VALUE"""),"Christopher Li")</f>
        <v>Christopher Li</v>
      </c>
      <c r="C93" s="63">
        <f>IFERROR(__xludf.DUMMYFUNCTION("""COMPUTED_VALUE"""),271.0)</f>
        <v>271</v>
      </c>
      <c r="D93" s="64">
        <f>IFERROR(__xludf.DUMMYFUNCTION("""COMPUTED_VALUE"""),27.0)</f>
        <v>27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IFERROR(__xludf.DUMMYFUNCTION("""COMPUTED_VALUE"""),5.0)</f>
        <v>5</v>
      </c>
      <c r="I93" s="65">
        <f>IFERROR(__xludf.DUMMYFUNCTION("""COMPUTED_VALUE"""),6.0)</f>
        <v>6</v>
      </c>
      <c r="J93" s="65">
        <f>IFERROR(__xludf.DUMMYFUNCTION("""COMPUTED_VALUE"""),6.0)</f>
        <v>6</v>
      </c>
      <c r="K93" s="65">
        <f>IFERROR(__xludf.DUMMYFUNCTION("""COMPUTED_VALUE"""),17.0)</f>
        <v>17</v>
      </c>
      <c r="L93" s="65">
        <f>IFERROR(__xludf.DUMMYFUNCTION("""COMPUTED_VALUE"""),2.0)</f>
        <v>2</v>
      </c>
      <c r="M93" s="65">
        <f>IFERROR(__xludf.DUMMYFUNCTION("""COMPUTED_VALUE"""),288.0)</f>
        <v>288</v>
      </c>
      <c r="N93" s="66">
        <f>IFERROR(__xludf.DUMMYFUNCTION("""COMPUTED_VALUE"""),29.0)</f>
        <v>29</v>
      </c>
    </row>
    <row r="94">
      <c r="A94" s="1"/>
      <c r="B94" s="62" t="str">
        <f>IFERROR(__xludf.DUMMYFUNCTION("""COMPUTED_VALUE"""),"Luis Hsu")</f>
        <v>Luis Hsu</v>
      </c>
      <c r="C94" s="63">
        <f>IFERROR(__xludf.DUMMYFUNCTION("""COMPUTED_VALUE"""),259.0)</f>
        <v>259</v>
      </c>
      <c r="D94" s="64">
        <f>IFERROR(__xludf.DUMMYFUNCTION("""COMPUTED_VALUE"""),23.0)</f>
        <v>23</v>
      </c>
      <c r="E94" s="63">
        <f>IFERROR(__xludf.DUMMYFUNCTION("""COMPUTED_VALUE"""),2.0)</f>
        <v>2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IFERROR(__xludf.DUMMYFUNCTION("""COMPUTED_VALUE"""),7.0)</f>
        <v>7</v>
      </c>
      <c r="I94" s="65">
        <f>IFERROR(__xludf.DUMMYFUNCTION("""COMPUTED_VALUE"""),6.0)</f>
        <v>6</v>
      </c>
      <c r="J94" s="65">
        <f>IFERROR(__xludf.DUMMYFUNCTION("""COMPUTED_VALUE"""),4.0)</f>
        <v>4</v>
      </c>
      <c r="K94" s="65">
        <f>IFERROR(__xludf.DUMMYFUNCTION("""COMPUTED_VALUE"""),17.0)</f>
        <v>17</v>
      </c>
      <c r="L94" s="65">
        <f>IFERROR(__xludf.DUMMYFUNCTION("""COMPUTED_VALUE"""),2.0)</f>
        <v>2</v>
      </c>
      <c r="M94" s="65">
        <f>IFERROR(__xludf.DUMMYFUNCTION("""COMPUTED_VALUE"""),276.0)</f>
        <v>276</v>
      </c>
      <c r="N94" s="66">
        <f>IFERROR(__xludf.DUMMYFUNCTION("""COMPUTED_VALUE"""),25.0)</f>
        <v>25</v>
      </c>
    </row>
    <row r="95">
      <c r="A95" s="1"/>
      <c r="B95" s="62" t="str">
        <f>IFERROR(__xludf.DUMMYFUNCTION("""COMPUTED_VALUE"""),"David Shin")</f>
        <v>David Shin</v>
      </c>
      <c r="C95" s="63">
        <f>IFERROR(__xludf.DUMMYFUNCTION("""COMPUTED_VALUE"""),259.0)</f>
        <v>259</v>
      </c>
      <c r="D95" s="64">
        <f>IFERROR(__xludf.DUMMYFUNCTION("""COMPUTED_VALUE"""),23.0)</f>
        <v>23</v>
      </c>
      <c r="E95" s="63">
        <f>IFERROR(__xludf.DUMMYFUNCTION("""COMPUTED_VALUE"""),2.0)</f>
        <v>2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IFERROR(__xludf.DUMMYFUNCTION("""COMPUTED_VALUE"""),5.0)</f>
        <v>5</v>
      </c>
      <c r="I95" s="65">
        <f>IFERROR(__xludf.DUMMYFUNCTION("""COMPUTED_VALUE"""),2.0)</f>
        <v>2</v>
      </c>
      <c r="J95" s="65">
        <f>IFERROR(__xludf.DUMMYFUNCTION("""COMPUTED_VALUE"""),4.0)</f>
        <v>4</v>
      </c>
      <c r="K95" s="65">
        <f>IFERROR(__xludf.DUMMYFUNCTION("""COMPUTED_VALUE"""),11.0)</f>
        <v>11</v>
      </c>
      <c r="L95" s="65">
        <f>IFERROR(__xludf.DUMMYFUNCTION("""COMPUTED_VALUE"""),0.0)</f>
        <v>0</v>
      </c>
      <c r="M95" s="65">
        <f>IFERROR(__xludf.DUMMYFUNCTION("""COMPUTED_VALUE"""),270.0)</f>
        <v>270</v>
      </c>
      <c r="N95" s="66">
        <f>IFERROR(__xludf.DUMMYFUNCTION("""COMPUTED_VALUE"""),23.0)</f>
        <v>23</v>
      </c>
    </row>
    <row r="96">
      <c r="A96" s="1"/>
      <c r="B96" s="67" t="str">
        <f>IFERROR(__xludf.DUMMYFUNCTION("""COMPUTED_VALUE"""),"Ted Shen")</f>
        <v>Ted Shen</v>
      </c>
      <c r="C96" s="68">
        <f>IFERROR(__xludf.DUMMYFUNCTION("""COMPUTED_VALUE"""),254.0)</f>
        <v>254</v>
      </c>
      <c r="D96" s="69">
        <f>IFERROR(__xludf.DUMMYFUNCTION("""COMPUTED_VALUE"""),20.0)</f>
        <v>20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IFERROR(__xludf.DUMMYFUNCTION("""COMPUTED_VALUE"""),4.0)</f>
        <v>4</v>
      </c>
      <c r="K96" s="70">
        <f>IFERROR(__xludf.DUMMYFUNCTION("""COMPUTED_VALUE"""),16.0)</f>
        <v>16</v>
      </c>
      <c r="L96" s="70">
        <f>IFERROR(__xludf.DUMMYFUNCTION("""COMPUTED_VALUE"""),2.0)</f>
        <v>2</v>
      </c>
      <c r="M96" s="70">
        <f>IFERROR(__xludf.DUMMYFUNCTION("""COMPUTED_VALUE"""),270.0)</f>
        <v>270</v>
      </c>
      <c r="N96" s="71">
        <f>IFERROR(__xludf.DUMMYFUNCTION("""COMPUTED_VALUE"""),22.0)</f>
        <v>22</v>
      </c>
    </row>
    <row r="97">
      <c r="A97" s="1"/>
      <c r="B97" s="67" t="str">
        <f>IFERROR(__xludf.DUMMYFUNCTION("""COMPUTED_VALUE"""),"Sean Chang")</f>
        <v>Sean Chang</v>
      </c>
      <c r="C97" s="68">
        <f>IFERROR(__xludf.DUMMYFUNCTION("""COMPUTED_VALUE"""),253.0)</f>
        <v>253</v>
      </c>
      <c r="D97" s="69">
        <f>IFERROR(__xludf.DUMMYFUNCTION("""COMPUTED_VALUE"""),15.0)</f>
        <v>15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IFERROR(__xludf.DUMMYFUNCTION("""COMPUTED_VALUE"""),4.0)</f>
        <v>4</v>
      </c>
      <c r="I97" s="70">
        <f>IFERROR(__xludf.DUMMYFUNCTION("""COMPUTED_VALUE"""),6.0)</f>
        <v>6</v>
      </c>
      <c r="J97" s="70">
        <f>IFERROR(__xludf.DUMMYFUNCTION("""COMPUTED_VALUE"""),6.0)</f>
        <v>6</v>
      </c>
      <c r="K97" s="70">
        <f>IFERROR(__xludf.DUMMYFUNCTION("""COMPUTED_VALUE"""),16.0)</f>
        <v>16</v>
      </c>
      <c r="L97" s="70">
        <f>IFERROR(__xludf.DUMMYFUNCTION("""COMPUTED_VALUE"""),0.0)</f>
        <v>0</v>
      </c>
      <c r="M97" s="70">
        <f>IFERROR(__xludf.DUMMYFUNCTION("""COMPUTED_VALUE"""),269.0)</f>
        <v>269</v>
      </c>
      <c r="N97" s="71">
        <f>IFERROR(__xludf.DUMMYFUNCTION("""COMPUTED_VALUE"""),15.0)</f>
        <v>15</v>
      </c>
    </row>
    <row r="98">
      <c r="A98" s="1"/>
      <c r="B98" s="67" t="str">
        <f>IFERROR(__xludf.DUMMYFUNCTION("""COMPUTED_VALUE"""),"Erik Hoeckmann")</f>
        <v>Erik Hoeckmann</v>
      </c>
      <c r="C98" s="68">
        <f>IFERROR(__xludf.DUMMYFUNCTION("""COMPUTED_VALUE"""),248.0)</f>
        <v>248</v>
      </c>
      <c r="D98" s="69">
        <f>IFERROR(__xludf.DUMMYFUNCTION("""COMPUTED_VALUE"""),24.0)</f>
        <v>24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IFERROR(__xludf.DUMMYFUNCTION("""COMPUTED_VALUE"""),3.0)</f>
        <v>3</v>
      </c>
      <c r="J98" s="70">
        <f>IFERROR(__xludf.DUMMYFUNCTION("""COMPUTED_VALUE"""),6.0)</f>
        <v>6</v>
      </c>
      <c r="K98" s="70">
        <f>IFERROR(__xludf.DUMMYFUNCTION("""COMPUTED_VALUE"""),15.0)</f>
        <v>15</v>
      </c>
      <c r="L98" s="70">
        <f>IFERROR(__xludf.DUMMYFUNCTION("""COMPUTED_VALUE"""),2.0)</f>
        <v>2</v>
      </c>
      <c r="M98" s="70">
        <f>IFERROR(__xludf.DUMMYFUNCTION("""COMPUTED_VALUE"""),263.0)</f>
        <v>263</v>
      </c>
      <c r="N98" s="71">
        <f>IFERROR(__xludf.DUMMYFUNCTION("""COMPUTED_VALUE"""),26.0)</f>
        <v>26</v>
      </c>
    </row>
    <row r="99">
      <c r="A99" s="1"/>
      <c r="B99" s="67" t="str">
        <f>IFERROR(__xludf.DUMMYFUNCTION("""COMPUTED_VALUE"""),"Pavan Akkimsetty")</f>
        <v>Pavan Akkimsetty</v>
      </c>
      <c r="C99" s="68">
        <f>IFERROR(__xludf.DUMMYFUNCTION("""COMPUTED_VALUE"""),252.0)</f>
        <v>252</v>
      </c>
      <c r="D99" s="69">
        <f>IFERROR(__xludf.DUMMYFUNCTION("""COMPUTED_VALUE"""),22.0)</f>
        <v>22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IFERROR(__xludf.DUMMYFUNCTION("""COMPUTED_VALUE"""),4.0)</f>
        <v>4</v>
      </c>
      <c r="I99" s="70">
        <f>IFERROR(__xludf.DUMMYFUNCTION("""COMPUTED_VALUE"""),3.0)</f>
        <v>3</v>
      </c>
      <c r="J99" s="70">
        <f>IFERROR(__xludf.DUMMYFUNCTION("""COMPUTED_VALUE"""),4.0)</f>
        <v>4</v>
      </c>
      <c r="K99" s="70">
        <f>IFERROR(__xludf.DUMMYFUNCTION("""COMPUTED_VALUE"""),11.0)</f>
        <v>11</v>
      </c>
      <c r="L99" s="70">
        <f>IFERROR(__xludf.DUMMYFUNCTION("""COMPUTED_VALUE"""),2.0)</f>
        <v>2</v>
      </c>
      <c r="M99" s="70">
        <f>IFERROR(__xludf.DUMMYFUNCTION("""COMPUTED_VALUE"""),263.0)</f>
        <v>263</v>
      </c>
      <c r="N99" s="71">
        <f>IFERROR(__xludf.DUMMYFUNCTION("""COMPUTED_VALUE"""),24.0)</f>
        <v>24</v>
      </c>
    </row>
    <row r="100">
      <c r="A100" s="1"/>
      <c r="B100" s="67" t="str">
        <f>IFERROR(__xludf.DUMMYFUNCTION("""COMPUTED_VALUE"""),"Chinna Ponnaganti")</f>
        <v>Chinna Ponnaganti</v>
      </c>
      <c r="C100" s="63">
        <f>IFERROR(__xludf.DUMMYFUNCTION("""COMPUTED_VALUE"""),243.0)</f>
        <v>243</v>
      </c>
      <c r="D100" s="64">
        <f>IFERROR(__xludf.DUMMYFUNCTION("""COMPUTED_VALUE"""),21.0)</f>
        <v>21</v>
      </c>
      <c r="E100" s="63">
        <f>IFERROR(__xludf.DUMMYFUNCTION("""COMPUTED_VALUE"""),2.0)</f>
        <v>2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IFERROR(__xludf.DUMMYFUNCTION("""COMPUTED_VALUE"""),4.0)</f>
        <v>4</v>
      </c>
      <c r="J100" s="65">
        <f>IFERROR(__xludf.DUMMYFUNCTION("""COMPUTED_VALUE"""),6.0)</f>
        <v>6</v>
      </c>
      <c r="K100" s="65">
        <f>IFERROR(__xludf.DUMMYFUNCTION("""COMPUTED_VALUE"""),16.0)</f>
        <v>16</v>
      </c>
      <c r="L100" s="65">
        <f>IFERROR(__xludf.DUMMYFUNCTION("""COMPUTED_VALUE"""),2.0)</f>
        <v>2</v>
      </c>
      <c r="M100" s="65">
        <f>IFERROR(__xludf.DUMMYFUNCTION("""COMPUTED_VALUE"""),259.0)</f>
        <v>259</v>
      </c>
      <c r="N100" s="66">
        <f>IFERROR(__xludf.DUMMYFUNCTION("""COMPUTED_VALUE"""),23.0)</f>
        <v>23</v>
      </c>
    </row>
    <row r="101">
      <c r="A101" s="1"/>
      <c r="B101" s="67" t="str">
        <f>IFERROR(__xludf.DUMMYFUNCTION("""COMPUTED_VALUE"""),"Tom Le")</f>
        <v>Tom Le</v>
      </c>
      <c r="C101" s="63">
        <f>IFERROR(__xludf.DUMMYFUNCTION("""COMPUTED_VALUE"""),246.0)</f>
        <v>246</v>
      </c>
      <c r="D101" s="64">
        <f>IFERROR(__xludf.DUMMYFUNCTION("""COMPUTED_VALUE"""),19.0)</f>
        <v>19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IFERROR(__xludf.DUMMYFUNCTION("""COMPUTED_VALUE"""),3.0)</f>
        <v>3</v>
      </c>
      <c r="I101" s="65">
        <f>IFERROR(__xludf.DUMMYFUNCTION("""COMPUTED_VALUE"""),4.0)</f>
        <v>4</v>
      </c>
      <c r="J101" s="65">
        <f>IFERROR(__xludf.DUMMYFUNCTION("""COMPUTED_VALUE"""),2.0)</f>
        <v>2</v>
      </c>
      <c r="K101" s="65">
        <f>IFERROR(__xludf.DUMMYFUNCTION("""COMPUTED_VALUE"""),9.0)</f>
        <v>9</v>
      </c>
      <c r="L101" s="65">
        <f>IFERROR(__xludf.DUMMYFUNCTION("""COMPUTED_VALUE"""),0.0)</f>
        <v>0</v>
      </c>
      <c r="M101" s="65">
        <f>IFERROR(__xludf.DUMMYFUNCTION("""COMPUTED_VALUE"""),255.0)</f>
        <v>255</v>
      </c>
      <c r="N101" s="66">
        <f>IFERROR(__xludf.DUMMYFUNCTION("""COMPUTED_VALUE"""),19.0)</f>
        <v>19</v>
      </c>
    </row>
    <row r="102">
      <c r="A102" s="1"/>
      <c r="B102" s="62" t="str">
        <f>IFERROR(__xludf.DUMMYFUNCTION("""COMPUTED_VALUE"""),"Oscar Bonilla")</f>
        <v>Oscar Bonilla</v>
      </c>
      <c r="C102" s="63">
        <f>IFERROR(__xludf.DUMMYFUNCTION("""COMPUTED_VALUE"""),240.0)</f>
        <v>240</v>
      </c>
      <c r="D102" s="64">
        <f>IFERROR(__xludf.DUMMYFUNCTION("""COMPUTED_VALUE"""),15.0)</f>
        <v>15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IFERROR(__xludf.DUMMYFUNCTION("""COMPUTED_VALUE"""),3.0)</f>
        <v>3</v>
      </c>
      <c r="I102" s="65">
        <f>IFERROR(__xludf.DUMMYFUNCTION("""COMPUTED_VALUE"""),6.0)</f>
        <v>6</v>
      </c>
      <c r="J102" s="65">
        <f>IFERROR(__xludf.DUMMYFUNCTION("""COMPUTED_VALUE"""),6.0)</f>
        <v>6</v>
      </c>
      <c r="K102" s="65">
        <f>IFERROR(__xludf.DUMMYFUNCTION("""COMPUTED_VALUE"""),15.0)</f>
        <v>15</v>
      </c>
      <c r="L102" s="65">
        <f>IFERROR(__xludf.DUMMYFUNCTION("""COMPUTED_VALUE"""),2.0)</f>
        <v>2</v>
      </c>
      <c r="M102" s="65">
        <f>IFERROR(__xludf.DUMMYFUNCTION("""COMPUTED_VALUE"""),255.0)</f>
        <v>255</v>
      </c>
      <c r="N102" s="66">
        <f>IFERROR(__xludf.DUMMYFUNCTION("""COMPUTED_VALUE"""),17.0)</f>
        <v>17</v>
      </c>
    </row>
    <row r="103">
      <c r="A103" s="1"/>
      <c r="B103" s="62" t="str">
        <f>IFERROR(__xludf.DUMMYFUNCTION("""COMPUTED_VALUE"""),"Mauricio Palacios")</f>
        <v>Mauricio Palacios</v>
      </c>
      <c r="C103" s="63">
        <f>IFERROR(__xludf.DUMMYFUNCTION("""COMPUTED_VALUE"""),239.0)</f>
        <v>239</v>
      </c>
      <c r="D103" s="64">
        <f>IFERROR(__xludf.DUMMYFUNCTION("""COMPUTED_VALUE"""),16.0)</f>
        <v>16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IFERROR(__xludf.DUMMYFUNCTION("""COMPUTED_VALUE"""),6.0)</f>
        <v>6</v>
      </c>
      <c r="I103" s="65">
        <f>IFERROR(__xludf.DUMMYFUNCTION("""COMPUTED_VALUE"""),6.0)</f>
        <v>6</v>
      </c>
      <c r="J103" s="65">
        <f>IFERROR(__xludf.DUMMYFUNCTION("""COMPUTED_VALUE"""),2.0)</f>
        <v>2</v>
      </c>
      <c r="K103" s="65">
        <f>IFERROR(__xludf.DUMMYFUNCTION("""COMPUTED_VALUE"""),14.0)</f>
        <v>14</v>
      </c>
      <c r="L103" s="65">
        <f>IFERROR(__xludf.DUMMYFUNCTION("""COMPUTED_VALUE"""),2.0)</f>
        <v>2</v>
      </c>
      <c r="M103" s="65">
        <f>IFERROR(__xludf.DUMMYFUNCTION("""COMPUTED_VALUE"""),253.0)</f>
        <v>253</v>
      </c>
      <c r="N103" s="66">
        <f>IFERROR(__xludf.DUMMYFUNCTION("""COMPUTED_VALUE"""),18.0)</f>
        <v>18</v>
      </c>
    </row>
    <row r="104">
      <c r="A104" s="1"/>
      <c r="B104" s="67" t="str">
        <f>IFERROR(__xludf.DUMMYFUNCTION("""COMPUTED_VALUE"""),"Vishnu Amarnath")</f>
        <v>Vishnu Amarnath</v>
      </c>
      <c r="C104" s="68">
        <f>IFERROR(__xludf.DUMMYFUNCTION("""COMPUTED_VALUE"""),234.0)</f>
        <v>234</v>
      </c>
      <c r="D104" s="69">
        <f>IFERROR(__xludf.DUMMYFUNCTION("""COMPUTED_VALUE"""),20.0)</f>
        <v>20</v>
      </c>
      <c r="E104" s="68">
        <f>IFERROR(__xludf.DUMMYFUNCTION("""COMPUTED_VALUE"""),1.0)</f>
        <v>1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IFERROR(__xludf.DUMMYFUNCTION("""COMPUTED_VALUE"""),6.0)</f>
        <v>6</v>
      </c>
      <c r="J104" s="70">
        <f>IFERROR(__xludf.DUMMYFUNCTION("""COMPUTED_VALUE"""),6.0)</f>
        <v>6</v>
      </c>
      <c r="K104" s="70">
        <f>IFERROR(__xludf.DUMMYFUNCTION("""COMPUTED_VALUE"""),18.0)</f>
        <v>18</v>
      </c>
      <c r="L104" s="70">
        <f>IFERROR(__xludf.DUMMYFUNCTION("""COMPUTED_VALUE"""),3.0)</f>
        <v>3</v>
      </c>
      <c r="M104" s="70">
        <f>IFERROR(__xludf.DUMMYFUNCTION("""COMPUTED_VALUE"""),252.0)</f>
        <v>252</v>
      </c>
      <c r="N104" s="71">
        <f>IFERROR(__xludf.DUMMYFUNCTION("""COMPUTED_VALUE"""),23.0)</f>
        <v>23</v>
      </c>
    </row>
    <row r="105">
      <c r="A105" s="1"/>
      <c r="B105" s="67" t="str">
        <f>IFERROR(__xludf.DUMMYFUNCTION("""COMPUTED_VALUE"""),"Elayaraja Thangaraj ")</f>
        <v>Elayaraja Thangaraj </v>
      </c>
      <c r="C105" s="68">
        <f>IFERROR(__xludf.DUMMYFUNCTION("""COMPUTED_VALUE"""),224.0)</f>
        <v>224</v>
      </c>
      <c r="D105" s="69">
        <f>IFERROR(__xludf.DUMMYFUNCTION("""COMPUTED_VALUE"""),15.0)</f>
        <v>15</v>
      </c>
      <c r="E105" s="68">
        <f>IFERROR(__xludf.DUMMYFUNCTION("""COMPUTED_VALUE"""),1.0)</f>
        <v>1</v>
      </c>
      <c r="F105" s="70">
        <f>IFERROR(__xludf.DUMMYFUNCTION("""COMPUTED_VALUE"""),6.0)</f>
        <v>6</v>
      </c>
      <c r="G105" s="70">
        <f>IFERROR(__xludf.DUMMYFUNCTION("""COMPUTED_VALUE"""),0.0)</f>
        <v>0</v>
      </c>
      <c r="H105" s="70">
        <f>IFERROR(__xludf.DUMMYFUNCTION("""COMPUTED_VALUE"""),7.0)</f>
        <v>7</v>
      </c>
      <c r="I105" s="70">
        <f>IFERROR(__xludf.DUMMYFUNCTION("""COMPUTED_VALUE"""),7.0)</f>
        <v>7</v>
      </c>
      <c r="J105" s="70">
        <f>IFERROR(__xludf.DUMMYFUNCTION("""COMPUTED_VALUE"""),6.0)</f>
        <v>6</v>
      </c>
      <c r="K105" s="70">
        <f>IFERROR(__xludf.DUMMYFUNCTION("""COMPUTED_VALUE"""),20.0)</f>
        <v>20</v>
      </c>
      <c r="L105" s="70">
        <f>IFERROR(__xludf.DUMMYFUNCTION("""COMPUTED_VALUE"""),3.0)</f>
        <v>3</v>
      </c>
      <c r="M105" s="70">
        <f>IFERROR(__xludf.DUMMYFUNCTION("""COMPUTED_VALUE"""),244.0)</f>
        <v>244</v>
      </c>
      <c r="N105" s="71">
        <f>IFERROR(__xludf.DUMMYFUNCTION("""COMPUTED_VALUE"""),18.0)</f>
        <v>18</v>
      </c>
    </row>
    <row r="106">
      <c r="A106" s="1"/>
      <c r="B106" s="67" t="str">
        <f>IFERROR(__xludf.DUMMYFUNCTION("""COMPUTED_VALUE"""),"Jimmy Awolesi")</f>
        <v>Jimmy Awolesi</v>
      </c>
      <c r="C106" s="68">
        <f>IFERROR(__xludf.DUMMYFUNCTION("""COMPUTED_VALUE"""),226.0)</f>
        <v>226</v>
      </c>
      <c r="D106" s="69">
        <f>IFERROR(__xludf.DUMMYFUNCTION("""COMPUTED_VALUE"""),15.0)</f>
        <v>15</v>
      </c>
      <c r="E106" s="68">
        <f>IFERROR(__xludf.DUMMYFUNCTION("""COMPUTED_VALUE"""),1.0)</f>
        <v>1</v>
      </c>
      <c r="F106" s="70">
        <f>IFERROR(__xludf.DUMMYFUNCTION("""COMPUTED_VALUE"""),6.0)</f>
        <v>6</v>
      </c>
      <c r="G106" s="70">
        <f>IFERROR(__xludf.DUMMYFUNCTION("""COMPUTED_VALUE"""),0.0)</f>
        <v>0</v>
      </c>
      <c r="H106" s="70">
        <f>IFERROR(__xludf.DUMMYFUNCTION("""COMPUTED_VALUE"""),5.0)</f>
        <v>5</v>
      </c>
      <c r="I106" s="70">
        <f>IFERROR(__xludf.DUMMYFUNCTION("""COMPUTED_VALUE"""),5.0)</f>
        <v>5</v>
      </c>
      <c r="J106" s="70">
        <f>IFERROR(__xludf.DUMMYFUNCTION("""COMPUTED_VALUE"""),6.0)</f>
        <v>6</v>
      </c>
      <c r="K106" s="70">
        <f>IFERROR(__xludf.DUMMYFUNCTION("""COMPUTED_VALUE"""),16.0)</f>
        <v>16</v>
      </c>
      <c r="L106" s="70">
        <f>IFERROR(__xludf.DUMMYFUNCTION("""COMPUTED_VALUE"""),1.0)</f>
        <v>1</v>
      </c>
      <c r="M106" s="70">
        <f>IFERROR(__xludf.DUMMYFUNCTION("""COMPUTED_VALUE"""),242.0)</f>
        <v>242</v>
      </c>
      <c r="N106" s="71">
        <f>IFERROR(__xludf.DUMMYFUNCTION("""COMPUTED_VALUE"""),16.0)</f>
        <v>16</v>
      </c>
    </row>
    <row r="107">
      <c r="A107" s="1"/>
      <c r="B107" s="67" t="str">
        <f>IFERROR(__xludf.DUMMYFUNCTION("""COMPUTED_VALUE"""),"Vamsi Lolla ")</f>
        <v>Vamsi Lolla </v>
      </c>
      <c r="C107" s="68">
        <f>IFERROR(__xludf.DUMMYFUNCTION("""COMPUTED_VALUE"""),229.0)</f>
        <v>229</v>
      </c>
      <c r="D107" s="69">
        <f>IFERROR(__xludf.DUMMYFUNCTION("""COMPUTED_VALUE"""),12.0)</f>
        <v>12</v>
      </c>
      <c r="E107" s="68">
        <f>IFERROR(__xludf.DUMMYFUNCTION("""COMPUTED_VALUE"""),2.0)</f>
        <v>2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IFERROR(__xludf.DUMMYFUNCTION("""COMPUTED_VALUE"""),3.0)</f>
        <v>3</v>
      </c>
      <c r="J107" s="70">
        <f>IFERROR(__xludf.DUMMYFUNCTION("""COMPUTED_VALUE"""),3.0)</f>
        <v>3</v>
      </c>
      <c r="K107" s="70">
        <f>IFERROR(__xludf.DUMMYFUNCTION("""COMPUTED_VALUE"""),12.0)</f>
        <v>12</v>
      </c>
      <c r="L107" s="70">
        <f>IFERROR(__xludf.DUMMYFUNCTION("""COMPUTED_VALUE"""),1.0)</f>
        <v>1</v>
      </c>
      <c r="M107" s="70">
        <f>IFERROR(__xludf.DUMMYFUNCTION("""COMPUTED_VALUE"""),241.0)</f>
        <v>241</v>
      </c>
      <c r="N107" s="71">
        <f>IFERROR(__xludf.DUMMYFUNCTION("""COMPUTED_VALUE"""),13.0)</f>
        <v>13</v>
      </c>
    </row>
    <row r="108">
      <c r="A108" s="1"/>
      <c r="B108" s="62" t="str">
        <f>IFERROR(__xludf.DUMMYFUNCTION("""COMPUTED_VALUE"""),"Eric Tan")</f>
        <v>Eric Tan</v>
      </c>
      <c r="C108" s="63">
        <f>IFERROR(__xludf.DUMMYFUNCTION("""COMPUTED_VALUE"""),231.0)</f>
        <v>231</v>
      </c>
      <c r="D108" s="64">
        <f>IFERROR(__xludf.DUMMYFUNCTION("""COMPUTED_VALUE"""),20.0)</f>
        <v>20</v>
      </c>
      <c r="E108" s="63">
        <f>IFERROR(__xludf.DUMMYFUNCTION("""COMPUTED_VALUE"""),1.0)</f>
        <v>1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IFERROR(__xludf.DUMMYFUNCTION("""COMPUTED_VALUE"""),0.0)</f>
        <v>0</v>
      </c>
      <c r="I108" s="65">
        <f>IFERROR(__xludf.DUMMYFUNCTION("""COMPUTED_VALUE"""),6.0)</f>
        <v>6</v>
      </c>
      <c r="J108" s="65">
        <f>IFERROR(__xludf.DUMMYFUNCTION("""COMPUTED_VALUE"""),3.0)</f>
        <v>3</v>
      </c>
      <c r="K108" s="65">
        <f>IFERROR(__xludf.DUMMYFUNCTION("""COMPUTED_VALUE"""),9.0)</f>
        <v>9</v>
      </c>
      <c r="L108" s="65">
        <f>IFERROR(__xludf.DUMMYFUNCTION("""COMPUTED_VALUE"""),1.0)</f>
        <v>1</v>
      </c>
      <c r="M108" s="65">
        <f>IFERROR(__xludf.DUMMYFUNCTION("""COMPUTED_VALUE"""),240.0)</f>
        <v>240</v>
      </c>
      <c r="N108" s="66">
        <f>IFERROR(__xludf.DUMMYFUNCTION("""COMPUTED_VALUE"""),21.0)</f>
        <v>21</v>
      </c>
    </row>
    <row r="109">
      <c r="A109" s="1"/>
      <c r="B109" s="62" t="str">
        <f>IFERROR(__xludf.DUMMYFUNCTION("""COMPUTED_VALUE"""),"Manuel Rivera")</f>
        <v>Manuel Rivera</v>
      </c>
      <c r="C109" s="63">
        <f>IFERROR(__xludf.DUMMYFUNCTION("""COMPUTED_VALUE"""),231.0)</f>
        <v>231</v>
      </c>
      <c r="D109" s="64">
        <f>IFERROR(__xludf.DUMMYFUNCTION("""COMPUTED_VALUE"""),18.0)</f>
        <v>18</v>
      </c>
      <c r="E109" s="63">
        <f>IFERROR(__xludf.DUMMYFUNCTION("""COMPUTED_VALUE"""),2.0)</f>
        <v>2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IFERROR(__xludf.DUMMYFUNCTION("""COMPUTED_VALUE"""),0.0)</f>
        <v>0</v>
      </c>
      <c r="I109" s="65">
        <f>IFERROR(__xludf.DUMMYFUNCTION("""COMPUTED_VALUE"""),3.0)</f>
        <v>3</v>
      </c>
      <c r="J109" s="65">
        <f>IFERROR(__xludf.DUMMYFUNCTION("""COMPUTED_VALUE"""),6.0)</f>
        <v>6</v>
      </c>
      <c r="K109" s="65">
        <f>IFERROR(__xludf.DUMMYFUNCTION("""COMPUTED_VALUE"""),9.0)</f>
        <v>9</v>
      </c>
      <c r="L109" s="65">
        <f>IFERROR(__xludf.DUMMYFUNCTION("""COMPUTED_VALUE"""),1.0)</f>
        <v>1</v>
      </c>
      <c r="M109" s="65">
        <f>IFERROR(__xludf.DUMMYFUNCTION("""COMPUTED_VALUE"""),240.0)</f>
        <v>240</v>
      </c>
      <c r="N109" s="66">
        <f>IFERROR(__xludf.DUMMYFUNCTION("""COMPUTED_VALUE"""),19.0)</f>
        <v>19</v>
      </c>
    </row>
    <row r="110">
      <c r="A110" s="1"/>
      <c r="B110" s="62" t="str">
        <f>IFERROR(__xludf.DUMMYFUNCTION("""COMPUTED_VALUE"""),"Nohely Mejia")</f>
        <v>Nohely Mejia</v>
      </c>
      <c r="C110" s="63">
        <f>IFERROR(__xludf.DUMMYFUNCTION("""COMPUTED_VALUE"""),222.0)</f>
        <v>222</v>
      </c>
      <c r="D110" s="64">
        <f>IFERROR(__xludf.DUMMYFUNCTION("""COMPUTED_VALUE"""),6.0)</f>
        <v>6</v>
      </c>
      <c r="E110" s="63">
        <f>IFERROR(__xludf.DUMMYFUNCTION("""COMPUTED_VALUE"""),2.0)</f>
        <v>2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IFERROR(__xludf.DUMMYFUNCTION("""COMPUTED_VALUE"""),5.0)</f>
        <v>5</v>
      </c>
      <c r="I110" s="65">
        <f>IFERROR(__xludf.DUMMYFUNCTION("""COMPUTED_VALUE"""),7.0)</f>
        <v>7</v>
      </c>
      <c r="J110" s="65">
        <f>IFERROR(__xludf.DUMMYFUNCTION("""COMPUTED_VALUE"""),3.0)</f>
        <v>3</v>
      </c>
      <c r="K110" s="65">
        <f>IFERROR(__xludf.DUMMYFUNCTION("""COMPUTED_VALUE"""),15.0)</f>
        <v>15</v>
      </c>
      <c r="L110" s="65">
        <f>IFERROR(__xludf.DUMMYFUNCTION("""COMPUTED_VALUE"""),1.0)</f>
        <v>1</v>
      </c>
      <c r="M110" s="65">
        <f>IFERROR(__xludf.DUMMYFUNCTION("""COMPUTED_VALUE"""),237.0)</f>
        <v>237</v>
      </c>
      <c r="N110" s="66">
        <f>IFERROR(__xludf.DUMMYFUNCTION("""COMPUTED_VALUE"""),7.0)</f>
        <v>7</v>
      </c>
    </row>
    <row r="111">
      <c r="A111" s="1"/>
      <c r="B111" s="62" t="str">
        <f>IFERROR(__xludf.DUMMYFUNCTION("""COMPUTED_VALUE"""),"Alejandro Mejia")</f>
        <v>Alejandro Mejia</v>
      </c>
      <c r="C111" s="63">
        <f>IFERROR(__xludf.DUMMYFUNCTION("""COMPUTED_VALUE"""),214.0)</f>
        <v>214</v>
      </c>
      <c r="D111" s="64">
        <f>IFERROR(__xludf.DUMMYFUNCTION("""COMPUTED_VALUE"""),7.0)</f>
        <v>7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IFERROR(__xludf.DUMMYFUNCTION("""COMPUTED_VALUE"""),7.0)</f>
        <v>7</v>
      </c>
      <c r="I111" s="65">
        <f>IFERROR(__xludf.DUMMYFUNCTION("""COMPUTED_VALUE"""),5.0)</f>
        <v>5</v>
      </c>
      <c r="J111" s="65">
        <f>IFERROR(__xludf.DUMMYFUNCTION("""COMPUTED_VALUE"""),3.0)</f>
        <v>3</v>
      </c>
      <c r="K111" s="65">
        <f>IFERROR(__xludf.DUMMYFUNCTION("""COMPUTED_VALUE"""),15.0)</f>
        <v>15</v>
      </c>
      <c r="L111" s="65">
        <f>IFERROR(__xludf.DUMMYFUNCTION("""COMPUTED_VALUE"""),1.0)</f>
        <v>1</v>
      </c>
      <c r="M111" s="65">
        <f>IFERROR(__xludf.DUMMYFUNCTION("""COMPUTED_VALUE"""),229.0)</f>
        <v>229</v>
      </c>
      <c r="N111" s="66">
        <f>IFERROR(__xludf.DUMMYFUNCTION("""COMPUTED_VALUE"""),8.0)</f>
        <v>8</v>
      </c>
    </row>
    <row r="112">
      <c r="A112" s="1"/>
      <c r="B112" s="67"/>
      <c r="C112" s="72"/>
      <c r="D112" s="72"/>
      <c r="E112" s="72"/>
      <c r="F112" s="67"/>
      <c r="G112" s="67"/>
      <c r="H112" s="67"/>
      <c r="I112" s="67"/>
      <c r="J112" s="67"/>
      <c r="K112" s="67"/>
      <c r="L112" s="67"/>
      <c r="M112" s="67"/>
      <c r="N112" s="67"/>
    </row>
    <row r="113">
      <c r="A113" s="1"/>
      <c r="B113" s="67"/>
      <c r="C113" s="72"/>
      <c r="D113" s="72"/>
      <c r="E113" s="72"/>
      <c r="F113" s="67"/>
      <c r="G113" s="67"/>
      <c r="H113" s="67"/>
      <c r="I113" s="67"/>
      <c r="J113" s="67"/>
      <c r="K113" s="67"/>
      <c r="L113" s="67"/>
      <c r="M113" s="67"/>
      <c r="N113" s="67"/>
    </row>
    <row r="114">
      <c r="A114" s="1"/>
      <c r="B114" s="67"/>
      <c r="C114" s="72"/>
      <c r="D114" s="72"/>
      <c r="E114" s="72"/>
      <c r="F114" s="67"/>
      <c r="G114" s="67"/>
      <c r="H114" s="67"/>
      <c r="I114" s="67"/>
      <c r="J114" s="67"/>
      <c r="K114" s="67"/>
      <c r="L114" s="67"/>
      <c r="M114" s="67"/>
      <c r="N114" s="67"/>
    </row>
    <row r="115">
      <c r="A115" s="1"/>
      <c r="B115" s="67"/>
      <c r="C115" s="72"/>
      <c r="D115" s="72"/>
      <c r="E115" s="72"/>
      <c r="F115" s="67"/>
      <c r="G115" s="67"/>
      <c r="H115" s="67"/>
      <c r="I115" s="67"/>
      <c r="J115" s="67"/>
      <c r="K115" s="67"/>
      <c r="L115" s="67"/>
      <c r="M115" s="67"/>
      <c r="N115" s="67"/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0"")"),"Adrian Tay")</f>
        <v>Adrian Tay</v>
      </c>
      <c r="C136" s="63">
        <f>IFERROR(__xludf.DUMMYFUNCTION("""COMPUTED_VALUE"""),300.0)</f>
        <v>300</v>
      </c>
      <c r="D136" s="64">
        <f>IFERROR(__xludf.DUMMYFUNCTION("""COMPUTED_VALUE"""),34.0)</f>
        <v>34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IFERROR(__xludf.DUMMYFUNCTION("""COMPUTED_VALUE"""),309.0)</f>
        <v>309</v>
      </c>
      <c r="N136" s="66">
        <f>IFERROR(__xludf.DUMMYFUNCTION("""COMPUTED_VALUE"""),34.0)</f>
        <v>34</v>
      </c>
    </row>
    <row r="137">
      <c r="A137" s="1"/>
      <c r="B137" s="62" t="str">
        <f>IFERROR(__xludf.DUMMYFUNCTION("""COMPUTED_VALUE"""),"Suleman Alidina")</f>
        <v>Suleman Alidina</v>
      </c>
      <c r="C137" s="63">
        <f>IFERROR(__xludf.DUMMYFUNCTION("""COMPUTED_VALUE"""),271.0)</f>
        <v>271</v>
      </c>
      <c r="D137" s="64">
        <f>IFERROR(__xludf.DUMMYFUNCTION("""COMPUTED_VALUE"""),30.0)</f>
        <v>30</v>
      </c>
      <c r="E137" s="63">
        <f>IFERROR(__xludf.DUMMYFUNCTION("""COMPUTED_VALUE"""),5.0)</f>
        <v>5</v>
      </c>
      <c r="F137" s="65">
        <f>IFERROR(__xludf.DUMMYFUNCTION("""COMPUTED_VALUE"""),0.0)</f>
        <v>0</v>
      </c>
      <c r="G137" s="65">
        <f>IFERROR(__xludf.DUMMYFUNCTION("""COMPUTED_VALUE"""),13.0)</f>
        <v>13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IFERROR(__xludf.DUMMYFUNCTION("""COMPUTED_VALUE"""),13.0)</f>
        <v>13</v>
      </c>
      <c r="L137" s="65">
        <f>IFERROR(__xludf.DUMMYFUNCTION("""COMPUTED_VALUE"""),0.0)</f>
        <v>0</v>
      </c>
      <c r="M137" s="65">
        <f>IFERROR(__xludf.DUMMYFUNCTION("""COMPUTED_VALUE"""),284.0)</f>
        <v>284</v>
      </c>
      <c r="N137" s="66">
        <f>IFERROR(__xludf.DUMMYFUNCTION("""COMPUTED_VALUE"""),30.0)</f>
        <v>30</v>
      </c>
    </row>
    <row r="138">
      <c r="A138" s="1"/>
      <c r="B138" s="62" t="str">
        <f>IFERROR(__xludf.DUMMYFUNCTION("""COMPUTED_VALUE"""),"Peter Homsey")</f>
        <v>Peter Homsey</v>
      </c>
      <c r="C138" s="63">
        <f>IFERROR(__xludf.DUMMYFUNCTION("""COMPUTED_VALUE"""),263.0)</f>
        <v>263</v>
      </c>
      <c r="D138" s="64">
        <f>IFERROR(__xludf.DUMMYFUNCTION("""COMPUTED_VALUE"""),23.0)</f>
        <v>23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IFERROR(__xludf.DUMMYFUNCTION("""COMPUTED_VALUE"""),272.0)</f>
        <v>272</v>
      </c>
      <c r="N138" s="66">
        <f>IFERROR(__xludf.DUMMYFUNCTION("""COMPUTED_VALUE"""),23.0)</f>
        <v>23</v>
      </c>
    </row>
    <row r="139">
      <c r="A139" s="1"/>
      <c r="B139" s="62" t="str">
        <f>IFERROR(__xludf.DUMMYFUNCTION("""COMPUTED_VALUE"""),"Lam Bui")</f>
        <v>Lam Bui</v>
      </c>
      <c r="C139" s="63">
        <f>IFERROR(__xludf.DUMMYFUNCTION("""COMPUTED_VALUE"""),263.0)</f>
        <v>263</v>
      </c>
      <c r="D139" s="64">
        <f>IFERROR(__xludf.DUMMYFUNCTION("""COMPUTED_VALUE"""),18.0)</f>
        <v>18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IFERROR(__xludf.DUMMYFUNCTION("""COMPUTED_VALUE"""),272.0)</f>
        <v>272</v>
      </c>
      <c r="N139" s="66">
        <f>IFERROR(__xludf.DUMMYFUNCTION("""COMPUTED_VALUE"""),18.0)</f>
        <v>18</v>
      </c>
    </row>
    <row r="140">
      <c r="A140" s="1"/>
      <c r="B140" s="62" t="str">
        <f>IFERROR(__xludf.DUMMYFUNCTION("""COMPUTED_VALUE"""),"Jonathan Phan")</f>
        <v>Jonathan Phan</v>
      </c>
      <c r="C140" s="63">
        <f>IFERROR(__xludf.DUMMYFUNCTION("""COMPUTED_VALUE"""),261.0)</f>
        <v>261</v>
      </c>
      <c r="D140" s="64">
        <f>IFERROR(__xludf.DUMMYFUNCTION("""COMPUTED_VALUE"""),22.0)</f>
        <v>22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IFERROR(__xludf.DUMMYFUNCTION("""COMPUTED_VALUE"""),270.0)</f>
        <v>270</v>
      </c>
      <c r="N140" s="66">
        <f>IFERROR(__xludf.DUMMYFUNCTION("""COMPUTED_VALUE"""),22.0)</f>
        <v>22</v>
      </c>
    </row>
    <row r="141">
      <c r="A141" s="1"/>
      <c r="B141" s="62" t="str">
        <f>IFERROR(__xludf.DUMMYFUNCTION("""COMPUTED_VALUE"""),"Eric Pan")</f>
        <v>Eric Pan</v>
      </c>
      <c r="C141" s="63">
        <f>IFERROR(__xludf.DUMMYFUNCTION("""COMPUTED_VALUE"""),254.0)</f>
        <v>254</v>
      </c>
      <c r="D141" s="64">
        <f>IFERROR(__xludf.DUMMYFUNCTION("""COMPUTED_VALUE"""),19.0)</f>
        <v>19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IFERROR(__xludf.DUMMYFUNCTION("""COMPUTED_VALUE"""),263.0)</f>
        <v>263</v>
      </c>
      <c r="N141" s="66">
        <f>IFERROR(__xludf.DUMMYFUNCTION("""COMPUTED_VALUE"""),19.0)</f>
        <v>19</v>
      </c>
    </row>
    <row r="142">
      <c r="A142" s="1"/>
      <c r="B142" s="62" t="str">
        <f>IFERROR(__xludf.DUMMYFUNCTION("""COMPUTED_VALUE"""),"Susanta Mishra")</f>
        <v>Susanta Mishra</v>
      </c>
      <c r="C142" s="63">
        <f>IFERROR(__xludf.DUMMYFUNCTION("""COMPUTED_VALUE"""),251.0)</f>
        <v>251</v>
      </c>
      <c r="D142" s="64">
        <f>IFERROR(__xludf.DUMMYFUNCTION("""COMPUTED_VALUE"""),18.0)</f>
        <v>18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IFERROR(__xludf.DUMMYFUNCTION("""COMPUTED_VALUE"""),260.0)</f>
        <v>260</v>
      </c>
      <c r="N142" s="66">
        <f>IFERROR(__xludf.DUMMYFUNCTION("""COMPUTED_VALUE"""),18.0)</f>
        <v>18</v>
      </c>
    </row>
    <row r="143">
      <c r="A143" s="1"/>
      <c r="B143" s="62" t="str">
        <f>IFERROR(__xludf.DUMMYFUNCTION("""COMPUTED_VALUE"""),"Joe Luzzi")</f>
        <v>Joe Luzzi</v>
      </c>
      <c r="C143" s="63">
        <f>IFERROR(__xludf.DUMMYFUNCTION("""COMPUTED_VALUE"""),247.0)</f>
        <v>247</v>
      </c>
      <c r="D143" s="64">
        <f>IFERROR(__xludf.DUMMYFUNCTION("""COMPUTED_VALUE"""),17.0)</f>
        <v>17</v>
      </c>
      <c r="E143" s="63">
        <f>IFERROR(__xludf.DUMMYFUNCTION("""COMPUTED_VALUE"""),5.0)</f>
        <v>5</v>
      </c>
      <c r="F143" s="65">
        <f>IFERROR(__xludf.DUMMYFUNCTION("""COMPUTED_VALUE"""),0.0)</f>
        <v>0</v>
      </c>
      <c r="G143" s="65">
        <f>IFERROR(__xludf.DUMMYFUNCTION("""COMPUTED_VALUE"""),13.0)</f>
        <v>13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IFERROR(__xludf.DUMMYFUNCTION("""COMPUTED_VALUE"""),13.0)</f>
        <v>13</v>
      </c>
      <c r="L143" s="65">
        <f>IFERROR(__xludf.DUMMYFUNCTION("""COMPUTED_VALUE"""),0.0)</f>
        <v>0</v>
      </c>
      <c r="M143" s="65">
        <f>IFERROR(__xludf.DUMMYFUNCTION("""COMPUTED_VALUE"""),260.0)</f>
        <v>260</v>
      </c>
      <c r="N143" s="66">
        <f>IFERROR(__xludf.DUMMYFUNCTION("""COMPUTED_VALUE"""),17.0)</f>
        <v>17</v>
      </c>
    </row>
    <row r="144">
      <c r="A144" s="1"/>
      <c r="B144" s="62" t="str">
        <f>IFERROR(__xludf.DUMMYFUNCTION("""COMPUTED_VALUE"""),"Lloyd Sagar")</f>
        <v>Lloyd Sagar</v>
      </c>
      <c r="C144" s="63">
        <f>IFERROR(__xludf.DUMMYFUNCTION("""COMPUTED_VALUE"""),244.0)</f>
        <v>244</v>
      </c>
      <c r="D144" s="64">
        <f>IFERROR(__xludf.DUMMYFUNCTION("""COMPUTED_VALUE"""),17.0)</f>
        <v>17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IFERROR(__xludf.DUMMYFUNCTION("""COMPUTED_VALUE"""),253.0)</f>
        <v>253</v>
      </c>
      <c r="N144" s="66">
        <f>IFERROR(__xludf.DUMMYFUNCTION("""COMPUTED_VALUE"""),17.0)</f>
        <v>17</v>
      </c>
    </row>
    <row r="145">
      <c r="A145" s="1"/>
      <c r="B145" s="62" t="str">
        <f>IFERROR(__xludf.DUMMYFUNCTION("""COMPUTED_VALUE"""),"Pulkit Mathur")</f>
        <v>Pulkit Mathur</v>
      </c>
      <c r="C145" s="63">
        <f>IFERROR(__xludf.DUMMYFUNCTION("""COMPUTED_VALUE"""),241.0)</f>
        <v>241</v>
      </c>
      <c r="D145" s="64">
        <f>IFERROR(__xludf.DUMMYFUNCTION("""COMPUTED_VALUE"""),17.0)</f>
        <v>17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IFERROR(__xludf.DUMMYFUNCTION("""COMPUTED_VALUE"""),250.0)</f>
        <v>250</v>
      </c>
      <c r="N145" s="66">
        <f>IFERROR(__xludf.DUMMYFUNCTION("""COMPUTED_VALUE"""),17.0)</f>
        <v>17</v>
      </c>
    </row>
    <row r="146">
      <c r="A146" s="1"/>
      <c r="B146" s="62" t="str">
        <f>IFERROR(__xludf.DUMMYFUNCTION("""COMPUTED_VALUE"""),"Andrew Wen")</f>
        <v>Andrew Wen</v>
      </c>
      <c r="C146" s="63">
        <f>IFERROR(__xludf.DUMMYFUNCTION("""COMPUTED_VALUE"""),239.0)</f>
        <v>239</v>
      </c>
      <c r="D146" s="64">
        <f>IFERROR(__xludf.DUMMYFUNCTION("""COMPUTED_VALUE"""),19.0)</f>
        <v>19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IFERROR(__xludf.DUMMYFUNCTION("""COMPUTED_VALUE"""),248.0)</f>
        <v>248</v>
      </c>
      <c r="N146" s="66">
        <f>IFERROR(__xludf.DUMMYFUNCTION("""COMPUTED_VALUE"""),19.0)</f>
        <v>19</v>
      </c>
    </row>
    <row r="147">
      <c r="A147" s="1"/>
      <c r="B147" s="62" t="str">
        <f>IFERROR(__xludf.DUMMYFUNCTION("""COMPUTED_VALUE"""),"Ramesh Bandaru")</f>
        <v>Ramesh Bandaru</v>
      </c>
      <c r="C147" s="63">
        <f>IFERROR(__xludf.DUMMYFUNCTION("""COMPUTED_VALUE"""),239.0)</f>
        <v>239</v>
      </c>
      <c r="D147" s="64">
        <f>IFERROR(__xludf.DUMMYFUNCTION("""COMPUTED_VALUE"""),16.0)</f>
        <v>16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IFERROR(__xludf.DUMMYFUNCTION("""COMPUTED_VALUE"""),248.0)</f>
        <v>248</v>
      </c>
      <c r="N147" s="66">
        <f>IFERROR(__xludf.DUMMYFUNCTION("""COMPUTED_VALUE"""),16.0)</f>
        <v>16</v>
      </c>
    </row>
    <row r="148">
      <c r="A148" s="1"/>
      <c r="B148" s="62" t="str">
        <f>IFERROR(__xludf.DUMMYFUNCTION("""COMPUTED_VALUE"""),"David Tam")</f>
        <v>David Tam</v>
      </c>
      <c r="C148" s="63">
        <f>IFERROR(__xludf.DUMMYFUNCTION("""COMPUTED_VALUE"""),238.0)</f>
        <v>238</v>
      </c>
      <c r="D148" s="64">
        <f>IFERROR(__xludf.DUMMYFUNCTION("""COMPUTED_VALUE"""),18.0)</f>
        <v>18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IFERROR(__xludf.DUMMYFUNCTION("""COMPUTED_VALUE"""),247.0)</f>
        <v>247</v>
      </c>
      <c r="N148" s="66">
        <f>IFERROR(__xludf.DUMMYFUNCTION("""COMPUTED_VALUE"""),18.0)</f>
        <v>18</v>
      </c>
    </row>
    <row r="149">
      <c r="A149" s="1"/>
      <c r="B149" s="62" t="str">
        <f>IFERROR(__xludf.DUMMYFUNCTION("""COMPUTED_VALUE"""),"Trinath Goteti")</f>
        <v>Trinath Goteti</v>
      </c>
      <c r="C149" s="63">
        <f>IFERROR(__xludf.DUMMYFUNCTION("""COMPUTED_VALUE"""),234.0)</f>
        <v>234</v>
      </c>
      <c r="D149" s="64">
        <f>IFERROR(__xludf.DUMMYFUNCTION("""COMPUTED_VALUE"""),14.0)</f>
        <v>14</v>
      </c>
      <c r="E149" s="63">
        <f>IFERROR(__xludf.DUMMYFUNCTION("""COMPUTED_VALUE"""),5.0)</f>
        <v>5</v>
      </c>
      <c r="F149" s="65">
        <f>IFERROR(__xludf.DUMMYFUNCTION("""COMPUTED_VALUE"""),0.0)</f>
        <v>0</v>
      </c>
      <c r="G149" s="65">
        <f>IFERROR(__xludf.DUMMYFUNCTION("""COMPUTED_VALUE"""),13.0)</f>
        <v>13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IFERROR(__xludf.DUMMYFUNCTION("""COMPUTED_VALUE"""),13.0)</f>
        <v>13</v>
      </c>
      <c r="L149" s="65">
        <f>IFERROR(__xludf.DUMMYFUNCTION("""COMPUTED_VALUE"""),0.0)</f>
        <v>0</v>
      </c>
      <c r="M149" s="65">
        <f>IFERROR(__xludf.DUMMYFUNCTION("""COMPUTED_VALUE"""),247.0)</f>
        <v>247</v>
      </c>
      <c r="N149" s="66">
        <f>IFERROR(__xludf.DUMMYFUNCTION("""COMPUTED_VALUE"""),14.0)</f>
        <v>14</v>
      </c>
    </row>
    <row r="150">
      <c r="A150" s="1"/>
      <c r="B150" s="62" t="str">
        <f>IFERROR(__xludf.DUMMYFUNCTION("""COMPUTED_VALUE"""),"Scott Li")</f>
        <v>Scott Li</v>
      </c>
      <c r="C150" s="63">
        <f>IFERROR(__xludf.DUMMYFUNCTION("""COMPUTED_VALUE"""),231.0)</f>
        <v>231</v>
      </c>
      <c r="D150" s="64">
        <f>IFERROR(__xludf.DUMMYFUNCTION("""COMPUTED_VALUE"""),18.0)</f>
        <v>18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IFERROR(__xludf.DUMMYFUNCTION("""COMPUTED_VALUE"""),240.0)</f>
        <v>240</v>
      </c>
      <c r="N150" s="66">
        <f>IFERROR(__xludf.DUMMYFUNCTION("""COMPUTED_VALUE"""),18.0)</f>
        <v>18</v>
      </c>
    </row>
    <row r="151">
      <c r="A151" s="1"/>
      <c r="B151" s="62" t="str">
        <f>IFERROR(__xludf.DUMMYFUNCTION("""COMPUTED_VALUE"""),"Sandy Weyant")</f>
        <v>Sandy Weyant</v>
      </c>
      <c r="C151" s="63">
        <f>IFERROR(__xludf.DUMMYFUNCTION("""COMPUTED_VALUE"""),231.0)</f>
        <v>231</v>
      </c>
      <c r="D151" s="64">
        <f>IFERROR(__xludf.DUMMYFUNCTION("""COMPUTED_VALUE"""),14.0)</f>
        <v>14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IFERROR(__xludf.DUMMYFUNCTION("""COMPUTED_VALUE"""),240.0)</f>
        <v>240</v>
      </c>
      <c r="N151" s="66">
        <f>IFERROR(__xludf.DUMMYFUNCTION("""COMPUTED_VALUE"""),14.0)</f>
        <v>14</v>
      </c>
    </row>
    <row r="152">
      <c r="A152" s="1"/>
      <c r="B152" s="62" t="str">
        <f>IFERROR(__xludf.DUMMYFUNCTION("""COMPUTED_VALUE"""),"Matthew Huang")</f>
        <v>Matthew Huang</v>
      </c>
      <c r="C152" s="63">
        <f>IFERROR(__xludf.DUMMYFUNCTION("""COMPUTED_VALUE"""),231.0)</f>
        <v>231</v>
      </c>
      <c r="D152" s="64">
        <f>IFERROR(__xludf.DUMMYFUNCTION("""COMPUTED_VALUE"""),12.0)</f>
        <v>12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IFERROR(__xludf.DUMMYFUNCTION("""COMPUTED_VALUE"""),240.0)</f>
        <v>240</v>
      </c>
      <c r="N152" s="66">
        <f>IFERROR(__xludf.DUMMYFUNCTION("""COMPUTED_VALUE"""),12.0)</f>
        <v>12</v>
      </c>
    </row>
    <row r="153">
      <c r="A153" s="1"/>
      <c r="B153" s="62" t="str">
        <f>IFERROR(__xludf.DUMMYFUNCTION("""COMPUTED_VALUE"""),"Kumar Palakeel")</f>
        <v>Kumar Palakeel</v>
      </c>
      <c r="C153" s="63">
        <f>IFERROR(__xludf.DUMMYFUNCTION("""COMPUTED_VALUE"""),229.0)</f>
        <v>229</v>
      </c>
      <c r="D153" s="64">
        <f>IFERROR(__xludf.DUMMYFUNCTION("""COMPUTED_VALUE"""),20.0)</f>
        <v>20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IFERROR(__xludf.DUMMYFUNCTION("""COMPUTED_VALUE"""),238.0)</f>
        <v>238</v>
      </c>
      <c r="N153" s="66">
        <f>IFERROR(__xludf.DUMMYFUNCTION("""COMPUTED_VALUE"""),20.0)</f>
        <v>20</v>
      </c>
    </row>
    <row r="154">
      <c r="A154" s="1"/>
      <c r="B154" s="62" t="str">
        <f>IFERROR(__xludf.DUMMYFUNCTION("""COMPUTED_VALUE"""),"Tony Wong")</f>
        <v>Tony Wong</v>
      </c>
      <c r="C154" s="63">
        <f>IFERROR(__xludf.DUMMYFUNCTION("""COMPUTED_VALUE"""),226.0)</f>
        <v>226</v>
      </c>
      <c r="D154" s="64">
        <f>IFERROR(__xludf.DUMMYFUNCTION("""COMPUTED_VALUE"""),14.0)</f>
        <v>14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IFERROR(__xludf.DUMMYFUNCTION("""COMPUTED_VALUE"""),235.0)</f>
        <v>235</v>
      </c>
      <c r="N154" s="66">
        <f>IFERROR(__xludf.DUMMYFUNCTION("""COMPUTED_VALUE"""),14.0)</f>
        <v>14</v>
      </c>
    </row>
    <row r="155">
      <c r="A155" s="1"/>
      <c r="B155" s="62" t="str">
        <f>IFERROR(__xludf.DUMMYFUNCTION("""COMPUTED_VALUE"""),"Rajasekar Ramasamy")</f>
        <v>Rajasekar Ramasamy</v>
      </c>
      <c r="C155" s="63">
        <f>IFERROR(__xludf.DUMMYFUNCTION("""COMPUTED_VALUE"""),224.0)</f>
        <v>224</v>
      </c>
      <c r="D155" s="64">
        <f>IFERROR(__xludf.DUMMYFUNCTION("""COMPUTED_VALUE"""),13.0)</f>
        <v>13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IFERROR(__xludf.DUMMYFUNCTION("""COMPUTED_VALUE"""),233.0)</f>
        <v>233</v>
      </c>
      <c r="N155" s="66">
        <f>IFERROR(__xludf.DUMMYFUNCTION("""COMPUTED_VALUE"""),13.0)</f>
        <v>13</v>
      </c>
    </row>
    <row r="156">
      <c r="A156" s="1"/>
      <c r="B156" s="62" t="str">
        <f>IFERROR(__xludf.DUMMYFUNCTION("""COMPUTED_VALUE"""),"Kingsley Kuo")</f>
        <v>Kingsley Kuo</v>
      </c>
      <c r="C156" s="63">
        <f>IFERROR(__xludf.DUMMYFUNCTION("""COMPUTED_VALUE"""),224.0)</f>
        <v>224</v>
      </c>
      <c r="D156" s="64">
        <f>IFERROR(__xludf.DUMMYFUNCTION("""COMPUTED_VALUE"""),11.0)</f>
        <v>11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IFERROR(__xludf.DUMMYFUNCTION("""COMPUTED_VALUE"""),233.0)</f>
        <v>233</v>
      </c>
      <c r="N156" s="66">
        <f>IFERROR(__xludf.DUMMYFUNCTION("""COMPUTED_VALUE"""),11.0)</f>
        <v>11</v>
      </c>
    </row>
    <row r="157">
      <c r="A157" s="1"/>
      <c r="B157" s="62" t="str">
        <f>IFERROR(__xludf.DUMMYFUNCTION("""COMPUTED_VALUE"""),"Manish Anand")</f>
        <v>Manish Anand</v>
      </c>
      <c r="C157" s="63">
        <f>IFERROR(__xludf.DUMMYFUNCTION("""COMPUTED_VALUE"""),222.0)</f>
        <v>222</v>
      </c>
      <c r="D157" s="64">
        <f>IFERROR(__xludf.DUMMYFUNCTION("""COMPUTED_VALUE"""),10.0)</f>
        <v>10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IFERROR(__xludf.DUMMYFUNCTION("""COMPUTED_VALUE"""),231.0)</f>
        <v>231</v>
      </c>
      <c r="N157" s="66">
        <f>IFERROR(__xludf.DUMMYFUNCTION("""COMPUTED_VALUE"""),10.0)</f>
        <v>10</v>
      </c>
    </row>
    <row r="158">
      <c r="A158" s="1"/>
      <c r="B158" s="62" t="str">
        <f>IFERROR(__xludf.DUMMYFUNCTION("""COMPUTED_VALUE"""),"Andrew Chin")</f>
        <v>Andrew Chin</v>
      </c>
      <c r="C158" s="63">
        <f>IFERROR(__xludf.DUMMYFUNCTION("""COMPUTED_VALUE"""),220.0)</f>
        <v>220</v>
      </c>
      <c r="D158" s="64">
        <f>IFERROR(__xludf.DUMMYFUNCTION("""COMPUTED_VALUE"""),10.0)</f>
        <v>10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IFERROR(__xludf.DUMMYFUNCTION("""COMPUTED_VALUE"""),229.0)</f>
        <v>229</v>
      </c>
      <c r="N158" s="66">
        <f>IFERROR(__xludf.DUMMYFUNCTION("""COMPUTED_VALUE"""),10.0)</f>
        <v>10</v>
      </c>
    </row>
    <row r="159">
      <c r="A159" s="1"/>
      <c r="B159" s="62" t="str">
        <f>IFERROR(__xludf.DUMMYFUNCTION("""COMPUTED_VALUE"""),"Vinot Kumar Nagappan")</f>
        <v>Vinot Kumar Nagappan</v>
      </c>
      <c r="C159" s="63">
        <f>IFERROR(__xludf.DUMMYFUNCTION("""COMPUTED_VALUE"""),220.0)</f>
        <v>220</v>
      </c>
      <c r="D159" s="64">
        <f>IFERROR(__xludf.DUMMYFUNCTION("""COMPUTED_VALUE"""),9.0)</f>
        <v>9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IFERROR(__xludf.DUMMYFUNCTION("""COMPUTED_VALUE"""),229.0)</f>
        <v>229</v>
      </c>
      <c r="N159" s="66">
        <f>IFERROR(__xludf.DUMMYFUNCTION("""COMPUTED_VALUE"""),9.0)</f>
        <v>9</v>
      </c>
    </row>
    <row r="160">
      <c r="A160" s="1"/>
      <c r="B160" s="62" t="str">
        <f>IFERROR(__xludf.DUMMYFUNCTION("""COMPUTED_VALUE"""),"Balaji Alahari")</f>
        <v>Balaji Alahari</v>
      </c>
      <c r="C160" s="63">
        <f>IFERROR(__xludf.DUMMYFUNCTION("""COMPUTED_VALUE"""),219.0)</f>
        <v>219</v>
      </c>
      <c r="D160" s="64">
        <f>IFERROR(__xludf.DUMMYFUNCTION("""COMPUTED_VALUE"""),8.0)</f>
        <v>8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IFERROR(__xludf.DUMMYFUNCTION("""COMPUTED_VALUE"""),228.0)</f>
        <v>228</v>
      </c>
      <c r="N160" s="66">
        <f>IFERROR(__xludf.DUMMYFUNCTION("""COMPUTED_VALUE"""),8.0)</f>
        <v>8</v>
      </c>
    </row>
    <row r="161">
      <c r="A161" s="1"/>
      <c r="B161" s="62" t="str">
        <f>IFERROR(__xludf.DUMMYFUNCTION("""COMPUTED_VALUE"""),"Vinaya Kajla")</f>
        <v>Vinaya Kajla</v>
      </c>
      <c r="C161" s="63">
        <f>IFERROR(__xludf.DUMMYFUNCTION("""COMPUTED_VALUE"""),217.0)</f>
        <v>217</v>
      </c>
      <c r="D161" s="64">
        <f>IFERROR(__xludf.DUMMYFUNCTION("""COMPUTED_VALUE"""),15.0)</f>
        <v>15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IFERROR(__xludf.DUMMYFUNCTION("""COMPUTED_VALUE"""),226.0)</f>
        <v>226</v>
      </c>
      <c r="N161" s="66">
        <f>IFERROR(__xludf.DUMMYFUNCTION("""COMPUTED_VALUE"""),15.0)</f>
        <v>15</v>
      </c>
    </row>
    <row r="162">
      <c r="A162" s="1"/>
      <c r="B162" s="62" t="str">
        <f>IFERROR(__xludf.DUMMYFUNCTION("""COMPUTED_VALUE"""),"Naveen Raj")</f>
        <v>Naveen Raj</v>
      </c>
      <c r="C162" s="63">
        <f>IFERROR(__xludf.DUMMYFUNCTION("""COMPUTED_VALUE"""),217.0)</f>
        <v>217</v>
      </c>
      <c r="D162" s="64">
        <f>IFERROR(__xludf.DUMMYFUNCTION("""COMPUTED_VALUE"""),11.0)</f>
        <v>11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IFERROR(__xludf.DUMMYFUNCTION("""COMPUTED_VALUE"""),226.0)</f>
        <v>226</v>
      </c>
      <c r="N162" s="66">
        <f>IFERROR(__xludf.DUMMYFUNCTION("""COMPUTED_VALUE"""),11.0)</f>
        <v>11</v>
      </c>
    </row>
    <row r="163">
      <c r="A163" s="1"/>
      <c r="B163" s="62" t="str">
        <f>IFERROR(__xludf.DUMMYFUNCTION("""COMPUTED_VALUE"""),"Savay Lieu")</f>
        <v>Savay Lieu</v>
      </c>
      <c r="C163" s="63">
        <f>IFERROR(__xludf.DUMMYFUNCTION("""COMPUTED_VALUE"""),212.0)</f>
        <v>212</v>
      </c>
      <c r="D163" s="64">
        <f>IFERROR(__xludf.DUMMYFUNCTION("""COMPUTED_VALUE"""),5.0)</f>
        <v>5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IFERROR(__xludf.DUMMYFUNCTION("""COMPUTED_VALUE"""),221.0)</f>
        <v>221</v>
      </c>
      <c r="N163" s="66">
        <f>IFERROR(__xludf.DUMMYFUNCTION("""COMPUTED_VALUE"""),5.0)</f>
        <v>5</v>
      </c>
    </row>
    <row r="164">
      <c r="A164" s="1"/>
      <c r="B164" s="62" t="str">
        <f>IFERROR(__xludf.DUMMYFUNCTION("""COMPUTED_VALUE"""),"Sanjaye Elayattu")</f>
        <v>Sanjaye Elayattu</v>
      </c>
      <c r="C164" s="63">
        <f>IFERROR(__xludf.DUMMYFUNCTION("""COMPUTED_VALUE"""),211.0)</f>
        <v>211</v>
      </c>
      <c r="D164" s="64">
        <f>IFERROR(__xludf.DUMMYFUNCTION("""COMPUTED_VALUE"""),4.0)</f>
        <v>4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IFERROR(__xludf.DUMMYFUNCTION("""COMPUTED_VALUE"""),220.0)</f>
        <v>220</v>
      </c>
      <c r="N164" s="66">
        <f>IFERROR(__xludf.DUMMYFUNCTION("""COMPUTED_VALUE"""),4.0)</f>
        <v>4</v>
      </c>
    </row>
    <row r="165">
      <c r="A165" s="1"/>
      <c r="B165" s="62" t="str">
        <f>IFERROR(__xludf.DUMMYFUNCTION("""COMPUTED_VALUE"""),"Amit Patel")</f>
        <v>Amit Patel</v>
      </c>
      <c r="C165" s="63">
        <f>IFERROR(__xludf.DUMMYFUNCTION("""COMPUTED_VALUE"""),210.0)</f>
        <v>210</v>
      </c>
      <c r="D165" s="64">
        <f>IFERROR(__xludf.DUMMYFUNCTION("""COMPUTED_VALUE"""),7.0)</f>
        <v>7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IFERROR(__xludf.DUMMYFUNCTION("""COMPUTED_VALUE"""),219.0)</f>
        <v>219</v>
      </c>
      <c r="N165" s="66">
        <f>IFERROR(__xludf.DUMMYFUNCTION("""COMPUTED_VALUE"""),7.0)</f>
        <v>7</v>
      </c>
    </row>
    <row r="166">
      <c r="A166" s="1"/>
      <c r="B166" s="62" t="str">
        <f>IFERROR(__xludf.DUMMYFUNCTION("""COMPUTED_VALUE"""),"Sudhagar Subbaian")</f>
        <v>Sudhagar Subbaian</v>
      </c>
      <c r="C166" s="63">
        <f>IFERROR(__xludf.DUMMYFUNCTION("""COMPUTED_VALUE"""),207.0)</f>
        <v>207</v>
      </c>
      <c r="D166" s="64">
        <f>IFERROR(__xludf.DUMMYFUNCTION("""COMPUTED_VALUE"""),5.0)</f>
        <v>5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IFERROR(__xludf.DUMMYFUNCTION("""COMPUTED_VALUE"""),216.0)</f>
        <v>216</v>
      </c>
      <c r="N166" s="66">
        <f>IFERROR(__xludf.DUMMYFUNCTION("""COMPUTED_VALUE"""),5.0)</f>
        <v>5</v>
      </c>
    </row>
    <row r="167">
      <c r="A167" s="1"/>
      <c r="B167" s="62" t="str">
        <f>IFERROR(__xludf.DUMMYFUNCTION("""COMPUTED_VALUE"""),"Robert Chang")</f>
        <v>Robert Chang</v>
      </c>
      <c r="C167" s="63">
        <f>IFERROR(__xludf.DUMMYFUNCTION("""COMPUTED_VALUE"""),207.0)</f>
        <v>207</v>
      </c>
      <c r="D167" s="64">
        <f>IFERROR(__xludf.DUMMYFUNCTION("""COMPUTED_VALUE"""),4.0)</f>
        <v>4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IFERROR(__xludf.DUMMYFUNCTION("""COMPUTED_VALUE"""),216.0)</f>
        <v>216</v>
      </c>
      <c r="N167" s="66">
        <f>IFERROR(__xludf.DUMMYFUNCTION("""COMPUTED_VALUE"""),4.0)</f>
        <v>4</v>
      </c>
    </row>
    <row r="168">
      <c r="A168" s="1"/>
      <c r="B168" s="62" t="str">
        <f>IFERROR(__xludf.DUMMYFUNCTION("""COMPUTED_VALUE"""),"Rosie Bonilla")</f>
        <v>Rosie Bonilla</v>
      </c>
      <c r="C168" s="63">
        <f>IFERROR(__xludf.DUMMYFUNCTION("""COMPUTED_VALUE"""),204.0)</f>
        <v>204</v>
      </c>
      <c r="D168" s="64">
        <f>IFERROR(__xludf.DUMMYFUNCTION("""COMPUTED_VALUE"""),2.0)</f>
        <v>2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IFERROR(__xludf.DUMMYFUNCTION("""COMPUTED_VALUE"""),213.0)</f>
        <v>213</v>
      </c>
      <c r="N168" s="66">
        <f>IFERROR(__xludf.DUMMYFUNCTION("""COMPUTED_VALUE"""),2.0)</f>
        <v>2</v>
      </c>
    </row>
    <row r="169">
      <c r="A169" s="1"/>
      <c r="B169" s="62" t="str">
        <f>IFERROR(__xludf.DUMMYFUNCTION("""COMPUTED_VALUE"""),"Ash Nikravan")</f>
        <v>Ash Nikravan</v>
      </c>
      <c r="C169" s="63">
        <f>IFERROR(__xludf.DUMMYFUNCTION("""COMPUTED_VALUE"""),200.0)</f>
        <v>200</v>
      </c>
      <c r="D169" s="64">
        <f>IFERROR(__xludf.DUMMYFUNCTION("""COMPUTED_VALUE"""),5.0)</f>
        <v>5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IFERROR(__xludf.DUMMYFUNCTION("""COMPUTED_VALUE"""),209.0)</f>
        <v>209</v>
      </c>
      <c r="N169" s="66">
        <f>IFERROR(__xludf.DUMMYFUNCTION("""COMPUTED_VALUE"""),5.0)</f>
        <v>5</v>
      </c>
    </row>
    <row r="170">
      <c r="A170" s="1"/>
      <c r="B170" s="62" t="str">
        <f>IFERROR(__xludf.DUMMYFUNCTION("""COMPUTED_VALUE"""),"Troy Wong")</f>
        <v>Troy Wong</v>
      </c>
      <c r="C170" s="63">
        <f>IFERROR(__xludf.DUMMYFUNCTION("""COMPUTED_VALUE"""),199.0)</f>
        <v>199</v>
      </c>
      <c r="D170" s="64">
        <f>IFERROR(__xludf.DUMMYFUNCTION("""COMPUTED_VALUE"""),4.0)</f>
        <v>4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IFERROR(__xludf.DUMMYFUNCTION("""COMPUTED_VALUE"""),208.0)</f>
        <v>208</v>
      </c>
      <c r="N170" s="66">
        <f>IFERROR(__xludf.DUMMYFUNCTION("""COMPUTED_VALUE"""),4.0)</f>
        <v>4</v>
      </c>
    </row>
    <row r="171">
      <c r="A171" s="1"/>
      <c r="B171" s="62" t="str">
        <f>IFERROR(__xludf.DUMMYFUNCTION("""COMPUTED_VALUE"""),"Santosh Sundaresan ")</f>
        <v>Santosh Sundaresan </v>
      </c>
      <c r="C171" s="63">
        <f>IFERROR(__xludf.DUMMYFUNCTION("""COMPUTED_VALUE"""),198.0)</f>
        <v>198</v>
      </c>
      <c r="D171" s="64">
        <f>IFERROR(__xludf.DUMMYFUNCTION("""COMPUTED_VALUE"""),4.0)</f>
        <v>4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IFERROR(__xludf.DUMMYFUNCTION("""COMPUTED_VALUE"""),207.0)</f>
        <v>207</v>
      </c>
      <c r="N171" s="66">
        <f>IFERROR(__xludf.DUMMYFUNCTION("""COMPUTED_VALUE"""),4.0)</f>
        <v>4</v>
      </c>
    </row>
    <row r="172">
      <c r="A172" s="1"/>
      <c r="B172" s="62" t="str">
        <f>IFERROR(__xludf.DUMMYFUNCTION("""COMPUTED_VALUE"""),"Tony Lin")</f>
        <v>Tony Lin</v>
      </c>
      <c r="C172" s="63">
        <f>IFERROR(__xludf.DUMMYFUNCTION("""COMPUTED_VALUE"""),198.0)</f>
        <v>198</v>
      </c>
      <c r="D172" s="64">
        <f>IFERROR(__xludf.DUMMYFUNCTION("""COMPUTED_VALUE"""),3.0)</f>
        <v>3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IFERROR(__xludf.DUMMYFUNCTION("""COMPUTED_VALUE"""),207.0)</f>
        <v>207</v>
      </c>
      <c r="N172" s="66">
        <f>IFERROR(__xludf.DUMMYFUNCTION("""COMPUTED_VALUE"""),3.0)</f>
        <v>3</v>
      </c>
    </row>
    <row r="173">
      <c r="A173" s="1"/>
      <c r="B173" s="62" t="str">
        <f>IFERROR(__xludf.DUMMYFUNCTION("""COMPUTED_VALUE"""),"Chandrasekar Chinnathambi")</f>
        <v>Chandrasekar Chinnathambi</v>
      </c>
      <c r="C173" s="63">
        <f>IFERROR(__xludf.DUMMYFUNCTION("""COMPUTED_VALUE"""),196.0)</f>
        <v>196</v>
      </c>
      <c r="D173" s="64">
        <f>IFERROR(__xludf.DUMMYFUNCTION("""COMPUTED_VALUE"""),1.0)</f>
        <v>1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IFERROR(__xludf.DUMMYFUNCTION("""COMPUTED_VALUE"""),205.0)</f>
        <v>205</v>
      </c>
      <c r="N173" s="66">
        <f>IFERROR(__xludf.DUMMYFUNCTION("""COMPUTED_VALUE"""),1.0)</f>
        <v>1</v>
      </c>
    </row>
    <row r="174">
      <c r="A174" s="1"/>
      <c r="B174" s="62" t="str">
        <f>IFERROR(__xludf.DUMMYFUNCTION("""COMPUTED_VALUE"""),"Marcus Yovas")</f>
        <v>Marcus Yovas</v>
      </c>
      <c r="C174" s="63">
        <f>IFERROR(__xludf.DUMMYFUNCTION("""COMPUTED_VALUE"""),193.0)</f>
        <v>193</v>
      </c>
      <c r="D174" s="64">
        <f>IFERROR(__xludf.DUMMYFUNCTION("""COMPUTED_VALUE"""),2.0)</f>
        <v>2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IFERROR(__xludf.DUMMYFUNCTION("""COMPUTED_VALUE"""),202.0)</f>
        <v>202</v>
      </c>
      <c r="N174" s="66">
        <f>IFERROR(__xludf.DUMMYFUNCTION("""COMPUTED_VALUE"""),2.0)</f>
        <v>2</v>
      </c>
    </row>
    <row r="175">
      <c r="A175" s="1"/>
      <c r="B175" s="62" t="str">
        <f>IFERROR(__xludf.DUMMYFUNCTION("""COMPUTED_VALUE"""),"Joyce Zhu")</f>
        <v>Joyce Zhu</v>
      </c>
      <c r="C175" s="63">
        <f>IFERROR(__xludf.DUMMYFUNCTION("""COMPUTED_VALUE"""),189.0)</f>
        <v>189</v>
      </c>
      <c r="D175" s="64">
        <f>IFERROR(__xludf.DUMMYFUNCTION("""COMPUTED_VALUE"""),5.0)</f>
        <v>5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IFERROR(__xludf.DUMMYFUNCTION("""COMPUTED_VALUE"""),198.0)</f>
        <v>198</v>
      </c>
      <c r="N175" s="66">
        <f>IFERROR(__xludf.DUMMYFUNCTION("""COMPUTED_VALUE"""),5.0)</f>
        <v>5</v>
      </c>
    </row>
    <row r="176">
      <c r="A176" s="1"/>
      <c r="B176" s="62" t="str">
        <f>IFERROR(__xludf.DUMMYFUNCTION("""COMPUTED_VALUE"""),"Vilas Janardhanan")</f>
        <v>Vilas Janardhanan</v>
      </c>
      <c r="C176" s="63">
        <f>IFERROR(__xludf.DUMMYFUNCTION("""COMPUTED_VALUE"""),189.0)</f>
        <v>189</v>
      </c>
      <c r="D176" s="64">
        <f>IFERROR(__xludf.DUMMYFUNCTION("""COMPUTED_VALUE"""),0.0)</f>
        <v>0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IFERROR(__xludf.DUMMYFUNCTION("""COMPUTED_VALUE"""),198.0)</f>
        <v>198</v>
      </c>
      <c r="N176" s="66">
        <f>IFERROR(__xludf.DUMMYFUNCTION("""COMPUTED_VALUE"""),0.0)</f>
        <v>0</v>
      </c>
    </row>
    <row r="177">
      <c r="A177" s="1"/>
      <c r="B177" s="62" t="str">
        <f>IFERROR(__xludf.DUMMYFUNCTION("""COMPUTED_VALUE"""),"Coco Yan")</f>
        <v>Coco Yan</v>
      </c>
      <c r="C177" s="63">
        <f>IFERROR(__xludf.DUMMYFUNCTION("""COMPUTED_VALUE"""),189.0)</f>
        <v>189</v>
      </c>
      <c r="D177" s="64">
        <f>IFERROR(__xludf.DUMMYFUNCTION("""COMPUTED_VALUE"""),0.0)</f>
        <v>0</v>
      </c>
      <c r="E177" s="63">
        <f>IFERROR(__xludf.DUMMYFUNCTION("""COMPUTED_VALUE"""),3.0)</f>
        <v>3</v>
      </c>
      <c r="F177" s="65">
        <f>IFERROR(__xludf.DUMMYFUNCTION("""COMPUTED_VALUE"""),0.0)</f>
        <v>0</v>
      </c>
      <c r="G177" s="65">
        <f>IFERROR(__xludf.DUMMYFUNCTION("""COMPUTED_VALUE"""),9.0)</f>
        <v>9</v>
      </c>
      <c r="H177" s="65">
        <f>IFERROR(__xludf.DUMMYFUNCTION("""COMPUTED_VALUE"""),0.0)</f>
        <v>0</v>
      </c>
      <c r="I177" s="65">
        <f>IFERROR(__xludf.DUMMYFUNCTION("""COMPUTED_VALUE"""),0.0)</f>
        <v>0</v>
      </c>
      <c r="J177" s="65">
        <f>IFERROR(__xludf.DUMMYFUNCTION("""COMPUTED_VALUE"""),0.0)</f>
        <v>0</v>
      </c>
      <c r="K177" s="65">
        <f>IFERROR(__xludf.DUMMYFUNCTION("""COMPUTED_VALUE"""),9.0)</f>
        <v>9</v>
      </c>
      <c r="L177" s="65">
        <f>IFERROR(__xludf.DUMMYFUNCTION("""COMPUTED_VALUE"""),0.0)</f>
        <v>0</v>
      </c>
      <c r="M177" s="65">
        <f>IFERROR(__xludf.DUMMYFUNCTION("""COMPUTED_VALUE"""),198.0)</f>
        <v>198</v>
      </c>
      <c r="N177" s="66">
        <f>IFERROR(__xludf.DUMMYFUNCTION("""COMPUTED_VALUE"""),0.0)</f>
        <v>0</v>
      </c>
    </row>
    <row r="178">
      <c r="A178" s="1"/>
      <c r="B178" s="62" t="str">
        <f>IFERROR(__xludf.DUMMYFUNCTION("""COMPUTED_VALUE"""),"Tiffany Yu")</f>
        <v>Tiffany Yu</v>
      </c>
      <c r="C178" s="63">
        <f>IFERROR(__xludf.DUMMYFUNCTION("""COMPUTED_VALUE"""),188.0)</f>
        <v>188</v>
      </c>
      <c r="D178" s="64">
        <f>IFERROR(__xludf.DUMMYFUNCTION("""COMPUTED_VALUE"""),2.0)</f>
        <v>2</v>
      </c>
      <c r="E178" s="63">
        <f>IFERROR(__xludf.DUMMYFUNCTION("""COMPUTED_VALUE"""),3.0)</f>
        <v>3</v>
      </c>
      <c r="F178" s="65">
        <f>IFERROR(__xludf.DUMMYFUNCTION("""COMPUTED_VALUE"""),0.0)</f>
        <v>0</v>
      </c>
      <c r="G178" s="65">
        <f>IFERROR(__xludf.DUMMYFUNCTION("""COMPUTED_VALUE"""),9.0)</f>
        <v>9</v>
      </c>
      <c r="H178" s="65">
        <f>IFERROR(__xludf.DUMMYFUNCTION("""COMPUTED_VALUE"""),0.0)</f>
        <v>0</v>
      </c>
      <c r="I178" s="65">
        <f>IFERROR(__xludf.DUMMYFUNCTION("""COMPUTED_VALUE"""),0.0)</f>
        <v>0</v>
      </c>
      <c r="J178" s="65">
        <f>IFERROR(__xludf.DUMMYFUNCTION("""COMPUTED_VALUE"""),0.0)</f>
        <v>0</v>
      </c>
      <c r="K178" s="65">
        <f>IFERROR(__xludf.DUMMYFUNCTION("""COMPUTED_VALUE"""),9.0)</f>
        <v>9</v>
      </c>
      <c r="L178" s="65">
        <f>IFERROR(__xludf.DUMMYFUNCTION("""COMPUTED_VALUE"""),0.0)</f>
        <v>0</v>
      </c>
      <c r="M178" s="65">
        <f>IFERROR(__xludf.DUMMYFUNCTION("""COMPUTED_VALUE"""),197.0)</f>
        <v>197</v>
      </c>
      <c r="N178" s="66">
        <f>IFERROR(__xludf.DUMMYFUNCTION("""COMPUTED_VALUE"""),2.0)</f>
        <v>2</v>
      </c>
    </row>
    <row r="179">
      <c r="A179" s="1"/>
      <c r="B179" s="62" t="str">
        <f>IFERROR(__xludf.DUMMYFUNCTION("""COMPUTED_VALUE"""),"Sai Dilip Ponnaganti")</f>
        <v>Sai Dilip Ponnaganti</v>
      </c>
      <c r="C179" s="63">
        <f>IFERROR(__xludf.DUMMYFUNCTION("""COMPUTED_VALUE"""),180.0)</f>
        <v>180</v>
      </c>
      <c r="D179" s="64">
        <f>IFERROR(__xludf.DUMMYFUNCTION("""COMPUTED_VALUE"""),0.0)</f>
        <v>0</v>
      </c>
      <c r="E179" s="63">
        <f>IFERROR(__xludf.DUMMYFUNCTION("""COMPUTED_VALUE"""),3.0)</f>
        <v>3</v>
      </c>
      <c r="F179" s="65">
        <f>IFERROR(__xludf.DUMMYFUNCTION("""COMPUTED_VALUE"""),0.0)</f>
        <v>0</v>
      </c>
      <c r="G179" s="65">
        <f>IFERROR(__xludf.DUMMYFUNCTION("""COMPUTED_VALUE"""),9.0)</f>
        <v>9</v>
      </c>
      <c r="H179" s="65">
        <f>IFERROR(__xludf.DUMMYFUNCTION("""COMPUTED_VALUE"""),0.0)</f>
        <v>0</v>
      </c>
      <c r="I179" s="65">
        <f>IFERROR(__xludf.DUMMYFUNCTION("""COMPUTED_VALUE"""),0.0)</f>
        <v>0</v>
      </c>
      <c r="J179" s="65">
        <f>IFERROR(__xludf.DUMMYFUNCTION("""COMPUTED_VALUE"""),0.0)</f>
        <v>0</v>
      </c>
      <c r="K179" s="65">
        <f>IFERROR(__xludf.DUMMYFUNCTION("""COMPUTED_VALUE"""),9.0)</f>
        <v>9</v>
      </c>
      <c r="L179" s="65">
        <f>IFERROR(__xludf.DUMMYFUNCTION("""COMPUTED_VALUE"""),0.0)</f>
        <v>0</v>
      </c>
      <c r="M179" s="65">
        <f>IFERROR(__xludf.DUMMYFUNCTION("""COMPUTED_VALUE"""),189.0)</f>
        <v>189</v>
      </c>
      <c r="N179" s="66">
        <f>IFERROR(__xludf.DUMMYFUNCTION("""COMPUTED_VALUE"""),0.0)</f>
        <v>0</v>
      </c>
    </row>
    <row r="180">
      <c r="A180" s="1"/>
      <c r="B180" s="62" t="str">
        <f>IFERROR(__xludf.DUMMYFUNCTION("""COMPUTED_VALUE"""),"Jose Ortiz")</f>
        <v>Jose Ortiz</v>
      </c>
      <c r="C180" s="63">
        <f>IFERROR(__xludf.DUMMYFUNCTION("""COMPUTED_VALUE"""),179.0)</f>
        <v>179</v>
      </c>
      <c r="D180" s="64">
        <f>IFERROR(__xludf.DUMMYFUNCTION("""COMPUTED_VALUE"""),2.0)</f>
        <v>2</v>
      </c>
      <c r="E180" s="63">
        <f>IFERROR(__xludf.DUMMYFUNCTION("""COMPUTED_VALUE"""),3.0)</f>
        <v>3</v>
      </c>
      <c r="F180" s="65">
        <f>IFERROR(__xludf.DUMMYFUNCTION("""COMPUTED_VALUE"""),0.0)</f>
        <v>0</v>
      </c>
      <c r="G180" s="65">
        <f>IFERROR(__xludf.DUMMYFUNCTION("""COMPUTED_VALUE"""),9.0)</f>
        <v>9</v>
      </c>
      <c r="H180" s="65">
        <f>IFERROR(__xludf.DUMMYFUNCTION("""COMPUTED_VALUE"""),0.0)</f>
        <v>0</v>
      </c>
      <c r="I180" s="65">
        <f>IFERROR(__xludf.DUMMYFUNCTION("""COMPUTED_VALUE"""),0.0)</f>
        <v>0</v>
      </c>
      <c r="J180" s="65">
        <f>IFERROR(__xludf.DUMMYFUNCTION("""COMPUTED_VALUE"""),0.0)</f>
        <v>0</v>
      </c>
      <c r="K180" s="65">
        <f>IFERROR(__xludf.DUMMYFUNCTION("""COMPUTED_VALUE"""),9.0)</f>
        <v>9</v>
      </c>
      <c r="L180" s="65">
        <f>IFERROR(__xludf.DUMMYFUNCTION("""COMPUTED_VALUE"""),0.0)</f>
        <v>0</v>
      </c>
      <c r="M180" s="65">
        <f>IFERROR(__xludf.DUMMYFUNCTION("""COMPUTED_VALUE"""),188.0)</f>
        <v>188</v>
      </c>
      <c r="N180" s="66">
        <f>IFERROR(__xludf.DUMMYFUNCTION("""COMPUTED_VALUE"""),2.0)</f>
        <v>2</v>
      </c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B222" s="74" t="s">
        <v>137</v>
      </c>
      <c r="C222" s="1"/>
      <c r="D222" s="1"/>
      <c r="E222" s="1"/>
      <c r="U222" s="74" t="s">
        <v>138</v>
      </c>
    </row>
    <row r="223">
      <c r="A223" s="41">
        <v>1.0</v>
      </c>
      <c r="B223" s="62" t="str">
        <f>IFERROR(__xludf.DUMMYFUNCTION("QUERY(B5:Q69, ""Select B   where Q is null"")"),"#N/A")</f>
        <v>#N/A</v>
      </c>
      <c r="C223" s="1"/>
      <c r="D223" s="1"/>
      <c r="E223" s="1"/>
      <c r="T223" s="41">
        <v>1.0</v>
      </c>
      <c r="U223" s="21" t="str">
        <f>IFERROR(__xludf.DUMMYFUNCTION("QUERY(B5:Q69, ""Select B   where Q = 'N' "")"),"David Tam")</f>
        <v>David Tam</v>
      </c>
    </row>
    <row r="224">
      <c r="A224" s="1">
        <f t="shared" ref="A224:A244" si="69">A223+1</f>
        <v>2</v>
      </c>
      <c r="B224" s="62"/>
      <c r="C224" s="1"/>
      <c r="D224" s="1"/>
      <c r="E224" s="1"/>
      <c r="T224" s="1">
        <f t="shared" ref="T224:T235" si="70">T223+1</f>
        <v>2</v>
      </c>
      <c r="U224" s="21" t="str">
        <f>IFERROR(__xludf.DUMMYFUNCTION("""COMPUTED_VALUE"""),"Tony Wong")</f>
        <v>Tony Wong</v>
      </c>
    </row>
    <row r="225">
      <c r="A225" s="1">
        <f t="shared" si="69"/>
        <v>3</v>
      </c>
      <c r="B225" s="62"/>
      <c r="C225" s="1"/>
      <c r="D225" s="1"/>
      <c r="E225" s="1"/>
      <c r="T225" s="1">
        <f t="shared" si="70"/>
        <v>3</v>
      </c>
      <c r="U225" s="21" t="str">
        <f>IFERROR(__xludf.DUMMYFUNCTION("""COMPUTED_VALUE"""),"Kingsley Kuo")</f>
        <v>Kingsley Kuo</v>
      </c>
    </row>
    <row r="226">
      <c r="A226" s="1">
        <f t="shared" si="69"/>
        <v>4</v>
      </c>
      <c r="B226" s="62"/>
      <c r="C226" s="1"/>
      <c r="D226" s="1"/>
      <c r="E226" s="1"/>
      <c r="T226" s="1">
        <f t="shared" si="70"/>
        <v>4</v>
      </c>
      <c r="U226" s="21" t="str">
        <f>IFERROR(__xludf.DUMMYFUNCTION("""COMPUTED_VALUE"""),"Andrew Chin")</f>
        <v>Andrew Chin</v>
      </c>
    </row>
    <row r="227">
      <c r="A227" s="1">
        <f t="shared" si="69"/>
        <v>5</v>
      </c>
      <c r="B227" s="62"/>
      <c r="C227" s="1"/>
      <c r="D227" s="1"/>
      <c r="E227" s="1"/>
      <c r="T227" s="1">
        <f t="shared" si="70"/>
        <v>5</v>
      </c>
      <c r="U227" s="21" t="str">
        <f>IFERROR(__xludf.DUMMYFUNCTION("""COMPUTED_VALUE"""),"Vinot Kumar Nagappan")</f>
        <v>Vinot Kumar Nagappan</v>
      </c>
    </row>
    <row r="228">
      <c r="A228" s="1">
        <f t="shared" si="69"/>
        <v>6</v>
      </c>
      <c r="B228" s="62"/>
      <c r="C228" s="1"/>
      <c r="D228" s="1"/>
      <c r="E228" s="1"/>
      <c r="T228" s="1">
        <f t="shared" si="70"/>
        <v>6</v>
      </c>
      <c r="U228" s="21" t="str">
        <f>IFERROR(__xludf.DUMMYFUNCTION("""COMPUTED_VALUE"""),"Savay Lieu")</f>
        <v>Savay Lieu</v>
      </c>
    </row>
    <row r="229">
      <c r="A229" s="1">
        <f t="shared" si="69"/>
        <v>7</v>
      </c>
      <c r="B229" s="62"/>
      <c r="C229" s="1"/>
      <c r="D229" s="1"/>
      <c r="E229" s="1"/>
      <c r="T229" s="1">
        <f t="shared" si="70"/>
        <v>7</v>
      </c>
      <c r="U229" s="21" t="str">
        <f>IFERROR(__xludf.DUMMYFUNCTION("""COMPUTED_VALUE"""),"Sudhagar Subbaian")</f>
        <v>Sudhagar Subbaian</v>
      </c>
    </row>
    <row r="230">
      <c r="A230" s="1">
        <f t="shared" si="69"/>
        <v>8</v>
      </c>
      <c r="B230" s="62"/>
      <c r="C230" s="1"/>
      <c r="D230" s="1"/>
      <c r="E230" s="1"/>
      <c r="T230" s="1">
        <f t="shared" si="70"/>
        <v>8</v>
      </c>
      <c r="U230" s="21" t="str">
        <f>IFERROR(__xludf.DUMMYFUNCTION("""COMPUTED_VALUE"""),"Rosie Bonilla")</f>
        <v>Rosie Bonilla</v>
      </c>
    </row>
    <row r="231">
      <c r="A231" s="1">
        <f t="shared" si="69"/>
        <v>9</v>
      </c>
      <c r="B231" s="62"/>
      <c r="C231" s="1"/>
      <c r="D231" s="1"/>
      <c r="E231" s="1"/>
      <c r="T231" s="1">
        <f t="shared" si="70"/>
        <v>9</v>
      </c>
      <c r="U231" s="21" t="str">
        <f>IFERROR(__xludf.DUMMYFUNCTION("""COMPUTED_VALUE"""),"Ash Nikravan")</f>
        <v>Ash Nikravan</v>
      </c>
    </row>
    <row r="232">
      <c r="A232" s="1">
        <f t="shared" si="69"/>
        <v>10</v>
      </c>
      <c r="B232" s="62"/>
      <c r="C232" s="1"/>
      <c r="D232" s="1"/>
      <c r="E232" s="1"/>
      <c r="T232" s="1">
        <f t="shared" si="70"/>
        <v>10</v>
      </c>
      <c r="U232" s="21" t="str">
        <f>IFERROR(__xludf.DUMMYFUNCTION("""COMPUTED_VALUE"""),"Chandrasekar Chinnathambi")</f>
        <v>Chandrasekar Chinnathambi</v>
      </c>
    </row>
    <row r="233">
      <c r="A233" s="1">
        <f t="shared" si="69"/>
        <v>11</v>
      </c>
      <c r="B233" s="62"/>
      <c r="C233" s="1"/>
      <c r="D233" s="1"/>
      <c r="E233" s="1"/>
      <c r="T233" s="1">
        <f t="shared" si="70"/>
        <v>11</v>
      </c>
      <c r="U233" s="21" t="str">
        <f>IFERROR(__xludf.DUMMYFUNCTION("""COMPUTED_VALUE"""),"Marcus Yovas")</f>
        <v>Marcus Yovas</v>
      </c>
    </row>
    <row r="234">
      <c r="A234" s="1">
        <f t="shared" si="69"/>
        <v>12</v>
      </c>
      <c r="B234" s="62"/>
      <c r="C234" s="1"/>
      <c r="D234" s="1"/>
      <c r="E234" s="1"/>
      <c r="T234" s="1">
        <f t="shared" si="70"/>
        <v>12</v>
      </c>
      <c r="U234" s="21" t="str">
        <f>IFERROR(__xludf.DUMMYFUNCTION("""COMPUTED_VALUE"""),"Vilas Janardhanan")</f>
        <v>Vilas Janardhanan</v>
      </c>
    </row>
    <row r="235">
      <c r="A235" s="1">
        <f t="shared" si="69"/>
        <v>13</v>
      </c>
      <c r="B235" s="62"/>
      <c r="C235" s="1"/>
      <c r="D235" s="1"/>
      <c r="E235" s="1"/>
      <c r="T235" s="1">
        <f t="shared" si="70"/>
        <v>13</v>
      </c>
      <c r="U235" s="21" t="str">
        <f>IFERROR(__xludf.DUMMYFUNCTION("""COMPUTED_VALUE"""),"Tiffany Yu")</f>
        <v>Tiffany Yu</v>
      </c>
    </row>
    <row r="236">
      <c r="A236" s="1">
        <f t="shared" si="69"/>
        <v>14</v>
      </c>
      <c r="B236" s="62"/>
      <c r="C236" s="1"/>
      <c r="D236" s="1"/>
      <c r="E236" s="1"/>
    </row>
    <row r="237">
      <c r="A237" s="1">
        <f t="shared" si="69"/>
        <v>15</v>
      </c>
      <c r="B237" s="62"/>
      <c r="C237" s="1"/>
      <c r="D237" s="1"/>
      <c r="E237" s="1"/>
    </row>
    <row r="238">
      <c r="A238" s="1">
        <f t="shared" si="69"/>
        <v>16</v>
      </c>
      <c r="B238" s="62"/>
      <c r="C238" s="1"/>
      <c r="D238" s="1"/>
      <c r="E238" s="1"/>
    </row>
    <row r="239">
      <c r="A239" s="1">
        <f t="shared" si="69"/>
        <v>17</v>
      </c>
      <c r="B239" s="62"/>
      <c r="C239" s="1"/>
      <c r="D239" s="1"/>
      <c r="E239" s="1"/>
    </row>
    <row r="240">
      <c r="A240" s="1">
        <f t="shared" si="69"/>
        <v>18</v>
      </c>
      <c r="B240" s="62"/>
      <c r="C240" s="1"/>
      <c r="D240" s="1"/>
      <c r="E240" s="1"/>
    </row>
    <row r="241">
      <c r="A241" s="1">
        <f t="shared" si="69"/>
        <v>19</v>
      </c>
      <c r="B241" s="62"/>
      <c r="C241" s="1"/>
      <c r="D241" s="1"/>
      <c r="E241" s="1"/>
    </row>
    <row r="242">
      <c r="A242" s="1">
        <f t="shared" si="69"/>
        <v>20</v>
      </c>
      <c r="B242" s="62"/>
      <c r="C242" s="1"/>
      <c r="D242" s="1"/>
      <c r="E242" s="1"/>
    </row>
    <row r="243">
      <c r="A243" s="1">
        <f t="shared" si="69"/>
        <v>21</v>
      </c>
      <c r="B243" s="62"/>
      <c r="C243" s="1"/>
      <c r="D243" s="1"/>
      <c r="E243" s="1"/>
    </row>
    <row r="244">
      <c r="A244" s="1">
        <f t="shared" si="69"/>
        <v>22</v>
      </c>
      <c r="B244" s="62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"/>
      <c r="B1" s="2" t="s">
        <v>1</v>
      </c>
      <c r="C1" s="5">
        <v>45465.0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21.0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  <c r="Q3" s="20" t="s">
        <v>27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34</v>
      </c>
      <c r="R4" s="24" t="s">
        <v>35</v>
      </c>
      <c r="S4" s="24" t="s">
        <v>36</v>
      </c>
      <c r="T4" s="24" t="s">
        <v>37</v>
      </c>
    </row>
    <row r="5">
      <c r="A5" s="26">
        <v>1.0</v>
      </c>
      <c r="B5" s="27" t="s">
        <v>38</v>
      </c>
      <c r="C5" s="28">
        <v>281.0</v>
      </c>
      <c r="D5" s="29">
        <v>31.0</v>
      </c>
      <c r="E5" s="30">
        <v>1.0</v>
      </c>
      <c r="F5" s="31">
        <v>1.0</v>
      </c>
      <c r="G5" s="28">
        <v>0.0</v>
      </c>
      <c r="H5" s="31">
        <v>6.0</v>
      </c>
      <c r="I5" s="31">
        <v>6.0</v>
      </c>
      <c r="J5" s="31">
        <v>7.0</v>
      </c>
      <c r="K5" s="33">
        <v>19.0</v>
      </c>
      <c r="L5" s="31">
        <v>3.0</v>
      </c>
      <c r="M5" s="28">
        <f t="shared" ref="M5:N5" si="1">C5+K5</f>
        <v>300</v>
      </c>
      <c r="N5" s="29">
        <f t="shared" si="1"/>
        <v>34</v>
      </c>
      <c r="O5" s="35" t="s">
        <v>46</v>
      </c>
      <c r="P5" s="35" t="s">
        <v>46</v>
      </c>
      <c r="Q5" s="35"/>
      <c r="R5" s="31">
        <f>if(G5=13,1,0)+VLOOKUP(B5,'061524'!B:T,17,false)</f>
        <v>1</v>
      </c>
      <c r="S5" s="31"/>
      <c r="T5" s="31">
        <f>if(G5=9,1,0)+VLOOKUP(B5,'061524'!B:T,19,false)</f>
        <v>7</v>
      </c>
    </row>
    <row r="6">
      <c r="A6" s="26">
        <f t="shared" ref="A6:A69" si="3">A5+1</f>
        <v>2</v>
      </c>
      <c r="B6" s="27" t="s">
        <v>48</v>
      </c>
      <c r="C6" s="28">
        <v>269.0</v>
      </c>
      <c r="D6" s="29">
        <v>27.0</v>
      </c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f t="shared" ref="M6:N6" si="2">C6+K6</f>
        <v>278</v>
      </c>
      <c r="N6" s="29">
        <f t="shared" si="2"/>
        <v>27</v>
      </c>
      <c r="O6" s="35" t="s">
        <v>46</v>
      </c>
      <c r="P6" s="35" t="s">
        <v>46</v>
      </c>
      <c r="Q6" s="35" t="s">
        <v>46</v>
      </c>
      <c r="R6" s="31">
        <f>if(G6=13,1,0)+VLOOKUP(B6,'061524'!B:T,17,false)</f>
        <v>2</v>
      </c>
      <c r="S6" s="31"/>
      <c r="T6" s="31">
        <f>if(G6=9,1,0)+VLOOKUP(B6,'061524'!B:T,19,false)</f>
        <v>7</v>
      </c>
    </row>
    <row r="7">
      <c r="A7" s="26">
        <f t="shared" si="3"/>
        <v>3</v>
      </c>
      <c r="B7" s="39" t="s">
        <v>52</v>
      </c>
      <c r="C7" s="28">
        <v>259.0</v>
      </c>
      <c r="D7" s="29">
        <v>29.0</v>
      </c>
      <c r="E7" s="30">
        <v>1.0</v>
      </c>
      <c r="F7" s="31">
        <v>1.0</v>
      </c>
      <c r="G7" s="28">
        <v>0.0</v>
      </c>
      <c r="H7" s="31">
        <v>3.0</v>
      </c>
      <c r="I7" s="31">
        <v>2.0</v>
      </c>
      <c r="J7" s="31">
        <v>7.0</v>
      </c>
      <c r="K7" s="33">
        <v>12.0</v>
      </c>
      <c r="L7" s="31">
        <v>1.0</v>
      </c>
      <c r="M7" s="28">
        <f t="shared" ref="M7:N7" si="4">C7+K7</f>
        <v>271</v>
      </c>
      <c r="N7" s="29">
        <f t="shared" si="4"/>
        <v>30</v>
      </c>
      <c r="O7" s="35" t="s">
        <v>46</v>
      </c>
      <c r="P7" s="35" t="s">
        <v>46</v>
      </c>
      <c r="Q7" s="35" t="s">
        <v>46</v>
      </c>
      <c r="R7" s="31">
        <f>if(G7=13,1,0)+VLOOKUP(B7,'061524'!B:T,17,false)</f>
        <v>0</v>
      </c>
      <c r="S7" s="31"/>
      <c r="T7" s="31">
        <f>if(G7=9,1,0)+VLOOKUP(B7,'061524'!B:T,19,false)</f>
        <v>4</v>
      </c>
    </row>
    <row r="8">
      <c r="A8" s="26">
        <f t="shared" si="3"/>
        <v>4</v>
      </c>
      <c r="B8" s="39" t="s">
        <v>50</v>
      </c>
      <c r="C8" s="28">
        <v>258.0</v>
      </c>
      <c r="D8" s="29">
        <v>26.0</v>
      </c>
      <c r="E8" s="30">
        <v>1.0</v>
      </c>
      <c r="F8" s="31">
        <v>1.0</v>
      </c>
      <c r="G8" s="28">
        <v>0.0</v>
      </c>
      <c r="H8" s="31">
        <v>6.0</v>
      </c>
      <c r="I8" s="31">
        <v>2.0</v>
      </c>
      <c r="J8" s="31">
        <v>5.0</v>
      </c>
      <c r="K8" s="33">
        <v>13.0</v>
      </c>
      <c r="L8" s="31">
        <v>1.0</v>
      </c>
      <c r="M8" s="28">
        <f t="shared" ref="M8:N8" si="5">C8+K8</f>
        <v>271</v>
      </c>
      <c r="N8" s="29">
        <f t="shared" si="5"/>
        <v>27</v>
      </c>
      <c r="O8" s="35" t="s">
        <v>46</v>
      </c>
      <c r="P8" s="35" t="s">
        <v>46</v>
      </c>
      <c r="Q8" s="35" t="s">
        <v>46</v>
      </c>
      <c r="R8" s="31">
        <f>if(G8=13,1,0)+VLOOKUP(B8,'061524'!B:T,17,false)</f>
        <v>0</v>
      </c>
      <c r="S8" s="31"/>
      <c r="T8" s="31">
        <f>if(G8=9,1,0)+VLOOKUP(B8,'061524'!B:T,19,false)</f>
        <v>10</v>
      </c>
    </row>
    <row r="9">
      <c r="A9" s="26">
        <f t="shared" si="3"/>
        <v>5</v>
      </c>
      <c r="B9" s="27" t="s">
        <v>57</v>
      </c>
      <c r="C9" s="28">
        <v>249.0</v>
      </c>
      <c r="D9" s="29">
        <v>22.0</v>
      </c>
      <c r="E9" s="30">
        <v>1.0</v>
      </c>
      <c r="F9" s="31">
        <v>1.0</v>
      </c>
      <c r="G9" s="28">
        <v>0.0</v>
      </c>
      <c r="H9" s="31">
        <v>3.0</v>
      </c>
      <c r="I9" s="31">
        <v>6.0</v>
      </c>
      <c r="J9" s="31">
        <v>5.0</v>
      </c>
      <c r="K9" s="33">
        <v>14.0</v>
      </c>
      <c r="L9" s="31">
        <v>1.0</v>
      </c>
      <c r="M9" s="28">
        <f t="shared" ref="M9:N9" si="6">C9+K9</f>
        <v>263</v>
      </c>
      <c r="N9" s="29">
        <f t="shared" si="6"/>
        <v>23</v>
      </c>
      <c r="O9" s="35" t="s">
        <v>46</v>
      </c>
      <c r="P9" s="35" t="s">
        <v>46</v>
      </c>
      <c r="Q9" s="35" t="s">
        <v>46</v>
      </c>
      <c r="R9" s="31">
        <f>if(G9=13,1,0)+VLOOKUP(B9,'061524'!B:T,17,false)</f>
        <v>0</v>
      </c>
      <c r="S9" s="31"/>
      <c r="T9" s="31">
        <f>if(G9=9,1,0)+VLOOKUP(B9,'061524'!B:T,19,false)</f>
        <v>7</v>
      </c>
    </row>
    <row r="10">
      <c r="A10" s="26">
        <f t="shared" si="3"/>
        <v>6</v>
      </c>
      <c r="B10" s="27" t="s">
        <v>60</v>
      </c>
      <c r="C10" s="28">
        <v>247.0</v>
      </c>
      <c r="D10" s="29">
        <v>16.0</v>
      </c>
      <c r="E10" s="30">
        <v>1.0</v>
      </c>
      <c r="F10" s="31">
        <v>2.0</v>
      </c>
      <c r="G10" s="28">
        <v>0.0</v>
      </c>
      <c r="H10" s="31">
        <v>6.0</v>
      </c>
      <c r="I10" s="31">
        <v>6.0</v>
      </c>
      <c r="J10" s="31">
        <v>4.0</v>
      </c>
      <c r="K10" s="33">
        <v>16.0</v>
      </c>
      <c r="L10" s="31">
        <v>2.0</v>
      </c>
      <c r="M10" s="28">
        <f t="shared" ref="M10:N10" si="7">C10+K10</f>
        <v>263</v>
      </c>
      <c r="N10" s="29">
        <f t="shared" si="7"/>
        <v>18</v>
      </c>
      <c r="O10" s="35" t="s">
        <v>46</v>
      </c>
      <c r="P10" s="35" t="s">
        <v>46</v>
      </c>
      <c r="Q10" s="35" t="s">
        <v>46</v>
      </c>
      <c r="R10" s="31">
        <f>if(G10=13,1,0)+VLOOKUP(B10,'061524'!B:T,17,false)</f>
        <v>2</v>
      </c>
      <c r="S10" s="31"/>
      <c r="T10" s="31">
        <f>if(G10=9,1,0)+VLOOKUP(B10,'061524'!B:T,19,false)</f>
        <v>11</v>
      </c>
    </row>
    <row r="11">
      <c r="A11" s="26">
        <f t="shared" si="3"/>
        <v>7</v>
      </c>
      <c r="B11" s="27" t="s">
        <v>75</v>
      </c>
      <c r="C11" s="28">
        <v>246.0</v>
      </c>
      <c r="D11" s="29">
        <v>20.0</v>
      </c>
      <c r="E11" s="30">
        <v>1.0</v>
      </c>
      <c r="F11" s="31">
        <v>2.0</v>
      </c>
      <c r="G11" s="28">
        <v>0.0</v>
      </c>
      <c r="H11" s="31">
        <v>3.0</v>
      </c>
      <c r="I11" s="31">
        <v>6.0</v>
      </c>
      <c r="J11" s="31">
        <v>6.0</v>
      </c>
      <c r="K11" s="33">
        <v>15.0</v>
      </c>
      <c r="L11" s="31">
        <v>2.0</v>
      </c>
      <c r="M11" s="28">
        <f t="shared" ref="M11:N11" si="8">C11+K11</f>
        <v>261</v>
      </c>
      <c r="N11" s="29">
        <f t="shared" si="8"/>
        <v>22</v>
      </c>
      <c r="O11" s="35" t="s">
        <v>46</v>
      </c>
      <c r="P11" s="35" t="s">
        <v>46</v>
      </c>
      <c r="Q11" s="35" t="s">
        <v>46</v>
      </c>
      <c r="R11" s="31">
        <f>if(G11=13,1,0)+VLOOKUP(B11,'061524'!B:T,17,false)</f>
        <v>1</v>
      </c>
      <c r="S11" s="31"/>
      <c r="T11" s="31">
        <f>if(G11=9,1,0)+VLOOKUP(B11,'061524'!B:T,19,false)</f>
        <v>4</v>
      </c>
    </row>
    <row r="12">
      <c r="A12" s="26">
        <f t="shared" si="3"/>
        <v>8</v>
      </c>
      <c r="B12" s="27" t="s">
        <v>61</v>
      </c>
      <c r="C12" s="28">
        <v>245.0</v>
      </c>
      <c r="D12" s="29">
        <v>21.0</v>
      </c>
      <c r="E12" s="30">
        <v>2.0</v>
      </c>
      <c r="F12" s="31">
        <v>2.0</v>
      </c>
      <c r="G12" s="28">
        <v>0.0</v>
      </c>
      <c r="H12" s="31">
        <v>6.0</v>
      </c>
      <c r="I12" s="31">
        <v>2.0</v>
      </c>
      <c r="J12" s="31">
        <v>6.0</v>
      </c>
      <c r="K12" s="33">
        <v>14.0</v>
      </c>
      <c r="L12" s="31">
        <v>2.0</v>
      </c>
      <c r="M12" s="28">
        <f t="shared" ref="M12:N12" si="9">C12+K12</f>
        <v>259</v>
      </c>
      <c r="N12" s="29">
        <f t="shared" si="9"/>
        <v>23</v>
      </c>
      <c r="O12" s="35" t="s">
        <v>46</v>
      </c>
      <c r="P12" s="35" t="s">
        <v>46</v>
      </c>
      <c r="Q12" s="35" t="s">
        <v>46</v>
      </c>
      <c r="R12" s="31">
        <f>if(G12=13,1,0)+VLOOKUP(B12,'061524'!B:T,17,false)</f>
        <v>2</v>
      </c>
      <c r="S12" s="31"/>
      <c r="T12" s="31">
        <f>if(G12=9,1,0)+VLOOKUP(B12,'061524'!B:T,19,false)</f>
        <v>4</v>
      </c>
    </row>
    <row r="13">
      <c r="A13" s="26">
        <f t="shared" si="3"/>
        <v>9</v>
      </c>
      <c r="B13" s="27" t="s">
        <v>82</v>
      </c>
      <c r="C13" s="28">
        <v>245.0</v>
      </c>
      <c r="D13" s="29">
        <v>19.0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254</v>
      </c>
      <c r="N13" s="29">
        <f t="shared" si="10"/>
        <v>19</v>
      </c>
      <c r="O13" s="35" t="s">
        <v>46</v>
      </c>
      <c r="P13" s="35" t="s">
        <v>46</v>
      </c>
      <c r="Q13" s="35" t="s">
        <v>46</v>
      </c>
      <c r="R13" s="31">
        <f>if(G13=13,1,0)+VLOOKUP(B13,'061524'!B:T,17,false)</f>
        <v>1</v>
      </c>
      <c r="S13" s="31"/>
      <c r="T13" s="31">
        <f>if(G13=9,1,0)+VLOOKUP(B13,'061524'!B:T,19,false)</f>
        <v>12</v>
      </c>
    </row>
    <row r="14">
      <c r="A14" s="26">
        <f t="shared" si="3"/>
        <v>10</v>
      </c>
      <c r="B14" s="27" t="s">
        <v>77</v>
      </c>
      <c r="C14" s="28">
        <v>244.0</v>
      </c>
      <c r="D14" s="29">
        <v>15.0</v>
      </c>
      <c r="E14" s="30">
        <v>2.0</v>
      </c>
      <c r="F14" s="31">
        <v>2.0</v>
      </c>
      <c r="G14" s="28">
        <v>0.0</v>
      </c>
      <c r="H14" s="31">
        <v>3.0</v>
      </c>
      <c r="I14" s="31">
        <v>2.0</v>
      </c>
      <c r="J14" s="31">
        <v>4.0</v>
      </c>
      <c r="K14" s="33">
        <v>9.0</v>
      </c>
      <c r="L14" s="31">
        <v>0.0</v>
      </c>
      <c r="M14" s="28">
        <f t="shared" ref="M14:N14" si="11">C14+K14</f>
        <v>253</v>
      </c>
      <c r="N14" s="29">
        <f t="shared" si="11"/>
        <v>15</v>
      </c>
      <c r="O14" s="35" t="s">
        <v>46</v>
      </c>
      <c r="P14" s="35" t="s">
        <v>46</v>
      </c>
      <c r="Q14" s="35"/>
      <c r="R14" s="31">
        <f>if(G14=13,1,0)+VLOOKUP(B14,'061524'!B:T,17,false)</f>
        <v>2</v>
      </c>
      <c r="S14" s="31"/>
      <c r="T14" s="31">
        <f>if(G14=9,1,0)+VLOOKUP(B14,'061524'!B:T,19,false)</f>
        <v>6</v>
      </c>
    </row>
    <row r="15">
      <c r="A15" s="26">
        <f t="shared" si="3"/>
        <v>11</v>
      </c>
      <c r="B15" s="27" t="s">
        <v>81</v>
      </c>
      <c r="C15" s="28">
        <v>243.0</v>
      </c>
      <c r="D15" s="29">
        <v>22.0</v>
      </c>
      <c r="E15" s="30">
        <v>3.0</v>
      </c>
      <c r="F15" s="31">
        <v>0.0</v>
      </c>
      <c r="G15" s="28">
        <v>9.0</v>
      </c>
      <c r="H15" s="31">
        <v>0.0</v>
      </c>
      <c r="I15" s="31">
        <v>0.0</v>
      </c>
      <c r="J15" s="31">
        <v>0.0</v>
      </c>
      <c r="K15" s="33">
        <v>9.0</v>
      </c>
      <c r="L15" s="31">
        <v>0.0</v>
      </c>
      <c r="M15" s="28">
        <f t="shared" ref="M15:N15" si="12">C15+K15</f>
        <v>252</v>
      </c>
      <c r="N15" s="29">
        <f t="shared" si="12"/>
        <v>22</v>
      </c>
      <c r="O15" s="35" t="s">
        <v>46</v>
      </c>
      <c r="P15" s="35" t="s">
        <v>46</v>
      </c>
      <c r="Q15" s="35" t="s">
        <v>46</v>
      </c>
      <c r="R15" s="31">
        <f>if(G15=13,1,0)+VLOOKUP(B15,'061524'!B:T,17,false)</f>
        <v>0</v>
      </c>
      <c r="S15" s="31"/>
      <c r="T15" s="31">
        <f>if(G15=9,1,0)+VLOOKUP(B15,'061524'!B:T,19,false)</f>
        <v>7</v>
      </c>
    </row>
    <row r="16">
      <c r="A16" s="26">
        <f t="shared" si="3"/>
        <v>12</v>
      </c>
      <c r="B16" s="27" t="s">
        <v>63</v>
      </c>
      <c r="C16" s="28">
        <v>242.0</v>
      </c>
      <c r="D16" s="29">
        <v>19.0</v>
      </c>
      <c r="E16" s="30">
        <v>1.0</v>
      </c>
      <c r="F16" s="31">
        <v>3.0</v>
      </c>
      <c r="G16" s="28">
        <v>0.0</v>
      </c>
      <c r="H16" s="31">
        <v>4.0</v>
      </c>
      <c r="I16" s="31">
        <v>6.0</v>
      </c>
      <c r="J16" s="31">
        <v>2.0</v>
      </c>
      <c r="K16" s="33">
        <v>12.0</v>
      </c>
      <c r="L16" s="31">
        <v>1.0</v>
      </c>
      <c r="M16" s="28">
        <f t="shared" ref="M16:N16" si="13">C16+K16</f>
        <v>254</v>
      </c>
      <c r="N16" s="29">
        <f t="shared" si="13"/>
        <v>20</v>
      </c>
      <c r="O16" s="35" t="s">
        <v>46</v>
      </c>
      <c r="P16" s="35" t="s">
        <v>46</v>
      </c>
      <c r="Q16" s="35" t="s">
        <v>46</v>
      </c>
      <c r="R16" s="31">
        <f>if(G16=13,1,0)+VLOOKUP(B16,'061524'!B:T,17,false)</f>
        <v>2</v>
      </c>
      <c r="S16" s="31"/>
      <c r="T16" s="31">
        <f>if(G16=9,1,0)+VLOOKUP(B16,'061524'!B:T,19,false)</f>
        <v>2</v>
      </c>
    </row>
    <row r="17">
      <c r="A17" s="26">
        <f t="shared" si="3"/>
        <v>13</v>
      </c>
      <c r="B17" s="27" t="s">
        <v>56</v>
      </c>
      <c r="C17" s="28">
        <v>242.0</v>
      </c>
      <c r="D17" s="29">
        <v>18.0</v>
      </c>
      <c r="E17" s="30">
        <v>3.0</v>
      </c>
      <c r="F17" s="31">
        <v>0.0</v>
      </c>
      <c r="G17" s="28">
        <v>9.0</v>
      </c>
      <c r="H17" s="31">
        <v>0.0</v>
      </c>
      <c r="I17" s="31">
        <v>0.0</v>
      </c>
      <c r="J17" s="31">
        <v>0.0</v>
      </c>
      <c r="K17" s="33">
        <v>9.0</v>
      </c>
      <c r="L17" s="31">
        <v>0.0</v>
      </c>
      <c r="M17" s="28">
        <f t="shared" ref="M17:N17" si="14">C17+K17</f>
        <v>251</v>
      </c>
      <c r="N17" s="29">
        <f t="shared" si="14"/>
        <v>18</v>
      </c>
      <c r="O17" s="35" t="s">
        <v>46</v>
      </c>
      <c r="P17" s="35" t="s">
        <v>46</v>
      </c>
      <c r="Q17" s="35" t="s">
        <v>46</v>
      </c>
      <c r="R17" s="31">
        <f>if(G17=13,1,0)+VLOOKUP(B17,'061524'!B:T,17,false)</f>
        <v>0</v>
      </c>
      <c r="S17" s="31"/>
      <c r="T17" s="31">
        <f>if(G17=9,1,0)+VLOOKUP(B17,'061524'!B:T,19,false)</f>
        <v>14</v>
      </c>
    </row>
    <row r="18">
      <c r="A18" s="26">
        <f t="shared" si="3"/>
        <v>14</v>
      </c>
      <c r="B18" s="39" t="s">
        <v>55</v>
      </c>
      <c r="C18" s="28">
        <v>241.0</v>
      </c>
      <c r="D18" s="29">
        <v>20.0</v>
      </c>
      <c r="E18" s="30">
        <v>1.0</v>
      </c>
      <c r="F18" s="31">
        <v>3.0</v>
      </c>
      <c r="G18" s="28">
        <v>0.0</v>
      </c>
      <c r="H18" s="31">
        <v>6.0</v>
      </c>
      <c r="I18" s="31">
        <v>6.0</v>
      </c>
      <c r="J18" s="31">
        <v>6.0</v>
      </c>
      <c r="K18" s="33">
        <v>18.0</v>
      </c>
      <c r="L18" s="31">
        <v>3.0</v>
      </c>
      <c r="M18" s="28">
        <f t="shared" ref="M18:N18" si="15">C18+K18</f>
        <v>259</v>
      </c>
      <c r="N18" s="29">
        <f t="shared" si="15"/>
        <v>23</v>
      </c>
      <c r="O18" s="35" t="s">
        <v>46</v>
      </c>
      <c r="P18" s="35" t="s">
        <v>46</v>
      </c>
      <c r="Q18" s="35" t="s">
        <v>46</v>
      </c>
      <c r="R18" s="31">
        <f>if(G18=13,1,0)+VLOOKUP(B18,'061524'!B:T,17,false)</f>
        <v>1</v>
      </c>
      <c r="S18" s="31"/>
      <c r="T18" s="31">
        <f>if(G18=9,1,0)+VLOOKUP(B18,'061524'!B:T,19,false)</f>
        <v>10</v>
      </c>
    </row>
    <row r="19">
      <c r="A19" s="26">
        <f t="shared" si="3"/>
        <v>15</v>
      </c>
      <c r="B19" s="27" t="s">
        <v>90</v>
      </c>
      <c r="C19" s="28">
        <v>237.0</v>
      </c>
      <c r="D19" s="29">
        <v>19.0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246</v>
      </c>
      <c r="N19" s="29">
        <f t="shared" si="16"/>
        <v>19</v>
      </c>
      <c r="O19" s="35" t="s">
        <v>46</v>
      </c>
      <c r="P19" s="35" t="s">
        <v>46</v>
      </c>
      <c r="Q19" s="35" t="s">
        <v>46</v>
      </c>
      <c r="R19" s="31">
        <f>if(G19=13,1,0)+VLOOKUP(B19,'061524'!B:T,17,false)</f>
        <v>0</v>
      </c>
      <c r="S19" s="31"/>
      <c r="T19" s="31">
        <f>if(G19=9,1,0)+VLOOKUP(B19,'061524'!B:T,19,false)</f>
        <v>12</v>
      </c>
    </row>
    <row r="20">
      <c r="A20" s="26">
        <f t="shared" si="3"/>
        <v>16</v>
      </c>
      <c r="B20" s="39" t="s">
        <v>103</v>
      </c>
      <c r="C20" s="28">
        <v>235.0</v>
      </c>
      <c r="D20" s="29">
        <v>16.0</v>
      </c>
      <c r="E20" s="30">
        <v>1.0</v>
      </c>
      <c r="F20" s="31">
        <v>3.0</v>
      </c>
      <c r="G20" s="28">
        <v>0.0</v>
      </c>
      <c r="H20" s="31">
        <v>6.0</v>
      </c>
      <c r="I20" s="31">
        <v>1.0</v>
      </c>
      <c r="J20" s="31">
        <v>2.0</v>
      </c>
      <c r="K20" s="33">
        <v>9.0</v>
      </c>
      <c r="L20" s="31">
        <v>1.0</v>
      </c>
      <c r="M20" s="28">
        <f t="shared" ref="M20:N20" si="17">C20+K20</f>
        <v>244</v>
      </c>
      <c r="N20" s="29">
        <f t="shared" si="17"/>
        <v>17</v>
      </c>
      <c r="O20" s="35" t="s">
        <v>46</v>
      </c>
      <c r="P20" s="35" t="s">
        <v>46</v>
      </c>
      <c r="Q20" s="35" t="s">
        <v>46</v>
      </c>
      <c r="R20" s="31">
        <f>if(G20=13,1,0)+VLOOKUP(B20,'061524'!B:T,17,false)</f>
        <v>1</v>
      </c>
      <c r="S20" s="31"/>
      <c r="T20" s="31">
        <f>if(G20=9,1,0)+VLOOKUP(B20,'061524'!B:T,19,false)</f>
        <v>10</v>
      </c>
    </row>
    <row r="21">
      <c r="A21" s="26">
        <f t="shared" si="3"/>
        <v>17</v>
      </c>
      <c r="B21" s="39" t="s">
        <v>86</v>
      </c>
      <c r="C21" s="28">
        <v>232.0</v>
      </c>
      <c r="D21" s="29">
        <v>20.0</v>
      </c>
      <c r="E21" s="30">
        <v>2.0</v>
      </c>
      <c r="F21" s="31">
        <v>3.0</v>
      </c>
      <c r="G21" s="28">
        <v>0.0</v>
      </c>
      <c r="H21" s="31">
        <v>4.0</v>
      </c>
      <c r="I21" s="31">
        <v>1.0</v>
      </c>
      <c r="J21" s="31">
        <v>6.0</v>
      </c>
      <c r="K21" s="33">
        <v>11.0</v>
      </c>
      <c r="L21" s="31">
        <v>1.0</v>
      </c>
      <c r="M21" s="28">
        <f t="shared" ref="M21:N21" si="18">C21+K21</f>
        <v>243</v>
      </c>
      <c r="N21" s="29">
        <f t="shared" si="18"/>
        <v>21</v>
      </c>
      <c r="O21" s="35" t="s">
        <v>46</v>
      </c>
      <c r="P21" s="35" t="s">
        <v>46</v>
      </c>
      <c r="Q21" s="35" t="s">
        <v>46</v>
      </c>
      <c r="R21" s="31">
        <f>if(G21=13,1,0)+VLOOKUP(B21,'061524'!B:T,17,false)</f>
        <v>1</v>
      </c>
      <c r="S21" s="31"/>
      <c r="T21" s="31">
        <f>if(G21=9,1,0)+VLOOKUP(B21,'061524'!B:T,19,false)</f>
        <v>5</v>
      </c>
    </row>
    <row r="22">
      <c r="A22" s="26">
        <f t="shared" si="3"/>
        <v>18</v>
      </c>
      <c r="B22" s="27" t="s">
        <v>65</v>
      </c>
      <c r="C22" s="28">
        <v>232.0</v>
      </c>
      <c r="D22" s="29">
        <v>17.0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241</v>
      </c>
      <c r="N22" s="29">
        <f t="shared" si="19"/>
        <v>17</v>
      </c>
      <c r="O22" s="35" t="s">
        <v>46</v>
      </c>
      <c r="P22" s="35" t="s">
        <v>46</v>
      </c>
      <c r="Q22" s="35" t="s">
        <v>46</v>
      </c>
      <c r="R22" s="31">
        <f>if(G22=13,1,0)+VLOOKUP(B22,'061524'!B:T,17,false)</f>
        <v>0</v>
      </c>
      <c r="S22" s="31"/>
      <c r="T22" s="31">
        <f>if(G22=9,1,0)+VLOOKUP(B22,'061524'!B:T,19,false)</f>
        <v>15</v>
      </c>
    </row>
    <row r="23">
      <c r="A23" s="26">
        <f t="shared" si="3"/>
        <v>19</v>
      </c>
      <c r="B23" s="27" t="s">
        <v>84</v>
      </c>
      <c r="C23" s="28">
        <v>231.0</v>
      </c>
      <c r="D23" s="29">
        <v>16.0</v>
      </c>
      <c r="E23" s="30">
        <v>2.0</v>
      </c>
      <c r="F23" s="31">
        <v>4.0</v>
      </c>
      <c r="G23" s="28">
        <v>0.0</v>
      </c>
      <c r="H23" s="31">
        <v>6.0</v>
      </c>
      <c r="I23" s="31">
        <v>4.0</v>
      </c>
      <c r="J23" s="31">
        <v>6.0</v>
      </c>
      <c r="K23" s="33">
        <v>16.0</v>
      </c>
      <c r="L23" s="31">
        <v>1.0</v>
      </c>
      <c r="M23" s="28">
        <f t="shared" ref="M23:N23" si="20">C23+K23</f>
        <v>247</v>
      </c>
      <c r="N23" s="29">
        <f t="shared" si="20"/>
        <v>17</v>
      </c>
      <c r="O23" s="35" t="s">
        <v>46</v>
      </c>
      <c r="P23" s="35" t="s">
        <v>46</v>
      </c>
      <c r="Q23" s="35" t="s">
        <v>46</v>
      </c>
      <c r="R23" s="31">
        <f>if(G23=13,1,0)+VLOOKUP(B23,'061524'!B:T,17,false)</f>
        <v>2</v>
      </c>
      <c r="S23" s="31"/>
      <c r="T23" s="31">
        <f>if(G23=9,1,0)+VLOOKUP(B23,'061524'!B:T,19,false)</f>
        <v>2</v>
      </c>
    </row>
    <row r="24">
      <c r="A24" s="26">
        <f t="shared" si="3"/>
        <v>20</v>
      </c>
      <c r="B24" s="27" t="s">
        <v>102</v>
      </c>
      <c r="C24" s="28">
        <v>231.0</v>
      </c>
      <c r="D24" s="29">
        <v>15.0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240</v>
      </c>
      <c r="N24" s="29">
        <f t="shared" si="21"/>
        <v>15</v>
      </c>
      <c r="O24" s="35" t="s">
        <v>46</v>
      </c>
      <c r="P24" s="35" t="s">
        <v>46</v>
      </c>
      <c r="Q24" s="35" t="s">
        <v>46</v>
      </c>
      <c r="R24" s="31">
        <f>if(G24=13,1,0)+VLOOKUP(B24,'061524'!B:T,17,false)</f>
        <v>0</v>
      </c>
      <c r="S24" s="31"/>
      <c r="T24" s="31">
        <f>if(G24=9,1,0)+VLOOKUP(B24,'061524'!B:T,19,false)</f>
        <v>14</v>
      </c>
    </row>
    <row r="25">
      <c r="A25" s="26">
        <f t="shared" si="3"/>
        <v>21</v>
      </c>
      <c r="B25" s="27" t="s">
        <v>78</v>
      </c>
      <c r="C25" s="28">
        <v>229.0</v>
      </c>
      <c r="D25" s="29">
        <v>21.0</v>
      </c>
      <c r="E25" s="30">
        <v>2.0</v>
      </c>
      <c r="F25" s="31">
        <v>4.0</v>
      </c>
      <c r="G25" s="28">
        <v>0.0</v>
      </c>
      <c r="H25" s="31">
        <v>7.0</v>
      </c>
      <c r="I25" s="31">
        <v>6.0</v>
      </c>
      <c r="J25" s="31">
        <v>6.0</v>
      </c>
      <c r="K25" s="33">
        <v>19.0</v>
      </c>
      <c r="L25" s="31">
        <v>3.0</v>
      </c>
      <c r="M25" s="28">
        <f t="shared" ref="M25:N25" si="22">C25+K25</f>
        <v>248</v>
      </c>
      <c r="N25" s="29">
        <f t="shared" si="22"/>
        <v>24</v>
      </c>
      <c r="O25" s="35" t="s">
        <v>46</v>
      </c>
      <c r="P25" s="35" t="s">
        <v>46</v>
      </c>
      <c r="Q25" s="35" t="s">
        <v>46</v>
      </c>
      <c r="R25" s="31">
        <f>if(G25=13,1,0)+VLOOKUP(B25,'061524'!B:T,17,false)</f>
        <v>0</v>
      </c>
      <c r="S25" s="31"/>
      <c r="T25" s="31">
        <f>if(G25=9,1,0)+VLOOKUP(B25,'061524'!B:T,19,false)</f>
        <v>6</v>
      </c>
    </row>
    <row r="26">
      <c r="A26" s="26">
        <f t="shared" si="3"/>
        <v>22</v>
      </c>
      <c r="B26" s="54" t="s">
        <v>59</v>
      </c>
      <c r="C26" s="28">
        <v>229.0</v>
      </c>
      <c r="D26" s="29">
        <v>18.0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238</v>
      </c>
      <c r="N26" s="29">
        <f t="shared" si="23"/>
        <v>18</v>
      </c>
      <c r="O26" s="35" t="s">
        <v>46</v>
      </c>
      <c r="P26" s="35" t="s">
        <v>46</v>
      </c>
      <c r="Q26" s="35" t="s">
        <v>104</v>
      </c>
      <c r="R26" s="31">
        <f>if(G26=13,1,0)+VLOOKUP(B26,'061524'!B:T,17,false)</f>
        <v>1</v>
      </c>
      <c r="S26" s="31"/>
      <c r="T26" s="31">
        <f>if(G26=9,1,0)+VLOOKUP(B26,'061524'!B:T,19,false)</f>
        <v>9</v>
      </c>
    </row>
    <row r="27">
      <c r="A27" s="26">
        <f t="shared" si="3"/>
        <v>23</v>
      </c>
      <c r="B27" s="54" t="s">
        <v>95</v>
      </c>
      <c r="C27" s="28">
        <v>226.0</v>
      </c>
      <c r="D27" s="29">
        <v>18.0</v>
      </c>
      <c r="E27" s="30">
        <v>2.0</v>
      </c>
      <c r="F27" s="31">
        <v>4.0</v>
      </c>
      <c r="G27" s="28">
        <v>0.0</v>
      </c>
      <c r="H27" s="31">
        <v>7.0</v>
      </c>
      <c r="I27" s="31">
        <v>4.0</v>
      </c>
      <c r="J27" s="31">
        <v>2.0</v>
      </c>
      <c r="K27" s="33">
        <v>13.0</v>
      </c>
      <c r="L27" s="31">
        <v>1.0</v>
      </c>
      <c r="M27" s="28">
        <f t="shared" ref="M27:N27" si="24">C27+K27</f>
        <v>239</v>
      </c>
      <c r="N27" s="29">
        <f t="shared" si="24"/>
        <v>19</v>
      </c>
      <c r="O27" s="35" t="s">
        <v>46</v>
      </c>
      <c r="P27" s="35" t="s">
        <v>46</v>
      </c>
      <c r="Q27" s="35" t="s">
        <v>46</v>
      </c>
      <c r="R27" s="31">
        <f>if(G27=13,1,0)+VLOOKUP(B27,'061524'!B:T,17,false)</f>
        <v>0</v>
      </c>
      <c r="S27" s="31"/>
      <c r="T27" s="31">
        <f>if(G27=9,1,0)+VLOOKUP(B27,'061524'!B:T,19,false)</f>
        <v>4</v>
      </c>
    </row>
    <row r="28">
      <c r="A28" s="26">
        <f t="shared" si="3"/>
        <v>24</v>
      </c>
      <c r="B28" s="27" t="s">
        <v>96</v>
      </c>
      <c r="C28" s="28">
        <v>225.0</v>
      </c>
      <c r="D28" s="29">
        <v>15.0</v>
      </c>
      <c r="E28" s="30">
        <v>2.0</v>
      </c>
      <c r="F28" s="31">
        <v>4.0</v>
      </c>
      <c r="G28" s="28">
        <v>0.0</v>
      </c>
      <c r="H28" s="31">
        <v>6.0</v>
      </c>
      <c r="I28" s="31">
        <v>6.0</v>
      </c>
      <c r="J28" s="31">
        <v>2.0</v>
      </c>
      <c r="K28" s="33">
        <v>14.0</v>
      </c>
      <c r="L28" s="31">
        <v>1.0</v>
      </c>
      <c r="M28" s="28">
        <f t="shared" ref="M28:N28" si="25">C28+K28</f>
        <v>239</v>
      </c>
      <c r="N28" s="29">
        <f t="shared" si="25"/>
        <v>16</v>
      </c>
      <c r="O28" s="35" t="s">
        <v>46</v>
      </c>
      <c r="P28" s="35" t="s">
        <v>46</v>
      </c>
      <c r="Q28" s="35" t="s">
        <v>46</v>
      </c>
      <c r="R28" s="31">
        <f>if(G28=13,1,0)+VLOOKUP(B28,'061524'!B:T,17,false)</f>
        <v>1</v>
      </c>
      <c r="S28" s="31"/>
      <c r="T28" s="31">
        <f>if(G28=9,1,0)+VLOOKUP(B28,'061524'!B:T,19,false)</f>
        <v>6</v>
      </c>
    </row>
    <row r="29">
      <c r="A29" s="26">
        <f t="shared" si="3"/>
        <v>25</v>
      </c>
      <c r="B29" s="27" t="s">
        <v>68</v>
      </c>
      <c r="C29" s="28">
        <v>225.0</v>
      </c>
      <c r="D29" s="29">
        <v>14.0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234</v>
      </c>
      <c r="N29" s="29">
        <f t="shared" si="26"/>
        <v>14</v>
      </c>
      <c r="O29" s="35" t="s">
        <v>46</v>
      </c>
      <c r="P29" s="35" t="s">
        <v>46</v>
      </c>
      <c r="Q29" s="35" t="s">
        <v>46</v>
      </c>
      <c r="R29" s="31">
        <f>if(G29=13,1,0)+VLOOKUP(B29,'061524'!B:T,17,false)</f>
        <v>2</v>
      </c>
      <c r="S29" s="31"/>
      <c r="T29" s="31">
        <f>if(G29=9,1,0)+VLOOKUP(B29,'061524'!B:T,19,false)</f>
        <v>13</v>
      </c>
    </row>
    <row r="30">
      <c r="A30" s="26">
        <f t="shared" si="3"/>
        <v>26</v>
      </c>
      <c r="B30" s="54" t="s">
        <v>73</v>
      </c>
      <c r="C30" s="28">
        <v>222.0</v>
      </c>
      <c r="D30" s="29">
        <v>18.0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231</v>
      </c>
      <c r="N30" s="29">
        <f t="shared" si="27"/>
        <v>18</v>
      </c>
      <c r="O30" s="35" t="s">
        <v>46</v>
      </c>
      <c r="P30" s="35" t="s">
        <v>46</v>
      </c>
      <c r="Q30" s="35" t="s">
        <v>46</v>
      </c>
      <c r="R30" s="31">
        <f>if(G30=13,1,0)+VLOOKUP(B30,'061524'!B:T,17,false)</f>
        <v>0</v>
      </c>
      <c r="S30" s="31"/>
      <c r="T30" s="31">
        <f>if(G30=9,1,0)+VLOOKUP(B30,'061524'!B:T,19,false)</f>
        <v>5</v>
      </c>
    </row>
    <row r="31">
      <c r="A31" s="26">
        <f t="shared" si="3"/>
        <v>27</v>
      </c>
      <c r="B31" s="27" t="s">
        <v>107</v>
      </c>
      <c r="C31" s="28">
        <v>222.0</v>
      </c>
      <c r="D31" s="29">
        <v>12.0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231</v>
      </c>
      <c r="N31" s="29">
        <f t="shared" si="28"/>
        <v>12</v>
      </c>
      <c r="O31" s="35" t="s">
        <v>46</v>
      </c>
      <c r="P31" s="35" t="s">
        <v>46</v>
      </c>
      <c r="Q31" s="35" t="s">
        <v>46</v>
      </c>
      <c r="R31" s="31">
        <f>if(G31=13,1,0)+VLOOKUP(B31,'061524'!B:T,17,false)</f>
        <v>2</v>
      </c>
      <c r="S31" s="31"/>
      <c r="T31" s="31">
        <f>if(G31=9,1,0)+VLOOKUP(B31,'061524'!B:T,19,false)</f>
        <v>13</v>
      </c>
    </row>
    <row r="32">
      <c r="A32" s="26">
        <f t="shared" si="3"/>
        <v>28</v>
      </c>
      <c r="B32" s="54" t="s">
        <v>89</v>
      </c>
      <c r="C32" s="28">
        <v>221.0</v>
      </c>
      <c r="D32" s="29">
        <v>19.0</v>
      </c>
      <c r="E32" s="30">
        <v>2.0</v>
      </c>
      <c r="F32" s="31">
        <v>5.0</v>
      </c>
      <c r="G32" s="28">
        <v>0.0</v>
      </c>
      <c r="H32" s="31">
        <v>4.0</v>
      </c>
      <c r="I32" s="31">
        <v>3.0</v>
      </c>
      <c r="J32" s="31">
        <v>6.0</v>
      </c>
      <c r="K32" s="33">
        <v>13.0</v>
      </c>
      <c r="L32" s="31">
        <v>1.0</v>
      </c>
      <c r="M32" s="28">
        <f t="shared" ref="M32:N32" si="29">C32+K32</f>
        <v>234</v>
      </c>
      <c r="N32" s="29">
        <f t="shared" si="29"/>
        <v>20</v>
      </c>
      <c r="O32" s="35" t="s">
        <v>46</v>
      </c>
      <c r="P32" s="35" t="s">
        <v>46</v>
      </c>
      <c r="Q32" s="35" t="s">
        <v>46</v>
      </c>
      <c r="R32" s="31">
        <f>if(G32=13,1,0)+VLOOKUP(B32,'061524'!B:T,17,false)</f>
        <v>0</v>
      </c>
      <c r="S32" s="31"/>
      <c r="T32" s="31">
        <f>if(G32=9,1,0)+VLOOKUP(B32,'061524'!B:T,19,false)</f>
        <v>5</v>
      </c>
    </row>
    <row r="33">
      <c r="A33" s="26">
        <f t="shared" si="3"/>
        <v>29</v>
      </c>
      <c r="B33" s="54" t="s">
        <v>100</v>
      </c>
      <c r="C33" s="28">
        <v>221.0</v>
      </c>
      <c r="D33" s="29">
        <v>13.0</v>
      </c>
      <c r="E33" s="30">
        <v>1.0</v>
      </c>
      <c r="F33" s="31">
        <v>5.0</v>
      </c>
      <c r="G33" s="28">
        <v>0.0</v>
      </c>
      <c r="H33" s="31">
        <v>6.0</v>
      </c>
      <c r="I33" s="31">
        <v>6.0</v>
      </c>
      <c r="J33" s="31">
        <v>6.0</v>
      </c>
      <c r="K33" s="33">
        <v>18.0</v>
      </c>
      <c r="L33" s="31">
        <v>3.0</v>
      </c>
      <c r="M33" s="28">
        <f t="shared" ref="M33:N33" si="30">C33+K33</f>
        <v>239</v>
      </c>
      <c r="N33" s="29">
        <f t="shared" si="30"/>
        <v>16</v>
      </c>
      <c r="O33" s="35" t="s">
        <v>46</v>
      </c>
      <c r="P33" s="35" t="s">
        <v>46</v>
      </c>
      <c r="Q33" s="35" t="s">
        <v>46</v>
      </c>
      <c r="R33" s="31">
        <f>if(G33=13,1,0)+VLOOKUP(B33,'061524'!B:T,17,false)</f>
        <v>1</v>
      </c>
      <c r="S33" s="31"/>
      <c r="T33" s="31">
        <f>if(G33=9,1,0)+VLOOKUP(B33,'061524'!B:T,19,false)</f>
        <v>11</v>
      </c>
    </row>
    <row r="34">
      <c r="A34" s="26">
        <f t="shared" si="3"/>
        <v>30</v>
      </c>
      <c r="B34" s="39" t="s">
        <v>106</v>
      </c>
      <c r="C34" s="28">
        <v>219.0</v>
      </c>
      <c r="D34" s="29">
        <v>13.0</v>
      </c>
      <c r="E34" s="30">
        <v>1.0</v>
      </c>
      <c r="F34" s="31">
        <v>5.0</v>
      </c>
      <c r="G34" s="28">
        <v>0.0</v>
      </c>
      <c r="H34" s="31">
        <v>4.0</v>
      </c>
      <c r="I34" s="31">
        <v>6.0</v>
      </c>
      <c r="J34" s="31">
        <v>2.0</v>
      </c>
      <c r="K34" s="33">
        <v>12.0</v>
      </c>
      <c r="L34" s="31">
        <v>1.0</v>
      </c>
      <c r="M34" s="28">
        <f t="shared" ref="M34:N34" si="31">C34+K34</f>
        <v>231</v>
      </c>
      <c r="N34" s="29">
        <f t="shared" si="31"/>
        <v>14</v>
      </c>
      <c r="O34" s="35" t="s">
        <v>46</v>
      </c>
      <c r="P34" s="35" t="s">
        <v>46</v>
      </c>
      <c r="Q34" s="35" t="s">
        <v>46</v>
      </c>
      <c r="R34" s="31">
        <f>if(G34=13,1,0)+VLOOKUP(B34,'061524'!B:T,17,false)</f>
        <v>0</v>
      </c>
      <c r="S34" s="31"/>
      <c r="T34" s="31">
        <f>if(G34=9,1,0)+VLOOKUP(B34,'061524'!B:T,19,false)</f>
        <v>11</v>
      </c>
    </row>
    <row r="35">
      <c r="A35" s="26">
        <f t="shared" si="3"/>
        <v>31</v>
      </c>
      <c r="B35" s="27" t="s">
        <v>76</v>
      </c>
      <c r="C35" s="28">
        <v>218.0</v>
      </c>
      <c r="D35" s="29">
        <v>11.0</v>
      </c>
      <c r="E35" s="30">
        <v>2.0</v>
      </c>
      <c r="F35" s="31">
        <v>5.0</v>
      </c>
      <c r="G35" s="28">
        <v>0.0</v>
      </c>
      <c r="H35" s="31">
        <v>6.0</v>
      </c>
      <c r="I35" s="31">
        <v>3.0</v>
      </c>
      <c r="J35" s="31">
        <v>2.0</v>
      </c>
      <c r="K35" s="33">
        <v>11.0</v>
      </c>
      <c r="L35" s="31">
        <v>1.0</v>
      </c>
      <c r="M35" s="28">
        <f t="shared" ref="M35:N35" si="32">C35+K35</f>
        <v>229</v>
      </c>
      <c r="N35" s="29">
        <f t="shared" si="32"/>
        <v>12</v>
      </c>
      <c r="O35" s="35" t="s">
        <v>46</v>
      </c>
      <c r="P35" s="35" t="s">
        <v>46</v>
      </c>
      <c r="Q35" s="35" t="s">
        <v>46</v>
      </c>
      <c r="R35" s="31">
        <f>if(G35=13,1,0)+VLOOKUP(B35,'061524'!B:T,17,false)</f>
        <v>1</v>
      </c>
      <c r="S35" s="31"/>
      <c r="T35" s="31">
        <f>if(G35=9,1,0)+VLOOKUP(B35,'061524'!B:T,19,false)</f>
        <v>11</v>
      </c>
    </row>
    <row r="36">
      <c r="A36" s="26">
        <f t="shared" si="3"/>
        <v>32</v>
      </c>
      <c r="B36" s="27" t="s">
        <v>42</v>
      </c>
      <c r="C36" s="28">
        <v>217.0</v>
      </c>
      <c r="D36" s="29">
        <v>15.0</v>
      </c>
      <c r="E36" s="30">
        <v>1.0</v>
      </c>
      <c r="F36" s="31">
        <v>6.0</v>
      </c>
      <c r="G36" s="28">
        <v>0.0</v>
      </c>
      <c r="H36" s="31">
        <v>3.0</v>
      </c>
      <c r="I36" s="31">
        <v>5.0</v>
      </c>
      <c r="J36" s="31">
        <v>1.0</v>
      </c>
      <c r="K36" s="33">
        <v>9.0</v>
      </c>
      <c r="L36" s="31">
        <v>0.0</v>
      </c>
      <c r="M36" s="28">
        <f t="shared" ref="M36:N36" si="33">C36+K36</f>
        <v>226</v>
      </c>
      <c r="N36" s="29">
        <f t="shared" si="33"/>
        <v>15</v>
      </c>
      <c r="O36" s="35" t="s">
        <v>46</v>
      </c>
      <c r="P36" s="35" t="s">
        <v>46</v>
      </c>
      <c r="Q36" s="35" t="s">
        <v>46</v>
      </c>
      <c r="R36" s="31">
        <f>if(G36=13,1,0)+VLOOKUP(B36,'061524'!B:T,17,false)</f>
        <v>0</v>
      </c>
      <c r="S36" s="31"/>
      <c r="T36" s="31">
        <f>if(G36=9,1,0)+VLOOKUP(B36,'061524'!B:T,19,false)</f>
        <v>6</v>
      </c>
    </row>
    <row r="37">
      <c r="A37" s="26">
        <f t="shared" si="3"/>
        <v>33</v>
      </c>
      <c r="B37" s="54" t="s">
        <v>108</v>
      </c>
      <c r="C37" s="28">
        <v>215.0</v>
      </c>
      <c r="D37" s="29">
        <v>18.0</v>
      </c>
      <c r="E37" s="30">
        <v>1.0</v>
      </c>
      <c r="F37" s="31">
        <v>6.0</v>
      </c>
      <c r="G37" s="28">
        <v>0.0</v>
      </c>
      <c r="H37" s="31">
        <v>6.0</v>
      </c>
      <c r="I37" s="31">
        <v>7.0</v>
      </c>
      <c r="J37" s="31">
        <v>1.0</v>
      </c>
      <c r="K37" s="33">
        <v>14.0</v>
      </c>
      <c r="L37" s="31">
        <v>2.0</v>
      </c>
      <c r="M37" s="28">
        <f t="shared" ref="M37:N37" si="34">C37+K37</f>
        <v>229</v>
      </c>
      <c r="N37" s="29">
        <f t="shared" si="34"/>
        <v>20</v>
      </c>
      <c r="O37" s="35" t="s">
        <v>46</v>
      </c>
      <c r="P37" s="35" t="s">
        <v>46</v>
      </c>
      <c r="Q37" s="35" t="s">
        <v>46</v>
      </c>
      <c r="R37" s="31">
        <f>if(G37=13,1,0)+VLOOKUP(B37,'061524'!B:T,17,false)</f>
        <v>0</v>
      </c>
      <c r="S37" s="31"/>
      <c r="T37" s="31">
        <f>if(G37=9,1,0)+VLOOKUP(B37,'061524'!B:T,19,false)</f>
        <v>3</v>
      </c>
    </row>
    <row r="38">
      <c r="A38" s="26">
        <f t="shared" si="3"/>
        <v>34</v>
      </c>
      <c r="B38" s="54" t="s">
        <v>94</v>
      </c>
      <c r="C38" s="28">
        <v>215.0</v>
      </c>
      <c r="D38" s="29">
        <v>18.0</v>
      </c>
      <c r="E38" s="30">
        <v>1.0</v>
      </c>
      <c r="F38" s="31">
        <v>6.0</v>
      </c>
      <c r="G38" s="28">
        <v>0.0</v>
      </c>
      <c r="H38" s="31">
        <v>3.0</v>
      </c>
      <c r="I38" s="31">
        <v>7.0</v>
      </c>
      <c r="J38" s="31">
        <v>6.0</v>
      </c>
      <c r="K38" s="33">
        <v>16.0</v>
      </c>
      <c r="L38" s="31">
        <v>2.0</v>
      </c>
      <c r="M38" s="28">
        <f t="shared" ref="M38:N38" si="35">C38+K38</f>
        <v>231</v>
      </c>
      <c r="N38" s="29">
        <f t="shared" si="35"/>
        <v>20</v>
      </c>
      <c r="O38" s="35" t="s">
        <v>46</v>
      </c>
      <c r="P38" s="35" t="s">
        <v>46</v>
      </c>
      <c r="Q38" s="35" t="s">
        <v>46</v>
      </c>
      <c r="R38" s="31">
        <f>if(G38=13,1,0)+VLOOKUP(B38,'061524'!B:T,17,false)</f>
        <v>0</v>
      </c>
      <c r="S38" s="31"/>
      <c r="T38" s="31">
        <f>if(G38=9,1,0)+VLOOKUP(B38,'061524'!B:T,19,false)</f>
        <v>1</v>
      </c>
    </row>
    <row r="39">
      <c r="A39" s="26">
        <f t="shared" si="3"/>
        <v>35</v>
      </c>
      <c r="B39" s="27" t="s">
        <v>79</v>
      </c>
      <c r="C39" s="28">
        <v>215.0</v>
      </c>
      <c r="D39" s="29">
        <v>13.0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224</v>
      </c>
      <c r="N39" s="29">
        <f t="shared" si="36"/>
        <v>13</v>
      </c>
      <c r="O39" s="35" t="s">
        <v>46</v>
      </c>
      <c r="P39" s="35" t="s">
        <v>46</v>
      </c>
      <c r="Q39" s="35" t="s">
        <v>46</v>
      </c>
      <c r="R39" s="31">
        <f>if(G39=13,1,0)+VLOOKUP(B39,'061524'!B:T,17,false)</f>
        <v>0</v>
      </c>
      <c r="S39" s="31"/>
      <c r="T39" s="31">
        <f>if(G39=9,1,0)+VLOOKUP(B39,'061524'!B:T,19,false)</f>
        <v>12</v>
      </c>
    </row>
    <row r="40">
      <c r="A40" s="26">
        <f t="shared" si="3"/>
        <v>36</v>
      </c>
      <c r="B40" s="39" t="s">
        <v>71</v>
      </c>
      <c r="C40" s="28">
        <v>215.0</v>
      </c>
      <c r="D40" s="29">
        <v>11.0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224</v>
      </c>
      <c r="N40" s="29">
        <f t="shared" si="37"/>
        <v>11</v>
      </c>
      <c r="O40" s="35" t="s">
        <v>46</v>
      </c>
      <c r="P40" s="35" t="s">
        <v>46</v>
      </c>
      <c r="Q40" s="35" t="s">
        <v>104</v>
      </c>
      <c r="R40" s="31">
        <f>if(G40=13,1,0)+VLOOKUP(B40,'061524'!B:T,17,false)</f>
        <v>0</v>
      </c>
      <c r="S40" s="31"/>
      <c r="T40" s="31">
        <f>if(G40=9,1,0)+VLOOKUP(B40,'061524'!B:T,19,false)</f>
        <v>15</v>
      </c>
    </row>
    <row r="41">
      <c r="A41" s="26">
        <f t="shared" si="3"/>
        <v>37</v>
      </c>
      <c r="B41" s="27" t="s">
        <v>83</v>
      </c>
      <c r="C41" s="28">
        <v>214.0</v>
      </c>
      <c r="D41" s="29">
        <v>16.0</v>
      </c>
      <c r="E41" s="30">
        <v>2.0</v>
      </c>
      <c r="F41" s="31">
        <v>6.0</v>
      </c>
      <c r="G41" s="28">
        <v>0.0</v>
      </c>
      <c r="H41" s="31">
        <v>6.0</v>
      </c>
      <c r="I41" s="31">
        <v>5.0</v>
      </c>
      <c r="J41" s="31">
        <v>6.0</v>
      </c>
      <c r="K41" s="33">
        <v>17.0</v>
      </c>
      <c r="L41" s="31">
        <v>2.0</v>
      </c>
      <c r="M41" s="28">
        <f t="shared" ref="M41:N41" si="38">C41+K41</f>
        <v>231</v>
      </c>
      <c r="N41" s="29">
        <f t="shared" si="38"/>
        <v>18</v>
      </c>
      <c r="O41" s="35" t="s">
        <v>46</v>
      </c>
      <c r="P41" s="35" t="s">
        <v>46</v>
      </c>
      <c r="Q41" s="35" t="s">
        <v>46</v>
      </c>
      <c r="R41" s="31">
        <f>if(G41=13,1,0)+VLOOKUP(B41,'061524'!B:T,17,false)</f>
        <v>1</v>
      </c>
      <c r="S41" s="31"/>
      <c r="T41" s="31">
        <f>if(G41=9,1,0)+VLOOKUP(B41,'061524'!B:T,19,false)</f>
        <v>6</v>
      </c>
    </row>
    <row r="42">
      <c r="A42" s="26">
        <f t="shared" si="3"/>
        <v>38</v>
      </c>
      <c r="B42" s="39" t="s">
        <v>45</v>
      </c>
      <c r="C42" s="28">
        <v>214.0</v>
      </c>
      <c r="D42" s="29">
        <v>13.0</v>
      </c>
      <c r="E42" s="30">
        <v>2.0</v>
      </c>
      <c r="F42" s="31">
        <v>7.0</v>
      </c>
      <c r="G42" s="28">
        <v>0.0</v>
      </c>
      <c r="H42" s="31">
        <v>2.0</v>
      </c>
      <c r="I42" s="31">
        <v>6.0</v>
      </c>
      <c r="J42" s="31">
        <v>4.0</v>
      </c>
      <c r="K42" s="33">
        <v>12.0</v>
      </c>
      <c r="L42" s="31">
        <v>1.0</v>
      </c>
      <c r="M42" s="28">
        <f t="shared" ref="M42:N42" si="39">C42+K42</f>
        <v>226</v>
      </c>
      <c r="N42" s="29">
        <f t="shared" si="39"/>
        <v>14</v>
      </c>
      <c r="O42" s="35" t="s">
        <v>46</v>
      </c>
      <c r="P42" s="35" t="s">
        <v>46</v>
      </c>
      <c r="Q42" s="35" t="s">
        <v>104</v>
      </c>
      <c r="R42" s="31">
        <f>if(G42=13,1,0)+VLOOKUP(B42,'061524'!B:T,17,false)</f>
        <v>1</v>
      </c>
      <c r="S42" s="31"/>
      <c r="T42" s="31">
        <f>if(G42=9,1,0)+VLOOKUP(B42,'061524'!B:T,19,false)</f>
        <v>7</v>
      </c>
    </row>
    <row r="43">
      <c r="A43" s="26">
        <f t="shared" si="3"/>
        <v>39</v>
      </c>
      <c r="B43" s="27" t="s">
        <v>110</v>
      </c>
      <c r="C43" s="28">
        <v>213.0</v>
      </c>
      <c r="D43" s="29">
        <v>10.0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222</v>
      </c>
      <c r="N43" s="29">
        <f t="shared" si="40"/>
        <v>10</v>
      </c>
      <c r="O43" s="35" t="s">
        <v>46</v>
      </c>
      <c r="P43" s="35" t="s">
        <v>46</v>
      </c>
      <c r="Q43" s="35" t="s">
        <v>46</v>
      </c>
      <c r="R43" s="31">
        <f>if(G43=13,1,0)+VLOOKUP(B43,'061524'!B:T,17,false)</f>
        <v>1</v>
      </c>
      <c r="S43" s="31"/>
      <c r="T43" s="31">
        <f>if(G43=9,1,0)+VLOOKUP(B43,'061524'!B:T,19,false)</f>
        <v>14</v>
      </c>
    </row>
    <row r="44">
      <c r="A44" s="26">
        <f t="shared" si="3"/>
        <v>40</v>
      </c>
      <c r="B44" s="27" t="s">
        <v>109</v>
      </c>
      <c r="C44" s="28">
        <v>213.0</v>
      </c>
      <c r="D44" s="29">
        <v>6.0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222</v>
      </c>
      <c r="N44" s="29">
        <f t="shared" si="41"/>
        <v>6</v>
      </c>
      <c r="O44" s="35" t="s">
        <v>46</v>
      </c>
      <c r="P44" s="35" t="s">
        <v>46</v>
      </c>
      <c r="Q44" s="35" t="s">
        <v>46</v>
      </c>
      <c r="R44" s="31">
        <f>if(G44=13,1,0)+VLOOKUP(B44,'061524'!B:T,17,false)</f>
        <v>2</v>
      </c>
      <c r="S44" s="31"/>
      <c r="T44" s="31">
        <f>if(G44=9,1,0)+VLOOKUP(B44,'061524'!B:T,19,false)</f>
        <v>13</v>
      </c>
    </row>
    <row r="45">
      <c r="A45" s="26">
        <f t="shared" si="3"/>
        <v>41</v>
      </c>
      <c r="B45" s="39" t="s">
        <v>105</v>
      </c>
      <c r="C45" s="28">
        <v>211.0</v>
      </c>
      <c r="D45" s="29">
        <v>14.0</v>
      </c>
      <c r="E45" s="30">
        <v>2.0</v>
      </c>
      <c r="F45" s="31">
        <v>7.0</v>
      </c>
      <c r="G45" s="28">
        <v>0.0</v>
      </c>
      <c r="H45" s="31">
        <v>6.0</v>
      </c>
      <c r="I45" s="31">
        <v>3.0</v>
      </c>
      <c r="J45" s="31">
        <v>4.0</v>
      </c>
      <c r="K45" s="33">
        <v>13.0</v>
      </c>
      <c r="L45" s="31">
        <v>1.0</v>
      </c>
      <c r="M45" s="28">
        <f t="shared" ref="M45:N45" si="42">C45+K45</f>
        <v>224</v>
      </c>
      <c r="N45" s="29">
        <f t="shared" si="42"/>
        <v>15</v>
      </c>
      <c r="O45" s="35" t="s">
        <v>46</v>
      </c>
      <c r="P45" s="35" t="s">
        <v>46</v>
      </c>
      <c r="Q45" s="35" t="s">
        <v>46</v>
      </c>
      <c r="R45" s="31">
        <f>if(G45=13,1,0)+VLOOKUP(B45,'061524'!B:T,17,false)</f>
        <v>0</v>
      </c>
      <c r="S45" s="31"/>
      <c r="T45" s="31">
        <f>if(G45=9,1,0)+VLOOKUP(B45,'061524'!B:T,19,false)</f>
        <v>7</v>
      </c>
    </row>
    <row r="46">
      <c r="A46" s="26">
        <f t="shared" si="3"/>
        <v>42</v>
      </c>
      <c r="B46" s="39" t="s">
        <v>111</v>
      </c>
      <c r="C46" s="28">
        <v>211.0</v>
      </c>
      <c r="D46" s="29">
        <v>10.0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220</v>
      </c>
      <c r="N46" s="29">
        <f t="shared" si="43"/>
        <v>10</v>
      </c>
      <c r="O46" s="35" t="s">
        <v>46</v>
      </c>
      <c r="P46" s="35" t="s">
        <v>46</v>
      </c>
      <c r="Q46" s="35" t="s">
        <v>104</v>
      </c>
      <c r="R46" s="31">
        <f>if(G46=13,1,0)+VLOOKUP(B46,'061524'!B:T,17,false)</f>
        <v>0</v>
      </c>
      <c r="S46" s="31"/>
      <c r="T46" s="31">
        <f>if(G46=9,1,0)+VLOOKUP(B46,'061524'!B:T,19,false)</f>
        <v>16</v>
      </c>
    </row>
    <row r="47">
      <c r="A47" s="26">
        <f t="shared" si="3"/>
        <v>43</v>
      </c>
      <c r="B47" s="27" t="s">
        <v>112</v>
      </c>
      <c r="C47" s="28">
        <v>211.0</v>
      </c>
      <c r="D47" s="29">
        <v>9.0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220</v>
      </c>
      <c r="N47" s="29">
        <f t="shared" si="44"/>
        <v>9</v>
      </c>
      <c r="O47" s="35" t="s">
        <v>46</v>
      </c>
      <c r="P47" s="35" t="s">
        <v>46</v>
      </c>
      <c r="Q47" s="35" t="s">
        <v>104</v>
      </c>
      <c r="R47" s="31">
        <f>if(G47=13,1,0)+VLOOKUP(B47,'061524'!B:T,17,false)</f>
        <v>0</v>
      </c>
      <c r="S47" s="31"/>
      <c r="T47" s="31">
        <f>if(G47=9,1,0)+VLOOKUP(B47,'061524'!B:T,19,false)</f>
        <v>16</v>
      </c>
    </row>
    <row r="48">
      <c r="A48" s="26">
        <f t="shared" si="3"/>
        <v>44</v>
      </c>
      <c r="B48" s="27" t="s">
        <v>98</v>
      </c>
      <c r="C48" s="28">
        <v>210.0</v>
      </c>
      <c r="D48" s="29">
        <v>8.0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219</v>
      </c>
      <c r="N48" s="29">
        <f t="shared" si="45"/>
        <v>8</v>
      </c>
      <c r="O48" s="35" t="s">
        <v>46</v>
      </c>
      <c r="P48" s="35" t="s">
        <v>46</v>
      </c>
      <c r="Q48" s="35" t="s">
        <v>46</v>
      </c>
      <c r="R48" s="31">
        <f>if(G48=13,1,0)+VLOOKUP(B48,'061524'!B:T,17,false)</f>
        <v>1</v>
      </c>
      <c r="S48" s="31"/>
      <c r="T48" s="31">
        <f>if(G48=9,1,0)+VLOOKUP(B48,'061524'!B:T,19,false)</f>
        <v>16</v>
      </c>
    </row>
    <row r="49">
      <c r="A49" s="26">
        <f t="shared" si="3"/>
        <v>45</v>
      </c>
      <c r="B49" s="54" t="s">
        <v>47</v>
      </c>
      <c r="C49" s="28">
        <v>208.0</v>
      </c>
      <c r="D49" s="29">
        <v>15.0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217</v>
      </c>
      <c r="N49" s="29">
        <f t="shared" si="46"/>
        <v>15</v>
      </c>
      <c r="O49" s="35" t="s">
        <v>46</v>
      </c>
      <c r="P49" s="35" t="s">
        <v>46</v>
      </c>
      <c r="Q49" s="35" t="s">
        <v>46</v>
      </c>
      <c r="R49" s="31">
        <f>if(G49=13,1,0)+VLOOKUP(B49,'061524'!B:T,17,false)</f>
        <v>0</v>
      </c>
      <c r="S49" s="31"/>
      <c r="T49" s="31">
        <f>if(G49=9,1,0)+VLOOKUP(B49,'061524'!B:T,19,false)</f>
        <v>4</v>
      </c>
    </row>
    <row r="50">
      <c r="A50" s="26">
        <f t="shared" si="3"/>
        <v>46</v>
      </c>
      <c r="B50" s="27" t="s">
        <v>66</v>
      </c>
      <c r="C50" s="28">
        <v>208.0</v>
      </c>
      <c r="D50" s="29">
        <v>11.0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217</v>
      </c>
      <c r="N50" s="29">
        <f t="shared" si="47"/>
        <v>11</v>
      </c>
      <c r="O50" s="35" t="s">
        <v>46</v>
      </c>
      <c r="P50" s="35" t="s">
        <v>46</v>
      </c>
      <c r="Q50" s="35" t="s">
        <v>46</v>
      </c>
      <c r="R50" s="31">
        <f>if(G50=13,1,0)+VLOOKUP(B50,'061524'!B:T,17,false)</f>
        <v>1</v>
      </c>
      <c r="S50" s="31"/>
      <c r="T50" s="31">
        <f>if(G50=9,1,0)+VLOOKUP(B50,'061524'!B:T,19,false)</f>
        <v>8</v>
      </c>
    </row>
    <row r="51">
      <c r="A51" s="26">
        <f t="shared" si="3"/>
        <v>47</v>
      </c>
      <c r="B51" s="55" t="s">
        <v>113</v>
      </c>
      <c r="C51" s="28">
        <v>203.0</v>
      </c>
      <c r="D51" s="29">
        <v>5.0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212</v>
      </c>
      <c r="N51" s="29">
        <f t="shared" si="48"/>
        <v>5</v>
      </c>
      <c r="O51" s="35" t="s">
        <v>46</v>
      </c>
      <c r="P51" s="35" t="s">
        <v>46</v>
      </c>
      <c r="Q51" s="35" t="s">
        <v>104</v>
      </c>
      <c r="R51" s="31">
        <f>if(G51=13,1,0)+VLOOKUP(B51,'061524'!B:T,17,false)</f>
        <v>1</v>
      </c>
      <c r="S51" s="31"/>
      <c r="T51" s="31">
        <f>if(G51=9,1,0)+VLOOKUP(B51,'061524'!B:T,19,false)</f>
        <v>18</v>
      </c>
    </row>
    <row r="52">
      <c r="A52" s="26">
        <f t="shared" si="3"/>
        <v>48</v>
      </c>
      <c r="B52" s="27" t="s">
        <v>114</v>
      </c>
      <c r="C52" s="28">
        <v>202.0</v>
      </c>
      <c r="D52" s="29">
        <v>4.0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211</v>
      </c>
      <c r="N52" s="29">
        <f t="shared" si="49"/>
        <v>4</v>
      </c>
      <c r="O52" s="35" t="s">
        <v>46</v>
      </c>
      <c r="P52" s="35" t="s">
        <v>46</v>
      </c>
      <c r="Q52" s="35" t="s">
        <v>46</v>
      </c>
      <c r="R52" s="31">
        <f>if(G52=13,1,0)+VLOOKUP(B52,'061524'!B:T,17,false)</f>
        <v>1</v>
      </c>
      <c r="S52" s="31"/>
      <c r="T52" s="31">
        <f>if(G52=9,1,0)+VLOOKUP(B52,'061524'!B:T,19,false)</f>
        <v>18</v>
      </c>
    </row>
    <row r="53">
      <c r="A53" s="26">
        <f t="shared" si="3"/>
        <v>49</v>
      </c>
      <c r="B53" s="27" t="s">
        <v>115</v>
      </c>
      <c r="C53" s="28">
        <v>199.0</v>
      </c>
      <c r="D53" s="29">
        <v>6.0</v>
      </c>
      <c r="E53" s="30">
        <v>2.0</v>
      </c>
      <c r="F53" s="31">
        <v>7.0</v>
      </c>
      <c r="G53" s="28">
        <v>0.0</v>
      </c>
      <c r="H53" s="31">
        <v>2.0</v>
      </c>
      <c r="I53" s="31">
        <v>3.0</v>
      </c>
      <c r="J53" s="31">
        <v>6.0</v>
      </c>
      <c r="K53" s="33">
        <v>11.0</v>
      </c>
      <c r="L53" s="31">
        <v>1.0</v>
      </c>
      <c r="M53" s="28">
        <f t="shared" ref="M53:N53" si="50">C53+K53</f>
        <v>210</v>
      </c>
      <c r="N53" s="29">
        <f t="shared" si="50"/>
        <v>7</v>
      </c>
      <c r="O53" s="35" t="s">
        <v>46</v>
      </c>
      <c r="P53" s="35" t="s">
        <v>46</v>
      </c>
      <c r="Q53" s="35" t="s">
        <v>46</v>
      </c>
      <c r="R53" s="31">
        <f>if(G53=13,1,0)+VLOOKUP(B53,'061524'!B:T,17,false)</f>
        <v>0</v>
      </c>
      <c r="S53" s="31"/>
      <c r="T53" s="31">
        <f>if(G53=9,1,0)+VLOOKUP(B53,'061524'!B:T,19,false)</f>
        <v>17</v>
      </c>
    </row>
    <row r="54">
      <c r="A54" s="26">
        <f t="shared" si="3"/>
        <v>50</v>
      </c>
      <c r="B54" s="54" t="s">
        <v>116</v>
      </c>
      <c r="C54" s="28">
        <v>198.0</v>
      </c>
      <c r="D54" s="29">
        <v>5.0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207</v>
      </c>
      <c r="N54" s="29">
        <f t="shared" si="51"/>
        <v>5</v>
      </c>
      <c r="O54" s="35" t="s">
        <v>46</v>
      </c>
      <c r="P54" s="35" t="s">
        <v>46</v>
      </c>
      <c r="Q54" s="35" t="s">
        <v>104</v>
      </c>
      <c r="R54" s="31">
        <f>if(G54=13,1,0)+VLOOKUP(B54,'061524'!B:T,17,false)</f>
        <v>0</v>
      </c>
      <c r="S54" s="31"/>
      <c r="T54" s="31">
        <f>if(G54=9,1,0)+VLOOKUP(B54,'061524'!B:T,19,false)</f>
        <v>17</v>
      </c>
    </row>
    <row r="55">
      <c r="A55" s="26">
        <f t="shared" si="3"/>
        <v>51</v>
      </c>
      <c r="B55" s="27" t="s">
        <v>117</v>
      </c>
      <c r="C55" s="28">
        <v>198.0</v>
      </c>
      <c r="D55" s="29">
        <v>4.0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207</v>
      </c>
      <c r="N55" s="29">
        <f t="shared" si="52"/>
        <v>4</v>
      </c>
      <c r="O55" s="35" t="s">
        <v>46</v>
      </c>
      <c r="P55" s="35" t="s">
        <v>46</v>
      </c>
      <c r="Q55" s="35" t="s">
        <v>46</v>
      </c>
      <c r="R55" s="31">
        <f>if(G55=13,1,0)+VLOOKUP(B55,'061524'!B:T,17,false)</f>
        <v>2</v>
      </c>
      <c r="S55" s="31"/>
      <c r="T55" s="31">
        <f>if(G55=9,1,0)+VLOOKUP(B55,'061524'!B:T,19,false)</f>
        <v>17</v>
      </c>
    </row>
    <row r="56">
      <c r="A56" s="26">
        <f t="shared" si="3"/>
        <v>52</v>
      </c>
      <c r="B56" s="27" t="s">
        <v>39</v>
      </c>
      <c r="C56" s="28">
        <v>196.0</v>
      </c>
      <c r="D56" s="29">
        <v>4.0</v>
      </c>
      <c r="E56" s="30">
        <v>1.0</v>
      </c>
      <c r="F56" s="31">
        <v>7.0</v>
      </c>
      <c r="G56" s="28">
        <v>0.0</v>
      </c>
      <c r="H56" s="31">
        <v>6.0</v>
      </c>
      <c r="I56" s="31">
        <v>6.0</v>
      </c>
      <c r="J56" s="31">
        <v>6.0</v>
      </c>
      <c r="K56" s="33">
        <v>18.0</v>
      </c>
      <c r="L56" s="31">
        <v>3.0</v>
      </c>
      <c r="M56" s="28">
        <f t="shared" ref="M56:N56" si="53">C56+K56</f>
        <v>214</v>
      </c>
      <c r="N56" s="29">
        <f t="shared" si="53"/>
        <v>7</v>
      </c>
      <c r="O56" s="35" t="s">
        <v>46</v>
      </c>
      <c r="P56" s="35" t="s">
        <v>46</v>
      </c>
      <c r="Q56" s="35" t="s">
        <v>46</v>
      </c>
      <c r="R56" s="31">
        <f>if(G56=13,1,0)+VLOOKUP(B56,'061524'!B:T,17,false)</f>
        <v>0</v>
      </c>
      <c r="S56" s="31"/>
      <c r="T56" s="31">
        <f>if(G56=9,1,0)+VLOOKUP(B56,'061524'!B:T,19,false)</f>
        <v>18</v>
      </c>
    </row>
    <row r="57">
      <c r="A57" s="26">
        <f t="shared" si="3"/>
        <v>53</v>
      </c>
      <c r="B57" s="27" t="s">
        <v>118</v>
      </c>
      <c r="C57" s="28">
        <v>195.0</v>
      </c>
      <c r="D57" s="29">
        <v>2.0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204</v>
      </c>
      <c r="N57" s="29">
        <f t="shared" si="54"/>
        <v>2</v>
      </c>
      <c r="O57" s="35" t="s">
        <v>46</v>
      </c>
      <c r="P57" s="35" t="s">
        <v>46</v>
      </c>
      <c r="Q57" s="35" t="s">
        <v>104</v>
      </c>
      <c r="R57" s="31">
        <f>if(G57=13,1,0)+VLOOKUP(B57,'061524'!B:T,17,false)</f>
        <v>2</v>
      </c>
      <c r="S57" s="31"/>
      <c r="T57" s="31">
        <f>if(G57=9,1,0)+VLOOKUP(B57,'061524'!B:T,19,false)</f>
        <v>18</v>
      </c>
    </row>
    <row r="58">
      <c r="A58" s="26">
        <f t="shared" si="3"/>
        <v>54</v>
      </c>
      <c r="B58" s="54" t="s">
        <v>54</v>
      </c>
      <c r="C58" s="28">
        <v>191.0</v>
      </c>
      <c r="D58" s="29">
        <v>5.0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200</v>
      </c>
      <c r="N58" s="29">
        <f t="shared" si="55"/>
        <v>5</v>
      </c>
      <c r="O58" s="35" t="s">
        <v>46</v>
      </c>
      <c r="P58" s="35" t="s">
        <v>46</v>
      </c>
      <c r="Q58" s="35" t="s">
        <v>104</v>
      </c>
      <c r="R58" s="31">
        <f>if(G58=13,1,0)+VLOOKUP(B58,'061524'!B:T,17,false)</f>
        <v>1</v>
      </c>
      <c r="S58" s="31"/>
      <c r="T58" s="31">
        <f>if(G58=9,1,0)+VLOOKUP(B58,'061524'!B:T,19,false)</f>
        <v>15</v>
      </c>
    </row>
    <row r="59">
      <c r="A59" s="26">
        <f t="shared" si="3"/>
        <v>55</v>
      </c>
      <c r="B59" s="39" t="s">
        <v>119</v>
      </c>
      <c r="C59" s="28">
        <v>190.0</v>
      </c>
      <c r="D59" s="29">
        <v>4.0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199</v>
      </c>
      <c r="N59" s="29">
        <f t="shared" si="56"/>
        <v>4</v>
      </c>
      <c r="O59" s="35" t="s">
        <v>46</v>
      </c>
      <c r="P59" s="35" t="s">
        <v>46</v>
      </c>
      <c r="Q59" s="35" t="s">
        <v>46</v>
      </c>
      <c r="R59" s="31">
        <f>if(G59=13,1,0)+VLOOKUP(B59,'061524'!B:T,17,false)</f>
        <v>0</v>
      </c>
      <c r="S59" s="31"/>
      <c r="T59" s="31">
        <f>if(G59=9,1,0)+VLOOKUP(B59,'061524'!B:T,19,false)</f>
        <v>19</v>
      </c>
    </row>
    <row r="60">
      <c r="A60" s="26">
        <f t="shared" si="3"/>
        <v>56</v>
      </c>
      <c r="B60" s="27" t="s">
        <v>120</v>
      </c>
      <c r="C60" s="28">
        <v>189.0</v>
      </c>
      <c r="D60" s="29">
        <v>4.0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198</v>
      </c>
      <c r="N60" s="29">
        <f t="shared" si="57"/>
        <v>4</v>
      </c>
      <c r="O60" s="35" t="s">
        <v>46</v>
      </c>
      <c r="P60" s="35" t="s">
        <v>46</v>
      </c>
      <c r="Q60" s="35" t="s">
        <v>46</v>
      </c>
      <c r="R60" s="31">
        <f>if(G60=13,1,0)+VLOOKUP(B60,'061524'!B:T,17,false)</f>
        <v>1</v>
      </c>
      <c r="S60" s="31"/>
      <c r="T60" s="31">
        <f>if(G60=9,1,0)+VLOOKUP(B60,'061524'!B:T,19,false)</f>
        <v>18</v>
      </c>
    </row>
    <row r="61">
      <c r="A61" s="26">
        <f t="shared" si="3"/>
        <v>57</v>
      </c>
      <c r="B61" s="39" t="s">
        <v>121</v>
      </c>
      <c r="C61" s="28">
        <v>189.0</v>
      </c>
      <c r="D61" s="29">
        <v>3.0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198</v>
      </c>
      <c r="N61" s="29">
        <f t="shared" si="58"/>
        <v>3</v>
      </c>
      <c r="O61" s="35" t="s">
        <v>46</v>
      </c>
      <c r="P61" s="35" t="s">
        <v>46</v>
      </c>
      <c r="Q61" s="35" t="s">
        <v>46</v>
      </c>
      <c r="R61" s="31">
        <f>if(G61=13,1,0)+VLOOKUP(B61,'061524'!B:T,17,false)</f>
        <v>0</v>
      </c>
      <c r="S61" s="31"/>
      <c r="T61" s="31">
        <f>if(G61=9,1,0)+VLOOKUP(B61,'061524'!B:T,19,false)</f>
        <v>19</v>
      </c>
    </row>
    <row r="62">
      <c r="A62" s="26">
        <f t="shared" si="3"/>
        <v>58</v>
      </c>
      <c r="B62" s="54" t="s">
        <v>122</v>
      </c>
      <c r="C62" s="28">
        <v>187.0</v>
      </c>
      <c r="D62" s="29">
        <v>1.0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196</v>
      </c>
      <c r="N62" s="29">
        <f t="shared" si="59"/>
        <v>1</v>
      </c>
      <c r="O62" s="35" t="s">
        <v>46</v>
      </c>
      <c r="P62" s="35" t="s">
        <v>46</v>
      </c>
      <c r="Q62" s="35" t="s">
        <v>104</v>
      </c>
      <c r="R62" s="31">
        <f>if(G62=13,1,0)+VLOOKUP(B62,'061524'!B:T,17,false)</f>
        <v>0</v>
      </c>
      <c r="S62" s="31"/>
      <c r="T62" s="31">
        <f>if(G62=9,1,0)+VLOOKUP(B62,'061524'!B:T,19,false)</f>
        <v>20</v>
      </c>
    </row>
    <row r="63">
      <c r="A63" s="26">
        <f t="shared" si="3"/>
        <v>59</v>
      </c>
      <c r="B63" s="54" t="s">
        <v>123</v>
      </c>
      <c r="C63" s="28">
        <v>184.0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193</v>
      </c>
      <c r="N63" s="29">
        <f t="shared" si="60"/>
        <v>2</v>
      </c>
      <c r="O63" s="35" t="s">
        <v>46</v>
      </c>
      <c r="P63" s="35" t="s">
        <v>46</v>
      </c>
      <c r="Q63" s="35" t="s">
        <v>104</v>
      </c>
      <c r="R63" s="31">
        <f>if(G63=13,1,0)+VLOOKUP(B63,'061524'!B:T,17,false)</f>
        <v>1</v>
      </c>
      <c r="S63" s="31"/>
      <c r="T63" s="31">
        <f>if(G63=9,1,0)+VLOOKUP(B63,'061524'!B:T,19,false)</f>
        <v>19</v>
      </c>
    </row>
    <row r="64">
      <c r="A64" s="26">
        <f t="shared" si="3"/>
        <v>60</v>
      </c>
      <c r="B64" s="39" t="s">
        <v>97</v>
      </c>
      <c r="C64" s="28">
        <v>180.0</v>
      </c>
      <c r="D64" s="29">
        <v>5.0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189</v>
      </c>
      <c r="N64" s="29">
        <f t="shared" si="61"/>
        <v>5</v>
      </c>
      <c r="O64" s="35" t="s">
        <v>46</v>
      </c>
      <c r="P64" s="35" t="s">
        <v>46</v>
      </c>
      <c r="Q64" s="35" t="s">
        <v>46</v>
      </c>
      <c r="R64" s="31">
        <f>if(G64=13,1,0)+VLOOKUP(B64,'061524'!B:T,17,false)</f>
        <v>0</v>
      </c>
      <c r="S64" s="31"/>
      <c r="T64" s="31">
        <f>if(G64=9,1,0)+VLOOKUP(B64,'061524'!B:T,19,false)</f>
        <v>10</v>
      </c>
    </row>
    <row r="65">
      <c r="A65" s="26">
        <f t="shared" si="3"/>
        <v>61</v>
      </c>
      <c r="B65" s="39" t="s">
        <v>124</v>
      </c>
      <c r="C65" s="28">
        <v>180.0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189</v>
      </c>
      <c r="N65" s="29">
        <f t="shared" si="62"/>
        <v>0</v>
      </c>
      <c r="O65" s="35" t="s">
        <v>46</v>
      </c>
      <c r="P65" s="35" t="s">
        <v>46</v>
      </c>
      <c r="Q65" s="35" t="s">
        <v>104</v>
      </c>
      <c r="R65" s="31">
        <f>if(G65=13,1,0)+VLOOKUP(B65,'061524'!B:T,17,false)</f>
        <v>0</v>
      </c>
      <c r="S65" s="31"/>
      <c r="T65" s="31">
        <f>if(G65=9,1,0)+VLOOKUP(B65,'061524'!B:T,19,false)</f>
        <v>21</v>
      </c>
    </row>
    <row r="66">
      <c r="A66" s="26">
        <f t="shared" si="3"/>
        <v>62</v>
      </c>
      <c r="B66" s="39" t="s">
        <v>125</v>
      </c>
      <c r="C66" s="28">
        <v>180.0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189</v>
      </c>
      <c r="N66" s="29">
        <f t="shared" si="63"/>
        <v>0</v>
      </c>
      <c r="O66" s="35" t="s">
        <v>46</v>
      </c>
      <c r="P66" s="35" t="s">
        <v>46</v>
      </c>
      <c r="Q66" s="35" t="s">
        <v>46</v>
      </c>
      <c r="R66" s="31">
        <f>if(G66=13,1,0)+VLOOKUP(B66,'061524'!B:T,17,false)</f>
        <v>0</v>
      </c>
      <c r="S66" s="31"/>
      <c r="T66" s="31">
        <f>if(G66=9,1,0)+VLOOKUP(B66,'061524'!B:T,19,false)</f>
        <v>20</v>
      </c>
    </row>
    <row r="67">
      <c r="A67" s="26">
        <f t="shared" si="3"/>
        <v>63</v>
      </c>
      <c r="B67" s="39" t="s">
        <v>126</v>
      </c>
      <c r="C67" s="28">
        <v>179.0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188</v>
      </c>
      <c r="N67" s="29">
        <f t="shared" si="64"/>
        <v>2</v>
      </c>
      <c r="O67" s="35" t="s">
        <v>46</v>
      </c>
      <c r="P67" s="35" t="s">
        <v>46</v>
      </c>
      <c r="Q67" s="35" t="s">
        <v>104</v>
      </c>
      <c r="R67" s="31">
        <f>if(G67=13,1,0)+VLOOKUP(B67,'061524'!B:T,17,false)</f>
        <v>0</v>
      </c>
      <c r="S67" s="31"/>
      <c r="T67" s="31">
        <f>if(G67=9,1,0)+VLOOKUP(B67,'061524'!B:T,19,false)</f>
        <v>19</v>
      </c>
    </row>
    <row r="68">
      <c r="A68" s="26">
        <f t="shared" si="3"/>
        <v>64</v>
      </c>
      <c r="B68" s="27" t="s">
        <v>74</v>
      </c>
      <c r="C68" s="28">
        <v>171.0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180</v>
      </c>
      <c r="N68" s="29">
        <f t="shared" si="65"/>
        <v>0</v>
      </c>
      <c r="O68" s="35" t="s">
        <v>46</v>
      </c>
      <c r="P68" s="35" t="s">
        <v>46</v>
      </c>
      <c r="Q68" s="35" t="s">
        <v>46</v>
      </c>
      <c r="R68" s="31">
        <f>if(G68=13,1,0)+VLOOKUP(B68,'061524'!B:T,17,false)</f>
        <v>0</v>
      </c>
      <c r="S68" s="31"/>
      <c r="T68" s="31">
        <f>if(G68=9,1,0)+VLOOKUP(B68,'061524'!B:T,19,false)</f>
        <v>21</v>
      </c>
    </row>
    <row r="69">
      <c r="A69" s="26">
        <f t="shared" si="3"/>
        <v>65</v>
      </c>
      <c r="B69" s="39" t="s">
        <v>127</v>
      </c>
      <c r="C69" s="28">
        <v>170.0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179</v>
      </c>
      <c r="N69" s="29">
        <f t="shared" si="66"/>
        <v>2</v>
      </c>
      <c r="O69" s="35" t="s">
        <v>46</v>
      </c>
      <c r="P69" s="35" t="s">
        <v>46</v>
      </c>
      <c r="Q69" s="35" t="s">
        <v>46</v>
      </c>
      <c r="R69" s="31">
        <f>if(G69=13,1,0)+VLOOKUP(B69,'061524'!B:T,17,false)</f>
        <v>0</v>
      </c>
      <c r="S69" s="31"/>
      <c r="T69" s="31">
        <f>if(G69=9,1,0)+VLOOKUP(B69,'061524'!B:T,19,false)</f>
        <v>19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 t="shared" ref="P72:Q72" si="67">COUNTA(P5:P69)</f>
        <v>65</v>
      </c>
      <c r="Q72" s="14">
        <f t="shared" si="67"/>
        <v>63</v>
      </c>
    </row>
    <row r="73">
      <c r="A73" s="1"/>
      <c r="C73" s="1"/>
      <c r="D73" s="1"/>
      <c r="E73" s="1"/>
      <c r="O73" s="13" t="s">
        <v>129</v>
      </c>
      <c r="P73" s="14">
        <f t="shared" ref="P73:Q73" si="68">P74-P72</f>
        <v>0</v>
      </c>
      <c r="Q73" s="14">
        <f t="shared" si="68"/>
        <v>2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  <c r="Q74" s="14">
        <f>P74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  <c r="O77" s="13" t="s">
        <v>128</v>
      </c>
      <c r="P77" s="14"/>
      <c r="Q77" s="14">
        <f>COUNTIF(Q5:Q69,"X")</f>
        <v>50</v>
      </c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  <c r="O78" s="13" t="s">
        <v>134</v>
      </c>
      <c r="P78" s="14"/>
      <c r="Q78" s="14">
        <f>countif(Q5:Q69,"N")</f>
        <v>13</v>
      </c>
    </row>
    <row r="79">
      <c r="A79" s="1"/>
      <c r="B79" s="39" t="str">
        <f>IFERROR(__xludf.DUMMYFUNCTION("QUERY(B5:L69,""Select B, K, L where K &gt;= 18 order by K desc, L desc"",0)"),"Adrian Tay")</f>
        <v>Adrian Tay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K79" s="57"/>
      <c r="L79" s="58"/>
      <c r="O79" s="13" t="s">
        <v>129</v>
      </c>
      <c r="P79" s="14"/>
      <c r="Q79" s="14">
        <f>countif(Q5:Q69,"")</f>
        <v>2</v>
      </c>
    </row>
    <row r="80">
      <c r="A80" s="1"/>
      <c r="B80" s="39" t="str">
        <f>IFERROR(__xludf.DUMMYFUNCTION("""COMPUTED_VALUE"""),"Erik Hoeckmann")</f>
        <v>Erik Hoeckmann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L80" s="61"/>
      <c r="O80" s="13" t="s">
        <v>53</v>
      </c>
      <c r="P80" s="14"/>
      <c r="Q80" s="14">
        <f>sum(Q77:Q79)</f>
        <v>65</v>
      </c>
    </row>
    <row r="81">
      <c r="A81" s="1"/>
      <c r="B81" s="39" t="str">
        <f>IFERROR(__xludf.DUMMYFUNCTION("""COMPUTED_VALUE"""),"Luis Hsu")</f>
        <v>Luis Hsu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IFERROR(__xludf.DUMMYFUNCTION("""COMPUTED_VALUE"""),"Ramesh Bandaru")</f>
        <v>Ramesh Bandaru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IFERROR(__xludf.DUMMYFUNCTION("""COMPUTED_VALUE"""),"Alejandro Mejia")</f>
        <v>Alejandro Mejia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1"")"),"Adrian Tay")</f>
        <v>Adrian Tay</v>
      </c>
      <c r="C92" s="63">
        <f>IFERROR(__xludf.DUMMYFUNCTION("""COMPUTED_VALUE"""),281.0)</f>
        <v>281</v>
      </c>
      <c r="D92" s="64">
        <f>IFERROR(__xludf.DUMMYFUNCTION("""COMPUTED_VALUE"""),31.0)</f>
        <v>31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IFERROR(__xludf.DUMMYFUNCTION("""COMPUTED_VALUE"""),7.0)</f>
        <v>7</v>
      </c>
      <c r="K92" s="65">
        <f>IFERROR(__xludf.DUMMYFUNCTION("""COMPUTED_VALUE"""),19.0)</f>
        <v>19</v>
      </c>
      <c r="L92" s="65">
        <f>IFERROR(__xludf.DUMMYFUNCTION("""COMPUTED_VALUE"""),3.0)</f>
        <v>3</v>
      </c>
      <c r="M92" s="65">
        <f>IFERROR(__xludf.DUMMYFUNCTION("""COMPUTED_VALUE"""),300.0)</f>
        <v>300</v>
      </c>
      <c r="N92" s="66">
        <f>IFERROR(__xludf.DUMMYFUNCTION("""COMPUTED_VALUE"""),34.0)</f>
        <v>34</v>
      </c>
    </row>
    <row r="93">
      <c r="A93" s="1"/>
      <c r="B93" s="62" t="str">
        <f>IFERROR(__xludf.DUMMYFUNCTION("""COMPUTED_VALUE"""),"Suleman Alidina")</f>
        <v>Suleman Alidina</v>
      </c>
      <c r="C93" s="63">
        <f>IFERROR(__xludf.DUMMYFUNCTION("""COMPUTED_VALUE"""),259.0)</f>
        <v>259</v>
      </c>
      <c r="D93" s="64">
        <f>IFERROR(__xludf.DUMMYFUNCTION("""COMPUTED_VALUE"""),29.0)</f>
        <v>29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IFERROR(__xludf.DUMMYFUNCTION("""COMPUTED_VALUE"""),3.0)</f>
        <v>3</v>
      </c>
      <c r="I93" s="65">
        <f>IFERROR(__xludf.DUMMYFUNCTION("""COMPUTED_VALUE"""),2.0)</f>
        <v>2</v>
      </c>
      <c r="J93" s="65">
        <f>IFERROR(__xludf.DUMMYFUNCTION("""COMPUTED_VALUE"""),7.0)</f>
        <v>7</v>
      </c>
      <c r="K93" s="65">
        <f>IFERROR(__xludf.DUMMYFUNCTION("""COMPUTED_VALUE"""),12.0)</f>
        <v>12</v>
      </c>
      <c r="L93" s="65">
        <f>IFERROR(__xludf.DUMMYFUNCTION("""COMPUTED_VALUE"""),1.0)</f>
        <v>1</v>
      </c>
      <c r="M93" s="65">
        <f>IFERROR(__xludf.DUMMYFUNCTION("""COMPUTED_VALUE"""),271.0)</f>
        <v>271</v>
      </c>
      <c r="N93" s="66">
        <f>IFERROR(__xludf.DUMMYFUNCTION("""COMPUTED_VALUE"""),30.0)</f>
        <v>30</v>
      </c>
    </row>
    <row r="94">
      <c r="A94" s="1"/>
      <c r="B94" s="62" t="str">
        <f>IFERROR(__xludf.DUMMYFUNCTION("""COMPUTED_VALUE"""),"Christopher Li")</f>
        <v>Christopher Li</v>
      </c>
      <c r="C94" s="63">
        <f>IFERROR(__xludf.DUMMYFUNCTION("""COMPUTED_VALUE"""),258.0)</f>
        <v>258</v>
      </c>
      <c r="D94" s="64">
        <f>IFERROR(__xludf.DUMMYFUNCTION("""COMPUTED_VALUE"""),26.0)</f>
        <v>26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IFERROR(__xludf.DUMMYFUNCTION("""COMPUTED_VALUE"""),2.0)</f>
        <v>2</v>
      </c>
      <c r="J94" s="65">
        <f>IFERROR(__xludf.DUMMYFUNCTION("""COMPUTED_VALUE"""),5.0)</f>
        <v>5</v>
      </c>
      <c r="K94" s="65">
        <f>IFERROR(__xludf.DUMMYFUNCTION("""COMPUTED_VALUE"""),13.0)</f>
        <v>13</v>
      </c>
      <c r="L94" s="65">
        <f>IFERROR(__xludf.DUMMYFUNCTION("""COMPUTED_VALUE"""),1.0)</f>
        <v>1</v>
      </c>
      <c r="M94" s="65">
        <f>IFERROR(__xludf.DUMMYFUNCTION("""COMPUTED_VALUE"""),271.0)</f>
        <v>271</v>
      </c>
      <c r="N94" s="66">
        <f>IFERROR(__xludf.DUMMYFUNCTION("""COMPUTED_VALUE"""),27.0)</f>
        <v>27</v>
      </c>
    </row>
    <row r="95">
      <c r="A95" s="1"/>
      <c r="B95" s="62" t="str">
        <f>IFERROR(__xludf.DUMMYFUNCTION("""COMPUTED_VALUE"""),"Peter Homsey")</f>
        <v>Peter Homsey</v>
      </c>
      <c r="C95" s="63">
        <f>IFERROR(__xludf.DUMMYFUNCTION("""COMPUTED_VALUE"""),249.0)</f>
        <v>249</v>
      </c>
      <c r="D95" s="64">
        <f>IFERROR(__xludf.DUMMYFUNCTION("""COMPUTED_VALUE"""),22.0)</f>
        <v>22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IFERROR(__xludf.DUMMYFUNCTION("""COMPUTED_VALUE"""),3.0)</f>
        <v>3</v>
      </c>
      <c r="I95" s="65">
        <f>IFERROR(__xludf.DUMMYFUNCTION("""COMPUTED_VALUE"""),6.0)</f>
        <v>6</v>
      </c>
      <c r="J95" s="65">
        <f>IFERROR(__xludf.DUMMYFUNCTION("""COMPUTED_VALUE"""),5.0)</f>
        <v>5</v>
      </c>
      <c r="K95" s="65">
        <f>IFERROR(__xludf.DUMMYFUNCTION("""COMPUTED_VALUE"""),14.0)</f>
        <v>14</v>
      </c>
      <c r="L95" s="65">
        <f>IFERROR(__xludf.DUMMYFUNCTION("""COMPUTED_VALUE"""),1.0)</f>
        <v>1</v>
      </c>
      <c r="M95" s="65">
        <f>IFERROR(__xludf.DUMMYFUNCTION("""COMPUTED_VALUE"""),263.0)</f>
        <v>263</v>
      </c>
      <c r="N95" s="66">
        <f>IFERROR(__xludf.DUMMYFUNCTION("""COMPUTED_VALUE"""),23.0)</f>
        <v>23</v>
      </c>
    </row>
    <row r="96">
      <c r="A96" s="1"/>
      <c r="B96" s="67" t="str">
        <f>IFERROR(__xludf.DUMMYFUNCTION("""COMPUTED_VALUE"""),"Lam Bui")</f>
        <v>Lam Bui</v>
      </c>
      <c r="C96" s="68">
        <f>IFERROR(__xludf.DUMMYFUNCTION("""COMPUTED_VALUE"""),247.0)</f>
        <v>247</v>
      </c>
      <c r="D96" s="69">
        <f>IFERROR(__xludf.DUMMYFUNCTION("""COMPUTED_VALUE"""),16.0)</f>
        <v>16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IFERROR(__xludf.DUMMYFUNCTION("""COMPUTED_VALUE"""),4.0)</f>
        <v>4</v>
      </c>
      <c r="K96" s="70">
        <f>IFERROR(__xludf.DUMMYFUNCTION("""COMPUTED_VALUE"""),16.0)</f>
        <v>16</v>
      </c>
      <c r="L96" s="70">
        <f>IFERROR(__xludf.DUMMYFUNCTION("""COMPUTED_VALUE"""),2.0)</f>
        <v>2</v>
      </c>
      <c r="M96" s="70">
        <f>IFERROR(__xludf.DUMMYFUNCTION("""COMPUTED_VALUE"""),263.0)</f>
        <v>263</v>
      </c>
      <c r="N96" s="71">
        <f>IFERROR(__xludf.DUMMYFUNCTION("""COMPUTED_VALUE"""),18.0)</f>
        <v>18</v>
      </c>
    </row>
    <row r="97">
      <c r="A97" s="1"/>
      <c r="B97" s="67" t="str">
        <f>IFERROR(__xludf.DUMMYFUNCTION("""COMPUTED_VALUE"""),"Jonathan Phan")</f>
        <v>Jonathan Phan</v>
      </c>
      <c r="C97" s="68">
        <f>IFERROR(__xludf.DUMMYFUNCTION("""COMPUTED_VALUE"""),246.0)</f>
        <v>246</v>
      </c>
      <c r="D97" s="69">
        <f>IFERROR(__xludf.DUMMYFUNCTION("""COMPUTED_VALUE"""),20.0)</f>
        <v>20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IFERROR(__xludf.DUMMYFUNCTION("""COMPUTED_VALUE"""),3.0)</f>
        <v>3</v>
      </c>
      <c r="I97" s="70">
        <f>IFERROR(__xludf.DUMMYFUNCTION("""COMPUTED_VALUE"""),6.0)</f>
        <v>6</v>
      </c>
      <c r="J97" s="70">
        <f>IFERROR(__xludf.DUMMYFUNCTION("""COMPUTED_VALUE"""),6.0)</f>
        <v>6</v>
      </c>
      <c r="K97" s="70">
        <f>IFERROR(__xludf.DUMMYFUNCTION("""COMPUTED_VALUE"""),15.0)</f>
        <v>15</v>
      </c>
      <c r="L97" s="70">
        <f>IFERROR(__xludf.DUMMYFUNCTION("""COMPUTED_VALUE"""),2.0)</f>
        <v>2</v>
      </c>
      <c r="M97" s="70">
        <f>IFERROR(__xludf.DUMMYFUNCTION("""COMPUTED_VALUE"""),261.0)</f>
        <v>261</v>
      </c>
      <c r="N97" s="71">
        <f>IFERROR(__xludf.DUMMYFUNCTION("""COMPUTED_VALUE"""),22.0)</f>
        <v>22</v>
      </c>
    </row>
    <row r="98">
      <c r="A98" s="1"/>
      <c r="B98" s="67" t="str">
        <f>IFERROR(__xludf.DUMMYFUNCTION("""COMPUTED_VALUE"""),"David Shin")</f>
        <v>David Shin</v>
      </c>
      <c r="C98" s="68">
        <f>IFERROR(__xludf.DUMMYFUNCTION("""COMPUTED_VALUE"""),245.0)</f>
        <v>245</v>
      </c>
      <c r="D98" s="69">
        <f>IFERROR(__xludf.DUMMYFUNCTION("""COMPUTED_VALUE"""),21.0)</f>
        <v>21</v>
      </c>
      <c r="E98" s="68">
        <f>IFERROR(__xludf.DUMMYFUNCTION("""COMPUTED_VALUE"""),2.0)</f>
        <v>2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IFERROR(__xludf.DUMMYFUNCTION("""COMPUTED_VALUE"""),2.0)</f>
        <v>2</v>
      </c>
      <c r="J98" s="70">
        <f>IFERROR(__xludf.DUMMYFUNCTION("""COMPUTED_VALUE"""),6.0)</f>
        <v>6</v>
      </c>
      <c r="K98" s="70">
        <f>IFERROR(__xludf.DUMMYFUNCTION("""COMPUTED_VALUE"""),14.0)</f>
        <v>14</v>
      </c>
      <c r="L98" s="70">
        <f>IFERROR(__xludf.DUMMYFUNCTION("""COMPUTED_VALUE"""),2.0)</f>
        <v>2</v>
      </c>
      <c r="M98" s="70">
        <f>IFERROR(__xludf.DUMMYFUNCTION("""COMPUTED_VALUE"""),259.0)</f>
        <v>259</v>
      </c>
      <c r="N98" s="71">
        <f>IFERROR(__xludf.DUMMYFUNCTION("""COMPUTED_VALUE"""),23.0)</f>
        <v>23</v>
      </c>
    </row>
    <row r="99">
      <c r="A99" s="1"/>
      <c r="B99" s="67" t="str">
        <f>IFERROR(__xludf.DUMMYFUNCTION("""COMPUTED_VALUE"""),"Sean Chang")</f>
        <v>Sean Chang</v>
      </c>
      <c r="C99" s="68">
        <f>IFERROR(__xludf.DUMMYFUNCTION("""COMPUTED_VALUE"""),244.0)</f>
        <v>244</v>
      </c>
      <c r="D99" s="69">
        <f>IFERROR(__xludf.DUMMYFUNCTION("""COMPUTED_VALUE"""),15.0)</f>
        <v>15</v>
      </c>
      <c r="E99" s="68">
        <f>IFERROR(__xludf.DUMMYFUNCTION("""COMPUTED_VALUE"""),2.0)</f>
        <v>2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IFERROR(__xludf.DUMMYFUNCTION("""COMPUTED_VALUE"""),3.0)</f>
        <v>3</v>
      </c>
      <c r="I99" s="70">
        <f>IFERROR(__xludf.DUMMYFUNCTION("""COMPUTED_VALUE"""),2.0)</f>
        <v>2</v>
      </c>
      <c r="J99" s="70">
        <f>IFERROR(__xludf.DUMMYFUNCTION("""COMPUTED_VALUE"""),4.0)</f>
        <v>4</v>
      </c>
      <c r="K99" s="70">
        <f>IFERROR(__xludf.DUMMYFUNCTION("""COMPUTED_VALUE"""),9.0)</f>
        <v>9</v>
      </c>
      <c r="L99" s="70">
        <f>IFERROR(__xludf.DUMMYFUNCTION("""COMPUTED_VALUE"""),0.0)</f>
        <v>0</v>
      </c>
      <c r="M99" s="70">
        <f>IFERROR(__xludf.DUMMYFUNCTION("""COMPUTED_VALUE"""),253.0)</f>
        <v>253</v>
      </c>
      <c r="N99" s="71">
        <f>IFERROR(__xludf.DUMMYFUNCTION("""COMPUTED_VALUE"""),15.0)</f>
        <v>15</v>
      </c>
    </row>
    <row r="100">
      <c r="A100" s="1"/>
      <c r="B100" s="67" t="str">
        <f>IFERROR(__xludf.DUMMYFUNCTION("""COMPUTED_VALUE"""),"Ted Shen")</f>
        <v>Ted Shen</v>
      </c>
      <c r="C100" s="63">
        <f>IFERROR(__xludf.DUMMYFUNCTION("""COMPUTED_VALUE"""),242.0)</f>
        <v>242</v>
      </c>
      <c r="D100" s="64">
        <f>IFERROR(__xludf.DUMMYFUNCTION("""COMPUTED_VALUE"""),19.0)</f>
        <v>19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IFERROR(__xludf.DUMMYFUNCTION("""COMPUTED_VALUE"""),4.0)</f>
        <v>4</v>
      </c>
      <c r="I100" s="65">
        <f>IFERROR(__xludf.DUMMYFUNCTION("""COMPUTED_VALUE"""),6.0)</f>
        <v>6</v>
      </c>
      <c r="J100" s="65">
        <f>IFERROR(__xludf.DUMMYFUNCTION("""COMPUTED_VALUE"""),2.0)</f>
        <v>2</v>
      </c>
      <c r="K100" s="65">
        <f>IFERROR(__xludf.DUMMYFUNCTION("""COMPUTED_VALUE"""),12.0)</f>
        <v>12</v>
      </c>
      <c r="L100" s="65">
        <f>IFERROR(__xludf.DUMMYFUNCTION("""COMPUTED_VALUE"""),1.0)</f>
        <v>1</v>
      </c>
      <c r="M100" s="65">
        <f>IFERROR(__xludf.DUMMYFUNCTION("""COMPUTED_VALUE"""),254.0)</f>
        <v>254</v>
      </c>
      <c r="N100" s="66">
        <f>IFERROR(__xludf.DUMMYFUNCTION("""COMPUTED_VALUE"""),20.0)</f>
        <v>20</v>
      </c>
    </row>
    <row r="101">
      <c r="A101" s="1"/>
      <c r="B101" s="67" t="str">
        <f>IFERROR(__xludf.DUMMYFUNCTION("""COMPUTED_VALUE"""),"Luis Hsu")</f>
        <v>Luis Hsu</v>
      </c>
      <c r="C101" s="63">
        <f>IFERROR(__xludf.DUMMYFUNCTION("""COMPUTED_VALUE"""),241.0)</f>
        <v>241</v>
      </c>
      <c r="D101" s="64">
        <f>IFERROR(__xludf.DUMMYFUNCTION("""COMPUTED_VALUE"""),20.0)</f>
        <v>20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IFERROR(__xludf.DUMMYFUNCTION("""COMPUTED_VALUE"""),6.0)</f>
        <v>6</v>
      </c>
      <c r="J101" s="65">
        <f>IFERROR(__xludf.DUMMYFUNCTION("""COMPUTED_VALUE"""),6.0)</f>
        <v>6</v>
      </c>
      <c r="K101" s="65">
        <f>IFERROR(__xludf.DUMMYFUNCTION("""COMPUTED_VALUE"""),18.0)</f>
        <v>18</v>
      </c>
      <c r="L101" s="65">
        <f>IFERROR(__xludf.DUMMYFUNCTION("""COMPUTED_VALUE"""),3.0)</f>
        <v>3</v>
      </c>
      <c r="M101" s="65">
        <f>IFERROR(__xludf.DUMMYFUNCTION("""COMPUTED_VALUE"""),259.0)</f>
        <v>259</v>
      </c>
      <c r="N101" s="66">
        <f>IFERROR(__xludf.DUMMYFUNCTION("""COMPUTED_VALUE"""),23.0)</f>
        <v>23</v>
      </c>
    </row>
    <row r="102">
      <c r="A102" s="1"/>
      <c r="B102" s="62" t="str">
        <f>IFERROR(__xludf.DUMMYFUNCTION("""COMPUTED_VALUE"""),"Lloyd Sagar")</f>
        <v>Lloyd Sagar</v>
      </c>
      <c r="C102" s="63">
        <f>IFERROR(__xludf.DUMMYFUNCTION("""COMPUTED_VALUE"""),235.0)</f>
        <v>235</v>
      </c>
      <c r="D102" s="64">
        <f>IFERROR(__xludf.DUMMYFUNCTION("""COMPUTED_VALUE"""),16.0)</f>
        <v>16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IFERROR(__xludf.DUMMYFUNCTION("""COMPUTED_VALUE"""),1.0)</f>
        <v>1</v>
      </c>
      <c r="J102" s="65">
        <f>IFERROR(__xludf.DUMMYFUNCTION("""COMPUTED_VALUE"""),2.0)</f>
        <v>2</v>
      </c>
      <c r="K102" s="65">
        <f>IFERROR(__xludf.DUMMYFUNCTION("""COMPUTED_VALUE"""),9.0)</f>
        <v>9</v>
      </c>
      <c r="L102" s="65">
        <f>IFERROR(__xludf.DUMMYFUNCTION("""COMPUTED_VALUE"""),1.0)</f>
        <v>1</v>
      </c>
      <c r="M102" s="65">
        <f>IFERROR(__xludf.DUMMYFUNCTION("""COMPUTED_VALUE"""),244.0)</f>
        <v>244</v>
      </c>
      <c r="N102" s="66">
        <f>IFERROR(__xludf.DUMMYFUNCTION("""COMPUTED_VALUE"""),17.0)</f>
        <v>17</v>
      </c>
    </row>
    <row r="103">
      <c r="A103" s="1"/>
      <c r="B103" s="62" t="str">
        <f>IFERROR(__xludf.DUMMYFUNCTION("""COMPUTED_VALUE"""),"Chinna Ponnaganti")</f>
        <v>Chinna Ponnaganti</v>
      </c>
      <c r="C103" s="63">
        <f>IFERROR(__xludf.DUMMYFUNCTION("""COMPUTED_VALUE"""),232.0)</f>
        <v>232</v>
      </c>
      <c r="D103" s="64">
        <f>IFERROR(__xludf.DUMMYFUNCTION("""COMPUTED_VALUE"""),20.0)</f>
        <v>20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IFERROR(__xludf.DUMMYFUNCTION("""COMPUTED_VALUE"""),4.0)</f>
        <v>4</v>
      </c>
      <c r="I103" s="65">
        <f>IFERROR(__xludf.DUMMYFUNCTION("""COMPUTED_VALUE"""),1.0)</f>
        <v>1</v>
      </c>
      <c r="J103" s="65">
        <f>IFERROR(__xludf.DUMMYFUNCTION("""COMPUTED_VALUE"""),6.0)</f>
        <v>6</v>
      </c>
      <c r="K103" s="65">
        <f>IFERROR(__xludf.DUMMYFUNCTION("""COMPUTED_VALUE"""),11.0)</f>
        <v>11</v>
      </c>
      <c r="L103" s="65">
        <f>IFERROR(__xludf.DUMMYFUNCTION("""COMPUTED_VALUE"""),1.0)</f>
        <v>1</v>
      </c>
      <c r="M103" s="65">
        <f>IFERROR(__xludf.DUMMYFUNCTION("""COMPUTED_VALUE"""),243.0)</f>
        <v>243</v>
      </c>
      <c r="N103" s="66">
        <f>IFERROR(__xludf.DUMMYFUNCTION("""COMPUTED_VALUE"""),21.0)</f>
        <v>21</v>
      </c>
    </row>
    <row r="104">
      <c r="A104" s="1"/>
      <c r="B104" s="67" t="str">
        <f>IFERROR(__xludf.DUMMYFUNCTION("""COMPUTED_VALUE"""),"Joe Luzzi")</f>
        <v>Joe Luzzi</v>
      </c>
      <c r="C104" s="68">
        <f>IFERROR(__xludf.DUMMYFUNCTION("""COMPUTED_VALUE"""),231.0)</f>
        <v>231</v>
      </c>
      <c r="D104" s="69">
        <f>IFERROR(__xludf.DUMMYFUNCTION("""COMPUTED_VALUE"""),16.0)</f>
        <v>16</v>
      </c>
      <c r="E104" s="68">
        <f>IFERROR(__xludf.DUMMYFUNCTION("""COMPUTED_VALUE"""),2.0)</f>
        <v>2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IFERROR(__xludf.DUMMYFUNCTION("""COMPUTED_VALUE"""),4.0)</f>
        <v>4</v>
      </c>
      <c r="J104" s="70">
        <f>IFERROR(__xludf.DUMMYFUNCTION("""COMPUTED_VALUE"""),6.0)</f>
        <v>6</v>
      </c>
      <c r="K104" s="70">
        <f>IFERROR(__xludf.DUMMYFUNCTION("""COMPUTED_VALUE"""),16.0)</f>
        <v>16</v>
      </c>
      <c r="L104" s="70">
        <f>IFERROR(__xludf.DUMMYFUNCTION("""COMPUTED_VALUE"""),1.0)</f>
        <v>1</v>
      </c>
      <c r="M104" s="70">
        <f>IFERROR(__xludf.DUMMYFUNCTION("""COMPUTED_VALUE"""),247.0)</f>
        <v>247</v>
      </c>
      <c r="N104" s="71">
        <f>IFERROR(__xludf.DUMMYFUNCTION("""COMPUTED_VALUE"""),17.0)</f>
        <v>17</v>
      </c>
    </row>
    <row r="105">
      <c r="A105" s="1"/>
      <c r="B105" s="67" t="str">
        <f>IFERROR(__xludf.DUMMYFUNCTION("""COMPUTED_VALUE"""),"Erik Hoeckmann")</f>
        <v>Erik Hoeckmann</v>
      </c>
      <c r="C105" s="68">
        <f>IFERROR(__xludf.DUMMYFUNCTION("""COMPUTED_VALUE"""),229.0)</f>
        <v>229</v>
      </c>
      <c r="D105" s="69">
        <f>IFERROR(__xludf.DUMMYFUNCTION("""COMPUTED_VALUE"""),21.0)</f>
        <v>21</v>
      </c>
      <c r="E105" s="68">
        <f>IFERROR(__xludf.DUMMYFUNCTION("""COMPUTED_VALUE"""),2.0)</f>
        <v>2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IFERROR(__xludf.DUMMYFUNCTION("""COMPUTED_VALUE"""),7.0)</f>
        <v>7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IFERROR(__xludf.DUMMYFUNCTION("""COMPUTED_VALUE"""),19.0)</f>
        <v>19</v>
      </c>
      <c r="L105" s="70">
        <f>IFERROR(__xludf.DUMMYFUNCTION("""COMPUTED_VALUE"""),3.0)</f>
        <v>3</v>
      </c>
      <c r="M105" s="70">
        <f>IFERROR(__xludf.DUMMYFUNCTION("""COMPUTED_VALUE"""),248.0)</f>
        <v>248</v>
      </c>
      <c r="N105" s="71">
        <f>IFERROR(__xludf.DUMMYFUNCTION("""COMPUTED_VALUE"""),24.0)</f>
        <v>24</v>
      </c>
    </row>
    <row r="106">
      <c r="A106" s="1"/>
      <c r="B106" s="67" t="str">
        <f>IFERROR(__xludf.DUMMYFUNCTION("""COMPUTED_VALUE"""),"Andrew Wen")</f>
        <v>Andrew Wen</v>
      </c>
      <c r="C106" s="68">
        <f>IFERROR(__xludf.DUMMYFUNCTION("""COMPUTED_VALUE"""),226.0)</f>
        <v>226</v>
      </c>
      <c r="D106" s="69">
        <f>IFERROR(__xludf.DUMMYFUNCTION("""COMPUTED_VALUE"""),18.0)</f>
        <v>18</v>
      </c>
      <c r="E106" s="68">
        <f>IFERROR(__xludf.DUMMYFUNCTION("""COMPUTED_VALUE"""),2.0)</f>
        <v>2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IFERROR(__xludf.DUMMYFUNCTION("""COMPUTED_VALUE"""),7.0)</f>
        <v>7</v>
      </c>
      <c r="I106" s="70">
        <f>IFERROR(__xludf.DUMMYFUNCTION("""COMPUTED_VALUE"""),4.0)</f>
        <v>4</v>
      </c>
      <c r="J106" s="70">
        <f>IFERROR(__xludf.DUMMYFUNCTION("""COMPUTED_VALUE"""),2.0)</f>
        <v>2</v>
      </c>
      <c r="K106" s="70">
        <f>IFERROR(__xludf.DUMMYFUNCTION("""COMPUTED_VALUE"""),13.0)</f>
        <v>13</v>
      </c>
      <c r="L106" s="70">
        <f>IFERROR(__xludf.DUMMYFUNCTION("""COMPUTED_VALUE"""),1.0)</f>
        <v>1</v>
      </c>
      <c r="M106" s="70">
        <f>IFERROR(__xludf.DUMMYFUNCTION("""COMPUTED_VALUE"""),239.0)</f>
        <v>239</v>
      </c>
      <c r="N106" s="71">
        <f>IFERROR(__xludf.DUMMYFUNCTION("""COMPUTED_VALUE"""),19.0)</f>
        <v>19</v>
      </c>
    </row>
    <row r="107">
      <c r="A107" s="1"/>
      <c r="B107" s="67" t="str">
        <f>IFERROR(__xludf.DUMMYFUNCTION("""COMPUTED_VALUE"""),"Mauricio Palacios")</f>
        <v>Mauricio Palacios</v>
      </c>
      <c r="C107" s="68">
        <f>IFERROR(__xludf.DUMMYFUNCTION("""COMPUTED_VALUE"""),225.0)</f>
        <v>225</v>
      </c>
      <c r="D107" s="69">
        <f>IFERROR(__xludf.DUMMYFUNCTION("""COMPUTED_VALUE"""),15.0)</f>
        <v>15</v>
      </c>
      <c r="E107" s="68">
        <f>IFERROR(__xludf.DUMMYFUNCTION("""COMPUTED_VALUE"""),2.0)</f>
        <v>2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IFERROR(__xludf.DUMMYFUNCTION("""COMPUTED_VALUE"""),6.0)</f>
        <v>6</v>
      </c>
      <c r="J107" s="70">
        <f>IFERROR(__xludf.DUMMYFUNCTION("""COMPUTED_VALUE"""),2.0)</f>
        <v>2</v>
      </c>
      <c r="K107" s="70">
        <f>IFERROR(__xludf.DUMMYFUNCTION("""COMPUTED_VALUE"""),14.0)</f>
        <v>14</v>
      </c>
      <c r="L107" s="70">
        <f>IFERROR(__xludf.DUMMYFUNCTION("""COMPUTED_VALUE"""),1.0)</f>
        <v>1</v>
      </c>
      <c r="M107" s="70">
        <f>IFERROR(__xludf.DUMMYFUNCTION("""COMPUTED_VALUE"""),239.0)</f>
        <v>239</v>
      </c>
      <c r="N107" s="71">
        <f>IFERROR(__xludf.DUMMYFUNCTION("""COMPUTED_VALUE"""),16.0)</f>
        <v>16</v>
      </c>
    </row>
    <row r="108">
      <c r="A108" s="1"/>
      <c r="B108" s="62" t="str">
        <f>IFERROR(__xludf.DUMMYFUNCTION("""COMPUTED_VALUE"""),"Vishnu Amarnath")</f>
        <v>Vishnu Amarnath</v>
      </c>
      <c r="C108" s="63">
        <f>IFERROR(__xludf.DUMMYFUNCTION("""COMPUTED_VALUE"""),221.0)</f>
        <v>221</v>
      </c>
      <c r="D108" s="64">
        <f>IFERROR(__xludf.DUMMYFUNCTION("""COMPUTED_VALUE"""),19.0)</f>
        <v>19</v>
      </c>
      <c r="E108" s="63">
        <f>IFERROR(__xludf.DUMMYFUNCTION("""COMPUTED_VALUE"""),2.0)</f>
        <v>2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IFERROR(__xludf.DUMMYFUNCTION("""COMPUTED_VALUE"""),4.0)</f>
        <v>4</v>
      </c>
      <c r="I108" s="65">
        <f>IFERROR(__xludf.DUMMYFUNCTION("""COMPUTED_VALUE"""),3.0)</f>
        <v>3</v>
      </c>
      <c r="J108" s="65">
        <f>IFERROR(__xludf.DUMMYFUNCTION("""COMPUTED_VALUE"""),6.0)</f>
        <v>6</v>
      </c>
      <c r="K108" s="65">
        <f>IFERROR(__xludf.DUMMYFUNCTION("""COMPUTED_VALUE"""),13.0)</f>
        <v>13</v>
      </c>
      <c r="L108" s="65">
        <f>IFERROR(__xludf.DUMMYFUNCTION("""COMPUTED_VALUE"""),1.0)</f>
        <v>1</v>
      </c>
      <c r="M108" s="65">
        <f>IFERROR(__xludf.DUMMYFUNCTION("""COMPUTED_VALUE"""),234.0)</f>
        <v>234</v>
      </c>
      <c r="N108" s="66">
        <f>IFERROR(__xludf.DUMMYFUNCTION("""COMPUTED_VALUE"""),20.0)</f>
        <v>20</v>
      </c>
    </row>
    <row r="109">
      <c r="A109" s="1"/>
      <c r="B109" s="62" t="str">
        <f>IFERROR(__xludf.DUMMYFUNCTION("""COMPUTED_VALUE"""),"Ramesh Bandaru")</f>
        <v>Ramesh Bandaru</v>
      </c>
      <c r="C109" s="63">
        <f>IFERROR(__xludf.DUMMYFUNCTION("""COMPUTED_VALUE"""),221.0)</f>
        <v>221</v>
      </c>
      <c r="D109" s="64">
        <f>IFERROR(__xludf.DUMMYFUNCTION("""COMPUTED_VALUE"""),13.0)</f>
        <v>13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IFERROR(__xludf.DUMMYFUNCTION("""COMPUTED_VALUE"""),6.0)</f>
        <v>6</v>
      </c>
      <c r="J109" s="65">
        <f>IFERROR(__xludf.DUMMYFUNCTION("""COMPUTED_VALUE"""),6.0)</f>
        <v>6</v>
      </c>
      <c r="K109" s="65">
        <f>IFERROR(__xludf.DUMMYFUNCTION("""COMPUTED_VALUE"""),18.0)</f>
        <v>18</v>
      </c>
      <c r="L109" s="65">
        <f>IFERROR(__xludf.DUMMYFUNCTION("""COMPUTED_VALUE"""),3.0)</f>
        <v>3</v>
      </c>
      <c r="M109" s="65">
        <f>IFERROR(__xludf.DUMMYFUNCTION("""COMPUTED_VALUE"""),239.0)</f>
        <v>239</v>
      </c>
      <c r="N109" s="66">
        <f>IFERROR(__xludf.DUMMYFUNCTION("""COMPUTED_VALUE"""),16.0)</f>
        <v>16</v>
      </c>
    </row>
    <row r="110">
      <c r="A110" s="1"/>
      <c r="B110" s="62" t="str">
        <f>IFERROR(__xludf.DUMMYFUNCTION("""COMPUTED_VALUE"""),"Sandy Weyant")</f>
        <v>Sandy Weyant</v>
      </c>
      <c r="C110" s="63">
        <f>IFERROR(__xludf.DUMMYFUNCTION("""COMPUTED_VALUE"""),219.0)</f>
        <v>219</v>
      </c>
      <c r="D110" s="64">
        <f>IFERROR(__xludf.DUMMYFUNCTION("""COMPUTED_VALUE"""),13.0)</f>
        <v>13</v>
      </c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IFERROR(__xludf.DUMMYFUNCTION("""COMPUTED_VALUE"""),4.0)</f>
        <v>4</v>
      </c>
      <c r="I110" s="65">
        <f>IFERROR(__xludf.DUMMYFUNCTION("""COMPUTED_VALUE"""),6.0)</f>
        <v>6</v>
      </c>
      <c r="J110" s="65">
        <f>IFERROR(__xludf.DUMMYFUNCTION("""COMPUTED_VALUE"""),2.0)</f>
        <v>2</v>
      </c>
      <c r="K110" s="65">
        <f>IFERROR(__xludf.DUMMYFUNCTION("""COMPUTED_VALUE"""),12.0)</f>
        <v>12</v>
      </c>
      <c r="L110" s="65">
        <f>IFERROR(__xludf.DUMMYFUNCTION("""COMPUTED_VALUE"""),1.0)</f>
        <v>1</v>
      </c>
      <c r="M110" s="65">
        <f>IFERROR(__xludf.DUMMYFUNCTION("""COMPUTED_VALUE"""),231.0)</f>
        <v>231</v>
      </c>
      <c r="N110" s="66">
        <f>IFERROR(__xludf.DUMMYFUNCTION("""COMPUTED_VALUE"""),14.0)</f>
        <v>14</v>
      </c>
    </row>
    <row r="111">
      <c r="A111" s="1"/>
      <c r="B111" s="62" t="str">
        <f>IFERROR(__xludf.DUMMYFUNCTION("""COMPUTED_VALUE"""),"Vamsi Lolla ")</f>
        <v>Vamsi Lolla </v>
      </c>
      <c r="C111" s="63">
        <f>IFERROR(__xludf.DUMMYFUNCTION("""COMPUTED_VALUE"""),218.0)</f>
        <v>218</v>
      </c>
      <c r="D111" s="64">
        <f>IFERROR(__xludf.DUMMYFUNCTION("""COMPUTED_VALUE"""),11.0)</f>
        <v>11</v>
      </c>
      <c r="E111" s="63">
        <f>IFERROR(__xludf.DUMMYFUNCTION("""COMPUTED_VALUE"""),2.0)</f>
        <v>2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IFERROR(__xludf.DUMMYFUNCTION("""COMPUTED_VALUE"""),6.0)</f>
        <v>6</v>
      </c>
      <c r="I111" s="65">
        <f>IFERROR(__xludf.DUMMYFUNCTION("""COMPUTED_VALUE"""),3.0)</f>
        <v>3</v>
      </c>
      <c r="J111" s="65">
        <f>IFERROR(__xludf.DUMMYFUNCTION("""COMPUTED_VALUE"""),2.0)</f>
        <v>2</v>
      </c>
      <c r="K111" s="65">
        <f>IFERROR(__xludf.DUMMYFUNCTION("""COMPUTED_VALUE"""),11.0)</f>
        <v>11</v>
      </c>
      <c r="L111" s="65">
        <f>IFERROR(__xludf.DUMMYFUNCTION("""COMPUTED_VALUE"""),1.0)</f>
        <v>1</v>
      </c>
      <c r="M111" s="65">
        <f>IFERROR(__xludf.DUMMYFUNCTION("""COMPUTED_VALUE"""),229.0)</f>
        <v>229</v>
      </c>
      <c r="N111" s="66">
        <f>IFERROR(__xludf.DUMMYFUNCTION("""COMPUTED_VALUE"""),12.0)</f>
        <v>12</v>
      </c>
    </row>
    <row r="112">
      <c r="A112" s="1"/>
      <c r="B112" s="67" t="str">
        <f>IFERROR(__xludf.DUMMYFUNCTION("""COMPUTED_VALUE"""),"Jimmy Awolesi")</f>
        <v>Jimmy Awolesi</v>
      </c>
      <c r="C112" s="68">
        <f>IFERROR(__xludf.DUMMYFUNCTION("""COMPUTED_VALUE"""),217.0)</f>
        <v>217</v>
      </c>
      <c r="D112" s="69">
        <f>IFERROR(__xludf.DUMMYFUNCTION("""COMPUTED_VALUE"""),15.0)</f>
        <v>15</v>
      </c>
      <c r="E112" s="68">
        <f>IFERROR(__xludf.DUMMYFUNCTION("""COMPUTED_VALUE"""),1.0)</f>
        <v>1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IFERROR(__xludf.DUMMYFUNCTION("""COMPUTED_VALUE"""),3.0)</f>
        <v>3</v>
      </c>
      <c r="I112" s="70">
        <f>IFERROR(__xludf.DUMMYFUNCTION("""COMPUTED_VALUE"""),5.0)</f>
        <v>5</v>
      </c>
      <c r="J112" s="70">
        <f>IFERROR(__xludf.DUMMYFUNCTION("""COMPUTED_VALUE"""),1.0)</f>
        <v>1</v>
      </c>
      <c r="K112" s="70">
        <f>IFERROR(__xludf.DUMMYFUNCTION("""COMPUTED_VALUE"""),9.0)</f>
        <v>9</v>
      </c>
      <c r="L112" s="70">
        <f>IFERROR(__xludf.DUMMYFUNCTION("""COMPUTED_VALUE"""),0.0)</f>
        <v>0</v>
      </c>
      <c r="M112" s="70">
        <f>IFERROR(__xludf.DUMMYFUNCTION("""COMPUTED_VALUE"""),226.0)</f>
        <v>226</v>
      </c>
      <c r="N112" s="71">
        <f>IFERROR(__xludf.DUMMYFUNCTION("""COMPUTED_VALUE"""),15.0)</f>
        <v>15</v>
      </c>
    </row>
    <row r="113">
      <c r="A113" s="1"/>
      <c r="B113" s="67" t="str">
        <f>IFERROR(__xludf.DUMMYFUNCTION("""COMPUTED_VALUE"""),"Kumar Palakeel")</f>
        <v>Kumar Palakeel</v>
      </c>
      <c r="C113" s="68">
        <f>IFERROR(__xludf.DUMMYFUNCTION("""COMPUTED_VALUE"""),215.0)</f>
        <v>215</v>
      </c>
      <c r="D113" s="69">
        <f>IFERROR(__xludf.DUMMYFUNCTION("""COMPUTED_VALUE"""),18.0)</f>
        <v>18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IFERROR(__xludf.DUMMYFUNCTION("""COMPUTED_VALUE"""),7.0)</f>
        <v>7</v>
      </c>
      <c r="J113" s="70">
        <f>IFERROR(__xludf.DUMMYFUNCTION("""COMPUTED_VALUE"""),1.0)</f>
        <v>1</v>
      </c>
      <c r="K113" s="70">
        <f>IFERROR(__xludf.DUMMYFUNCTION("""COMPUTED_VALUE"""),14.0)</f>
        <v>14</v>
      </c>
      <c r="L113" s="70">
        <f>IFERROR(__xludf.DUMMYFUNCTION("""COMPUTED_VALUE"""),2.0)</f>
        <v>2</v>
      </c>
      <c r="M113" s="70">
        <f>IFERROR(__xludf.DUMMYFUNCTION("""COMPUTED_VALUE"""),229.0)</f>
        <v>229</v>
      </c>
      <c r="N113" s="71">
        <f>IFERROR(__xludf.DUMMYFUNCTION("""COMPUTED_VALUE"""),20.0)</f>
        <v>20</v>
      </c>
    </row>
    <row r="114">
      <c r="A114" s="1"/>
      <c r="B114" s="67" t="str">
        <f>IFERROR(__xludf.DUMMYFUNCTION("""COMPUTED_VALUE"""),"Eric Tan")</f>
        <v>Eric Tan</v>
      </c>
      <c r="C114" s="68">
        <f>IFERROR(__xludf.DUMMYFUNCTION("""COMPUTED_VALUE"""),215.0)</f>
        <v>215</v>
      </c>
      <c r="D114" s="69">
        <f>IFERROR(__xludf.DUMMYFUNCTION("""COMPUTED_VALUE"""),18.0)</f>
        <v>18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IFERROR(__xludf.DUMMYFUNCTION("""COMPUTED_VALUE"""),3.0)</f>
        <v>3</v>
      </c>
      <c r="I114" s="70">
        <f>IFERROR(__xludf.DUMMYFUNCTION("""COMPUTED_VALUE"""),7.0)</f>
        <v>7</v>
      </c>
      <c r="J114" s="70">
        <f>IFERROR(__xludf.DUMMYFUNCTION("""COMPUTED_VALUE"""),6.0)</f>
        <v>6</v>
      </c>
      <c r="K114" s="70">
        <f>IFERROR(__xludf.DUMMYFUNCTION("""COMPUTED_VALUE"""),16.0)</f>
        <v>16</v>
      </c>
      <c r="L114" s="70">
        <f>IFERROR(__xludf.DUMMYFUNCTION("""COMPUTED_VALUE"""),2.0)</f>
        <v>2</v>
      </c>
      <c r="M114" s="70">
        <f>IFERROR(__xludf.DUMMYFUNCTION("""COMPUTED_VALUE"""),231.0)</f>
        <v>231</v>
      </c>
      <c r="N114" s="71">
        <f>IFERROR(__xludf.DUMMYFUNCTION("""COMPUTED_VALUE"""),20.0)</f>
        <v>20</v>
      </c>
    </row>
    <row r="115">
      <c r="A115" s="1"/>
      <c r="B115" s="67" t="str">
        <f>IFERROR(__xludf.DUMMYFUNCTION("""COMPUTED_VALUE"""),"Manuel Rivera")</f>
        <v>Manuel Rivera</v>
      </c>
      <c r="C115" s="68">
        <f>IFERROR(__xludf.DUMMYFUNCTION("""COMPUTED_VALUE"""),214.0)</f>
        <v>214</v>
      </c>
      <c r="D115" s="69">
        <f>IFERROR(__xludf.DUMMYFUNCTION("""COMPUTED_VALUE"""),16.0)</f>
        <v>16</v>
      </c>
      <c r="E115" s="68">
        <f>IFERROR(__xludf.DUMMYFUNCTION("""COMPUTED_VALUE"""),2.0)</f>
        <v>2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IFERROR(__xludf.DUMMYFUNCTION("""COMPUTED_VALUE"""),5.0)</f>
        <v>5</v>
      </c>
      <c r="J115" s="70">
        <f>IFERROR(__xludf.DUMMYFUNCTION("""COMPUTED_VALUE"""),6.0)</f>
        <v>6</v>
      </c>
      <c r="K115" s="70">
        <f>IFERROR(__xludf.DUMMYFUNCTION("""COMPUTED_VALUE"""),17.0)</f>
        <v>17</v>
      </c>
      <c r="L115" s="70">
        <f>IFERROR(__xludf.DUMMYFUNCTION("""COMPUTED_VALUE"""),2.0)</f>
        <v>2</v>
      </c>
      <c r="M115" s="70">
        <f>IFERROR(__xludf.DUMMYFUNCTION("""COMPUTED_VALUE"""),231.0)</f>
        <v>231</v>
      </c>
      <c r="N115" s="71">
        <f>IFERROR(__xludf.DUMMYFUNCTION("""COMPUTED_VALUE"""),18.0)</f>
        <v>18</v>
      </c>
    </row>
    <row r="116">
      <c r="A116" s="1"/>
      <c r="B116" s="62" t="str">
        <f>IFERROR(__xludf.DUMMYFUNCTION("""COMPUTED_VALUE"""),"Tony Wong")</f>
        <v>Tony Wong</v>
      </c>
      <c r="C116" s="63">
        <f>IFERROR(__xludf.DUMMYFUNCTION("""COMPUTED_VALUE"""),214.0)</f>
        <v>214</v>
      </c>
      <c r="D116" s="64">
        <f>IFERROR(__xludf.DUMMYFUNCTION("""COMPUTED_VALUE"""),13.0)</f>
        <v>13</v>
      </c>
      <c r="E116" s="63">
        <f>IFERROR(__xludf.DUMMYFUNCTION("""COMPUTED_VALUE"""),2.0)</f>
        <v>2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IFERROR(__xludf.DUMMYFUNCTION("""COMPUTED_VALUE"""),2.0)</f>
        <v>2</v>
      </c>
      <c r="I116" s="65">
        <f>IFERROR(__xludf.DUMMYFUNCTION("""COMPUTED_VALUE"""),6.0)</f>
        <v>6</v>
      </c>
      <c r="J116" s="65">
        <f>IFERROR(__xludf.DUMMYFUNCTION("""COMPUTED_VALUE"""),4.0)</f>
        <v>4</v>
      </c>
      <c r="K116" s="65">
        <f>IFERROR(__xludf.DUMMYFUNCTION("""COMPUTED_VALUE"""),12.0)</f>
        <v>12</v>
      </c>
      <c r="L116" s="65">
        <f>IFERROR(__xludf.DUMMYFUNCTION("""COMPUTED_VALUE"""),1.0)</f>
        <v>1</v>
      </c>
      <c r="M116" s="65">
        <f>IFERROR(__xludf.DUMMYFUNCTION("""COMPUTED_VALUE"""),226.0)</f>
        <v>226</v>
      </c>
      <c r="N116" s="66">
        <f>IFERROR(__xludf.DUMMYFUNCTION("""COMPUTED_VALUE"""),14.0)</f>
        <v>14</v>
      </c>
    </row>
    <row r="117">
      <c r="A117" s="1"/>
      <c r="B117" s="62" t="str">
        <f>IFERROR(__xludf.DUMMYFUNCTION("""COMPUTED_VALUE"""),"Elayaraja Thangaraj ")</f>
        <v>Elayaraja Thangaraj </v>
      </c>
      <c r="C117" s="63">
        <f>IFERROR(__xludf.DUMMYFUNCTION("""COMPUTED_VALUE"""),211.0)</f>
        <v>211</v>
      </c>
      <c r="D117" s="64">
        <f>IFERROR(__xludf.DUMMYFUNCTION("""COMPUTED_VALUE"""),14.0)</f>
        <v>14</v>
      </c>
      <c r="E117" s="63">
        <f>IFERROR(__xludf.DUMMYFUNCTION("""COMPUTED_VALUE"""),2.0)</f>
        <v>2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IFERROR(__xludf.DUMMYFUNCTION("""COMPUTED_VALUE"""),6.0)</f>
        <v>6</v>
      </c>
      <c r="I117" s="65">
        <f>IFERROR(__xludf.DUMMYFUNCTION("""COMPUTED_VALUE"""),3.0)</f>
        <v>3</v>
      </c>
      <c r="J117" s="65">
        <f>IFERROR(__xludf.DUMMYFUNCTION("""COMPUTED_VALUE"""),4.0)</f>
        <v>4</v>
      </c>
      <c r="K117" s="65">
        <f>IFERROR(__xludf.DUMMYFUNCTION("""COMPUTED_VALUE"""),13.0)</f>
        <v>13</v>
      </c>
      <c r="L117" s="65">
        <f>IFERROR(__xludf.DUMMYFUNCTION("""COMPUTED_VALUE"""),1.0)</f>
        <v>1</v>
      </c>
      <c r="M117" s="65">
        <f>IFERROR(__xludf.DUMMYFUNCTION("""COMPUTED_VALUE"""),224.0)</f>
        <v>224</v>
      </c>
      <c r="N117" s="66">
        <f>IFERROR(__xludf.DUMMYFUNCTION("""COMPUTED_VALUE"""),15.0)</f>
        <v>15</v>
      </c>
    </row>
    <row r="118">
      <c r="A118" s="1"/>
      <c r="B118" s="62" t="str">
        <f>IFERROR(__xludf.DUMMYFUNCTION("""COMPUTED_VALUE"""),"Amit Patel")</f>
        <v>Amit Patel</v>
      </c>
      <c r="C118" s="63">
        <f>IFERROR(__xludf.DUMMYFUNCTION("""COMPUTED_VALUE"""),199.0)</f>
        <v>199</v>
      </c>
      <c r="D118" s="64">
        <f>IFERROR(__xludf.DUMMYFUNCTION("""COMPUTED_VALUE"""),6.0)</f>
        <v>6</v>
      </c>
      <c r="E118" s="63">
        <f>IFERROR(__xludf.DUMMYFUNCTION("""COMPUTED_VALUE"""),2.0)</f>
        <v>2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IFERROR(__xludf.DUMMYFUNCTION("""COMPUTED_VALUE"""),2.0)</f>
        <v>2</v>
      </c>
      <c r="I118" s="65">
        <f>IFERROR(__xludf.DUMMYFUNCTION("""COMPUTED_VALUE"""),3.0)</f>
        <v>3</v>
      </c>
      <c r="J118" s="65">
        <f>IFERROR(__xludf.DUMMYFUNCTION("""COMPUTED_VALUE"""),6.0)</f>
        <v>6</v>
      </c>
      <c r="K118" s="65">
        <f>IFERROR(__xludf.DUMMYFUNCTION("""COMPUTED_VALUE"""),11.0)</f>
        <v>11</v>
      </c>
      <c r="L118" s="65">
        <f>IFERROR(__xludf.DUMMYFUNCTION("""COMPUTED_VALUE"""),1.0)</f>
        <v>1</v>
      </c>
      <c r="M118" s="65">
        <f>IFERROR(__xludf.DUMMYFUNCTION("""COMPUTED_VALUE"""),210.0)</f>
        <v>210</v>
      </c>
      <c r="N118" s="66">
        <f>IFERROR(__xludf.DUMMYFUNCTION("""COMPUTED_VALUE"""),7.0)</f>
        <v>7</v>
      </c>
    </row>
    <row r="119">
      <c r="A119" s="1"/>
      <c r="B119" s="62" t="str">
        <f>IFERROR(__xludf.DUMMYFUNCTION("""COMPUTED_VALUE"""),"Alejandro Mejia")</f>
        <v>Alejandro Mejia</v>
      </c>
      <c r="C119" s="63">
        <f>IFERROR(__xludf.DUMMYFUNCTION("""COMPUTED_VALUE"""),196.0)</f>
        <v>196</v>
      </c>
      <c r="D119" s="64">
        <f>IFERROR(__xludf.DUMMYFUNCTION("""COMPUTED_VALUE"""),4.0)</f>
        <v>4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IFERROR(__xludf.DUMMYFUNCTION("""COMPUTED_VALUE"""),6.0)</f>
        <v>6</v>
      </c>
      <c r="J119" s="65">
        <f>IFERROR(__xludf.DUMMYFUNCTION("""COMPUTED_VALUE"""),6.0)</f>
        <v>6</v>
      </c>
      <c r="K119" s="65">
        <f>IFERROR(__xludf.DUMMYFUNCTION("""COMPUTED_VALUE"""),18.0)</f>
        <v>18</v>
      </c>
      <c r="L119" s="65">
        <f>IFERROR(__xludf.DUMMYFUNCTION("""COMPUTED_VALUE"""),3.0)</f>
        <v>3</v>
      </c>
      <c r="M119" s="65">
        <f>IFERROR(__xludf.DUMMYFUNCTION("""COMPUTED_VALUE"""),214.0)</f>
        <v>214</v>
      </c>
      <c r="N119" s="66">
        <f>IFERROR(__xludf.DUMMYFUNCTION("""COMPUTED_VALUE"""),7.0)</f>
        <v>7</v>
      </c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0"")"),"Peter Cheng")</f>
        <v>Peter Cheng</v>
      </c>
      <c r="C136" s="63">
        <f>IFERROR(__xludf.DUMMYFUNCTION("""COMPUTED_VALUE"""),269.0)</f>
        <v>269</v>
      </c>
      <c r="D136" s="64">
        <f>IFERROR(__xludf.DUMMYFUNCTION("""COMPUTED_VALUE"""),27.0)</f>
        <v>27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IFERROR(__xludf.DUMMYFUNCTION("""COMPUTED_VALUE"""),278.0)</f>
        <v>278</v>
      </c>
      <c r="N136" s="66">
        <f>IFERROR(__xludf.DUMMYFUNCTION("""COMPUTED_VALUE"""),27.0)</f>
        <v>27</v>
      </c>
    </row>
    <row r="137">
      <c r="A137" s="1"/>
      <c r="B137" s="62" t="str">
        <f>IFERROR(__xludf.DUMMYFUNCTION("""COMPUTED_VALUE"""),"Eric Pan")</f>
        <v>Eric Pan</v>
      </c>
      <c r="C137" s="63">
        <f>IFERROR(__xludf.DUMMYFUNCTION("""COMPUTED_VALUE"""),245.0)</f>
        <v>245</v>
      </c>
      <c r="D137" s="64">
        <f>IFERROR(__xludf.DUMMYFUNCTION("""COMPUTED_VALUE"""),19.0)</f>
        <v>19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IFERROR(__xludf.DUMMYFUNCTION("""COMPUTED_VALUE"""),254.0)</f>
        <v>254</v>
      </c>
      <c r="N137" s="66">
        <f>IFERROR(__xludf.DUMMYFUNCTION("""COMPUTED_VALUE"""),19.0)</f>
        <v>19</v>
      </c>
    </row>
    <row r="138">
      <c r="A138" s="1"/>
      <c r="B138" s="62" t="str">
        <f>IFERROR(__xludf.DUMMYFUNCTION("""COMPUTED_VALUE"""),"Pavan Akkimsetty")</f>
        <v>Pavan Akkimsetty</v>
      </c>
      <c r="C138" s="63">
        <f>IFERROR(__xludf.DUMMYFUNCTION("""COMPUTED_VALUE"""),243.0)</f>
        <v>243</v>
      </c>
      <c r="D138" s="64">
        <f>IFERROR(__xludf.DUMMYFUNCTION("""COMPUTED_VALUE"""),22.0)</f>
        <v>22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IFERROR(__xludf.DUMMYFUNCTION("""COMPUTED_VALUE"""),252.0)</f>
        <v>252</v>
      </c>
      <c r="N138" s="66">
        <f>IFERROR(__xludf.DUMMYFUNCTION("""COMPUTED_VALUE"""),22.0)</f>
        <v>22</v>
      </c>
    </row>
    <row r="139">
      <c r="A139" s="1"/>
      <c r="B139" s="62" t="str">
        <f>IFERROR(__xludf.DUMMYFUNCTION("""COMPUTED_VALUE"""),"Susanta Mishra")</f>
        <v>Susanta Mishra</v>
      </c>
      <c r="C139" s="63">
        <f>IFERROR(__xludf.DUMMYFUNCTION("""COMPUTED_VALUE"""),242.0)</f>
        <v>242</v>
      </c>
      <c r="D139" s="64">
        <f>IFERROR(__xludf.DUMMYFUNCTION("""COMPUTED_VALUE"""),18.0)</f>
        <v>18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IFERROR(__xludf.DUMMYFUNCTION("""COMPUTED_VALUE"""),251.0)</f>
        <v>251</v>
      </c>
      <c r="N139" s="66">
        <f>IFERROR(__xludf.DUMMYFUNCTION("""COMPUTED_VALUE"""),18.0)</f>
        <v>18</v>
      </c>
    </row>
    <row r="140">
      <c r="A140" s="1"/>
      <c r="B140" s="62" t="str">
        <f>IFERROR(__xludf.DUMMYFUNCTION("""COMPUTED_VALUE"""),"Tom Le")</f>
        <v>Tom Le</v>
      </c>
      <c r="C140" s="63">
        <f>IFERROR(__xludf.DUMMYFUNCTION("""COMPUTED_VALUE"""),237.0)</f>
        <v>237</v>
      </c>
      <c r="D140" s="64">
        <f>IFERROR(__xludf.DUMMYFUNCTION("""COMPUTED_VALUE"""),19.0)</f>
        <v>19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IFERROR(__xludf.DUMMYFUNCTION("""COMPUTED_VALUE"""),246.0)</f>
        <v>246</v>
      </c>
      <c r="N140" s="66">
        <f>IFERROR(__xludf.DUMMYFUNCTION("""COMPUTED_VALUE"""),19.0)</f>
        <v>19</v>
      </c>
    </row>
    <row r="141">
      <c r="A141" s="1"/>
      <c r="B141" s="62" t="str">
        <f>IFERROR(__xludf.DUMMYFUNCTION("""COMPUTED_VALUE"""),"Pulkit Mathur")</f>
        <v>Pulkit Mathur</v>
      </c>
      <c r="C141" s="63">
        <f>IFERROR(__xludf.DUMMYFUNCTION("""COMPUTED_VALUE"""),232.0)</f>
        <v>232</v>
      </c>
      <c r="D141" s="64">
        <f>IFERROR(__xludf.DUMMYFUNCTION("""COMPUTED_VALUE"""),17.0)</f>
        <v>17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IFERROR(__xludf.DUMMYFUNCTION("""COMPUTED_VALUE"""),241.0)</f>
        <v>241</v>
      </c>
      <c r="N141" s="66">
        <f>IFERROR(__xludf.DUMMYFUNCTION("""COMPUTED_VALUE"""),17.0)</f>
        <v>17</v>
      </c>
    </row>
    <row r="142">
      <c r="A142" s="1"/>
      <c r="B142" s="62" t="str">
        <f>IFERROR(__xludf.DUMMYFUNCTION("""COMPUTED_VALUE"""),"Oscar Bonilla")</f>
        <v>Oscar Bonilla</v>
      </c>
      <c r="C142" s="63">
        <f>IFERROR(__xludf.DUMMYFUNCTION("""COMPUTED_VALUE"""),231.0)</f>
        <v>231</v>
      </c>
      <c r="D142" s="64">
        <f>IFERROR(__xludf.DUMMYFUNCTION("""COMPUTED_VALUE"""),15.0)</f>
        <v>15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IFERROR(__xludf.DUMMYFUNCTION("""COMPUTED_VALUE"""),240.0)</f>
        <v>240</v>
      </c>
      <c r="N142" s="66">
        <f>IFERROR(__xludf.DUMMYFUNCTION("""COMPUTED_VALUE"""),15.0)</f>
        <v>15</v>
      </c>
    </row>
    <row r="143">
      <c r="A143" s="1"/>
      <c r="B143" s="62" t="str">
        <f>IFERROR(__xludf.DUMMYFUNCTION("""COMPUTED_VALUE"""),"David Tam")</f>
        <v>David Tam</v>
      </c>
      <c r="C143" s="63">
        <f>IFERROR(__xludf.DUMMYFUNCTION("""COMPUTED_VALUE"""),229.0)</f>
        <v>229</v>
      </c>
      <c r="D143" s="64">
        <f>IFERROR(__xludf.DUMMYFUNCTION("""COMPUTED_VALUE"""),18.0)</f>
        <v>18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IFERROR(__xludf.DUMMYFUNCTION("""COMPUTED_VALUE"""),238.0)</f>
        <v>238</v>
      </c>
      <c r="N143" s="66">
        <f>IFERROR(__xludf.DUMMYFUNCTION("""COMPUTED_VALUE"""),18.0)</f>
        <v>18</v>
      </c>
    </row>
    <row r="144">
      <c r="A144" s="1"/>
      <c r="B144" s="62" t="str">
        <f>IFERROR(__xludf.DUMMYFUNCTION("""COMPUTED_VALUE"""),"Trinath Goteti")</f>
        <v>Trinath Goteti</v>
      </c>
      <c r="C144" s="63">
        <f>IFERROR(__xludf.DUMMYFUNCTION("""COMPUTED_VALUE"""),225.0)</f>
        <v>225</v>
      </c>
      <c r="D144" s="64">
        <f>IFERROR(__xludf.DUMMYFUNCTION("""COMPUTED_VALUE"""),14.0)</f>
        <v>14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IFERROR(__xludf.DUMMYFUNCTION("""COMPUTED_VALUE"""),234.0)</f>
        <v>234</v>
      </c>
      <c r="N144" s="66">
        <f>IFERROR(__xludf.DUMMYFUNCTION("""COMPUTED_VALUE"""),14.0)</f>
        <v>14</v>
      </c>
    </row>
    <row r="145">
      <c r="A145" s="1"/>
      <c r="B145" s="62" t="str">
        <f>IFERROR(__xludf.DUMMYFUNCTION("""COMPUTED_VALUE"""),"Scott Li")</f>
        <v>Scott Li</v>
      </c>
      <c r="C145" s="63">
        <f>IFERROR(__xludf.DUMMYFUNCTION("""COMPUTED_VALUE"""),222.0)</f>
        <v>222</v>
      </c>
      <c r="D145" s="64">
        <f>IFERROR(__xludf.DUMMYFUNCTION("""COMPUTED_VALUE"""),18.0)</f>
        <v>18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IFERROR(__xludf.DUMMYFUNCTION("""COMPUTED_VALUE"""),231.0)</f>
        <v>231</v>
      </c>
      <c r="N145" s="66">
        <f>IFERROR(__xludf.DUMMYFUNCTION("""COMPUTED_VALUE"""),18.0)</f>
        <v>18</v>
      </c>
    </row>
    <row r="146">
      <c r="A146" s="1"/>
      <c r="B146" s="62" t="str">
        <f>IFERROR(__xludf.DUMMYFUNCTION("""COMPUTED_VALUE"""),"Matthew Huang")</f>
        <v>Matthew Huang</v>
      </c>
      <c r="C146" s="63">
        <f>IFERROR(__xludf.DUMMYFUNCTION("""COMPUTED_VALUE"""),222.0)</f>
        <v>222</v>
      </c>
      <c r="D146" s="64">
        <f>IFERROR(__xludf.DUMMYFUNCTION("""COMPUTED_VALUE"""),12.0)</f>
        <v>12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IFERROR(__xludf.DUMMYFUNCTION("""COMPUTED_VALUE"""),231.0)</f>
        <v>231</v>
      </c>
      <c r="N146" s="66">
        <f>IFERROR(__xludf.DUMMYFUNCTION("""COMPUTED_VALUE"""),12.0)</f>
        <v>12</v>
      </c>
    </row>
    <row r="147">
      <c r="A147" s="1"/>
      <c r="B147" s="62" t="str">
        <f>IFERROR(__xludf.DUMMYFUNCTION("""COMPUTED_VALUE"""),"Rajasekar Ramasamy")</f>
        <v>Rajasekar Ramasamy</v>
      </c>
      <c r="C147" s="63">
        <f>IFERROR(__xludf.DUMMYFUNCTION("""COMPUTED_VALUE"""),215.0)</f>
        <v>215</v>
      </c>
      <c r="D147" s="64">
        <f>IFERROR(__xludf.DUMMYFUNCTION("""COMPUTED_VALUE"""),13.0)</f>
        <v>13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IFERROR(__xludf.DUMMYFUNCTION("""COMPUTED_VALUE"""),224.0)</f>
        <v>224</v>
      </c>
      <c r="N147" s="66">
        <f>IFERROR(__xludf.DUMMYFUNCTION("""COMPUTED_VALUE"""),13.0)</f>
        <v>13</v>
      </c>
    </row>
    <row r="148">
      <c r="A148" s="1"/>
      <c r="B148" s="62" t="str">
        <f>IFERROR(__xludf.DUMMYFUNCTION("""COMPUTED_VALUE"""),"Kingsley Kuo")</f>
        <v>Kingsley Kuo</v>
      </c>
      <c r="C148" s="63">
        <f>IFERROR(__xludf.DUMMYFUNCTION("""COMPUTED_VALUE"""),215.0)</f>
        <v>215</v>
      </c>
      <c r="D148" s="64">
        <f>IFERROR(__xludf.DUMMYFUNCTION("""COMPUTED_VALUE"""),11.0)</f>
        <v>11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IFERROR(__xludf.DUMMYFUNCTION("""COMPUTED_VALUE"""),224.0)</f>
        <v>224</v>
      </c>
      <c r="N148" s="66">
        <f>IFERROR(__xludf.DUMMYFUNCTION("""COMPUTED_VALUE"""),11.0)</f>
        <v>11</v>
      </c>
    </row>
    <row r="149">
      <c r="A149" s="1"/>
      <c r="B149" s="62" t="str">
        <f>IFERROR(__xludf.DUMMYFUNCTION("""COMPUTED_VALUE"""),"Manish Anand")</f>
        <v>Manish Anand</v>
      </c>
      <c r="C149" s="63">
        <f>IFERROR(__xludf.DUMMYFUNCTION("""COMPUTED_VALUE"""),213.0)</f>
        <v>213</v>
      </c>
      <c r="D149" s="64">
        <f>IFERROR(__xludf.DUMMYFUNCTION("""COMPUTED_VALUE"""),10.0)</f>
        <v>10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IFERROR(__xludf.DUMMYFUNCTION("""COMPUTED_VALUE"""),222.0)</f>
        <v>222</v>
      </c>
      <c r="N149" s="66">
        <f>IFERROR(__xludf.DUMMYFUNCTION("""COMPUTED_VALUE"""),10.0)</f>
        <v>10</v>
      </c>
    </row>
    <row r="150">
      <c r="A150" s="1"/>
      <c r="B150" s="62" t="str">
        <f>IFERROR(__xludf.DUMMYFUNCTION("""COMPUTED_VALUE"""),"Nohely Mejia")</f>
        <v>Nohely Mejia</v>
      </c>
      <c r="C150" s="63">
        <f>IFERROR(__xludf.DUMMYFUNCTION("""COMPUTED_VALUE"""),213.0)</f>
        <v>213</v>
      </c>
      <c r="D150" s="64">
        <f>IFERROR(__xludf.DUMMYFUNCTION("""COMPUTED_VALUE"""),6.0)</f>
        <v>6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IFERROR(__xludf.DUMMYFUNCTION("""COMPUTED_VALUE"""),222.0)</f>
        <v>222</v>
      </c>
      <c r="N150" s="66">
        <f>IFERROR(__xludf.DUMMYFUNCTION("""COMPUTED_VALUE"""),6.0)</f>
        <v>6</v>
      </c>
    </row>
    <row r="151">
      <c r="A151" s="1"/>
      <c r="B151" s="62" t="str">
        <f>IFERROR(__xludf.DUMMYFUNCTION("""COMPUTED_VALUE"""),"Andrew Chin")</f>
        <v>Andrew Chin</v>
      </c>
      <c r="C151" s="63">
        <f>IFERROR(__xludf.DUMMYFUNCTION("""COMPUTED_VALUE"""),211.0)</f>
        <v>211</v>
      </c>
      <c r="D151" s="64">
        <f>IFERROR(__xludf.DUMMYFUNCTION("""COMPUTED_VALUE"""),10.0)</f>
        <v>10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IFERROR(__xludf.DUMMYFUNCTION("""COMPUTED_VALUE"""),220.0)</f>
        <v>220</v>
      </c>
      <c r="N151" s="66">
        <f>IFERROR(__xludf.DUMMYFUNCTION("""COMPUTED_VALUE"""),10.0)</f>
        <v>10</v>
      </c>
    </row>
    <row r="152">
      <c r="A152" s="1"/>
      <c r="B152" s="62" t="str">
        <f>IFERROR(__xludf.DUMMYFUNCTION("""COMPUTED_VALUE"""),"Vinot Kumar Nagappan")</f>
        <v>Vinot Kumar Nagappan</v>
      </c>
      <c r="C152" s="63">
        <f>IFERROR(__xludf.DUMMYFUNCTION("""COMPUTED_VALUE"""),211.0)</f>
        <v>211</v>
      </c>
      <c r="D152" s="64">
        <f>IFERROR(__xludf.DUMMYFUNCTION("""COMPUTED_VALUE"""),9.0)</f>
        <v>9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IFERROR(__xludf.DUMMYFUNCTION("""COMPUTED_VALUE"""),220.0)</f>
        <v>220</v>
      </c>
      <c r="N152" s="66">
        <f>IFERROR(__xludf.DUMMYFUNCTION("""COMPUTED_VALUE"""),9.0)</f>
        <v>9</v>
      </c>
    </row>
    <row r="153">
      <c r="A153" s="1"/>
      <c r="B153" s="62" t="str">
        <f>IFERROR(__xludf.DUMMYFUNCTION("""COMPUTED_VALUE"""),"Balaji Alahari")</f>
        <v>Balaji Alahari</v>
      </c>
      <c r="C153" s="63">
        <f>IFERROR(__xludf.DUMMYFUNCTION("""COMPUTED_VALUE"""),210.0)</f>
        <v>210</v>
      </c>
      <c r="D153" s="64">
        <f>IFERROR(__xludf.DUMMYFUNCTION("""COMPUTED_VALUE"""),8.0)</f>
        <v>8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IFERROR(__xludf.DUMMYFUNCTION("""COMPUTED_VALUE"""),219.0)</f>
        <v>219</v>
      </c>
      <c r="N153" s="66">
        <f>IFERROR(__xludf.DUMMYFUNCTION("""COMPUTED_VALUE"""),8.0)</f>
        <v>8</v>
      </c>
    </row>
    <row r="154">
      <c r="A154" s="1"/>
      <c r="B154" s="62" t="str">
        <f>IFERROR(__xludf.DUMMYFUNCTION("""COMPUTED_VALUE"""),"Vinaya Kajla")</f>
        <v>Vinaya Kajla</v>
      </c>
      <c r="C154" s="63">
        <f>IFERROR(__xludf.DUMMYFUNCTION("""COMPUTED_VALUE"""),208.0)</f>
        <v>208</v>
      </c>
      <c r="D154" s="64">
        <f>IFERROR(__xludf.DUMMYFUNCTION("""COMPUTED_VALUE"""),15.0)</f>
        <v>15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IFERROR(__xludf.DUMMYFUNCTION("""COMPUTED_VALUE"""),217.0)</f>
        <v>217</v>
      </c>
      <c r="N154" s="66">
        <f>IFERROR(__xludf.DUMMYFUNCTION("""COMPUTED_VALUE"""),15.0)</f>
        <v>15</v>
      </c>
    </row>
    <row r="155">
      <c r="A155" s="1"/>
      <c r="B155" s="62" t="str">
        <f>IFERROR(__xludf.DUMMYFUNCTION("""COMPUTED_VALUE"""),"Naveen Raj")</f>
        <v>Naveen Raj</v>
      </c>
      <c r="C155" s="63">
        <f>IFERROR(__xludf.DUMMYFUNCTION("""COMPUTED_VALUE"""),208.0)</f>
        <v>208</v>
      </c>
      <c r="D155" s="64">
        <f>IFERROR(__xludf.DUMMYFUNCTION("""COMPUTED_VALUE"""),11.0)</f>
        <v>11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IFERROR(__xludf.DUMMYFUNCTION("""COMPUTED_VALUE"""),217.0)</f>
        <v>217</v>
      </c>
      <c r="N155" s="66">
        <f>IFERROR(__xludf.DUMMYFUNCTION("""COMPUTED_VALUE"""),11.0)</f>
        <v>11</v>
      </c>
    </row>
    <row r="156">
      <c r="A156" s="1"/>
      <c r="B156" s="62" t="str">
        <f>IFERROR(__xludf.DUMMYFUNCTION("""COMPUTED_VALUE"""),"Savay Lieu")</f>
        <v>Savay Lieu</v>
      </c>
      <c r="C156" s="63">
        <f>IFERROR(__xludf.DUMMYFUNCTION("""COMPUTED_VALUE"""),203.0)</f>
        <v>203</v>
      </c>
      <c r="D156" s="64">
        <f>IFERROR(__xludf.DUMMYFUNCTION("""COMPUTED_VALUE"""),5.0)</f>
        <v>5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IFERROR(__xludf.DUMMYFUNCTION("""COMPUTED_VALUE"""),212.0)</f>
        <v>212</v>
      </c>
      <c r="N156" s="66">
        <f>IFERROR(__xludf.DUMMYFUNCTION("""COMPUTED_VALUE"""),5.0)</f>
        <v>5</v>
      </c>
    </row>
    <row r="157">
      <c r="A157" s="1"/>
      <c r="B157" s="62" t="str">
        <f>IFERROR(__xludf.DUMMYFUNCTION("""COMPUTED_VALUE"""),"Sanjaye Elayattu")</f>
        <v>Sanjaye Elayattu</v>
      </c>
      <c r="C157" s="63">
        <f>IFERROR(__xludf.DUMMYFUNCTION("""COMPUTED_VALUE"""),202.0)</f>
        <v>202</v>
      </c>
      <c r="D157" s="64">
        <f>IFERROR(__xludf.DUMMYFUNCTION("""COMPUTED_VALUE"""),4.0)</f>
        <v>4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IFERROR(__xludf.DUMMYFUNCTION("""COMPUTED_VALUE"""),211.0)</f>
        <v>211</v>
      </c>
      <c r="N157" s="66">
        <f>IFERROR(__xludf.DUMMYFUNCTION("""COMPUTED_VALUE"""),4.0)</f>
        <v>4</v>
      </c>
    </row>
    <row r="158">
      <c r="A158" s="1"/>
      <c r="B158" s="62" t="str">
        <f>IFERROR(__xludf.DUMMYFUNCTION("""COMPUTED_VALUE"""),"Sudhagar Subbaian")</f>
        <v>Sudhagar Subbaian</v>
      </c>
      <c r="C158" s="63">
        <f>IFERROR(__xludf.DUMMYFUNCTION("""COMPUTED_VALUE"""),198.0)</f>
        <v>198</v>
      </c>
      <c r="D158" s="64">
        <f>IFERROR(__xludf.DUMMYFUNCTION("""COMPUTED_VALUE"""),5.0)</f>
        <v>5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IFERROR(__xludf.DUMMYFUNCTION("""COMPUTED_VALUE"""),207.0)</f>
        <v>207</v>
      </c>
      <c r="N158" s="66">
        <f>IFERROR(__xludf.DUMMYFUNCTION("""COMPUTED_VALUE"""),5.0)</f>
        <v>5</v>
      </c>
    </row>
    <row r="159">
      <c r="A159" s="1"/>
      <c r="B159" s="62" t="str">
        <f>IFERROR(__xludf.DUMMYFUNCTION("""COMPUTED_VALUE"""),"Robert Chang")</f>
        <v>Robert Chang</v>
      </c>
      <c r="C159" s="63">
        <f>IFERROR(__xludf.DUMMYFUNCTION("""COMPUTED_VALUE"""),198.0)</f>
        <v>198</v>
      </c>
      <c r="D159" s="64">
        <f>IFERROR(__xludf.DUMMYFUNCTION("""COMPUTED_VALUE"""),4.0)</f>
        <v>4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IFERROR(__xludf.DUMMYFUNCTION("""COMPUTED_VALUE"""),207.0)</f>
        <v>207</v>
      </c>
      <c r="N159" s="66">
        <f>IFERROR(__xludf.DUMMYFUNCTION("""COMPUTED_VALUE"""),4.0)</f>
        <v>4</v>
      </c>
    </row>
    <row r="160">
      <c r="A160" s="1"/>
      <c r="B160" s="62" t="str">
        <f>IFERROR(__xludf.DUMMYFUNCTION("""COMPUTED_VALUE"""),"Rosie Bonilla")</f>
        <v>Rosie Bonilla</v>
      </c>
      <c r="C160" s="63">
        <f>IFERROR(__xludf.DUMMYFUNCTION("""COMPUTED_VALUE"""),195.0)</f>
        <v>195</v>
      </c>
      <c r="D160" s="64">
        <f>IFERROR(__xludf.DUMMYFUNCTION("""COMPUTED_VALUE"""),2.0)</f>
        <v>2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IFERROR(__xludf.DUMMYFUNCTION("""COMPUTED_VALUE"""),204.0)</f>
        <v>204</v>
      </c>
      <c r="N160" s="66">
        <f>IFERROR(__xludf.DUMMYFUNCTION("""COMPUTED_VALUE"""),2.0)</f>
        <v>2</v>
      </c>
    </row>
    <row r="161">
      <c r="A161" s="1"/>
      <c r="B161" s="62" t="str">
        <f>IFERROR(__xludf.DUMMYFUNCTION("""COMPUTED_VALUE"""),"Ash Nikravan")</f>
        <v>Ash Nikravan</v>
      </c>
      <c r="C161" s="63">
        <f>IFERROR(__xludf.DUMMYFUNCTION("""COMPUTED_VALUE"""),191.0)</f>
        <v>191</v>
      </c>
      <c r="D161" s="64">
        <f>IFERROR(__xludf.DUMMYFUNCTION("""COMPUTED_VALUE"""),5.0)</f>
        <v>5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IFERROR(__xludf.DUMMYFUNCTION("""COMPUTED_VALUE"""),200.0)</f>
        <v>200</v>
      </c>
      <c r="N161" s="66">
        <f>IFERROR(__xludf.DUMMYFUNCTION("""COMPUTED_VALUE"""),5.0)</f>
        <v>5</v>
      </c>
    </row>
    <row r="162">
      <c r="A162" s="1"/>
      <c r="B162" s="62" t="str">
        <f>IFERROR(__xludf.DUMMYFUNCTION("""COMPUTED_VALUE"""),"Troy Wong")</f>
        <v>Troy Wong</v>
      </c>
      <c r="C162" s="63">
        <f>IFERROR(__xludf.DUMMYFUNCTION("""COMPUTED_VALUE"""),190.0)</f>
        <v>190</v>
      </c>
      <c r="D162" s="64">
        <f>IFERROR(__xludf.DUMMYFUNCTION("""COMPUTED_VALUE"""),4.0)</f>
        <v>4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IFERROR(__xludf.DUMMYFUNCTION("""COMPUTED_VALUE"""),199.0)</f>
        <v>199</v>
      </c>
      <c r="N162" s="66">
        <f>IFERROR(__xludf.DUMMYFUNCTION("""COMPUTED_VALUE"""),4.0)</f>
        <v>4</v>
      </c>
    </row>
    <row r="163">
      <c r="A163" s="1"/>
      <c r="B163" s="62" t="str">
        <f>IFERROR(__xludf.DUMMYFUNCTION("""COMPUTED_VALUE"""),"Santosh Sundaresan ")</f>
        <v>Santosh Sundaresan </v>
      </c>
      <c r="C163" s="63">
        <f>IFERROR(__xludf.DUMMYFUNCTION("""COMPUTED_VALUE"""),189.0)</f>
        <v>189</v>
      </c>
      <c r="D163" s="64">
        <f>IFERROR(__xludf.DUMMYFUNCTION("""COMPUTED_VALUE"""),4.0)</f>
        <v>4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IFERROR(__xludf.DUMMYFUNCTION("""COMPUTED_VALUE"""),198.0)</f>
        <v>198</v>
      </c>
      <c r="N163" s="66">
        <f>IFERROR(__xludf.DUMMYFUNCTION("""COMPUTED_VALUE"""),4.0)</f>
        <v>4</v>
      </c>
    </row>
    <row r="164">
      <c r="A164" s="1"/>
      <c r="B164" s="62" t="str">
        <f>IFERROR(__xludf.DUMMYFUNCTION("""COMPUTED_VALUE"""),"Tony Lin")</f>
        <v>Tony Lin</v>
      </c>
      <c r="C164" s="63">
        <f>IFERROR(__xludf.DUMMYFUNCTION("""COMPUTED_VALUE"""),189.0)</f>
        <v>189</v>
      </c>
      <c r="D164" s="64">
        <f>IFERROR(__xludf.DUMMYFUNCTION("""COMPUTED_VALUE"""),3.0)</f>
        <v>3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IFERROR(__xludf.DUMMYFUNCTION("""COMPUTED_VALUE"""),198.0)</f>
        <v>198</v>
      </c>
      <c r="N164" s="66">
        <f>IFERROR(__xludf.DUMMYFUNCTION("""COMPUTED_VALUE"""),3.0)</f>
        <v>3</v>
      </c>
    </row>
    <row r="165">
      <c r="A165" s="1"/>
      <c r="B165" s="62" t="str">
        <f>IFERROR(__xludf.DUMMYFUNCTION("""COMPUTED_VALUE"""),"Chandrasekar Chinnathambi")</f>
        <v>Chandrasekar Chinnathambi</v>
      </c>
      <c r="C165" s="63">
        <f>IFERROR(__xludf.DUMMYFUNCTION("""COMPUTED_VALUE"""),187.0)</f>
        <v>187</v>
      </c>
      <c r="D165" s="64">
        <f>IFERROR(__xludf.DUMMYFUNCTION("""COMPUTED_VALUE"""),1.0)</f>
        <v>1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IFERROR(__xludf.DUMMYFUNCTION("""COMPUTED_VALUE"""),196.0)</f>
        <v>196</v>
      </c>
      <c r="N165" s="66">
        <f>IFERROR(__xludf.DUMMYFUNCTION("""COMPUTED_VALUE"""),1.0)</f>
        <v>1</v>
      </c>
    </row>
    <row r="166">
      <c r="A166" s="1"/>
      <c r="B166" s="62" t="str">
        <f>IFERROR(__xludf.DUMMYFUNCTION("""COMPUTED_VALUE"""),"Marcus Yovas")</f>
        <v>Marcus Yovas</v>
      </c>
      <c r="C166" s="63">
        <f>IFERROR(__xludf.DUMMYFUNCTION("""COMPUTED_VALUE"""),184.0)</f>
        <v>184</v>
      </c>
      <c r="D166" s="64">
        <f>IFERROR(__xludf.DUMMYFUNCTION("""COMPUTED_VALUE"""),2.0)</f>
        <v>2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IFERROR(__xludf.DUMMYFUNCTION("""COMPUTED_VALUE"""),193.0)</f>
        <v>193</v>
      </c>
      <c r="N166" s="66">
        <f>IFERROR(__xludf.DUMMYFUNCTION("""COMPUTED_VALUE"""),2.0)</f>
        <v>2</v>
      </c>
    </row>
    <row r="167">
      <c r="A167" s="1"/>
      <c r="B167" s="62" t="str">
        <f>IFERROR(__xludf.DUMMYFUNCTION("""COMPUTED_VALUE"""),"Joyce Zhu")</f>
        <v>Joyce Zhu</v>
      </c>
      <c r="C167" s="63">
        <f>IFERROR(__xludf.DUMMYFUNCTION("""COMPUTED_VALUE"""),180.0)</f>
        <v>180</v>
      </c>
      <c r="D167" s="64">
        <f>IFERROR(__xludf.DUMMYFUNCTION("""COMPUTED_VALUE"""),5.0)</f>
        <v>5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IFERROR(__xludf.DUMMYFUNCTION("""COMPUTED_VALUE"""),189.0)</f>
        <v>189</v>
      </c>
      <c r="N167" s="66">
        <f>IFERROR(__xludf.DUMMYFUNCTION("""COMPUTED_VALUE"""),5.0)</f>
        <v>5</v>
      </c>
    </row>
    <row r="168">
      <c r="A168" s="1"/>
      <c r="B168" s="62" t="str">
        <f>IFERROR(__xludf.DUMMYFUNCTION("""COMPUTED_VALUE"""),"Vilas Janardhanan")</f>
        <v>Vilas Janardhanan</v>
      </c>
      <c r="C168" s="63">
        <f>IFERROR(__xludf.DUMMYFUNCTION("""COMPUTED_VALUE"""),180.0)</f>
        <v>180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IFERROR(__xludf.DUMMYFUNCTION("""COMPUTED_VALUE"""),189.0)</f>
        <v>189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IFERROR(__xludf.DUMMYFUNCTION("""COMPUTED_VALUE"""),"Coco Yan")</f>
        <v>Coco Yan</v>
      </c>
      <c r="C169" s="63">
        <f>IFERROR(__xludf.DUMMYFUNCTION("""COMPUTED_VALUE"""),180.0)</f>
        <v>180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IFERROR(__xludf.DUMMYFUNCTION("""COMPUTED_VALUE"""),189.0)</f>
        <v>189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IFERROR(__xludf.DUMMYFUNCTION("""COMPUTED_VALUE"""),"Tiffany Yu")</f>
        <v>Tiffany Yu</v>
      </c>
      <c r="C170" s="63">
        <f>IFERROR(__xludf.DUMMYFUNCTION("""COMPUTED_VALUE"""),179.0)</f>
        <v>179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IFERROR(__xludf.DUMMYFUNCTION("""COMPUTED_VALUE"""),188.0)</f>
        <v>188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IFERROR(__xludf.DUMMYFUNCTION("""COMPUTED_VALUE"""),"Sai Dilip Ponnaganti")</f>
        <v>Sai Dilip Ponnaganti</v>
      </c>
      <c r="C171" s="63">
        <f>IFERROR(__xludf.DUMMYFUNCTION("""COMPUTED_VALUE"""),171.0)</f>
        <v>171</v>
      </c>
      <c r="D171" s="64">
        <f>IFERROR(__xludf.DUMMYFUNCTION("""COMPUTED_VALUE"""),0.0)</f>
        <v>0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IFERROR(__xludf.DUMMYFUNCTION("""COMPUTED_VALUE"""),180.0)</f>
        <v>180</v>
      </c>
      <c r="N171" s="66">
        <f>IFERROR(__xludf.DUMMYFUNCTION("""COMPUTED_VALUE"""),0.0)</f>
        <v>0</v>
      </c>
    </row>
    <row r="172">
      <c r="A172" s="1"/>
      <c r="B172" s="62" t="str">
        <f>IFERROR(__xludf.DUMMYFUNCTION("""COMPUTED_VALUE"""),"Jose Ortiz")</f>
        <v>Jose Ortiz</v>
      </c>
      <c r="C172" s="63">
        <f>IFERROR(__xludf.DUMMYFUNCTION("""COMPUTED_VALUE"""),170.0)</f>
        <v>170</v>
      </c>
      <c r="D172" s="64">
        <f>IFERROR(__xludf.DUMMYFUNCTION("""COMPUTED_VALUE"""),2.0)</f>
        <v>2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IFERROR(__xludf.DUMMYFUNCTION("""COMPUTED_VALUE"""),179.0)</f>
        <v>179</v>
      </c>
      <c r="N172" s="66">
        <f>IFERROR(__xludf.DUMMYFUNCTION("""COMPUTED_VALUE"""),2.0)</f>
        <v>2</v>
      </c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B222" s="74" t="s">
        <v>137</v>
      </c>
      <c r="C222" s="1"/>
      <c r="D222" s="1"/>
      <c r="E222" s="1"/>
      <c r="U222" s="74" t="s">
        <v>138</v>
      </c>
    </row>
    <row r="223">
      <c r="A223" s="41">
        <v>1.0</v>
      </c>
      <c r="B223" s="62" t="str">
        <f>IFERROR(__xludf.DUMMYFUNCTION("QUERY(B5:Q69, ""Select B   where Q is null"")"),"Adrian Tay")</f>
        <v>Adrian Tay</v>
      </c>
      <c r="C223" s="1"/>
      <c r="D223" s="1"/>
      <c r="E223" s="1"/>
      <c r="T223" s="41">
        <v>1.0</v>
      </c>
      <c r="U223" s="21" t="str">
        <f>IFERROR(__xludf.DUMMYFUNCTION("QUERY(B5:Q69, ""Select B   where Q = 'N' "")"),"David Tam")</f>
        <v>David Tam</v>
      </c>
    </row>
    <row r="224">
      <c r="A224" s="1">
        <f t="shared" ref="A224:A244" si="69">A223+1</f>
        <v>2</v>
      </c>
      <c r="B224" s="62" t="str">
        <f>IFERROR(__xludf.DUMMYFUNCTION("""COMPUTED_VALUE"""),"Sean Chang")</f>
        <v>Sean Chang</v>
      </c>
      <c r="C224" s="1"/>
      <c r="D224" s="1"/>
      <c r="E224" s="1"/>
      <c r="T224" s="1">
        <f t="shared" ref="T224:T235" si="70">T223+1</f>
        <v>2</v>
      </c>
      <c r="U224" s="21" t="str">
        <f>IFERROR(__xludf.DUMMYFUNCTION("""COMPUTED_VALUE"""),"Kingsley Kuo")</f>
        <v>Kingsley Kuo</v>
      </c>
    </row>
    <row r="225">
      <c r="A225" s="1">
        <f t="shared" si="69"/>
        <v>3</v>
      </c>
      <c r="B225" s="62"/>
      <c r="C225" s="1"/>
      <c r="D225" s="1"/>
      <c r="E225" s="1"/>
      <c r="T225" s="1">
        <f t="shared" si="70"/>
        <v>3</v>
      </c>
      <c r="U225" s="21" t="str">
        <f>IFERROR(__xludf.DUMMYFUNCTION("""COMPUTED_VALUE"""),"Tony Wong")</f>
        <v>Tony Wong</v>
      </c>
    </row>
    <row r="226">
      <c r="A226" s="1">
        <f t="shared" si="69"/>
        <v>4</v>
      </c>
      <c r="B226" s="62"/>
      <c r="C226" s="1"/>
      <c r="D226" s="1"/>
      <c r="E226" s="1"/>
      <c r="T226" s="1">
        <f t="shared" si="70"/>
        <v>4</v>
      </c>
      <c r="U226" s="21" t="str">
        <f>IFERROR(__xludf.DUMMYFUNCTION("""COMPUTED_VALUE"""),"Andrew Chin")</f>
        <v>Andrew Chin</v>
      </c>
    </row>
    <row r="227">
      <c r="A227" s="1">
        <f t="shared" si="69"/>
        <v>5</v>
      </c>
      <c r="B227" s="62"/>
      <c r="C227" s="1"/>
      <c r="D227" s="1"/>
      <c r="E227" s="1"/>
      <c r="T227" s="1">
        <f t="shared" si="70"/>
        <v>5</v>
      </c>
      <c r="U227" s="21" t="str">
        <f>IFERROR(__xludf.DUMMYFUNCTION("""COMPUTED_VALUE"""),"Vinot Kumar Nagappan")</f>
        <v>Vinot Kumar Nagappan</v>
      </c>
    </row>
    <row r="228">
      <c r="A228" s="1">
        <f t="shared" si="69"/>
        <v>6</v>
      </c>
      <c r="B228" s="62"/>
      <c r="C228" s="1"/>
      <c r="D228" s="1"/>
      <c r="E228" s="1"/>
      <c r="T228" s="1">
        <f t="shared" si="70"/>
        <v>6</v>
      </c>
      <c r="U228" s="21" t="str">
        <f>IFERROR(__xludf.DUMMYFUNCTION("""COMPUTED_VALUE"""),"Savay Lieu")</f>
        <v>Savay Lieu</v>
      </c>
    </row>
    <row r="229">
      <c r="A229" s="1">
        <f t="shared" si="69"/>
        <v>7</v>
      </c>
      <c r="B229" s="62"/>
      <c r="C229" s="1"/>
      <c r="D229" s="1"/>
      <c r="E229" s="1"/>
      <c r="T229" s="1">
        <f t="shared" si="70"/>
        <v>7</v>
      </c>
      <c r="U229" s="21" t="str">
        <f>IFERROR(__xludf.DUMMYFUNCTION("""COMPUTED_VALUE"""),"Sudhagar Subbaian")</f>
        <v>Sudhagar Subbaian</v>
      </c>
    </row>
    <row r="230">
      <c r="A230" s="1">
        <f t="shared" si="69"/>
        <v>8</v>
      </c>
      <c r="B230" s="62"/>
      <c r="C230" s="1"/>
      <c r="D230" s="1"/>
      <c r="E230" s="1"/>
      <c r="T230" s="1">
        <f t="shared" si="70"/>
        <v>8</v>
      </c>
      <c r="U230" s="21" t="str">
        <f>IFERROR(__xludf.DUMMYFUNCTION("""COMPUTED_VALUE"""),"Rosie Bonilla")</f>
        <v>Rosie Bonilla</v>
      </c>
    </row>
    <row r="231">
      <c r="A231" s="1">
        <f t="shared" si="69"/>
        <v>9</v>
      </c>
      <c r="B231" s="62"/>
      <c r="C231" s="1"/>
      <c r="D231" s="1"/>
      <c r="E231" s="1"/>
      <c r="T231" s="1">
        <f t="shared" si="70"/>
        <v>9</v>
      </c>
      <c r="U231" s="21" t="str">
        <f>IFERROR(__xludf.DUMMYFUNCTION("""COMPUTED_VALUE"""),"Ash Nikravan")</f>
        <v>Ash Nikravan</v>
      </c>
    </row>
    <row r="232">
      <c r="A232" s="1">
        <f t="shared" si="69"/>
        <v>10</v>
      </c>
      <c r="B232" s="62"/>
      <c r="C232" s="1"/>
      <c r="D232" s="1"/>
      <c r="E232" s="1"/>
      <c r="T232" s="1">
        <f t="shared" si="70"/>
        <v>10</v>
      </c>
      <c r="U232" s="21" t="str">
        <f>IFERROR(__xludf.DUMMYFUNCTION("""COMPUTED_VALUE"""),"Chandrasekar Chinnathambi")</f>
        <v>Chandrasekar Chinnathambi</v>
      </c>
    </row>
    <row r="233">
      <c r="A233" s="1">
        <f t="shared" si="69"/>
        <v>11</v>
      </c>
      <c r="B233" s="62"/>
      <c r="C233" s="1"/>
      <c r="D233" s="1"/>
      <c r="E233" s="1"/>
      <c r="T233" s="1">
        <f t="shared" si="70"/>
        <v>11</v>
      </c>
      <c r="U233" s="21" t="str">
        <f>IFERROR(__xludf.DUMMYFUNCTION("""COMPUTED_VALUE"""),"Marcus Yovas")</f>
        <v>Marcus Yovas</v>
      </c>
    </row>
    <row r="234">
      <c r="A234" s="1">
        <f t="shared" si="69"/>
        <v>12</v>
      </c>
      <c r="B234" s="62"/>
      <c r="C234" s="1"/>
      <c r="D234" s="1"/>
      <c r="E234" s="1"/>
      <c r="T234" s="1">
        <f t="shared" si="70"/>
        <v>12</v>
      </c>
      <c r="U234" s="21" t="str">
        <f>IFERROR(__xludf.DUMMYFUNCTION("""COMPUTED_VALUE"""),"Vilas Janardhanan")</f>
        <v>Vilas Janardhanan</v>
      </c>
    </row>
    <row r="235">
      <c r="A235" s="1">
        <f t="shared" si="69"/>
        <v>13</v>
      </c>
      <c r="B235" s="62"/>
      <c r="C235" s="1"/>
      <c r="D235" s="1"/>
      <c r="E235" s="1"/>
      <c r="T235" s="1">
        <f t="shared" si="70"/>
        <v>13</v>
      </c>
      <c r="U235" s="21" t="str">
        <f>IFERROR(__xludf.DUMMYFUNCTION("""COMPUTED_VALUE"""),"Tiffany Yu")</f>
        <v>Tiffany Yu</v>
      </c>
    </row>
    <row r="236">
      <c r="A236" s="1">
        <f t="shared" si="69"/>
        <v>14</v>
      </c>
      <c r="B236" s="62"/>
      <c r="C236" s="1"/>
      <c r="D236" s="1"/>
      <c r="E236" s="1"/>
    </row>
    <row r="237">
      <c r="A237" s="1">
        <f t="shared" si="69"/>
        <v>15</v>
      </c>
      <c r="B237" s="62"/>
      <c r="C237" s="1"/>
      <c r="D237" s="1"/>
      <c r="E237" s="1"/>
    </row>
    <row r="238">
      <c r="A238" s="1">
        <f t="shared" si="69"/>
        <v>16</v>
      </c>
      <c r="B238" s="62"/>
      <c r="C238" s="1"/>
      <c r="D238" s="1"/>
      <c r="E238" s="1"/>
    </row>
    <row r="239">
      <c r="A239" s="1">
        <f t="shared" si="69"/>
        <v>17</v>
      </c>
      <c r="B239" s="62"/>
      <c r="C239" s="1"/>
      <c r="D239" s="1"/>
      <c r="E239" s="1"/>
    </row>
    <row r="240">
      <c r="A240" s="1">
        <f t="shared" si="69"/>
        <v>18</v>
      </c>
      <c r="B240" s="62"/>
      <c r="C240" s="1"/>
      <c r="D240" s="1"/>
      <c r="E240" s="1"/>
    </row>
    <row r="241">
      <c r="A241" s="1">
        <f t="shared" si="69"/>
        <v>19</v>
      </c>
      <c r="B241" s="62"/>
      <c r="C241" s="1"/>
      <c r="D241" s="1"/>
      <c r="E241" s="1"/>
    </row>
    <row r="242">
      <c r="A242" s="1">
        <f t="shared" si="69"/>
        <v>20</v>
      </c>
      <c r="B242" s="62"/>
      <c r="C242" s="1"/>
      <c r="D242" s="1"/>
      <c r="E242" s="1"/>
    </row>
    <row r="243">
      <c r="A243" s="1">
        <f t="shared" si="69"/>
        <v>21</v>
      </c>
      <c r="B243" s="62"/>
      <c r="C243" s="1"/>
      <c r="D243" s="1"/>
      <c r="E243" s="1"/>
    </row>
    <row r="244">
      <c r="A244" s="1">
        <f t="shared" si="69"/>
        <v>22</v>
      </c>
      <c r="B244" s="62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"/>
      <c r="B1" s="2" t="s">
        <v>1</v>
      </c>
      <c r="C1" s="5">
        <v>45458.0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20.0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  <c r="Q3" s="20" t="s">
        <v>27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34</v>
      </c>
      <c r="R4" s="24" t="s">
        <v>35</v>
      </c>
      <c r="S4" s="24" t="s">
        <v>36</v>
      </c>
      <c r="T4" s="24" t="s">
        <v>37</v>
      </c>
    </row>
    <row r="5">
      <c r="A5" s="26">
        <v>1.0</v>
      </c>
      <c r="B5" s="27" t="s">
        <v>38</v>
      </c>
      <c r="C5" s="28">
        <v>263.0</v>
      </c>
      <c r="D5" s="29">
        <v>28.0</v>
      </c>
      <c r="E5" s="30">
        <v>1.0</v>
      </c>
      <c r="F5" s="31">
        <v>1.0</v>
      </c>
      <c r="G5" s="28">
        <v>0.0</v>
      </c>
      <c r="H5" s="31">
        <v>6.0</v>
      </c>
      <c r="I5" s="31">
        <v>6.0</v>
      </c>
      <c r="J5" s="31">
        <v>6.0</v>
      </c>
      <c r="K5" s="33">
        <v>18.0</v>
      </c>
      <c r="L5" s="31">
        <v>3.0</v>
      </c>
      <c r="M5" s="28">
        <f t="shared" ref="M5:N5" si="1">C5+K5</f>
        <v>281</v>
      </c>
      <c r="N5" s="29">
        <f t="shared" si="1"/>
        <v>31</v>
      </c>
      <c r="O5" s="35" t="s">
        <v>46</v>
      </c>
      <c r="P5" s="35" t="s">
        <v>46</v>
      </c>
      <c r="Q5" s="35"/>
      <c r="R5" s="31">
        <f>if(G5=13,1,0)+VLOOKUP(B5,'060824'!B:T,17,false)</f>
        <v>1</v>
      </c>
      <c r="S5" s="31"/>
      <c r="T5" s="31">
        <f>if(G5=9,1,0)+VLOOKUP(B5,'060824'!B:T,19,false)</f>
        <v>7</v>
      </c>
    </row>
    <row r="6">
      <c r="A6" s="26">
        <f t="shared" ref="A6:A69" si="3">A5+1</f>
        <v>2</v>
      </c>
      <c r="B6" s="27" t="s">
        <v>48</v>
      </c>
      <c r="C6" s="28">
        <v>261.0</v>
      </c>
      <c r="D6" s="29">
        <v>26.0</v>
      </c>
      <c r="E6" s="30">
        <v>2.0</v>
      </c>
      <c r="F6" s="31">
        <v>1.0</v>
      </c>
      <c r="G6" s="28">
        <v>0.0</v>
      </c>
      <c r="H6" s="31">
        <v>1.0</v>
      </c>
      <c r="I6" s="31">
        <v>6.0</v>
      </c>
      <c r="J6" s="31">
        <v>1.0</v>
      </c>
      <c r="K6" s="33">
        <v>8.0</v>
      </c>
      <c r="L6" s="31">
        <v>1.0</v>
      </c>
      <c r="M6" s="28">
        <f t="shared" ref="M6:N6" si="2">C6+K6</f>
        <v>269</v>
      </c>
      <c r="N6" s="29">
        <f t="shared" si="2"/>
        <v>27</v>
      </c>
      <c r="O6" s="35" t="s">
        <v>46</v>
      </c>
      <c r="P6" s="35" t="s">
        <v>46</v>
      </c>
      <c r="Q6" s="35" t="s">
        <v>46</v>
      </c>
      <c r="R6" s="31">
        <f>if(G6=13,1,0)+VLOOKUP(B6,'060824'!B:T,17,false)</f>
        <v>2</v>
      </c>
      <c r="S6" s="31"/>
      <c r="T6" s="31">
        <f>if(G6=9,1,0)+VLOOKUP(B6,'060824'!B:T,19,false)</f>
        <v>6</v>
      </c>
    </row>
    <row r="7">
      <c r="A7" s="26">
        <f t="shared" si="3"/>
        <v>3</v>
      </c>
      <c r="B7" s="39" t="s">
        <v>52</v>
      </c>
      <c r="C7" s="28">
        <v>250.0</v>
      </c>
      <c r="D7" s="29">
        <v>28.0</v>
      </c>
      <c r="E7" s="30">
        <v>1.0</v>
      </c>
      <c r="F7" s="31">
        <v>1.0</v>
      </c>
      <c r="G7" s="28">
        <v>0.0</v>
      </c>
      <c r="H7" s="31">
        <v>1.0</v>
      </c>
      <c r="I7" s="31">
        <v>2.0</v>
      </c>
      <c r="J7" s="31">
        <v>6.0</v>
      </c>
      <c r="K7" s="33">
        <v>9.0</v>
      </c>
      <c r="L7" s="31">
        <v>1.0</v>
      </c>
      <c r="M7" s="28">
        <f t="shared" ref="M7:N7" si="4">C7+K7</f>
        <v>259</v>
      </c>
      <c r="N7" s="29">
        <f t="shared" si="4"/>
        <v>29</v>
      </c>
      <c r="O7" s="35" t="s">
        <v>46</v>
      </c>
      <c r="P7" s="35" t="s">
        <v>46</v>
      </c>
      <c r="Q7" s="35" t="s">
        <v>46</v>
      </c>
      <c r="R7" s="31">
        <f>if(G7=13,1,0)+VLOOKUP(B7,'060824'!B:T,17,false)</f>
        <v>0</v>
      </c>
      <c r="S7" s="31"/>
      <c r="T7" s="31">
        <f>if(G7=9,1,0)+VLOOKUP(B7,'060824'!B:T,19,false)</f>
        <v>4</v>
      </c>
    </row>
    <row r="8">
      <c r="A8" s="26">
        <f t="shared" si="3"/>
        <v>4</v>
      </c>
      <c r="B8" s="27" t="s">
        <v>57</v>
      </c>
      <c r="C8" s="28">
        <v>240.0</v>
      </c>
      <c r="D8" s="29">
        <v>21.0</v>
      </c>
      <c r="E8" s="30">
        <v>1.0</v>
      </c>
      <c r="F8" s="31">
        <v>1.0</v>
      </c>
      <c r="G8" s="28">
        <v>0.0</v>
      </c>
      <c r="H8" s="31">
        <v>6.0</v>
      </c>
      <c r="I8" s="31">
        <v>2.0</v>
      </c>
      <c r="J8" s="31">
        <v>1.0</v>
      </c>
      <c r="K8" s="33">
        <v>9.0</v>
      </c>
      <c r="L8" s="31">
        <v>1.0</v>
      </c>
      <c r="M8" s="28">
        <f t="shared" ref="M8:N8" si="5">C8+K8</f>
        <v>249</v>
      </c>
      <c r="N8" s="29">
        <f t="shared" si="5"/>
        <v>22</v>
      </c>
      <c r="O8" s="35" t="s">
        <v>46</v>
      </c>
      <c r="P8" s="35" t="s">
        <v>46</v>
      </c>
      <c r="Q8" s="35" t="s">
        <v>46</v>
      </c>
      <c r="R8" s="31">
        <f>if(G8=13,1,0)+VLOOKUP(B8,'060824'!B:T,17,false)</f>
        <v>0</v>
      </c>
      <c r="S8" s="31"/>
      <c r="T8" s="31">
        <f>if(G8=9,1,0)+VLOOKUP(B8,'060824'!B:T,19,false)</f>
        <v>7</v>
      </c>
    </row>
    <row r="9">
      <c r="A9" s="26">
        <f t="shared" si="3"/>
        <v>5</v>
      </c>
      <c r="B9" s="39" t="s">
        <v>50</v>
      </c>
      <c r="C9" s="28">
        <v>239.0</v>
      </c>
      <c r="D9" s="29">
        <v>23.0</v>
      </c>
      <c r="E9" s="30">
        <v>1.0</v>
      </c>
      <c r="F9" s="31">
        <v>2.0</v>
      </c>
      <c r="G9" s="28">
        <v>0.0</v>
      </c>
      <c r="H9" s="31">
        <v>6.0</v>
      </c>
      <c r="I9" s="31">
        <v>7.0</v>
      </c>
      <c r="J9" s="31">
        <v>6.0</v>
      </c>
      <c r="K9" s="33">
        <v>19.0</v>
      </c>
      <c r="L9" s="31">
        <v>3.0</v>
      </c>
      <c r="M9" s="28">
        <f t="shared" ref="M9:N9" si="6">C9+K9</f>
        <v>258</v>
      </c>
      <c r="N9" s="29">
        <f t="shared" si="6"/>
        <v>26</v>
      </c>
      <c r="O9" s="35" t="s">
        <v>46</v>
      </c>
      <c r="P9" s="35" t="s">
        <v>46</v>
      </c>
      <c r="Q9" s="35" t="s">
        <v>46</v>
      </c>
      <c r="R9" s="31">
        <f>if(G9=13,1,0)+VLOOKUP(B9,'060824'!B:T,17,false)</f>
        <v>0</v>
      </c>
      <c r="S9" s="31"/>
      <c r="T9" s="31">
        <f>if(G9=9,1,0)+VLOOKUP(B9,'060824'!B:T,19,false)</f>
        <v>10</v>
      </c>
    </row>
    <row r="10">
      <c r="A10" s="26">
        <f t="shared" si="3"/>
        <v>6</v>
      </c>
      <c r="B10" s="27" t="s">
        <v>60</v>
      </c>
      <c r="C10" s="28">
        <v>238.0</v>
      </c>
      <c r="D10" s="29">
        <v>16.0</v>
      </c>
      <c r="E10" s="30">
        <v>3.0</v>
      </c>
      <c r="F10" s="31">
        <v>0.0</v>
      </c>
      <c r="G10" s="28">
        <v>9.0</v>
      </c>
      <c r="H10" s="31">
        <v>0.0</v>
      </c>
      <c r="I10" s="31">
        <v>0.0</v>
      </c>
      <c r="J10" s="31">
        <v>0.0</v>
      </c>
      <c r="K10" s="33">
        <v>9.0</v>
      </c>
      <c r="L10" s="31">
        <v>0.0</v>
      </c>
      <c r="M10" s="28">
        <f t="shared" ref="M10:N10" si="7">C10+K10</f>
        <v>247</v>
      </c>
      <c r="N10" s="29">
        <f t="shared" si="7"/>
        <v>16</v>
      </c>
      <c r="O10" s="35" t="s">
        <v>46</v>
      </c>
      <c r="P10" s="35" t="s">
        <v>46</v>
      </c>
      <c r="Q10" s="35"/>
      <c r="R10" s="31">
        <f>if(G10=13,1,0)+VLOOKUP(B10,'060824'!B:T,17,false)</f>
        <v>2</v>
      </c>
      <c r="S10" s="31"/>
      <c r="T10" s="31">
        <f>if(G10=9,1,0)+VLOOKUP(B10,'060824'!B:T,19,false)</f>
        <v>11</v>
      </c>
    </row>
    <row r="11">
      <c r="A11" s="26">
        <f t="shared" si="3"/>
        <v>7</v>
      </c>
      <c r="B11" s="27" t="s">
        <v>75</v>
      </c>
      <c r="C11" s="28">
        <v>237.0</v>
      </c>
      <c r="D11" s="29">
        <v>20.0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246</v>
      </c>
      <c r="N11" s="29">
        <f t="shared" si="8"/>
        <v>20</v>
      </c>
      <c r="O11" s="35" t="s">
        <v>46</v>
      </c>
      <c r="P11" s="35" t="s">
        <v>46</v>
      </c>
      <c r="Q11" s="35" t="s">
        <v>46</v>
      </c>
      <c r="R11" s="31">
        <f>if(G11=13,1,0)+VLOOKUP(B11,'060824'!B:T,17,false)</f>
        <v>1</v>
      </c>
      <c r="S11" s="31"/>
      <c r="T11" s="31">
        <f>if(G11=9,1,0)+VLOOKUP(B11,'060824'!B:T,19,false)</f>
        <v>4</v>
      </c>
    </row>
    <row r="12">
      <c r="A12" s="26">
        <f t="shared" si="3"/>
        <v>8</v>
      </c>
      <c r="B12" s="27" t="s">
        <v>81</v>
      </c>
      <c r="C12" s="28">
        <v>234.0</v>
      </c>
      <c r="D12" s="29">
        <v>22.0</v>
      </c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f t="shared" ref="M12:N12" si="9">C12+K12</f>
        <v>243</v>
      </c>
      <c r="N12" s="29">
        <f t="shared" si="9"/>
        <v>22</v>
      </c>
      <c r="O12" s="35" t="s">
        <v>46</v>
      </c>
      <c r="P12" s="35" t="s">
        <v>46</v>
      </c>
      <c r="Q12" s="35" t="s">
        <v>46</v>
      </c>
      <c r="R12" s="31">
        <f>if(G12=13,1,0)+VLOOKUP(B12,'060824'!B:T,17,false)</f>
        <v>0</v>
      </c>
      <c r="S12" s="31"/>
      <c r="T12" s="31">
        <f>if(G12=9,1,0)+VLOOKUP(B12,'060824'!B:T,19,false)</f>
        <v>6</v>
      </c>
    </row>
    <row r="13">
      <c r="A13" s="26">
        <f t="shared" si="3"/>
        <v>9</v>
      </c>
      <c r="B13" s="27" t="s">
        <v>56</v>
      </c>
      <c r="C13" s="28">
        <v>233.0</v>
      </c>
      <c r="D13" s="29">
        <v>18.0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242</v>
      </c>
      <c r="N13" s="29">
        <f t="shared" si="10"/>
        <v>18</v>
      </c>
      <c r="O13" s="35" t="s">
        <v>46</v>
      </c>
      <c r="P13" s="35" t="s">
        <v>46</v>
      </c>
      <c r="Q13" s="35" t="s">
        <v>46</v>
      </c>
      <c r="R13" s="31">
        <f>if(G13=13,1,0)+VLOOKUP(B13,'060824'!B:T,17,false)</f>
        <v>0</v>
      </c>
      <c r="S13" s="31"/>
      <c r="T13" s="31">
        <f>if(G13=9,1,0)+VLOOKUP(B13,'060824'!B:T,19,false)</f>
        <v>13</v>
      </c>
    </row>
    <row r="14">
      <c r="A14" s="26">
        <f t="shared" si="3"/>
        <v>10</v>
      </c>
      <c r="B14" s="27" t="s">
        <v>82</v>
      </c>
      <c r="C14" s="28">
        <v>231.0</v>
      </c>
      <c r="D14" s="29">
        <v>18.0</v>
      </c>
      <c r="E14" s="30">
        <v>1.0</v>
      </c>
      <c r="F14" s="31">
        <v>2.0</v>
      </c>
      <c r="G14" s="28">
        <v>0.0</v>
      </c>
      <c r="H14" s="31">
        <v>6.0</v>
      </c>
      <c r="I14" s="31">
        <v>6.0</v>
      </c>
      <c r="J14" s="31">
        <v>2.0</v>
      </c>
      <c r="K14" s="33">
        <v>14.0</v>
      </c>
      <c r="L14" s="31">
        <v>1.0</v>
      </c>
      <c r="M14" s="28">
        <f t="shared" ref="M14:N14" si="11">C14+K14</f>
        <v>245</v>
      </c>
      <c r="N14" s="29">
        <f t="shared" si="11"/>
        <v>19</v>
      </c>
      <c r="O14" s="35" t="s">
        <v>46</v>
      </c>
      <c r="P14" s="35" t="s">
        <v>46</v>
      </c>
      <c r="Q14" s="35"/>
      <c r="R14" s="31">
        <f>if(G14=13,1,0)+VLOOKUP(B14,'060824'!B:T,17,false)</f>
        <v>1</v>
      </c>
      <c r="S14" s="31"/>
      <c r="T14" s="31">
        <f>if(G14=9,1,0)+VLOOKUP(B14,'060824'!B:T,19,false)</f>
        <v>11</v>
      </c>
    </row>
    <row r="15">
      <c r="A15" s="26">
        <f t="shared" si="3"/>
        <v>11</v>
      </c>
      <c r="B15" s="27" t="s">
        <v>61</v>
      </c>
      <c r="C15" s="28">
        <v>229.0</v>
      </c>
      <c r="D15" s="29">
        <v>20.0</v>
      </c>
      <c r="E15" s="30">
        <v>2.0</v>
      </c>
      <c r="F15" s="31">
        <v>2.0</v>
      </c>
      <c r="G15" s="28">
        <v>0.0</v>
      </c>
      <c r="H15" s="31">
        <v>4.0</v>
      </c>
      <c r="I15" s="31">
        <v>6.0</v>
      </c>
      <c r="J15" s="31">
        <v>6.0</v>
      </c>
      <c r="K15" s="33">
        <v>16.0</v>
      </c>
      <c r="L15" s="31">
        <v>1.0</v>
      </c>
      <c r="M15" s="28">
        <f t="shared" ref="M15:N15" si="12">C15+K15</f>
        <v>245</v>
      </c>
      <c r="N15" s="29">
        <f t="shared" si="12"/>
        <v>21</v>
      </c>
      <c r="O15" s="35" t="s">
        <v>46</v>
      </c>
      <c r="P15" s="35" t="s">
        <v>46</v>
      </c>
      <c r="Q15" s="35" t="s">
        <v>46</v>
      </c>
      <c r="R15" s="31">
        <f>if(G15=13,1,0)+VLOOKUP(B15,'060824'!B:T,17,false)</f>
        <v>2</v>
      </c>
      <c r="S15" s="31"/>
      <c r="T15" s="31">
        <f>if(G15=9,1,0)+VLOOKUP(B15,'060824'!B:T,19,false)</f>
        <v>4</v>
      </c>
    </row>
    <row r="16">
      <c r="A16" s="26">
        <f t="shared" si="3"/>
        <v>12</v>
      </c>
      <c r="B16" s="27" t="s">
        <v>63</v>
      </c>
      <c r="C16" s="28">
        <v>229.0</v>
      </c>
      <c r="D16" s="29">
        <v>18.0</v>
      </c>
      <c r="E16" s="30">
        <v>1.0</v>
      </c>
      <c r="F16" s="31">
        <v>2.0</v>
      </c>
      <c r="G16" s="28">
        <v>0.0</v>
      </c>
      <c r="H16" s="31">
        <v>4.0</v>
      </c>
      <c r="I16" s="31">
        <v>7.0</v>
      </c>
      <c r="J16" s="31">
        <v>2.0</v>
      </c>
      <c r="K16" s="33">
        <v>13.0</v>
      </c>
      <c r="L16" s="31">
        <v>1.0</v>
      </c>
      <c r="M16" s="28">
        <f t="shared" ref="M16:N16" si="13">C16+K16</f>
        <v>242</v>
      </c>
      <c r="N16" s="29">
        <f t="shared" si="13"/>
        <v>19</v>
      </c>
      <c r="O16" s="35" t="s">
        <v>46</v>
      </c>
      <c r="P16" s="35" t="s">
        <v>46</v>
      </c>
      <c r="Q16" s="35" t="s">
        <v>46</v>
      </c>
      <c r="R16" s="31">
        <f>if(G16=13,1,0)+VLOOKUP(B16,'060824'!B:T,17,false)</f>
        <v>2</v>
      </c>
      <c r="S16" s="31"/>
      <c r="T16" s="31">
        <f>if(G16=9,1,0)+VLOOKUP(B16,'060824'!B:T,19,false)</f>
        <v>2</v>
      </c>
    </row>
    <row r="17">
      <c r="A17" s="26">
        <f t="shared" si="3"/>
        <v>13</v>
      </c>
      <c r="B17" s="27" t="s">
        <v>77</v>
      </c>
      <c r="C17" s="28">
        <v>229.0</v>
      </c>
      <c r="D17" s="29">
        <v>14.0</v>
      </c>
      <c r="E17" s="30">
        <v>1.0</v>
      </c>
      <c r="F17" s="31">
        <v>3.0</v>
      </c>
      <c r="G17" s="28">
        <v>0.0</v>
      </c>
      <c r="H17" s="31">
        <v>6.0</v>
      </c>
      <c r="I17" s="31">
        <v>3.0</v>
      </c>
      <c r="J17" s="31">
        <v>6.0</v>
      </c>
      <c r="K17" s="33">
        <v>15.0</v>
      </c>
      <c r="L17" s="31">
        <v>1.0</v>
      </c>
      <c r="M17" s="28">
        <f t="shared" ref="M17:N17" si="14">C17+K17</f>
        <v>244</v>
      </c>
      <c r="N17" s="29">
        <f t="shared" si="14"/>
        <v>15</v>
      </c>
      <c r="O17" s="35" t="s">
        <v>46</v>
      </c>
      <c r="P17" s="35" t="s">
        <v>46</v>
      </c>
      <c r="Q17" s="35"/>
      <c r="R17" s="31">
        <f>if(G17=13,1,0)+VLOOKUP(B17,'060824'!B:T,17,false)</f>
        <v>2</v>
      </c>
      <c r="S17" s="31"/>
      <c r="T17" s="31">
        <f>if(G17=9,1,0)+VLOOKUP(B17,'060824'!B:T,19,false)</f>
        <v>6</v>
      </c>
    </row>
    <row r="18">
      <c r="A18" s="26">
        <f t="shared" si="3"/>
        <v>14</v>
      </c>
      <c r="B18" s="39" t="s">
        <v>103</v>
      </c>
      <c r="C18" s="28">
        <v>226.0</v>
      </c>
      <c r="D18" s="29">
        <v>16.0</v>
      </c>
      <c r="E18" s="30">
        <v>3.0</v>
      </c>
      <c r="F18" s="31">
        <v>0.0</v>
      </c>
      <c r="G18" s="28">
        <v>9.0</v>
      </c>
      <c r="H18" s="31">
        <v>0.0</v>
      </c>
      <c r="I18" s="31">
        <v>0.0</v>
      </c>
      <c r="J18" s="31">
        <v>0.0</v>
      </c>
      <c r="K18" s="33">
        <v>9.0</v>
      </c>
      <c r="L18" s="31">
        <v>0.0</v>
      </c>
      <c r="M18" s="28">
        <f t="shared" ref="M18:N18" si="15">C18+K18</f>
        <v>235</v>
      </c>
      <c r="N18" s="29">
        <f t="shared" si="15"/>
        <v>16</v>
      </c>
      <c r="O18" s="35" t="s">
        <v>46</v>
      </c>
      <c r="P18" s="35" t="s">
        <v>46</v>
      </c>
      <c r="Q18" s="35" t="s">
        <v>46</v>
      </c>
      <c r="R18" s="31">
        <f>if(G18=13,1,0)+VLOOKUP(B18,'060824'!B:T,17,false)</f>
        <v>1</v>
      </c>
      <c r="S18" s="31"/>
      <c r="T18" s="31">
        <f>if(G18=9,1,0)+VLOOKUP(B18,'060824'!B:T,19,false)</f>
        <v>10</v>
      </c>
    </row>
    <row r="19">
      <c r="A19" s="26">
        <f t="shared" si="3"/>
        <v>15</v>
      </c>
      <c r="B19" s="27" t="s">
        <v>90</v>
      </c>
      <c r="C19" s="28">
        <v>224.0</v>
      </c>
      <c r="D19" s="29">
        <v>18.0</v>
      </c>
      <c r="E19" s="30">
        <v>1.0</v>
      </c>
      <c r="F19" s="31">
        <v>3.0</v>
      </c>
      <c r="G19" s="28">
        <v>0.0</v>
      </c>
      <c r="H19" s="31">
        <v>6.0</v>
      </c>
      <c r="I19" s="31">
        <v>6.0</v>
      </c>
      <c r="J19" s="31">
        <v>1.0</v>
      </c>
      <c r="K19" s="33">
        <v>13.0</v>
      </c>
      <c r="L19" s="31">
        <v>1.0</v>
      </c>
      <c r="M19" s="28">
        <f t="shared" ref="M19:N19" si="16">C19+K19</f>
        <v>237</v>
      </c>
      <c r="N19" s="29">
        <f t="shared" si="16"/>
        <v>19</v>
      </c>
      <c r="O19" s="35" t="s">
        <v>46</v>
      </c>
      <c r="P19" s="35" t="s">
        <v>46</v>
      </c>
      <c r="Q19" s="35" t="s">
        <v>46</v>
      </c>
      <c r="R19" s="31">
        <f>if(G19=13,1,0)+VLOOKUP(B19,'060824'!B:T,17,false)</f>
        <v>0</v>
      </c>
      <c r="S19" s="31"/>
      <c r="T19" s="31">
        <f>if(G19=9,1,0)+VLOOKUP(B19,'060824'!B:T,19,false)</f>
        <v>11</v>
      </c>
    </row>
    <row r="20">
      <c r="A20" s="26">
        <f t="shared" si="3"/>
        <v>16</v>
      </c>
      <c r="B20" s="39" t="s">
        <v>55</v>
      </c>
      <c r="C20" s="28">
        <v>222.0</v>
      </c>
      <c r="D20" s="29">
        <v>17.0</v>
      </c>
      <c r="E20" s="30">
        <v>1.0</v>
      </c>
      <c r="F20" s="31">
        <v>3.0</v>
      </c>
      <c r="G20" s="28">
        <v>0.0</v>
      </c>
      <c r="H20" s="31">
        <v>7.0</v>
      </c>
      <c r="I20" s="31">
        <v>6.0</v>
      </c>
      <c r="J20" s="31">
        <v>6.0</v>
      </c>
      <c r="K20" s="33">
        <v>19.0</v>
      </c>
      <c r="L20" s="31">
        <v>3.0</v>
      </c>
      <c r="M20" s="28">
        <f t="shared" ref="M20:N20" si="17">C20+K20</f>
        <v>241</v>
      </c>
      <c r="N20" s="29">
        <f t="shared" si="17"/>
        <v>20</v>
      </c>
      <c r="O20" s="35" t="s">
        <v>46</v>
      </c>
      <c r="P20" s="35" t="s">
        <v>46</v>
      </c>
      <c r="Q20" s="35" t="s">
        <v>46</v>
      </c>
      <c r="R20" s="31">
        <f>if(G20=13,1,0)+VLOOKUP(B20,'060824'!B:T,17,false)</f>
        <v>1</v>
      </c>
      <c r="S20" s="31"/>
      <c r="T20" s="31">
        <f>if(G20=9,1,0)+VLOOKUP(B20,'060824'!B:T,19,false)</f>
        <v>10</v>
      </c>
    </row>
    <row r="21">
      <c r="A21" s="26">
        <f t="shared" si="3"/>
        <v>17</v>
      </c>
      <c r="B21" s="27" t="s">
        <v>84</v>
      </c>
      <c r="C21" s="28">
        <v>222.0</v>
      </c>
      <c r="D21" s="29">
        <v>16.0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231</v>
      </c>
      <c r="N21" s="29">
        <f t="shared" si="18"/>
        <v>16</v>
      </c>
      <c r="O21" s="35" t="s">
        <v>46</v>
      </c>
      <c r="P21" s="35" t="s">
        <v>46</v>
      </c>
      <c r="Q21" s="35" t="s">
        <v>46</v>
      </c>
      <c r="R21" s="31">
        <f>if(G21=13,1,0)+VLOOKUP(B21,'060824'!B:T,17,false)</f>
        <v>2</v>
      </c>
      <c r="S21" s="31"/>
      <c r="T21" s="31">
        <f>if(G21=9,1,0)+VLOOKUP(B21,'060824'!B:T,19,false)</f>
        <v>2</v>
      </c>
    </row>
    <row r="22">
      <c r="A22" s="26">
        <f t="shared" si="3"/>
        <v>18</v>
      </c>
      <c r="B22" s="27" t="s">
        <v>102</v>
      </c>
      <c r="C22" s="28">
        <v>222.0</v>
      </c>
      <c r="D22" s="29">
        <v>15.0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231</v>
      </c>
      <c r="N22" s="29">
        <f t="shared" si="19"/>
        <v>15</v>
      </c>
      <c r="O22" s="35" t="s">
        <v>46</v>
      </c>
      <c r="P22" s="35" t="s">
        <v>46</v>
      </c>
      <c r="Q22" s="35" t="s">
        <v>46</v>
      </c>
      <c r="R22" s="31">
        <f>if(G22=13,1,0)+VLOOKUP(B22,'060824'!B:T,17,false)</f>
        <v>0</v>
      </c>
      <c r="S22" s="31"/>
      <c r="T22" s="31">
        <f>if(G22=9,1,0)+VLOOKUP(B22,'060824'!B:T,19,false)</f>
        <v>13</v>
      </c>
    </row>
    <row r="23">
      <c r="A23" s="26">
        <f t="shared" si="3"/>
        <v>19</v>
      </c>
      <c r="B23" s="39" t="s">
        <v>86</v>
      </c>
      <c r="C23" s="28">
        <v>221.0</v>
      </c>
      <c r="D23" s="29">
        <v>19.0</v>
      </c>
      <c r="E23" s="30">
        <v>2.0</v>
      </c>
      <c r="F23" s="31">
        <v>3.0</v>
      </c>
      <c r="G23" s="28">
        <v>0.0</v>
      </c>
      <c r="H23" s="31">
        <v>7.0</v>
      </c>
      <c r="I23" s="31">
        <v>3.0</v>
      </c>
      <c r="J23" s="31">
        <v>1.0</v>
      </c>
      <c r="K23" s="33">
        <v>11.0</v>
      </c>
      <c r="L23" s="31">
        <v>1.0</v>
      </c>
      <c r="M23" s="28">
        <f t="shared" ref="M23:N23" si="20">C23+K23</f>
        <v>232</v>
      </c>
      <c r="N23" s="29">
        <f t="shared" si="20"/>
        <v>20</v>
      </c>
      <c r="O23" s="35" t="s">
        <v>46</v>
      </c>
      <c r="P23" s="35" t="s">
        <v>46</v>
      </c>
      <c r="Q23" s="35" t="s">
        <v>46</v>
      </c>
      <c r="R23" s="31">
        <f>if(G23=13,1,0)+VLOOKUP(B23,'060824'!B:T,17,false)</f>
        <v>1</v>
      </c>
      <c r="S23" s="31"/>
      <c r="T23" s="31">
        <f>if(G23=9,1,0)+VLOOKUP(B23,'060824'!B:T,19,false)</f>
        <v>5</v>
      </c>
    </row>
    <row r="24">
      <c r="A24" s="26">
        <f t="shared" si="3"/>
        <v>20</v>
      </c>
      <c r="B24" s="54" t="s">
        <v>59</v>
      </c>
      <c r="C24" s="28">
        <v>220.0</v>
      </c>
      <c r="D24" s="29">
        <v>18.0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229</v>
      </c>
      <c r="N24" s="29">
        <f t="shared" si="21"/>
        <v>18</v>
      </c>
      <c r="O24" s="35" t="s">
        <v>46</v>
      </c>
      <c r="P24" s="35" t="s">
        <v>46</v>
      </c>
      <c r="Q24" s="35" t="s">
        <v>104</v>
      </c>
      <c r="R24" s="31">
        <f>if(G24=13,1,0)+VLOOKUP(B24,'060824'!B:T,17,false)</f>
        <v>1</v>
      </c>
      <c r="S24" s="31"/>
      <c r="T24" s="31">
        <f>if(G24=9,1,0)+VLOOKUP(B24,'060824'!B:T,19,false)</f>
        <v>8</v>
      </c>
    </row>
    <row r="25">
      <c r="A25" s="26">
        <f t="shared" si="3"/>
        <v>21</v>
      </c>
      <c r="B25" s="54" t="s">
        <v>95</v>
      </c>
      <c r="C25" s="28">
        <v>218.0</v>
      </c>
      <c r="D25" s="29">
        <v>18.0</v>
      </c>
      <c r="E25" s="30">
        <v>2.0</v>
      </c>
      <c r="F25" s="31">
        <v>4.0</v>
      </c>
      <c r="G25" s="28">
        <v>0.0</v>
      </c>
      <c r="H25" s="31">
        <v>4.0</v>
      </c>
      <c r="I25" s="31">
        <v>3.0</v>
      </c>
      <c r="J25" s="31">
        <v>1.0</v>
      </c>
      <c r="K25" s="33">
        <v>8.0</v>
      </c>
      <c r="L25" s="31">
        <v>0.0</v>
      </c>
      <c r="M25" s="28">
        <f t="shared" ref="M25:N25" si="22">C25+K25</f>
        <v>226</v>
      </c>
      <c r="N25" s="29">
        <f t="shared" si="22"/>
        <v>18</v>
      </c>
      <c r="O25" s="35" t="s">
        <v>46</v>
      </c>
      <c r="P25" s="35" t="s">
        <v>46</v>
      </c>
      <c r="Q25" s="35" t="s">
        <v>46</v>
      </c>
      <c r="R25" s="31">
        <f>if(G25=13,1,0)+VLOOKUP(B25,'060824'!B:T,17,false)</f>
        <v>0</v>
      </c>
      <c r="S25" s="31"/>
      <c r="T25" s="31">
        <f>if(G25=9,1,0)+VLOOKUP(B25,'060824'!B:T,19,false)</f>
        <v>4</v>
      </c>
    </row>
    <row r="26">
      <c r="A26" s="26">
        <f t="shared" si="3"/>
        <v>22</v>
      </c>
      <c r="B26" s="27" t="s">
        <v>96</v>
      </c>
      <c r="C26" s="28">
        <v>216.0</v>
      </c>
      <c r="D26" s="29">
        <v>15.0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225</v>
      </c>
      <c r="N26" s="29">
        <f t="shared" si="23"/>
        <v>15</v>
      </c>
      <c r="O26" s="35" t="s">
        <v>46</v>
      </c>
      <c r="P26" s="35" t="s">
        <v>46</v>
      </c>
      <c r="Q26" s="35" t="s">
        <v>46</v>
      </c>
      <c r="R26" s="31">
        <f>if(G26=13,1,0)+VLOOKUP(B26,'060824'!B:T,17,false)</f>
        <v>1</v>
      </c>
      <c r="S26" s="31"/>
      <c r="T26" s="31">
        <f>if(G26=9,1,0)+VLOOKUP(B26,'060824'!B:T,19,false)</f>
        <v>6</v>
      </c>
    </row>
    <row r="27">
      <c r="A27" s="26">
        <f t="shared" si="3"/>
        <v>23</v>
      </c>
      <c r="B27" s="27" t="s">
        <v>65</v>
      </c>
      <c r="C27" s="28">
        <v>216.0</v>
      </c>
      <c r="D27" s="29">
        <v>15.0</v>
      </c>
      <c r="E27" s="30">
        <v>1.0</v>
      </c>
      <c r="F27" s="31">
        <v>4.0</v>
      </c>
      <c r="G27" s="28">
        <v>0.0</v>
      </c>
      <c r="H27" s="31">
        <v>4.0</v>
      </c>
      <c r="I27" s="31">
        <v>6.0</v>
      </c>
      <c r="J27" s="31">
        <v>6.0</v>
      </c>
      <c r="K27" s="33">
        <v>16.0</v>
      </c>
      <c r="L27" s="31">
        <v>2.0</v>
      </c>
      <c r="M27" s="28">
        <f t="shared" ref="M27:N27" si="24">C27+K27</f>
        <v>232</v>
      </c>
      <c r="N27" s="29">
        <f t="shared" si="24"/>
        <v>17</v>
      </c>
      <c r="O27" s="35" t="s">
        <v>46</v>
      </c>
      <c r="P27" s="35" t="s">
        <v>46</v>
      </c>
      <c r="Q27" s="35"/>
      <c r="R27" s="31">
        <f>if(G27=13,1,0)+VLOOKUP(B27,'060824'!B:T,17,false)</f>
        <v>0</v>
      </c>
      <c r="S27" s="31"/>
      <c r="T27" s="31">
        <f>if(G27=9,1,0)+VLOOKUP(B27,'060824'!B:T,19,false)</f>
        <v>14</v>
      </c>
    </row>
    <row r="28">
      <c r="A28" s="26">
        <f t="shared" si="3"/>
        <v>24</v>
      </c>
      <c r="B28" s="27" t="s">
        <v>68</v>
      </c>
      <c r="C28" s="28">
        <v>216.0</v>
      </c>
      <c r="D28" s="29">
        <v>14.0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225</v>
      </c>
      <c r="N28" s="29">
        <f t="shared" si="25"/>
        <v>14</v>
      </c>
      <c r="O28" s="35" t="s">
        <v>46</v>
      </c>
      <c r="P28" s="35" t="s">
        <v>46</v>
      </c>
      <c r="Q28" s="35"/>
      <c r="R28" s="31">
        <f>if(G28=13,1,0)+VLOOKUP(B28,'060824'!B:T,17,false)</f>
        <v>2</v>
      </c>
      <c r="S28" s="31"/>
      <c r="T28" s="31">
        <f>if(G28=9,1,0)+VLOOKUP(B28,'060824'!B:T,19,false)</f>
        <v>12</v>
      </c>
    </row>
    <row r="29">
      <c r="A29" s="26">
        <f t="shared" si="3"/>
        <v>25</v>
      </c>
      <c r="B29" s="27" t="s">
        <v>78</v>
      </c>
      <c r="C29" s="28">
        <v>214.0</v>
      </c>
      <c r="D29" s="29">
        <v>19.0</v>
      </c>
      <c r="E29" s="30">
        <v>2.0</v>
      </c>
      <c r="F29" s="31">
        <v>4.0</v>
      </c>
      <c r="G29" s="28">
        <v>0.0</v>
      </c>
      <c r="H29" s="31">
        <v>6.0</v>
      </c>
      <c r="I29" s="31">
        <v>3.0</v>
      </c>
      <c r="J29" s="31">
        <v>6.0</v>
      </c>
      <c r="K29" s="33">
        <v>15.0</v>
      </c>
      <c r="L29" s="31">
        <v>2.0</v>
      </c>
      <c r="M29" s="28">
        <f t="shared" ref="M29:N29" si="26">C29+K29</f>
        <v>229</v>
      </c>
      <c r="N29" s="29">
        <f t="shared" si="26"/>
        <v>21</v>
      </c>
      <c r="O29" s="35" t="s">
        <v>46</v>
      </c>
      <c r="P29" s="35" t="s">
        <v>46</v>
      </c>
      <c r="Q29" s="35" t="s">
        <v>46</v>
      </c>
      <c r="R29" s="31">
        <f>if(G29=13,1,0)+VLOOKUP(B29,'060824'!B:T,17,false)</f>
        <v>0</v>
      </c>
      <c r="S29" s="31"/>
      <c r="T29" s="31">
        <f>if(G29=9,1,0)+VLOOKUP(B29,'060824'!B:T,19,false)</f>
        <v>6</v>
      </c>
    </row>
    <row r="30">
      <c r="A30" s="26">
        <f t="shared" si="3"/>
        <v>26</v>
      </c>
      <c r="B30" s="27" t="s">
        <v>107</v>
      </c>
      <c r="C30" s="28">
        <v>213.0</v>
      </c>
      <c r="D30" s="29">
        <v>12.0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222</v>
      </c>
      <c r="N30" s="29">
        <f t="shared" si="27"/>
        <v>12</v>
      </c>
      <c r="O30" s="35" t="s">
        <v>46</v>
      </c>
      <c r="P30" s="35" t="s">
        <v>46</v>
      </c>
      <c r="Q30" s="35" t="s">
        <v>46</v>
      </c>
      <c r="R30" s="31">
        <f>if(G30=13,1,0)+VLOOKUP(B30,'060824'!B:T,17,false)</f>
        <v>2</v>
      </c>
      <c r="S30" s="31"/>
      <c r="T30" s="31">
        <f>if(G30=9,1,0)+VLOOKUP(B30,'060824'!B:T,19,false)</f>
        <v>12</v>
      </c>
    </row>
    <row r="31">
      <c r="A31" s="26">
        <f t="shared" si="3"/>
        <v>27</v>
      </c>
      <c r="B31" s="54" t="s">
        <v>73</v>
      </c>
      <c r="C31" s="28">
        <v>209.0</v>
      </c>
      <c r="D31" s="29">
        <v>16.0</v>
      </c>
      <c r="E31" s="30">
        <v>1.0</v>
      </c>
      <c r="F31" s="31">
        <v>4.0</v>
      </c>
      <c r="G31" s="28">
        <v>0.0</v>
      </c>
      <c r="H31" s="31">
        <v>6.0</v>
      </c>
      <c r="I31" s="31">
        <v>6.0</v>
      </c>
      <c r="J31" s="31">
        <v>1.0</v>
      </c>
      <c r="K31" s="33">
        <v>13.0</v>
      </c>
      <c r="L31" s="31">
        <v>2.0</v>
      </c>
      <c r="M31" s="28">
        <f t="shared" ref="M31:N31" si="28">C31+K31</f>
        <v>222</v>
      </c>
      <c r="N31" s="29">
        <f t="shared" si="28"/>
        <v>18</v>
      </c>
      <c r="O31" s="35" t="s">
        <v>46</v>
      </c>
      <c r="P31" s="35" t="s">
        <v>46</v>
      </c>
      <c r="Q31" s="35" t="s">
        <v>46</v>
      </c>
      <c r="R31" s="31">
        <f>if(G31=13,1,0)+VLOOKUP(B31,'060824'!B:T,17,false)</f>
        <v>0</v>
      </c>
      <c r="S31" s="31"/>
      <c r="T31" s="31">
        <f>if(G31=9,1,0)+VLOOKUP(B31,'060824'!B:T,19,false)</f>
        <v>4</v>
      </c>
    </row>
    <row r="32">
      <c r="A32" s="26">
        <f t="shared" si="3"/>
        <v>28</v>
      </c>
      <c r="B32" s="54" t="s">
        <v>108</v>
      </c>
      <c r="C32" s="28">
        <v>208.0</v>
      </c>
      <c r="D32" s="29">
        <v>18.0</v>
      </c>
      <c r="E32" s="30">
        <v>1.0</v>
      </c>
      <c r="F32" s="31">
        <v>5.0</v>
      </c>
      <c r="G32" s="28">
        <v>0.0</v>
      </c>
      <c r="H32" s="31">
        <v>4.0</v>
      </c>
      <c r="I32" s="31">
        <v>1.0</v>
      </c>
      <c r="J32" s="31">
        <v>2.0</v>
      </c>
      <c r="K32" s="33">
        <v>7.0</v>
      </c>
      <c r="L32" s="31">
        <v>0.0</v>
      </c>
      <c r="M32" s="28">
        <f t="shared" ref="M32:N32" si="29">C32+K32</f>
        <v>215</v>
      </c>
      <c r="N32" s="29">
        <f t="shared" si="29"/>
        <v>18</v>
      </c>
      <c r="O32" s="35" t="s">
        <v>46</v>
      </c>
      <c r="P32" s="35" t="s">
        <v>46</v>
      </c>
      <c r="Q32" s="35" t="s">
        <v>46</v>
      </c>
      <c r="R32" s="31">
        <f>if(G32=13,1,0)+VLOOKUP(B32,'060824'!B:T,17,false)</f>
        <v>0</v>
      </c>
      <c r="S32" s="31"/>
      <c r="T32" s="31">
        <f>if(G32=9,1,0)+VLOOKUP(B32,'060824'!B:T,19,false)</f>
        <v>3</v>
      </c>
    </row>
    <row r="33">
      <c r="A33" s="26">
        <f t="shared" si="3"/>
        <v>29</v>
      </c>
      <c r="B33" s="27" t="s">
        <v>42</v>
      </c>
      <c r="C33" s="28">
        <v>208.0</v>
      </c>
      <c r="D33" s="29">
        <v>15.0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217</v>
      </c>
      <c r="N33" s="29">
        <f t="shared" si="30"/>
        <v>15</v>
      </c>
      <c r="O33" s="35" t="s">
        <v>46</v>
      </c>
      <c r="P33" s="35" t="s">
        <v>46</v>
      </c>
      <c r="Q33" s="35" t="s">
        <v>46</v>
      </c>
      <c r="R33" s="31">
        <f>if(G33=13,1,0)+VLOOKUP(B33,'060824'!B:T,17,false)</f>
        <v>0</v>
      </c>
      <c r="S33" s="31"/>
      <c r="T33" s="31">
        <f>if(G33=9,1,0)+VLOOKUP(B33,'060824'!B:T,19,false)</f>
        <v>6</v>
      </c>
    </row>
    <row r="34">
      <c r="A34" s="26">
        <f t="shared" si="3"/>
        <v>30</v>
      </c>
      <c r="B34" s="54" t="s">
        <v>89</v>
      </c>
      <c r="C34" s="28">
        <v>207.0</v>
      </c>
      <c r="D34" s="29">
        <v>17.0</v>
      </c>
      <c r="E34" s="30">
        <v>1.0</v>
      </c>
      <c r="F34" s="31">
        <v>5.0</v>
      </c>
      <c r="G34" s="28">
        <v>0.0</v>
      </c>
      <c r="H34" s="31">
        <v>6.0</v>
      </c>
      <c r="I34" s="31">
        <v>6.0</v>
      </c>
      <c r="J34" s="31">
        <v>2.0</v>
      </c>
      <c r="K34" s="33">
        <v>14.0</v>
      </c>
      <c r="L34" s="31">
        <v>2.0</v>
      </c>
      <c r="M34" s="28">
        <f t="shared" ref="M34:N34" si="31">C34+K34</f>
        <v>221</v>
      </c>
      <c r="N34" s="29">
        <f t="shared" si="31"/>
        <v>19</v>
      </c>
      <c r="O34" s="35" t="s">
        <v>46</v>
      </c>
      <c r="P34" s="35" t="s">
        <v>46</v>
      </c>
      <c r="Q34" s="35" t="s">
        <v>46</v>
      </c>
      <c r="R34" s="31">
        <f>if(G34=13,1,0)+VLOOKUP(B34,'060824'!B:T,17,false)</f>
        <v>0</v>
      </c>
      <c r="S34" s="31"/>
      <c r="T34" s="31">
        <f>if(G34=9,1,0)+VLOOKUP(B34,'060824'!B:T,19,false)</f>
        <v>5</v>
      </c>
    </row>
    <row r="35">
      <c r="A35" s="26">
        <f t="shared" si="3"/>
        <v>31</v>
      </c>
      <c r="B35" s="27" t="s">
        <v>79</v>
      </c>
      <c r="C35" s="28">
        <v>206.0</v>
      </c>
      <c r="D35" s="29">
        <v>13.0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215</v>
      </c>
      <c r="N35" s="29">
        <f t="shared" si="32"/>
        <v>13</v>
      </c>
      <c r="O35" s="35" t="s">
        <v>46</v>
      </c>
      <c r="P35" s="35" t="s">
        <v>46</v>
      </c>
      <c r="Q35" s="35" t="s">
        <v>46</v>
      </c>
      <c r="R35" s="31">
        <f>if(G35=13,1,0)+VLOOKUP(B35,'060824'!B:T,17,false)</f>
        <v>0</v>
      </c>
      <c r="S35" s="31"/>
      <c r="T35" s="31">
        <f>if(G35=9,1,0)+VLOOKUP(B35,'060824'!B:T,19,false)</f>
        <v>11</v>
      </c>
    </row>
    <row r="36">
      <c r="A36" s="26">
        <f t="shared" si="3"/>
        <v>32</v>
      </c>
      <c r="B36" s="39" t="s">
        <v>71</v>
      </c>
      <c r="C36" s="28">
        <v>206.0</v>
      </c>
      <c r="D36" s="29">
        <v>11.0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215</v>
      </c>
      <c r="N36" s="29">
        <f t="shared" si="33"/>
        <v>11</v>
      </c>
      <c r="O36" s="35" t="s">
        <v>46</v>
      </c>
      <c r="P36" s="35" t="s">
        <v>46</v>
      </c>
      <c r="Q36" s="35" t="s">
        <v>104</v>
      </c>
      <c r="R36" s="31">
        <f>if(G36=13,1,0)+VLOOKUP(B36,'060824'!B:T,17,false)</f>
        <v>0</v>
      </c>
      <c r="S36" s="31"/>
      <c r="T36" s="31">
        <f>if(G36=9,1,0)+VLOOKUP(B36,'060824'!B:T,19,false)</f>
        <v>14</v>
      </c>
    </row>
    <row r="37">
      <c r="A37" s="26">
        <f t="shared" si="3"/>
        <v>33</v>
      </c>
      <c r="B37" s="39" t="s">
        <v>106</v>
      </c>
      <c r="C37" s="28">
        <v>206.0</v>
      </c>
      <c r="D37" s="29">
        <v>11.0</v>
      </c>
      <c r="E37" s="30">
        <v>1.0</v>
      </c>
      <c r="F37" s="31">
        <v>5.0</v>
      </c>
      <c r="G37" s="28">
        <v>0.0</v>
      </c>
      <c r="H37" s="31">
        <v>6.0</v>
      </c>
      <c r="I37" s="31">
        <v>1.0</v>
      </c>
      <c r="J37" s="31">
        <v>6.0</v>
      </c>
      <c r="K37" s="33">
        <v>13.0</v>
      </c>
      <c r="L37" s="31">
        <v>2.0</v>
      </c>
      <c r="M37" s="28">
        <f t="shared" ref="M37:N37" si="34">C37+K37</f>
        <v>219</v>
      </c>
      <c r="N37" s="29">
        <f t="shared" si="34"/>
        <v>13</v>
      </c>
      <c r="O37" s="35" t="s">
        <v>46</v>
      </c>
      <c r="P37" s="35" t="s">
        <v>46</v>
      </c>
      <c r="Q37" s="35" t="s">
        <v>46</v>
      </c>
      <c r="R37" s="31">
        <f>if(G37=13,1,0)+VLOOKUP(B37,'060824'!B:T,17,false)</f>
        <v>0</v>
      </c>
      <c r="S37" s="31"/>
      <c r="T37" s="31">
        <f>if(G37=9,1,0)+VLOOKUP(B37,'060824'!B:T,19,false)</f>
        <v>11</v>
      </c>
    </row>
    <row r="38">
      <c r="A38" s="26">
        <f t="shared" si="3"/>
        <v>34</v>
      </c>
      <c r="B38" s="54" t="s">
        <v>100</v>
      </c>
      <c r="C38" s="28">
        <v>205.0</v>
      </c>
      <c r="D38" s="29">
        <v>11.0</v>
      </c>
      <c r="E38" s="30">
        <v>1.0</v>
      </c>
      <c r="F38" s="31">
        <v>5.0</v>
      </c>
      <c r="G38" s="28">
        <v>0.0</v>
      </c>
      <c r="H38" s="31">
        <v>4.0</v>
      </c>
      <c r="I38" s="31">
        <v>6.0</v>
      </c>
      <c r="J38" s="31">
        <v>6.0</v>
      </c>
      <c r="K38" s="33">
        <v>16.0</v>
      </c>
      <c r="L38" s="31">
        <v>2.0</v>
      </c>
      <c r="M38" s="28">
        <f t="shared" ref="M38:N38" si="35">C38+K38</f>
        <v>221</v>
      </c>
      <c r="N38" s="29">
        <f t="shared" si="35"/>
        <v>13</v>
      </c>
      <c r="O38" s="35" t="s">
        <v>46</v>
      </c>
      <c r="P38" s="35" t="s">
        <v>46</v>
      </c>
      <c r="Q38" s="35" t="s">
        <v>46</v>
      </c>
      <c r="R38" s="31">
        <f>if(G38=13,1,0)+VLOOKUP(B38,'060824'!B:T,17,false)</f>
        <v>1</v>
      </c>
      <c r="S38" s="31"/>
      <c r="T38" s="31">
        <f>if(G38=9,1,0)+VLOOKUP(B38,'060824'!B:T,19,false)</f>
        <v>11</v>
      </c>
    </row>
    <row r="39">
      <c r="A39" s="26">
        <f t="shared" si="3"/>
        <v>35</v>
      </c>
      <c r="B39" s="27" t="s">
        <v>110</v>
      </c>
      <c r="C39" s="28">
        <v>204.0</v>
      </c>
      <c r="D39" s="29">
        <v>10.0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213</v>
      </c>
      <c r="N39" s="29">
        <f t="shared" si="36"/>
        <v>10</v>
      </c>
      <c r="O39" s="35" t="s">
        <v>46</v>
      </c>
      <c r="P39" s="35" t="s">
        <v>46</v>
      </c>
      <c r="Q39" s="35" t="s">
        <v>46</v>
      </c>
      <c r="R39" s="31">
        <f>if(G39=13,1,0)+VLOOKUP(B39,'060824'!B:T,17,false)</f>
        <v>1</v>
      </c>
      <c r="S39" s="31"/>
      <c r="T39" s="31">
        <f>if(G39=9,1,0)+VLOOKUP(B39,'060824'!B:T,19,false)</f>
        <v>13</v>
      </c>
    </row>
    <row r="40">
      <c r="A40" s="26">
        <f t="shared" si="3"/>
        <v>36</v>
      </c>
      <c r="B40" s="39" t="s">
        <v>111</v>
      </c>
      <c r="C40" s="28">
        <v>202.0</v>
      </c>
      <c r="D40" s="29">
        <v>10.0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211</v>
      </c>
      <c r="N40" s="29">
        <f t="shared" si="37"/>
        <v>10</v>
      </c>
      <c r="O40" s="35" t="s">
        <v>46</v>
      </c>
      <c r="P40" s="35" t="s">
        <v>46</v>
      </c>
      <c r="Q40" s="35" t="s">
        <v>104</v>
      </c>
      <c r="R40" s="31">
        <f>if(G40=13,1,0)+VLOOKUP(B40,'060824'!B:T,17,false)</f>
        <v>0</v>
      </c>
      <c r="S40" s="31"/>
      <c r="T40" s="31">
        <f>if(G40=9,1,0)+VLOOKUP(B40,'060824'!B:T,19,false)</f>
        <v>15</v>
      </c>
    </row>
    <row r="41">
      <c r="A41" s="26">
        <f t="shared" si="3"/>
        <v>37</v>
      </c>
      <c r="B41" s="27" t="s">
        <v>112</v>
      </c>
      <c r="C41" s="28">
        <v>202.0</v>
      </c>
      <c r="D41" s="29">
        <v>9.0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211</v>
      </c>
      <c r="N41" s="29">
        <f t="shared" si="38"/>
        <v>9</v>
      </c>
      <c r="O41" s="35" t="s">
        <v>46</v>
      </c>
      <c r="P41" s="35" t="s">
        <v>46</v>
      </c>
      <c r="Q41" s="35" t="s">
        <v>104</v>
      </c>
      <c r="R41" s="31">
        <f>if(G41=13,1,0)+VLOOKUP(B41,'060824'!B:T,17,false)</f>
        <v>0</v>
      </c>
      <c r="S41" s="31"/>
      <c r="T41" s="31">
        <f>if(G41=9,1,0)+VLOOKUP(B41,'060824'!B:T,19,false)</f>
        <v>15</v>
      </c>
    </row>
    <row r="42">
      <c r="A42" s="26">
        <f t="shared" si="3"/>
        <v>38</v>
      </c>
      <c r="B42" s="54" t="s">
        <v>94</v>
      </c>
      <c r="C42" s="28">
        <v>201.0</v>
      </c>
      <c r="D42" s="29">
        <v>17.0</v>
      </c>
      <c r="E42" s="30">
        <v>1.0</v>
      </c>
      <c r="F42" s="31">
        <v>6.0</v>
      </c>
      <c r="G42" s="28">
        <v>0.0</v>
      </c>
      <c r="H42" s="31">
        <v>6.0</v>
      </c>
      <c r="I42" s="31">
        <v>4.0</v>
      </c>
      <c r="J42" s="31">
        <v>4.0</v>
      </c>
      <c r="K42" s="33">
        <v>14.0</v>
      </c>
      <c r="L42" s="31">
        <v>1.0</v>
      </c>
      <c r="M42" s="28">
        <f t="shared" ref="M42:N42" si="39">C42+K42</f>
        <v>215</v>
      </c>
      <c r="N42" s="29">
        <f t="shared" si="39"/>
        <v>18</v>
      </c>
      <c r="O42" s="35" t="s">
        <v>46</v>
      </c>
      <c r="P42" s="35" t="s">
        <v>46</v>
      </c>
      <c r="Q42" s="35" t="s">
        <v>46</v>
      </c>
      <c r="R42" s="31">
        <f>if(G42=13,1,0)+VLOOKUP(B42,'060824'!B:T,17,false)</f>
        <v>0</v>
      </c>
      <c r="S42" s="31"/>
      <c r="T42" s="31">
        <f>if(G42=9,1,0)+VLOOKUP(B42,'060824'!B:T,19,false)</f>
        <v>1</v>
      </c>
    </row>
    <row r="43">
      <c r="A43" s="26">
        <f t="shared" si="3"/>
        <v>39</v>
      </c>
      <c r="B43" s="27" t="s">
        <v>98</v>
      </c>
      <c r="C43" s="28">
        <v>201.0</v>
      </c>
      <c r="D43" s="29">
        <v>8.0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210</v>
      </c>
      <c r="N43" s="29">
        <f t="shared" si="40"/>
        <v>8</v>
      </c>
      <c r="O43" s="35" t="s">
        <v>46</v>
      </c>
      <c r="P43" s="35" t="s">
        <v>46</v>
      </c>
      <c r="Q43" s="35" t="s">
        <v>46</v>
      </c>
      <c r="R43" s="31">
        <f>if(G43=13,1,0)+VLOOKUP(B43,'060824'!B:T,17,false)</f>
        <v>1</v>
      </c>
      <c r="S43" s="31"/>
      <c r="T43" s="31">
        <f>if(G43=9,1,0)+VLOOKUP(B43,'060824'!B:T,19,false)</f>
        <v>15</v>
      </c>
    </row>
    <row r="44">
      <c r="A44" s="26">
        <f t="shared" si="3"/>
        <v>40</v>
      </c>
      <c r="B44" s="27" t="s">
        <v>83</v>
      </c>
      <c r="C44" s="28">
        <v>200.0</v>
      </c>
      <c r="D44" s="29">
        <v>15.0</v>
      </c>
      <c r="E44" s="30">
        <v>1.0</v>
      </c>
      <c r="F44" s="31">
        <v>6.0</v>
      </c>
      <c r="G44" s="28">
        <v>0.0</v>
      </c>
      <c r="H44" s="31">
        <v>4.0</v>
      </c>
      <c r="I44" s="31">
        <v>6.0</v>
      </c>
      <c r="J44" s="31">
        <v>4.0</v>
      </c>
      <c r="K44" s="33">
        <v>14.0</v>
      </c>
      <c r="L44" s="31">
        <v>1.0</v>
      </c>
      <c r="M44" s="28">
        <f t="shared" ref="M44:N44" si="41">C44+K44</f>
        <v>214</v>
      </c>
      <c r="N44" s="29">
        <f t="shared" si="41"/>
        <v>16</v>
      </c>
      <c r="O44" s="35" t="s">
        <v>46</v>
      </c>
      <c r="P44" s="35" t="s">
        <v>46</v>
      </c>
      <c r="Q44" s="35" t="s">
        <v>46</v>
      </c>
      <c r="R44" s="31">
        <f>if(G44=13,1,0)+VLOOKUP(B44,'060824'!B:T,17,false)</f>
        <v>1</v>
      </c>
      <c r="S44" s="31"/>
      <c r="T44" s="31">
        <f>if(G44=9,1,0)+VLOOKUP(B44,'060824'!B:T,19,false)</f>
        <v>6</v>
      </c>
    </row>
    <row r="45">
      <c r="A45" s="26">
        <f t="shared" si="3"/>
        <v>41</v>
      </c>
      <c r="B45" s="39" t="s">
        <v>45</v>
      </c>
      <c r="C45" s="28">
        <v>200.0</v>
      </c>
      <c r="D45" s="29">
        <v>12.0</v>
      </c>
      <c r="E45" s="30">
        <v>2.0</v>
      </c>
      <c r="F45" s="31">
        <v>6.0</v>
      </c>
      <c r="G45" s="28">
        <v>0.0</v>
      </c>
      <c r="H45" s="31">
        <v>4.0</v>
      </c>
      <c r="I45" s="31">
        <v>4.0</v>
      </c>
      <c r="J45" s="31">
        <v>6.0</v>
      </c>
      <c r="K45" s="33">
        <v>14.0</v>
      </c>
      <c r="L45" s="31">
        <v>1.0</v>
      </c>
      <c r="M45" s="28">
        <f t="shared" ref="M45:N45" si="42">C45+K45</f>
        <v>214</v>
      </c>
      <c r="N45" s="29">
        <f t="shared" si="42"/>
        <v>13</v>
      </c>
      <c r="O45" s="35" t="s">
        <v>46</v>
      </c>
      <c r="P45" s="35" t="s">
        <v>46</v>
      </c>
      <c r="Q45" s="35" t="s">
        <v>104</v>
      </c>
      <c r="R45" s="31">
        <f>if(G45=13,1,0)+VLOOKUP(B45,'060824'!B:T,17,false)</f>
        <v>1</v>
      </c>
      <c r="S45" s="31"/>
      <c r="T45" s="31">
        <f>if(G45=9,1,0)+VLOOKUP(B45,'060824'!B:T,19,false)</f>
        <v>7</v>
      </c>
    </row>
    <row r="46">
      <c r="A46" s="26">
        <f t="shared" si="3"/>
        <v>42</v>
      </c>
      <c r="B46" s="27" t="s">
        <v>76</v>
      </c>
      <c r="C46" s="28">
        <v>200.0</v>
      </c>
      <c r="D46" s="29">
        <v>8.0</v>
      </c>
      <c r="E46" s="30">
        <v>2.0</v>
      </c>
      <c r="F46" s="31">
        <v>6.0</v>
      </c>
      <c r="G46" s="28">
        <v>0.0</v>
      </c>
      <c r="H46" s="31">
        <v>6.0</v>
      </c>
      <c r="I46" s="31">
        <v>6.0</v>
      </c>
      <c r="J46" s="31">
        <v>6.0</v>
      </c>
      <c r="K46" s="33">
        <v>18.0</v>
      </c>
      <c r="L46" s="31">
        <v>3.0</v>
      </c>
      <c r="M46" s="28">
        <f t="shared" ref="M46:N46" si="43">C46+K46</f>
        <v>218</v>
      </c>
      <c r="N46" s="29">
        <f t="shared" si="43"/>
        <v>11</v>
      </c>
      <c r="O46" s="35" t="s">
        <v>46</v>
      </c>
      <c r="P46" s="35" t="s">
        <v>46</v>
      </c>
      <c r="Q46" s="35" t="s">
        <v>46</v>
      </c>
      <c r="R46" s="31">
        <f>if(G46=13,1,0)+VLOOKUP(B46,'060824'!B:T,17,false)</f>
        <v>1</v>
      </c>
      <c r="S46" s="31"/>
      <c r="T46" s="31">
        <f>if(G46=9,1,0)+VLOOKUP(B46,'060824'!B:T,19,false)</f>
        <v>11</v>
      </c>
    </row>
    <row r="47">
      <c r="A47" s="26">
        <f t="shared" si="3"/>
        <v>43</v>
      </c>
      <c r="B47" s="27" t="s">
        <v>109</v>
      </c>
      <c r="C47" s="28">
        <v>200.0</v>
      </c>
      <c r="D47" s="29">
        <v>5.0</v>
      </c>
      <c r="E47" s="30">
        <v>2.0</v>
      </c>
      <c r="F47" s="31">
        <v>7.0</v>
      </c>
      <c r="G47" s="28">
        <v>0.0</v>
      </c>
      <c r="H47" s="31">
        <v>6.0</v>
      </c>
      <c r="I47" s="31">
        <v>5.0</v>
      </c>
      <c r="J47" s="31">
        <v>2.0</v>
      </c>
      <c r="K47" s="33">
        <v>13.0</v>
      </c>
      <c r="L47" s="31">
        <v>1.0</v>
      </c>
      <c r="M47" s="28">
        <f t="shared" ref="M47:N47" si="44">C47+K47</f>
        <v>213</v>
      </c>
      <c r="N47" s="29">
        <f t="shared" si="44"/>
        <v>6</v>
      </c>
      <c r="O47" s="35" t="s">
        <v>46</v>
      </c>
      <c r="P47" s="35" t="s">
        <v>46</v>
      </c>
      <c r="Q47" s="35"/>
      <c r="R47" s="31">
        <f>if(G47=13,1,0)+VLOOKUP(B47,'060824'!B:T,17,false)</f>
        <v>2</v>
      </c>
      <c r="S47" s="31"/>
      <c r="T47" s="31">
        <f>if(G47=9,1,0)+VLOOKUP(B47,'060824'!B:T,19,false)</f>
        <v>12</v>
      </c>
    </row>
    <row r="48">
      <c r="A48" s="26">
        <f t="shared" si="3"/>
        <v>44</v>
      </c>
      <c r="B48" s="54" t="s">
        <v>47</v>
      </c>
      <c r="C48" s="28">
        <v>199.0</v>
      </c>
      <c r="D48" s="29">
        <v>15.0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208</v>
      </c>
      <c r="N48" s="29">
        <f t="shared" si="45"/>
        <v>15</v>
      </c>
      <c r="O48" s="35" t="s">
        <v>46</v>
      </c>
      <c r="P48" s="35" t="s">
        <v>46</v>
      </c>
      <c r="Q48" s="35" t="s">
        <v>46</v>
      </c>
      <c r="R48" s="31">
        <f>if(G48=13,1,0)+VLOOKUP(B48,'060824'!B:T,17,false)</f>
        <v>0</v>
      </c>
      <c r="S48" s="31"/>
      <c r="T48" s="31">
        <f>if(G48=9,1,0)+VLOOKUP(B48,'060824'!B:T,19,false)</f>
        <v>3</v>
      </c>
    </row>
    <row r="49">
      <c r="A49" s="26">
        <f t="shared" si="3"/>
        <v>45</v>
      </c>
      <c r="B49" s="27" t="s">
        <v>66</v>
      </c>
      <c r="C49" s="28">
        <v>199.0</v>
      </c>
      <c r="D49" s="29">
        <v>11.0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208</v>
      </c>
      <c r="N49" s="29">
        <f t="shared" si="46"/>
        <v>11</v>
      </c>
      <c r="O49" s="35" t="s">
        <v>46</v>
      </c>
      <c r="P49" s="35" t="s">
        <v>46</v>
      </c>
      <c r="Q49" s="35" t="s">
        <v>46</v>
      </c>
      <c r="R49" s="31">
        <f>if(G49=13,1,0)+VLOOKUP(B49,'060824'!B:T,17,false)</f>
        <v>1</v>
      </c>
      <c r="S49" s="31"/>
      <c r="T49" s="31">
        <f>if(G49=9,1,0)+VLOOKUP(B49,'060824'!B:T,19,false)</f>
        <v>7</v>
      </c>
    </row>
    <row r="50">
      <c r="A50" s="26">
        <f t="shared" si="3"/>
        <v>46</v>
      </c>
      <c r="B50" s="39" t="s">
        <v>105</v>
      </c>
      <c r="C50" s="28">
        <v>197.0</v>
      </c>
      <c r="D50" s="29">
        <v>13.0</v>
      </c>
      <c r="E50" s="30">
        <v>2.0</v>
      </c>
      <c r="F50" s="31">
        <v>7.0</v>
      </c>
      <c r="G50" s="28">
        <v>0.0</v>
      </c>
      <c r="H50" s="31">
        <v>3.0</v>
      </c>
      <c r="I50" s="31">
        <v>5.0</v>
      </c>
      <c r="J50" s="31">
        <v>6.0</v>
      </c>
      <c r="K50" s="33">
        <v>14.0</v>
      </c>
      <c r="L50" s="31">
        <v>1.0</v>
      </c>
      <c r="M50" s="28">
        <f t="shared" ref="M50:N50" si="47">C50+K50</f>
        <v>211</v>
      </c>
      <c r="N50" s="29">
        <f t="shared" si="47"/>
        <v>14</v>
      </c>
      <c r="O50" s="35" t="s">
        <v>46</v>
      </c>
      <c r="P50" s="35" t="s">
        <v>46</v>
      </c>
      <c r="Q50" s="35" t="s">
        <v>46</v>
      </c>
      <c r="R50" s="31">
        <f>if(G50=13,1,0)+VLOOKUP(B50,'060824'!B:T,17,false)</f>
        <v>0</v>
      </c>
      <c r="S50" s="31"/>
      <c r="T50" s="31">
        <f>if(G50=9,1,0)+VLOOKUP(B50,'060824'!B:T,19,false)</f>
        <v>7</v>
      </c>
    </row>
    <row r="51">
      <c r="A51" s="26">
        <f t="shared" si="3"/>
        <v>47</v>
      </c>
      <c r="B51" s="55" t="s">
        <v>113</v>
      </c>
      <c r="C51" s="28">
        <v>194.0</v>
      </c>
      <c r="D51" s="29">
        <v>5.0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203</v>
      </c>
      <c r="N51" s="29">
        <f t="shared" si="48"/>
        <v>5</v>
      </c>
      <c r="O51" s="35" t="s">
        <v>46</v>
      </c>
      <c r="P51" s="35" t="s">
        <v>46</v>
      </c>
      <c r="Q51" s="35" t="s">
        <v>104</v>
      </c>
      <c r="R51" s="31">
        <f>if(G51=13,1,0)+VLOOKUP(B51,'060824'!B:T,17,false)</f>
        <v>1</v>
      </c>
      <c r="S51" s="31"/>
      <c r="T51" s="31">
        <f>if(G51=9,1,0)+VLOOKUP(B51,'060824'!B:T,19,false)</f>
        <v>17</v>
      </c>
    </row>
    <row r="52">
      <c r="A52" s="26">
        <f t="shared" si="3"/>
        <v>48</v>
      </c>
      <c r="B52" s="54" t="s">
        <v>116</v>
      </c>
      <c r="C52" s="28">
        <v>189.0</v>
      </c>
      <c r="D52" s="29">
        <v>5.0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198</v>
      </c>
      <c r="N52" s="29">
        <f t="shared" si="49"/>
        <v>5</v>
      </c>
      <c r="O52" s="35" t="s">
        <v>46</v>
      </c>
      <c r="P52" s="35" t="s">
        <v>46</v>
      </c>
      <c r="Q52" s="35" t="s">
        <v>104</v>
      </c>
      <c r="R52" s="31">
        <f>if(G52=13,1,0)+VLOOKUP(B52,'060824'!B:T,17,false)</f>
        <v>0</v>
      </c>
      <c r="S52" s="31"/>
      <c r="T52" s="31">
        <f>if(G52=9,1,0)+VLOOKUP(B52,'060824'!B:T,19,false)</f>
        <v>16</v>
      </c>
    </row>
    <row r="53">
      <c r="A53" s="26">
        <f t="shared" si="3"/>
        <v>49</v>
      </c>
      <c r="B53" s="27" t="s">
        <v>117</v>
      </c>
      <c r="C53" s="28">
        <v>189.0</v>
      </c>
      <c r="D53" s="29">
        <v>4.0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198</v>
      </c>
      <c r="N53" s="29">
        <f t="shared" si="50"/>
        <v>4</v>
      </c>
      <c r="O53" s="35" t="s">
        <v>46</v>
      </c>
      <c r="P53" s="35" t="s">
        <v>46</v>
      </c>
      <c r="Q53" s="35" t="s">
        <v>46</v>
      </c>
      <c r="R53" s="31">
        <f>if(G53=13,1,0)+VLOOKUP(B53,'060824'!B:T,17,false)</f>
        <v>2</v>
      </c>
      <c r="S53" s="31"/>
      <c r="T53" s="31">
        <f>if(G53=9,1,0)+VLOOKUP(B53,'060824'!B:T,19,false)</f>
        <v>16</v>
      </c>
    </row>
    <row r="54">
      <c r="A54" s="26">
        <f t="shared" si="3"/>
        <v>50</v>
      </c>
      <c r="B54" s="27" t="s">
        <v>115</v>
      </c>
      <c r="C54" s="28">
        <v>187.0</v>
      </c>
      <c r="D54" s="29">
        <v>5.0</v>
      </c>
      <c r="E54" s="30">
        <v>2.0</v>
      </c>
      <c r="F54" s="31">
        <v>7.0</v>
      </c>
      <c r="G54" s="28">
        <v>0.0</v>
      </c>
      <c r="H54" s="31">
        <v>3.0</v>
      </c>
      <c r="I54" s="31">
        <v>7.0</v>
      </c>
      <c r="J54" s="31">
        <v>2.0</v>
      </c>
      <c r="K54" s="33">
        <v>12.0</v>
      </c>
      <c r="L54" s="31">
        <v>1.0</v>
      </c>
      <c r="M54" s="28">
        <f t="shared" ref="M54:N54" si="51">C54+K54</f>
        <v>199</v>
      </c>
      <c r="N54" s="29">
        <f t="shared" si="51"/>
        <v>6</v>
      </c>
      <c r="O54" s="35" t="s">
        <v>46</v>
      </c>
      <c r="P54" s="35" t="s">
        <v>46</v>
      </c>
      <c r="Q54" s="35" t="s">
        <v>46</v>
      </c>
      <c r="R54" s="31">
        <f>if(G54=13,1,0)+VLOOKUP(B54,'060824'!B:T,17,false)</f>
        <v>0</v>
      </c>
      <c r="S54" s="31"/>
      <c r="T54" s="31">
        <f>if(G54=9,1,0)+VLOOKUP(B54,'060824'!B:T,19,false)</f>
        <v>17</v>
      </c>
    </row>
    <row r="55">
      <c r="A55" s="26">
        <f t="shared" si="3"/>
        <v>51</v>
      </c>
      <c r="B55" s="27" t="s">
        <v>39</v>
      </c>
      <c r="C55" s="28">
        <v>187.0</v>
      </c>
      <c r="D55" s="29">
        <v>4.0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196</v>
      </c>
      <c r="N55" s="29">
        <f t="shared" si="52"/>
        <v>4</v>
      </c>
      <c r="O55" s="35" t="s">
        <v>46</v>
      </c>
      <c r="P55" s="35" t="s">
        <v>46</v>
      </c>
      <c r="Q55" s="35"/>
      <c r="R55" s="31">
        <f>if(G55=13,1,0)+VLOOKUP(B55,'060824'!B:T,17,false)</f>
        <v>0</v>
      </c>
      <c r="S55" s="31"/>
      <c r="T55" s="31">
        <f>if(G55=9,1,0)+VLOOKUP(B55,'060824'!B:T,19,false)</f>
        <v>18</v>
      </c>
    </row>
    <row r="56">
      <c r="A56" s="26">
        <f t="shared" si="3"/>
        <v>52</v>
      </c>
      <c r="B56" s="27" t="s">
        <v>118</v>
      </c>
      <c r="C56" s="28">
        <v>186.0</v>
      </c>
      <c r="D56" s="29">
        <v>2.0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195</v>
      </c>
      <c r="N56" s="29">
        <f t="shared" si="53"/>
        <v>2</v>
      </c>
      <c r="O56" s="35" t="s">
        <v>46</v>
      </c>
      <c r="P56" s="35" t="s">
        <v>46</v>
      </c>
      <c r="Q56" s="35" t="s">
        <v>104</v>
      </c>
      <c r="R56" s="31">
        <f>if(G56=13,1,0)+VLOOKUP(B56,'060824'!B:T,17,false)</f>
        <v>2</v>
      </c>
      <c r="S56" s="31"/>
      <c r="T56" s="31">
        <f>if(G56=9,1,0)+VLOOKUP(B56,'060824'!B:T,19,false)</f>
        <v>17</v>
      </c>
    </row>
    <row r="57">
      <c r="A57" s="26">
        <f t="shared" si="3"/>
        <v>53</v>
      </c>
      <c r="B57" s="27" t="s">
        <v>114</v>
      </c>
      <c r="C57" s="28">
        <v>183.0</v>
      </c>
      <c r="D57" s="29">
        <v>1.0</v>
      </c>
      <c r="E57" s="30">
        <v>1.0</v>
      </c>
      <c r="F57" s="31">
        <v>7.0</v>
      </c>
      <c r="G57" s="28">
        <v>0.0</v>
      </c>
      <c r="H57" s="31">
        <v>6.0</v>
      </c>
      <c r="I57" s="31">
        <v>7.0</v>
      </c>
      <c r="J57" s="31">
        <v>6.0</v>
      </c>
      <c r="K57" s="33">
        <v>19.0</v>
      </c>
      <c r="L57" s="31">
        <v>3.0</v>
      </c>
      <c r="M57" s="28">
        <f t="shared" ref="M57:N57" si="54">C57+K57</f>
        <v>202</v>
      </c>
      <c r="N57" s="29">
        <f t="shared" si="54"/>
        <v>4</v>
      </c>
      <c r="O57" s="35" t="s">
        <v>46</v>
      </c>
      <c r="P57" s="35" t="s">
        <v>46</v>
      </c>
      <c r="Q57" s="35" t="s">
        <v>46</v>
      </c>
      <c r="R57" s="31">
        <f>if(G57=13,1,0)+VLOOKUP(B57,'060824'!B:T,17,false)</f>
        <v>1</v>
      </c>
      <c r="S57" s="31"/>
      <c r="T57" s="31">
        <f>if(G57=9,1,0)+VLOOKUP(B57,'060824'!B:T,19,false)</f>
        <v>17</v>
      </c>
    </row>
    <row r="58">
      <c r="A58" s="26">
        <f t="shared" si="3"/>
        <v>54</v>
      </c>
      <c r="B58" s="54" t="s">
        <v>54</v>
      </c>
      <c r="C58" s="28">
        <v>182.0</v>
      </c>
      <c r="D58" s="29">
        <v>5.0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191</v>
      </c>
      <c r="N58" s="29">
        <f t="shared" si="55"/>
        <v>5</v>
      </c>
      <c r="O58" s="35" t="s">
        <v>46</v>
      </c>
      <c r="P58" s="35" t="s">
        <v>46</v>
      </c>
      <c r="Q58" s="35"/>
      <c r="R58" s="31">
        <f>if(G58=13,1,0)+VLOOKUP(B58,'060824'!B:T,17,false)</f>
        <v>1</v>
      </c>
      <c r="S58" s="31"/>
      <c r="T58" s="31">
        <f>if(G58=9,1,0)+VLOOKUP(B58,'060824'!B:T,19,false)</f>
        <v>14</v>
      </c>
    </row>
    <row r="59">
      <c r="A59" s="26">
        <f t="shared" si="3"/>
        <v>55</v>
      </c>
      <c r="B59" s="39" t="s">
        <v>119</v>
      </c>
      <c r="C59" s="28">
        <v>181.0</v>
      </c>
      <c r="D59" s="29">
        <v>4.0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190</v>
      </c>
      <c r="N59" s="29">
        <f t="shared" si="56"/>
        <v>4</v>
      </c>
      <c r="O59" s="35" t="s">
        <v>46</v>
      </c>
      <c r="P59" s="35" t="s">
        <v>46</v>
      </c>
      <c r="Q59" s="35" t="s">
        <v>46</v>
      </c>
      <c r="R59" s="31">
        <f>if(G59=13,1,0)+VLOOKUP(B59,'060824'!B:T,17,false)</f>
        <v>0</v>
      </c>
      <c r="S59" s="31"/>
      <c r="T59" s="31">
        <f>if(G59=9,1,0)+VLOOKUP(B59,'060824'!B:T,19,false)</f>
        <v>18</v>
      </c>
    </row>
    <row r="60">
      <c r="A60" s="26">
        <f t="shared" si="3"/>
        <v>56</v>
      </c>
      <c r="B60" s="27" t="s">
        <v>120</v>
      </c>
      <c r="C60" s="28">
        <v>180.0</v>
      </c>
      <c r="D60" s="29">
        <v>4.0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189</v>
      </c>
      <c r="N60" s="29">
        <f t="shared" si="57"/>
        <v>4</v>
      </c>
      <c r="O60" s="35" t="s">
        <v>46</v>
      </c>
      <c r="P60" s="35" t="s">
        <v>46</v>
      </c>
      <c r="Q60" s="35" t="s">
        <v>46</v>
      </c>
      <c r="R60" s="31">
        <f>if(G60=13,1,0)+VLOOKUP(B60,'060824'!B:T,17,false)</f>
        <v>1</v>
      </c>
      <c r="S60" s="31"/>
      <c r="T60" s="31">
        <f>if(G60=9,1,0)+VLOOKUP(B60,'060824'!B:T,19,false)</f>
        <v>17</v>
      </c>
    </row>
    <row r="61">
      <c r="A61" s="26">
        <f t="shared" si="3"/>
        <v>57</v>
      </c>
      <c r="B61" s="39" t="s">
        <v>121</v>
      </c>
      <c r="C61" s="28">
        <v>180.0</v>
      </c>
      <c r="D61" s="29">
        <v>3.0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189</v>
      </c>
      <c r="N61" s="29">
        <f t="shared" si="58"/>
        <v>3</v>
      </c>
      <c r="O61" s="35" t="s">
        <v>46</v>
      </c>
      <c r="P61" s="35" t="s">
        <v>46</v>
      </c>
      <c r="Q61" s="35" t="s">
        <v>46</v>
      </c>
      <c r="R61" s="31">
        <f>if(G61=13,1,0)+VLOOKUP(B61,'060824'!B:T,17,false)</f>
        <v>0</v>
      </c>
      <c r="S61" s="31"/>
      <c r="T61" s="31">
        <f>if(G61=9,1,0)+VLOOKUP(B61,'060824'!B:T,19,false)</f>
        <v>18</v>
      </c>
    </row>
    <row r="62">
      <c r="A62" s="26">
        <f t="shared" si="3"/>
        <v>58</v>
      </c>
      <c r="B62" s="54" t="s">
        <v>122</v>
      </c>
      <c r="C62" s="28">
        <v>178.0</v>
      </c>
      <c r="D62" s="29">
        <v>1.0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187</v>
      </c>
      <c r="N62" s="29">
        <f t="shared" si="59"/>
        <v>1</v>
      </c>
      <c r="O62" s="35" t="s">
        <v>46</v>
      </c>
      <c r="P62" s="35" t="s">
        <v>46</v>
      </c>
      <c r="Q62" s="35" t="s">
        <v>104</v>
      </c>
      <c r="R62" s="31">
        <f>if(G62=13,1,0)+VLOOKUP(B62,'060824'!B:T,17,false)</f>
        <v>0</v>
      </c>
      <c r="S62" s="31"/>
      <c r="T62" s="31">
        <f>if(G62=9,1,0)+VLOOKUP(B62,'060824'!B:T,19,false)</f>
        <v>19</v>
      </c>
    </row>
    <row r="63">
      <c r="A63" s="26">
        <f t="shared" si="3"/>
        <v>59</v>
      </c>
      <c r="B63" s="54" t="s">
        <v>123</v>
      </c>
      <c r="C63" s="28">
        <v>175.0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184</v>
      </c>
      <c r="N63" s="29">
        <f t="shared" si="60"/>
        <v>2</v>
      </c>
      <c r="O63" s="35" t="s">
        <v>46</v>
      </c>
      <c r="P63" s="35" t="s">
        <v>46</v>
      </c>
      <c r="Q63" s="35" t="s">
        <v>104</v>
      </c>
      <c r="R63" s="31">
        <f>if(G63=13,1,0)+VLOOKUP(B63,'060824'!B:T,17,false)</f>
        <v>1</v>
      </c>
      <c r="S63" s="31"/>
      <c r="T63" s="31">
        <f>if(G63=9,1,0)+VLOOKUP(B63,'060824'!B:T,19,false)</f>
        <v>18</v>
      </c>
    </row>
    <row r="64">
      <c r="A64" s="26">
        <f t="shared" si="3"/>
        <v>60</v>
      </c>
      <c r="B64" s="39" t="s">
        <v>97</v>
      </c>
      <c r="C64" s="28">
        <v>171.0</v>
      </c>
      <c r="D64" s="29">
        <v>5.0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180</v>
      </c>
      <c r="N64" s="29">
        <f t="shared" si="61"/>
        <v>5</v>
      </c>
      <c r="O64" s="35" t="s">
        <v>46</v>
      </c>
      <c r="P64" s="35" t="s">
        <v>46</v>
      </c>
      <c r="Q64" s="35" t="s">
        <v>46</v>
      </c>
      <c r="R64" s="31">
        <f>if(G64=13,1,0)+VLOOKUP(B64,'060824'!B:T,17,false)</f>
        <v>0</v>
      </c>
      <c r="S64" s="31"/>
      <c r="T64" s="31">
        <f>if(G64=9,1,0)+VLOOKUP(B64,'060824'!B:T,19,false)</f>
        <v>9</v>
      </c>
    </row>
    <row r="65">
      <c r="A65" s="26">
        <f t="shared" si="3"/>
        <v>61</v>
      </c>
      <c r="B65" s="39" t="s">
        <v>124</v>
      </c>
      <c r="C65" s="28">
        <v>171.0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180</v>
      </c>
      <c r="N65" s="29">
        <f t="shared" si="62"/>
        <v>0</v>
      </c>
      <c r="O65" s="35" t="s">
        <v>46</v>
      </c>
      <c r="P65" s="35" t="s">
        <v>46</v>
      </c>
      <c r="Q65" s="35" t="s">
        <v>104</v>
      </c>
      <c r="R65" s="31">
        <f>if(G65=13,1,0)+VLOOKUP(B65,'060824'!B:T,17,false)</f>
        <v>0</v>
      </c>
      <c r="S65" s="31"/>
      <c r="T65" s="31">
        <f>if(G65=9,1,0)+VLOOKUP(B65,'060824'!B:T,19,false)</f>
        <v>20</v>
      </c>
    </row>
    <row r="66">
      <c r="A66" s="26">
        <f t="shared" si="3"/>
        <v>62</v>
      </c>
      <c r="B66" s="39" t="s">
        <v>125</v>
      </c>
      <c r="C66" s="28">
        <v>171.0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180</v>
      </c>
      <c r="N66" s="29">
        <f t="shared" si="63"/>
        <v>0</v>
      </c>
      <c r="O66" s="35" t="s">
        <v>46</v>
      </c>
      <c r="P66" s="35" t="s">
        <v>46</v>
      </c>
      <c r="Q66" s="35" t="s">
        <v>46</v>
      </c>
      <c r="R66" s="31">
        <f>if(G66=13,1,0)+VLOOKUP(B66,'060824'!B:T,17,false)</f>
        <v>0</v>
      </c>
      <c r="S66" s="31"/>
      <c r="T66" s="31">
        <f>if(G66=9,1,0)+VLOOKUP(B66,'060824'!B:T,19,false)</f>
        <v>19</v>
      </c>
    </row>
    <row r="67">
      <c r="A67" s="26">
        <f t="shared" si="3"/>
        <v>63</v>
      </c>
      <c r="B67" s="39" t="s">
        <v>126</v>
      </c>
      <c r="C67" s="28">
        <v>170.0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179</v>
      </c>
      <c r="N67" s="29">
        <f t="shared" si="64"/>
        <v>2</v>
      </c>
      <c r="O67" s="35" t="s">
        <v>46</v>
      </c>
      <c r="P67" s="35" t="s">
        <v>46</v>
      </c>
      <c r="Q67" s="35" t="s">
        <v>104</v>
      </c>
      <c r="R67" s="31">
        <f>if(G67=13,1,0)+VLOOKUP(B67,'060824'!B:T,17,false)</f>
        <v>0</v>
      </c>
      <c r="S67" s="31"/>
      <c r="T67" s="31">
        <f>if(G67=9,1,0)+VLOOKUP(B67,'060824'!B:T,19,false)</f>
        <v>18</v>
      </c>
    </row>
    <row r="68">
      <c r="A68" s="26">
        <f t="shared" si="3"/>
        <v>64</v>
      </c>
      <c r="B68" s="27" t="s">
        <v>74</v>
      </c>
      <c r="C68" s="28">
        <v>162.0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171</v>
      </c>
      <c r="N68" s="29">
        <f t="shared" si="65"/>
        <v>0</v>
      </c>
      <c r="O68" s="35" t="s">
        <v>46</v>
      </c>
      <c r="P68" s="35" t="s">
        <v>46</v>
      </c>
      <c r="Q68" s="35" t="s">
        <v>46</v>
      </c>
      <c r="R68" s="31">
        <f>if(G68=13,1,0)+VLOOKUP(B68,'060824'!B:T,17,false)</f>
        <v>0</v>
      </c>
      <c r="S68" s="31"/>
      <c r="T68" s="31">
        <f>if(G68=9,1,0)+VLOOKUP(B68,'060824'!B:T,19,false)</f>
        <v>20</v>
      </c>
    </row>
    <row r="69">
      <c r="A69" s="26">
        <f t="shared" si="3"/>
        <v>65</v>
      </c>
      <c r="B69" s="39" t="s">
        <v>127</v>
      </c>
      <c r="C69" s="28">
        <v>161.0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170</v>
      </c>
      <c r="N69" s="29">
        <f t="shared" si="66"/>
        <v>2</v>
      </c>
      <c r="O69" s="35" t="s">
        <v>46</v>
      </c>
      <c r="P69" s="35" t="s">
        <v>46</v>
      </c>
      <c r="Q69" s="35"/>
      <c r="R69" s="31">
        <f>if(G69=13,1,0)+VLOOKUP(B69,'060824'!B:T,17,false)</f>
        <v>0</v>
      </c>
      <c r="S69" s="31"/>
      <c r="T69" s="31">
        <f>if(G69=9,1,0)+VLOOKUP(B69,'060824'!B:T,19,false)</f>
        <v>18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 t="shared" ref="P72:Q72" si="67">COUNTA(P5:P69)</f>
        <v>65</v>
      </c>
      <c r="Q72" s="14">
        <f t="shared" si="67"/>
        <v>55</v>
      </c>
    </row>
    <row r="73">
      <c r="A73" s="1"/>
      <c r="C73" s="1"/>
      <c r="D73" s="1"/>
      <c r="E73" s="1"/>
      <c r="O73" s="13" t="s">
        <v>129</v>
      </c>
      <c r="P73" s="14">
        <f t="shared" ref="P73:Q73" si="68">P74-P72</f>
        <v>0</v>
      </c>
      <c r="Q73" s="14">
        <f t="shared" si="68"/>
        <v>10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  <c r="Q74" s="14">
        <f>P74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  <c r="O77" s="13" t="s">
        <v>128</v>
      </c>
      <c r="P77" s="14"/>
      <c r="Q77" s="14">
        <f>COUNTIF(Q5:Q69,"X")</f>
        <v>43</v>
      </c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  <c r="O78" s="13" t="s">
        <v>134</v>
      </c>
      <c r="P78" s="14"/>
      <c r="Q78" s="14">
        <f>countif(Q5:Q69,"N")</f>
        <v>12</v>
      </c>
    </row>
    <row r="79">
      <c r="A79" s="1"/>
      <c r="B79" s="39" t="str">
        <f>IFERROR(__xludf.DUMMYFUNCTION("QUERY(B5:L69,""Select B, K, L where K &gt;= 18 order by K desc, L desc"",0)"),"Christopher Li")</f>
        <v>Christopher Li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K79" s="57"/>
      <c r="L79" s="58"/>
      <c r="O79" s="13" t="s">
        <v>129</v>
      </c>
      <c r="P79" s="14"/>
      <c r="Q79" s="14">
        <f>countif(Q5:Q69,"")</f>
        <v>10</v>
      </c>
    </row>
    <row r="80">
      <c r="A80" s="1"/>
      <c r="B80" s="39" t="str">
        <f>IFERROR(__xludf.DUMMYFUNCTION("""COMPUTED_VALUE"""),"Luis Hsu")</f>
        <v>Luis Hsu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L80" s="61"/>
      <c r="O80" s="13" t="s">
        <v>53</v>
      </c>
      <c r="P80" s="14"/>
      <c r="Q80" s="14">
        <f>sum(Q77:Q79)</f>
        <v>65</v>
      </c>
    </row>
    <row r="81">
      <c r="A81" s="1"/>
      <c r="B81" s="39" t="str">
        <f>IFERROR(__xludf.DUMMYFUNCTION("""COMPUTED_VALUE"""),"Sanjaye Elayattu")</f>
        <v>Sanjaye Elayattu</v>
      </c>
      <c r="C81" s="60">
        <f>IFERROR(__xludf.DUMMYFUNCTION("""COMPUTED_VALUE"""),19.0)</f>
        <v>19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IFERROR(__xludf.DUMMYFUNCTION("""COMPUTED_VALUE"""),"Adrian Tay")</f>
        <v>Adrian Tay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IFERROR(__xludf.DUMMYFUNCTION("""COMPUTED_VALUE"""),"Vamsi Lolla ")</f>
        <v>Vamsi Lolla 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1"")"),"Adrian Tay")</f>
        <v>Adrian Tay</v>
      </c>
      <c r="C92" s="63">
        <f>IFERROR(__xludf.DUMMYFUNCTION("""COMPUTED_VALUE"""),263.0)</f>
        <v>263</v>
      </c>
      <c r="D92" s="64">
        <f>IFERROR(__xludf.DUMMYFUNCTION("""COMPUTED_VALUE"""),28.0)</f>
        <v>28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IFERROR(__xludf.DUMMYFUNCTION("""COMPUTED_VALUE"""),18.0)</f>
        <v>18</v>
      </c>
      <c r="L92" s="65">
        <f>IFERROR(__xludf.DUMMYFUNCTION("""COMPUTED_VALUE"""),3.0)</f>
        <v>3</v>
      </c>
      <c r="M92" s="65">
        <f>IFERROR(__xludf.DUMMYFUNCTION("""COMPUTED_VALUE"""),281.0)</f>
        <v>281</v>
      </c>
      <c r="N92" s="66">
        <f>IFERROR(__xludf.DUMMYFUNCTION("""COMPUTED_VALUE"""),31.0)</f>
        <v>31</v>
      </c>
    </row>
    <row r="93">
      <c r="A93" s="1"/>
      <c r="B93" s="62" t="str">
        <f>IFERROR(__xludf.DUMMYFUNCTION("""COMPUTED_VALUE"""),"Peter Cheng")</f>
        <v>Peter Cheng</v>
      </c>
      <c r="C93" s="63">
        <f>IFERROR(__xludf.DUMMYFUNCTION("""COMPUTED_VALUE"""),261.0)</f>
        <v>261</v>
      </c>
      <c r="D93" s="64">
        <f>IFERROR(__xludf.DUMMYFUNCTION("""COMPUTED_VALUE"""),26.0)</f>
        <v>26</v>
      </c>
      <c r="E93" s="63">
        <f>IFERROR(__xludf.DUMMYFUNCTION("""COMPUTED_VALUE"""),2.0)</f>
        <v>2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IFERROR(__xludf.DUMMYFUNCTION("""COMPUTED_VALUE"""),1.0)</f>
        <v>1</v>
      </c>
      <c r="I93" s="65">
        <f>IFERROR(__xludf.DUMMYFUNCTION("""COMPUTED_VALUE"""),6.0)</f>
        <v>6</v>
      </c>
      <c r="J93" s="65">
        <f>IFERROR(__xludf.DUMMYFUNCTION("""COMPUTED_VALUE"""),1.0)</f>
        <v>1</v>
      </c>
      <c r="K93" s="65">
        <f>IFERROR(__xludf.DUMMYFUNCTION("""COMPUTED_VALUE"""),8.0)</f>
        <v>8</v>
      </c>
      <c r="L93" s="65">
        <f>IFERROR(__xludf.DUMMYFUNCTION("""COMPUTED_VALUE"""),1.0)</f>
        <v>1</v>
      </c>
      <c r="M93" s="65">
        <f>IFERROR(__xludf.DUMMYFUNCTION("""COMPUTED_VALUE"""),269.0)</f>
        <v>269</v>
      </c>
      <c r="N93" s="66">
        <f>IFERROR(__xludf.DUMMYFUNCTION("""COMPUTED_VALUE"""),27.0)</f>
        <v>27</v>
      </c>
    </row>
    <row r="94">
      <c r="A94" s="1"/>
      <c r="B94" s="62" t="str">
        <f>IFERROR(__xludf.DUMMYFUNCTION("""COMPUTED_VALUE"""),"Suleman Alidina")</f>
        <v>Suleman Alidina</v>
      </c>
      <c r="C94" s="63">
        <f>IFERROR(__xludf.DUMMYFUNCTION("""COMPUTED_VALUE"""),250.0)</f>
        <v>250</v>
      </c>
      <c r="D94" s="64">
        <f>IFERROR(__xludf.DUMMYFUNCTION("""COMPUTED_VALUE"""),28.0)</f>
        <v>28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IFERROR(__xludf.DUMMYFUNCTION("""COMPUTED_VALUE"""),1.0)</f>
        <v>1</v>
      </c>
      <c r="I94" s="65">
        <f>IFERROR(__xludf.DUMMYFUNCTION("""COMPUTED_VALUE"""),2.0)</f>
        <v>2</v>
      </c>
      <c r="J94" s="65">
        <f>IFERROR(__xludf.DUMMYFUNCTION("""COMPUTED_VALUE"""),6.0)</f>
        <v>6</v>
      </c>
      <c r="K94" s="65">
        <f>IFERROR(__xludf.DUMMYFUNCTION("""COMPUTED_VALUE"""),9.0)</f>
        <v>9</v>
      </c>
      <c r="L94" s="65">
        <f>IFERROR(__xludf.DUMMYFUNCTION("""COMPUTED_VALUE"""),1.0)</f>
        <v>1</v>
      </c>
      <c r="M94" s="65">
        <f>IFERROR(__xludf.DUMMYFUNCTION("""COMPUTED_VALUE"""),259.0)</f>
        <v>259</v>
      </c>
      <c r="N94" s="66">
        <f>IFERROR(__xludf.DUMMYFUNCTION("""COMPUTED_VALUE"""),29.0)</f>
        <v>29</v>
      </c>
    </row>
    <row r="95">
      <c r="A95" s="1"/>
      <c r="B95" s="62" t="str">
        <f>IFERROR(__xludf.DUMMYFUNCTION("""COMPUTED_VALUE"""),"Peter Homsey")</f>
        <v>Peter Homsey</v>
      </c>
      <c r="C95" s="63">
        <f>IFERROR(__xludf.DUMMYFUNCTION("""COMPUTED_VALUE"""),240.0)</f>
        <v>240</v>
      </c>
      <c r="D95" s="64">
        <f>IFERROR(__xludf.DUMMYFUNCTION("""COMPUTED_VALUE"""),21.0)</f>
        <v>21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IFERROR(__xludf.DUMMYFUNCTION("""COMPUTED_VALUE"""),6.0)</f>
        <v>6</v>
      </c>
      <c r="I95" s="65">
        <f>IFERROR(__xludf.DUMMYFUNCTION("""COMPUTED_VALUE"""),2.0)</f>
        <v>2</v>
      </c>
      <c r="J95" s="65">
        <f>IFERROR(__xludf.DUMMYFUNCTION("""COMPUTED_VALUE"""),1.0)</f>
        <v>1</v>
      </c>
      <c r="K95" s="65">
        <f>IFERROR(__xludf.DUMMYFUNCTION("""COMPUTED_VALUE"""),9.0)</f>
        <v>9</v>
      </c>
      <c r="L95" s="65">
        <f>IFERROR(__xludf.DUMMYFUNCTION("""COMPUTED_VALUE"""),1.0)</f>
        <v>1</v>
      </c>
      <c r="M95" s="65">
        <f>IFERROR(__xludf.DUMMYFUNCTION("""COMPUTED_VALUE"""),249.0)</f>
        <v>249</v>
      </c>
      <c r="N95" s="66">
        <f>IFERROR(__xludf.DUMMYFUNCTION("""COMPUTED_VALUE"""),22.0)</f>
        <v>22</v>
      </c>
    </row>
    <row r="96">
      <c r="A96" s="1"/>
      <c r="B96" s="67" t="str">
        <f>IFERROR(__xludf.DUMMYFUNCTION("""COMPUTED_VALUE"""),"Christopher Li")</f>
        <v>Christopher Li</v>
      </c>
      <c r="C96" s="68">
        <f>IFERROR(__xludf.DUMMYFUNCTION("""COMPUTED_VALUE"""),239.0)</f>
        <v>239</v>
      </c>
      <c r="D96" s="69">
        <f>IFERROR(__xludf.DUMMYFUNCTION("""COMPUTED_VALUE"""),23.0)</f>
        <v>23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IFERROR(__xludf.DUMMYFUNCTION("""COMPUTED_VALUE"""),7.0)</f>
        <v>7</v>
      </c>
      <c r="J96" s="70">
        <f>IFERROR(__xludf.DUMMYFUNCTION("""COMPUTED_VALUE"""),6.0)</f>
        <v>6</v>
      </c>
      <c r="K96" s="70">
        <f>IFERROR(__xludf.DUMMYFUNCTION("""COMPUTED_VALUE"""),19.0)</f>
        <v>19</v>
      </c>
      <c r="L96" s="70">
        <f>IFERROR(__xludf.DUMMYFUNCTION("""COMPUTED_VALUE"""),3.0)</f>
        <v>3</v>
      </c>
      <c r="M96" s="70">
        <f>IFERROR(__xludf.DUMMYFUNCTION("""COMPUTED_VALUE"""),258.0)</f>
        <v>258</v>
      </c>
      <c r="N96" s="71">
        <f>IFERROR(__xludf.DUMMYFUNCTION("""COMPUTED_VALUE"""),26.0)</f>
        <v>26</v>
      </c>
    </row>
    <row r="97">
      <c r="A97" s="1"/>
      <c r="B97" s="67" t="str">
        <f>IFERROR(__xludf.DUMMYFUNCTION("""COMPUTED_VALUE"""),"Eric Pan")</f>
        <v>Eric Pan</v>
      </c>
      <c r="C97" s="68">
        <f>IFERROR(__xludf.DUMMYFUNCTION("""COMPUTED_VALUE"""),231.0)</f>
        <v>231</v>
      </c>
      <c r="D97" s="69">
        <f>IFERROR(__xludf.DUMMYFUNCTION("""COMPUTED_VALUE"""),18.0)</f>
        <v>18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IFERROR(__xludf.DUMMYFUNCTION("""COMPUTED_VALUE"""),6.0)</f>
        <v>6</v>
      </c>
      <c r="J97" s="70">
        <f>IFERROR(__xludf.DUMMYFUNCTION("""COMPUTED_VALUE"""),2.0)</f>
        <v>2</v>
      </c>
      <c r="K97" s="70">
        <f>IFERROR(__xludf.DUMMYFUNCTION("""COMPUTED_VALUE"""),14.0)</f>
        <v>14</v>
      </c>
      <c r="L97" s="70">
        <f>IFERROR(__xludf.DUMMYFUNCTION("""COMPUTED_VALUE"""),1.0)</f>
        <v>1</v>
      </c>
      <c r="M97" s="70">
        <f>IFERROR(__xludf.DUMMYFUNCTION("""COMPUTED_VALUE"""),245.0)</f>
        <v>245</v>
      </c>
      <c r="N97" s="71">
        <f>IFERROR(__xludf.DUMMYFUNCTION("""COMPUTED_VALUE"""),19.0)</f>
        <v>19</v>
      </c>
    </row>
    <row r="98">
      <c r="A98" s="1"/>
      <c r="B98" s="67" t="str">
        <f>IFERROR(__xludf.DUMMYFUNCTION("""COMPUTED_VALUE"""),"David Shin")</f>
        <v>David Shin</v>
      </c>
      <c r="C98" s="68">
        <f>IFERROR(__xludf.DUMMYFUNCTION("""COMPUTED_VALUE"""),229.0)</f>
        <v>229</v>
      </c>
      <c r="D98" s="69">
        <f>IFERROR(__xludf.DUMMYFUNCTION("""COMPUTED_VALUE"""),20.0)</f>
        <v>20</v>
      </c>
      <c r="E98" s="68">
        <f>IFERROR(__xludf.DUMMYFUNCTION("""COMPUTED_VALUE"""),2.0)</f>
        <v>2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IFERROR(__xludf.DUMMYFUNCTION("""COMPUTED_VALUE"""),4.0)</f>
        <v>4</v>
      </c>
      <c r="I98" s="70">
        <f>IFERROR(__xludf.DUMMYFUNCTION("""COMPUTED_VALUE"""),6.0)</f>
        <v>6</v>
      </c>
      <c r="J98" s="70">
        <f>IFERROR(__xludf.DUMMYFUNCTION("""COMPUTED_VALUE"""),6.0)</f>
        <v>6</v>
      </c>
      <c r="K98" s="70">
        <f>IFERROR(__xludf.DUMMYFUNCTION("""COMPUTED_VALUE"""),16.0)</f>
        <v>16</v>
      </c>
      <c r="L98" s="70">
        <f>IFERROR(__xludf.DUMMYFUNCTION("""COMPUTED_VALUE"""),1.0)</f>
        <v>1</v>
      </c>
      <c r="M98" s="70">
        <f>IFERROR(__xludf.DUMMYFUNCTION("""COMPUTED_VALUE"""),245.0)</f>
        <v>245</v>
      </c>
      <c r="N98" s="71">
        <f>IFERROR(__xludf.DUMMYFUNCTION("""COMPUTED_VALUE"""),21.0)</f>
        <v>21</v>
      </c>
    </row>
    <row r="99">
      <c r="A99" s="1"/>
      <c r="B99" s="67" t="str">
        <f>IFERROR(__xludf.DUMMYFUNCTION("""COMPUTED_VALUE"""),"Ted Shen")</f>
        <v>Ted Shen</v>
      </c>
      <c r="C99" s="68">
        <f>IFERROR(__xludf.DUMMYFUNCTION("""COMPUTED_VALUE"""),229.0)</f>
        <v>229</v>
      </c>
      <c r="D99" s="69">
        <f>IFERROR(__xludf.DUMMYFUNCTION("""COMPUTED_VALUE"""),18.0)</f>
        <v>18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IFERROR(__xludf.DUMMYFUNCTION("""COMPUTED_VALUE"""),4.0)</f>
        <v>4</v>
      </c>
      <c r="I99" s="70">
        <f>IFERROR(__xludf.DUMMYFUNCTION("""COMPUTED_VALUE"""),7.0)</f>
        <v>7</v>
      </c>
      <c r="J99" s="70">
        <f>IFERROR(__xludf.DUMMYFUNCTION("""COMPUTED_VALUE"""),2.0)</f>
        <v>2</v>
      </c>
      <c r="K99" s="70">
        <f>IFERROR(__xludf.DUMMYFUNCTION("""COMPUTED_VALUE"""),13.0)</f>
        <v>13</v>
      </c>
      <c r="L99" s="70">
        <f>IFERROR(__xludf.DUMMYFUNCTION("""COMPUTED_VALUE"""),1.0)</f>
        <v>1</v>
      </c>
      <c r="M99" s="70">
        <f>IFERROR(__xludf.DUMMYFUNCTION("""COMPUTED_VALUE"""),242.0)</f>
        <v>242</v>
      </c>
      <c r="N99" s="71">
        <f>IFERROR(__xludf.DUMMYFUNCTION("""COMPUTED_VALUE"""),19.0)</f>
        <v>19</v>
      </c>
    </row>
    <row r="100">
      <c r="A100" s="1"/>
      <c r="B100" s="67" t="str">
        <f>IFERROR(__xludf.DUMMYFUNCTION("""COMPUTED_VALUE"""),"Sean Chang")</f>
        <v>Sean Chang</v>
      </c>
      <c r="C100" s="63">
        <f>IFERROR(__xludf.DUMMYFUNCTION("""COMPUTED_VALUE"""),229.0)</f>
        <v>229</v>
      </c>
      <c r="D100" s="64">
        <f>IFERROR(__xludf.DUMMYFUNCTION("""COMPUTED_VALUE"""),14.0)</f>
        <v>14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IFERROR(__xludf.DUMMYFUNCTION("""COMPUTED_VALUE"""),3.0)</f>
        <v>3</v>
      </c>
      <c r="J100" s="65">
        <f>IFERROR(__xludf.DUMMYFUNCTION("""COMPUTED_VALUE"""),6.0)</f>
        <v>6</v>
      </c>
      <c r="K100" s="65">
        <f>IFERROR(__xludf.DUMMYFUNCTION("""COMPUTED_VALUE"""),15.0)</f>
        <v>15</v>
      </c>
      <c r="L100" s="65">
        <f>IFERROR(__xludf.DUMMYFUNCTION("""COMPUTED_VALUE"""),1.0)</f>
        <v>1</v>
      </c>
      <c r="M100" s="65">
        <f>IFERROR(__xludf.DUMMYFUNCTION("""COMPUTED_VALUE"""),244.0)</f>
        <v>244</v>
      </c>
      <c r="N100" s="66">
        <f>IFERROR(__xludf.DUMMYFUNCTION("""COMPUTED_VALUE"""),15.0)</f>
        <v>15</v>
      </c>
    </row>
    <row r="101">
      <c r="A101" s="1"/>
      <c r="B101" s="67" t="str">
        <f>IFERROR(__xludf.DUMMYFUNCTION("""COMPUTED_VALUE"""),"Tom Le")</f>
        <v>Tom Le</v>
      </c>
      <c r="C101" s="63">
        <f>IFERROR(__xludf.DUMMYFUNCTION("""COMPUTED_VALUE"""),224.0)</f>
        <v>224</v>
      </c>
      <c r="D101" s="64">
        <f>IFERROR(__xludf.DUMMYFUNCTION("""COMPUTED_VALUE"""),18.0)</f>
        <v>18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IFERROR(__xludf.DUMMYFUNCTION("""COMPUTED_VALUE"""),6.0)</f>
        <v>6</v>
      </c>
      <c r="J101" s="65">
        <f>IFERROR(__xludf.DUMMYFUNCTION("""COMPUTED_VALUE"""),1.0)</f>
        <v>1</v>
      </c>
      <c r="K101" s="65">
        <f>IFERROR(__xludf.DUMMYFUNCTION("""COMPUTED_VALUE"""),13.0)</f>
        <v>13</v>
      </c>
      <c r="L101" s="65">
        <f>IFERROR(__xludf.DUMMYFUNCTION("""COMPUTED_VALUE"""),1.0)</f>
        <v>1</v>
      </c>
      <c r="M101" s="65">
        <f>IFERROR(__xludf.DUMMYFUNCTION("""COMPUTED_VALUE"""),237.0)</f>
        <v>237</v>
      </c>
      <c r="N101" s="66">
        <f>IFERROR(__xludf.DUMMYFUNCTION("""COMPUTED_VALUE"""),19.0)</f>
        <v>19</v>
      </c>
    </row>
    <row r="102">
      <c r="A102" s="1"/>
      <c r="B102" s="62" t="str">
        <f>IFERROR(__xludf.DUMMYFUNCTION("""COMPUTED_VALUE"""),"Luis Hsu")</f>
        <v>Luis Hsu</v>
      </c>
      <c r="C102" s="63">
        <f>IFERROR(__xludf.DUMMYFUNCTION("""COMPUTED_VALUE"""),222.0)</f>
        <v>222</v>
      </c>
      <c r="D102" s="64">
        <f>IFERROR(__xludf.DUMMYFUNCTION("""COMPUTED_VALUE"""),17.0)</f>
        <v>17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IFERROR(__xludf.DUMMYFUNCTION("""COMPUTED_VALUE"""),7.0)</f>
        <v>7</v>
      </c>
      <c r="I102" s="65">
        <f>IFERROR(__xludf.DUMMYFUNCTION("""COMPUTED_VALUE"""),6.0)</f>
        <v>6</v>
      </c>
      <c r="J102" s="65">
        <f>IFERROR(__xludf.DUMMYFUNCTION("""COMPUTED_VALUE"""),6.0)</f>
        <v>6</v>
      </c>
      <c r="K102" s="65">
        <f>IFERROR(__xludf.DUMMYFUNCTION("""COMPUTED_VALUE"""),19.0)</f>
        <v>19</v>
      </c>
      <c r="L102" s="65">
        <f>IFERROR(__xludf.DUMMYFUNCTION("""COMPUTED_VALUE"""),3.0)</f>
        <v>3</v>
      </c>
      <c r="M102" s="65">
        <f>IFERROR(__xludf.DUMMYFUNCTION("""COMPUTED_VALUE"""),241.0)</f>
        <v>241</v>
      </c>
      <c r="N102" s="66">
        <f>IFERROR(__xludf.DUMMYFUNCTION("""COMPUTED_VALUE"""),20.0)</f>
        <v>20</v>
      </c>
    </row>
    <row r="103">
      <c r="A103" s="1"/>
      <c r="B103" s="62" t="str">
        <f>IFERROR(__xludf.DUMMYFUNCTION("""COMPUTED_VALUE"""),"Chinna Ponnaganti")</f>
        <v>Chinna Ponnaganti</v>
      </c>
      <c r="C103" s="63">
        <f>IFERROR(__xludf.DUMMYFUNCTION("""COMPUTED_VALUE"""),221.0)</f>
        <v>221</v>
      </c>
      <c r="D103" s="64">
        <f>IFERROR(__xludf.DUMMYFUNCTION("""COMPUTED_VALUE"""),19.0)</f>
        <v>19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IFERROR(__xludf.DUMMYFUNCTION("""COMPUTED_VALUE"""),7.0)</f>
        <v>7</v>
      </c>
      <c r="I103" s="65">
        <f>IFERROR(__xludf.DUMMYFUNCTION("""COMPUTED_VALUE"""),3.0)</f>
        <v>3</v>
      </c>
      <c r="J103" s="65">
        <f>IFERROR(__xludf.DUMMYFUNCTION("""COMPUTED_VALUE"""),1.0)</f>
        <v>1</v>
      </c>
      <c r="K103" s="65">
        <f>IFERROR(__xludf.DUMMYFUNCTION("""COMPUTED_VALUE"""),11.0)</f>
        <v>11</v>
      </c>
      <c r="L103" s="65">
        <f>IFERROR(__xludf.DUMMYFUNCTION("""COMPUTED_VALUE"""),1.0)</f>
        <v>1</v>
      </c>
      <c r="M103" s="65">
        <f>IFERROR(__xludf.DUMMYFUNCTION("""COMPUTED_VALUE"""),232.0)</f>
        <v>232</v>
      </c>
      <c r="N103" s="66">
        <f>IFERROR(__xludf.DUMMYFUNCTION("""COMPUTED_VALUE"""),20.0)</f>
        <v>20</v>
      </c>
    </row>
    <row r="104">
      <c r="A104" s="1"/>
      <c r="B104" s="67" t="str">
        <f>IFERROR(__xludf.DUMMYFUNCTION("""COMPUTED_VALUE"""),"Andrew Wen")</f>
        <v>Andrew Wen</v>
      </c>
      <c r="C104" s="68">
        <f>IFERROR(__xludf.DUMMYFUNCTION("""COMPUTED_VALUE"""),218.0)</f>
        <v>218</v>
      </c>
      <c r="D104" s="69">
        <f>IFERROR(__xludf.DUMMYFUNCTION("""COMPUTED_VALUE"""),18.0)</f>
        <v>18</v>
      </c>
      <c r="E104" s="68">
        <f>IFERROR(__xludf.DUMMYFUNCTION("""COMPUTED_VALUE"""),2.0)</f>
        <v>2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IFERROR(__xludf.DUMMYFUNCTION("""COMPUTED_VALUE"""),4.0)</f>
        <v>4</v>
      </c>
      <c r="I104" s="70">
        <f>IFERROR(__xludf.DUMMYFUNCTION("""COMPUTED_VALUE"""),3.0)</f>
        <v>3</v>
      </c>
      <c r="J104" s="70">
        <f>IFERROR(__xludf.DUMMYFUNCTION("""COMPUTED_VALUE"""),1.0)</f>
        <v>1</v>
      </c>
      <c r="K104" s="70">
        <f>IFERROR(__xludf.DUMMYFUNCTION("""COMPUTED_VALUE"""),8.0)</f>
        <v>8</v>
      </c>
      <c r="L104" s="70">
        <f>IFERROR(__xludf.DUMMYFUNCTION("""COMPUTED_VALUE"""),0.0)</f>
        <v>0</v>
      </c>
      <c r="M104" s="70">
        <f>IFERROR(__xludf.DUMMYFUNCTION("""COMPUTED_VALUE"""),226.0)</f>
        <v>226</v>
      </c>
      <c r="N104" s="71">
        <f>IFERROR(__xludf.DUMMYFUNCTION("""COMPUTED_VALUE"""),18.0)</f>
        <v>18</v>
      </c>
    </row>
    <row r="105">
      <c r="A105" s="1"/>
      <c r="B105" s="67" t="str">
        <f>IFERROR(__xludf.DUMMYFUNCTION("""COMPUTED_VALUE"""),"Pulkit Mathur")</f>
        <v>Pulkit Mathur</v>
      </c>
      <c r="C105" s="68">
        <f>IFERROR(__xludf.DUMMYFUNCTION("""COMPUTED_VALUE"""),216.0)</f>
        <v>216</v>
      </c>
      <c r="D105" s="69">
        <f>IFERROR(__xludf.DUMMYFUNCTION("""COMPUTED_VALUE"""),15.0)</f>
        <v>15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IFERROR(__xludf.DUMMYFUNCTION("""COMPUTED_VALUE"""),4.0)</f>
        <v>4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IFERROR(__xludf.DUMMYFUNCTION("""COMPUTED_VALUE"""),16.0)</f>
        <v>16</v>
      </c>
      <c r="L105" s="70">
        <f>IFERROR(__xludf.DUMMYFUNCTION("""COMPUTED_VALUE"""),2.0)</f>
        <v>2</v>
      </c>
      <c r="M105" s="70">
        <f>IFERROR(__xludf.DUMMYFUNCTION("""COMPUTED_VALUE"""),232.0)</f>
        <v>232</v>
      </c>
      <c r="N105" s="71">
        <f>IFERROR(__xludf.DUMMYFUNCTION("""COMPUTED_VALUE"""),17.0)</f>
        <v>17</v>
      </c>
    </row>
    <row r="106">
      <c r="A106" s="1"/>
      <c r="B106" s="67" t="str">
        <f>IFERROR(__xludf.DUMMYFUNCTION("""COMPUTED_VALUE"""),"Erik Hoeckmann")</f>
        <v>Erik Hoeckmann</v>
      </c>
      <c r="C106" s="68">
        <f>IFERROR(__xludf.DUMMYFUNCTION("""COMPUTED_VALUE"""),214.0)</f>
        <v>214</v>
      </c>
      <c r="D106" s="69">
        <f>IFERROR(__xludf.DUMMYFUNCTION("""COMPUTED_VALUE"""),19.0)</f>
        <v>19</v>
      </c>
      <c r="E106" s="68">
        <f>IFERROR(__xludf.DUMMYFUNCTION("""COMPUTED_VALUE"""),2.0)</f>
        <v>2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IFERROR(__xludf.DUMMYFUNCTION("""COMPUTED_VALUE"""),3.0)</f>
        <v>3</v>
      </c>
      <c r="J106" s="70">
        <f>IFERROR(__xludf.DUMMYFUNCTION("""COMPUTED_VALUE"""),6.0)</f>
        <v>6</v>
      </c>
      <c r="K106" s="70">
        <f>IFERROR(__xludf.DUMMYFUNCTION("""COMPUTED_VALUE"""),15.0)</f>
        <v>15</v>
      </c>
      <c r="L106" s="70">
        <f>IFERROR(__xludf.DUMMYFUNCTION("""COMPUTED_VALUE"""),2.0)</f>
        <v>2</v>
      </c>
      <c r="M106" s="70">
        <f>IFERROR(__xludf.DUMMYFUNCTION("""COMPUTED_VALUE"""),229.0)</f>
        <v>229</v>
      </c>
      <c r="N106" s="71">
        <f>IFERROR(__xludf.DUMMYFUNCTION("""COMPUTED_VALUE"""),21.0)</f>
        <v>21</v>
      </c>
    </row>
    <row r="107">
      <c r="A107" s="1"/>
      <c r="B107" s="67" t="str">
        <f>IFERROR(__xludf.DUMMYFUNCTION("""COMPUTED_VALUE"""),"Scott Li")</f>
        <v>Scott Li</v>
      </c>
      <c r="C107" s="68">
        <f>IFERROR(__xludf.DUMMYFUNCTION("""COMPUTED_VALUE"""),209.0)</f>
        <v>209</v>
      </c>
      <c r="D107" s="69">
        <f>IFERROR(__xludf.DUMMYFUNCTION("""COMPUTED_VALUE"""),16.0)</f>
        <v>16</v>
      </c>
      <c r="E107" s="68">
        <f>IFERROR(__xludf.DUMMYFUNCTION("""COMPUTED_VALUE"""),1.0)</f>
        <v>1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IFERROR(__xludf.DUMMYFUNCTION("""COMPUTED_VALUE"""),6.0)</f>
        <v>6</v>
      </c>
      <c r="J107" s="70">
        <f>IFERROR(__xludf.DUMMYFUNCTION("""COMPUTED_VALUE"""),1.0)</f>
        <v>1</v>
      </c>
      <c r="K107" s="70">
        <f>IFERROR(__xludf.DUMMYFUNCTION("""COMPUTED_VALUE"""),13.0)</f>
        <v>13</v>
      </c>
      <c r="L107" s="70">
        <f>IFERROR(__xludf.DUMMYFUNCTION("""COMPUTED_VALUE"""),2.0)</f>
        <v>2</v>
      </c>
      <c r="M107" s="70">
        <f>IFERROR(__xludf.DUMMYFUNCTION("""COMPUTED_VALUE"""),222.0)</f>
        <v>222</v>
      </c>
      <c r="N107" s="71">
        <f>IFERROR(__xludf.DUMMYFUNCTION("""COMPUTED_VALUE"""),18.0)</f>
        <v>18</v>
      </c>
    </row>
    <row r="108">
      <c r="A108" s="1"/>
      <c r="B108" s="62" t="str">
        <f>IFERROR(__xludf.DUMMYFUNCTION("""COMPUTED_VALUE"""),"Kumar Palakeel")</f>
        <v>Kumar Palakeel</v>
      </c>
      <c r="C108" s="63">
        <f>IFERROR(__xludf.DUMMYFUNCTION("""COMPUTED_VALUE"""),208.0)</f>
        <v>208</v>
      </c>
      <c r="D108" s="64">
        <f>IFERROR(__xludf.DUMMYFUNCTION("""COMPUTED_VALUE"""),18.0)</f>
        <v>18</v>
      </c>
      <c r="E108" s="63">
        <f>IFERROR(__xludf.DUMMYFUNCTION("""COMPUTED_VALUE"""),1.0)</f>
        <v>1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IFERROR(__xludf.DUMMYFUNCTION("""COMPUTED_VALUE"""),4.0)</f>
        <v>4</v>
      </c>
      <c r="I108" s="65">
        <f>IFERROR(__xludf.DUMMYFUNCTION("""COMPUTED_VALUE"""),1.0)</f>
        <v>1</v>
      </c>
      <c r="J108" s="65">
        <f>IFERROR(__xludf.DUMMYFUNCTION("""COMPUTED_VALUE"""),2.0)</f>
        <v>2</v>
      </c>
      <c r="K108" s="65">
        <f>IFERROR(__xludf.DUMMYFUNCTION("""COMPUTED_VALUE"""),7.0)</f>
        <v>7</v>
      </c>
      <c r="L108" s="65">
        <f>IFERROR(__xludf.DUMMYFUNCTION("""COMPUTED_VALUE"""),0.0)</f>
        <v>0</v>
      </c>
      <c r="M108" s="65">
        <f>IFERROR(__xludf.DUMMYFUNCTION("""COMPUTED_VALUE"""),215.0)</f>
        <v>215</v>
      </c>
      <c r="N108" s="66">
        <f>IFERROR(__xludf.DUMMYFUNCTION("""COMPUTED_VALUE"""),18.0)</f>
        <v>18</v>
      </c>
    </row>
    <row r="109">
      <c r="A109" s="1"/>
      <c r="B109" s="62" t="str">
        <f>IFERROR(__xludf.DUMMYFUNCTION("""COMPUTED_VALUE"""),"Vishnu Amarnath")</f>
        <v>Vishnu Amarnath</v>
      </c>
      <c r="C109" s="63">
        <f>IFERROR(__xludf.DUMMYFUNCTION("""COMPUTED_VALUE"""),207.0)</f>
        <v>207</v>
      </c>
      <c r="D109" s="64">
        <f>IFERROR(__xludf.DUMMYFUNCTION("""COMPUTED_VALUE"""),17.0)</f>
        <v>17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IFERROR(__xludf.DUMMYFUNCTION("""COMPUTED_VALUE"""),6.0)</f>
        <v>6</v>
      </c>
      <c r="J109" s="65">
        <f>IFERROR(__xludf.DUMMYFUNCTION("""COMPUTED_VALUE"""),2.0)</f>
        <v>2</v>
      </c>
      <c r="K109" s="65">
        <f>IFERROR(__xludf.DUMMYFUNCTION("""COMPUTED_VALUE"""),14.0)</f>
        <v>14</v>
      </c>
      <c r="L109" s="65">
        <f>IFERROR(__xludf.DUMMYFUNCTION("""COMPUTED_VALUE"""),2.0)</f>
        <v>2</v>
      </c>
      <c r="M109" s="65">
        <f>IFERROR(__xludf.DUMMYFUNCTION("""COMPUTED_VALUE"""),221.0)</f>
        <v>221</v>
      </c>
      <c r="N109" s="66">
        <f>IFERROR(__xludf.DUMMYFUNCTION("""COMPUTED_VALUE"""),19.0)</f>
        <v>19</v>
      </c>
    </row>
    <row r="110">
      <c r="A110" s="1"/>
      <c r="B110" s="62" t="str">
        <f>IFERROR(__xludf.DUMMYFUNCTION("""COMPUTED_VALUE"""),"Sandy Weyant")</f>
        <v>Sandy Weyant</v>
      </c>
      <c r="C110" s="63">
        <f>IFERROR(__xludf.DUMMYFUNCTION("""COMPUTED_VALUE"""),206.0)</f>
        <v>206</v>
      </c>
      <c r="D110" s="64">
        <f>IFERROR(__xludf.DUMMYFUNCTION("""COMPUTED_VALUE"""),11.0)</f>
        <v>11</v>
      </c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IFERROR(__xludf.DUMMYFUNCTION("""COMPUTED_VALUE"""),1.0)</f>
        <v>1</v>
      </c>
      <c r="J110" s="65">
        <f>IFERROR(__xludf.DUMMYFUNCTION("""COMPUTED_VALUE"""),6.0)</f>
        <v>6</v>
      </c>
      <c r="K110" s="65">
        <f>IFERROR(__xludf.DUMMYFUNCTION("""COMPUTED_VALUE"""),13.0)</f>
        <v>13</v>
      </c>
      <c r="L110" s="65">
        <f>IFERROR(__xludf.DUMMYFUNCTION("""COMPUTED_VALUE"""),2.0)</f>
        <v>2</v>
      </c>
      <c r="M110" s="65">
        <f>IFERROR(__xludf.DUMMYFUNCTION("""COMPUTED_VALUE"""),219.0)</f>
        <v>219</v>
      </c>
      <c r="N110" s="66">
        <f>IFERROR(__xludf.DUMMYFUNCTION("""COMPUTED_VALUE"""),13.0)</f>
        <v>13</v>
      </c>
    </row>
    <row r="111">
      <c r="A111" s="1"/>
      <c r="B111" s="62" t="str">
        <f>IFERROR(__xludf.DUMMYFUNCTION("""COMPUTED_VALUE"""),"Ramesh Bandaru")</f>
        <v>Ramesh Bandaru</v>
      </c>
      <c r="C111" s="63">
        <f>IFERROR(__xludf.DUMMYFUNCTION("""COMPUTED_VALUE"""),205.0)</f>
        <v>205</v>
      </c>
      <c r="D111" s="64">
        <f>IFERROR(__xludf.DUMMYFUNCTION("""COMPUTED_VALUE"""),11.0)</f>
        <v>11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IFERROR(__xludf.DUMMYFUNCTION("""COMPUTED_VALUE"""),4.0)</f>
        <v>4</v>
      </c>
      <c r="I111" s="65">
        <f>IFERROR(__xludf.DUMMYFUNCTION("""COMPUTED_VALUE"""),6.0)</f>
        <v>6</v>
      </c>
      <c r="J111" s="65">
        <f>IFERROR(__xludf.DUMMYFUNCTION("""COMPUTED_VALUE"""),6.0)</f>
        <v>6</v>
      </c>
      <c r="K111" s="65">
        <f>IFERROR(__xludf.DUMMYFUNCTION("""COMPUTED_VALUE"""),16.0)</f>
        <v>16</v>
      </c>
      <c r="L111" s="65">
        <f>IFERROR(__xludf.DUMMYFUNCTION("""COMPUTED_VALUE"""),2.0)</f>
        <v>2</v>
      </c>
      <c r="M111" s="65">
        <f>IFERROR(__xludf.DUMMYFUNCTION("""COMPUTED_VALUE"""),221.0)</f>
        <v>221</v>
      </c>
      <c r="N111" s="66">
        <f>IFERROR(__xludf.DUMMYFUNCTION("""COMPUTED_VALUE"""),13.0)</f>
        <v>13</v>
      </c>
    </row>
    <row r="112">
      <c r="A112" s="1"/>
      <c r="B112" s="67" t="str">
        <f>IFERROR(__xludf.DUMMYFUNCTION("""COMPUTED_VALUE"""),"Eric Tan")</f>
        <v>Eric Tan</v>
      </c>
      <c r="C112" s="68">
        <f>IFERROR(__xludf.DUMMYFUNCTION("""COMPUTED_VALUE"""),201.0)</f>
        <v>201</v>
      </c>
      <c r="D112" s="69">
        <f>IFERROR(__xludf.DUMMYFUNCTION("""COMPUTED_VALUE"""),17.0)</f>
        <v>17</v>
      </c>
      <c r="E112" s="68">
        <f>IFERROR(__xludf.DUMMYFUNCTION("""COMPUTED_VALUE"""),1.0)</f>
        <v>1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IFERROR(__xludf.DUMMYFUNCTION("""COMPUTED_VALUE"""),4.0)</f>
        <v>4</v>
      </c>
      <c r="J112" s="70">
        <f>IFERROR(__xludf.DUMMYFUNCTION("""COMPUTED_VALUE"""),4.0)</f>
        <v>4</v>
      </c>
      <c r="K112" s="70">
        <f>IFERROR(__xludf.DUMMYFUNCTION("""COMPUTED_VALUE"""),14.0)</f>
        <v>14</v>
      </c>
      <c r="L112" s="70">
        <f>IFERROR(__xludf.DUMMYFUNCTION("""COMPUTED_VALUE"""),1.0)</f>
        <v>1</v>
      </c>
      <c r="M112" s="70">
        <f>IFERROR(__xludf.DUMMYFUNCTION("""COMPUTED_VALUE"""),215.0)</f>
        <v>215</v>
      </c>
      <c r="N112" s="71">
        <f>IFERROR(__xludf.DUMMYFUNCTION("""COMPUTED_VALUE"""),18.0)</f>
        <v>18</v>
      </c>
    </row>
    <row r="113">
      <c r="A113" s="1"/>
      <c r="B113" s="67" t="str">
        <f>IFERROR(__xludf.DUMMYFUNCTION("""COMPUTED_VALUE"""),"Manuel Rivera")</f>
        <v>Manuel Rivera</v>
      </c>
      <c r="C113" s="68">
        <f>IFERROR(__xludf.DUMMYFUNCTION("""COMPUTED_VALUE"""),200.0)</f>
        <v>200</v>
      </c>
      <c r="D113" s="69">
        <f>IFERROR(__xludf.DUMMYFUNCTION("""COMPUTED_VALUE"""),15.0)</f>
        <v>15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IFERROR(__xludf.DUMMYFUNCTION("""COMPUTED_VALUE"""),4.0)</f>
        <v>4</v>
      </c>
      <c r="I113" s="70">
        <f>IFERROR(__xludf.DUMMYFUNCTION("""COMPUTED_VALUE"""),6.0)</f>
        <v>6</v>
      </c>
      <c r="J113" s="70">
        <f>IFERROR(__xludf.DUMMYFUNCTION("""COMPUTED_VALUE"""),4.0)</f>
        <v>4</v>
      </c>
      <c r="K113" s="70">
        <f>IFERROR(__xludf.DUMMYFUNCTION("""COMPUTED_VALUE"""),14.0)</f>
        <v>14</v>
      </c>
      <c r="L113" s="70">
        <f>IFERROR(__xludf.DUMMYFUNCTION("""COMPUTED_VALUE"""),1.0)</f>
        <v>1</v>
      </c>
      <c r="M113" s="70">
        <f>IFERROR(__xludf.DUMMYFUNCTION("""COMPUTED_VALUE"""),214.0)</f>
        <v>214</v>
      </c>
      <c r="N113" s="71">
        <f>IFERROR(__xludf.DUMMYFUNCTION("""COMPUTED_VALUE"""),16.0)</f>
        <v>16</v>
      </c>
    </row>
    <row r="114">
      <c r="A114" s="1"/>
      <c r="B114" s="67" t="str">
        <f>IFERROR(__xludf.DUMMYFUNCTION("""COMPUTED_VALUE"""),"Tony Wong")</f>
        <v>Tony Wong</v>
      </c>
      <c r="C114" s="68">
        <f>IFERROR(__xludf.DUMMYFUNCTION("""COMPUTED_VALUE"""),200.0)</f>
        <v>200</v>
      </c>
      <c r="D114" s="69">
        <f>IFERROR(__xludf.DUMMYFUNCTION("""COMPUTED_VALUE"""),12.0)</f>
        <v>12</v>
      </c>
      <c r="E114" s="68">
        <f>IFERROR(__xludf.DUMMYFUNCTION("""COMPUTED_VALUE"""),2.0)</f>
        <v>2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IFERROR(__xludf.DUMMYFUNCTION("""COMPUTED_VALUE"""),4.0)</f>
        <v>4</v>
      </c>
      <c r="I114" s="70">
        <f>IFERROR(__xludf.DUMMYFUNCTION("""COMPUTED_VALUE"""),4.0)</f>
        <v>4</v>
      </c>
      <c r="J114" s="70">
        <f>IFERROR(__xludf.DUMMYFUNCTION("""COMPUTED_VALUE"""),6.0)</f>
        <v>6</v>
      </c>
      <c r="K114" s="70">
        <f>IFERROR(__xludf.DUMMYFUNCTION("""COMPUTED_VALUE"""),14.0)</f>
        <v>14</v>
      </c>
      <c r="L114" s="70">
        <f>IFERROR(__xludf.DUMMYFUNCTION("""COMPUTED_VALUE"""),1.0)</f>
        <v>1</v>
      </c>
      <c r="M114" s="70">
        <f>IFERROR(__xludf.DUMMYFUNCTION("""COMPUTED_VALUE"""),214.0)</f>
        <v>214</v>
      </c>
      <c r="N114" s="71">
        <f>IFERROR(__xludf.DUMMYFUNCTION("""COMPUTED_VALUE"""),13.0)</f>
        <v>13</v>
      </c>
    </row>
    <row r="115">
      <c r="A115" s="1"/>
      <c r="B115" s="67" t="str">
        <f>IFERROR(__xludf.DUMMYFUNCTION("""COMPUTED_VALUE"""),"Vamsi Lolla ")</f>
        <v>Vamsi Lolla </v>
      </c>
      <c r="C115" s="68">
        <f>IFERROR(__xludf.DUMMYFUNCTION("""COMPUTED_VALUE"""),200.0)</f>
        <v>200</v>
      </c>
      <c r="D115" s="69">
        <f>IFERROR(__xludf.DUMMYFUNCTION("""COMPUTED_VALUE"""),8.0)</f>
        <v>8</v>
      </c>
      <c r="E115" s="68">
        <f>IFERROR(__xludf.DUMMYFUNCTION("""COMPUTED_VALUE"""),2.0)</f>
        <v>2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IFERROR(__xludf.DUMMYFUNCTION("""COMPUTED_VALUE"""),6.0)</f>
        <v>6</v>
      </c>
      <c r="J115" s="70">
        <f>IFERROR(__xludf.DUMMYFUNCTION("""COMPUTED_VALUE"""),6.0)</f>
        <v>6</v>
      </c>
      <c r="K115" s="70">
        <f>IFERROR(__xludf.DUMMYFUNCTION("""COMPUTED_VALUE"""),18.0)</f>
        <v>18</v>
      </c>
      <c r="L115" s="70">
        <f>IFERROR(__xludf.DUMMYFUNCTION("""COMPUTED_VALUE"""),3.0)</f>
        <v>3</v>
      </c>
      <c r="M115" s="70">
        <f>IFERROR(__xludf.DUMMYFUNCTION("""COMPUTED_VALUE"""),218.0)</f>
        <v>218</v>
      </c>
      <c r="N115" s="71">
        <f>IFERROR(__xludf.DUMMYFUNCTION("""COMPUTED_VALUE"""),11.0)</f>
        <v>11</v>
      </c>
    </row>
    <row r="116">
      <c r="A116" s="1"/>
      <c r="B116" s="62" t="str">
        <f>IFERROR(__xludf.DUMMYFUNCTION("""COMPUTED_VALUE"""),"Nohely Mejia")</f>
        <v>Nohely Mejia</v>
      </c>
      <c r="C116" s="63">
        <f>IFERROR(__xludf.DUMMYFUNCTION("""COMPUTED_VALUE"""),200.0)</f>
        <v>200</v>
      </c>
      <c r="D116" s="64">
        <f>IFERROR(__xludf.DUMMYFUNCTION("""COMPUTED_VALUE"""),5.0)</f>
        <v>5</v>
      </c>
      <c r="E116" s="63">
        <f>IFERROR(__xludf.DUMMYFUNCTION("""COMPUTED_VALUE"""),2.0)</f>
        <v>2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IFERROR(__xludf.DUMMYFUNCTION("""COMPUTED_VALUE"""),6.0)</f>
        <v>6</v>
      </c>
      <c r="I116" s="65">
        <f>IFERROR(__xludf.DUMMYFUNCTION("""COMPUTED_VALUE"""),5.0)</f>
        <v>5</v>
      </c>
      <c r="J116" s="65">
        <f>IFERROR(__xludf.DUMMYFUNCTION("""COMPUTED_VALUE"""),2.0)</f>
        <v>2</v>
      </c>
      <c r="K116" s="65">
        <f>IFERROR(__xludf.DUMMYFUNCTION("""COMPUTED_VALUE"""),13.0)</f>
        <v>13</v>
      </c>
      <c r="L116" s="65">
        <f>IFERROR(__xludf.DUMMYFUNCTION("""COMPUTED_VALUE"""),1.0)</f>
        <v>1</v>
      </c>
      <c r="M116" s="65">
        <f>IFERROR(__xludf.DUMMYFUNCTION("""COMPUTED_VALUE"""),213.0)</f>
        <v>213</v>
      </c>
      <c r="N116" s="66">
        <f>IFERROR(__xludf.DUMMYFUNCTION("""COMPUTED_VALUE"""),6.0)</f>
        <v>6</v>
      </c>
    </row>
    <row r="117">
      <c r="A117" s="1"/>
      <c r="B117" s="62" t="str">
        <f>IFERROR(__xludf.DUMMYFUNCTION("""COMPUTED_VALUE"""),"Elayaraja Thangaraj ")</f>
        <v>Elayaraja Thangaraj </v>
      </c>
      <c r="C117" s="63">
        <f>IFERROR(__xludf.DUMMYFUNCTION("""COMPUTED_VALUE"""),197.0)</f>
        <v>197</v>
      </c>
      <c r="D117" s="64">
        <f>IFERROR(__xludf.DUMMYFUNCTION("""COMPUTED_VALUE"""),13.0)</f>
        <v>13</v>
      </c>
      <c r="E117" s="63">
        <f>IFERROR(__xludf.DUMMYFUNCTION("""COMPUTED_VALUE"""),2.0)</f>
        <v>2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IFERROR(__xludf.DUMMYFUNCTION("""COMPUTED_VALUE"""),3.0)</f>
        <v>3</v>
      </c>
      <c r="I117" s="65">
        <f>IFERROR(__xludf.DUMMYFUNCTION("""COMPUTED_VALUE"""),5.0)</f>
        <v>5</v>
      </c>
      <c r="J117" s="65">
        <f>IFERROR(__xludf.DUMMYFUNCTION("""COMPUTED_VALUE"""),6.0)</f>
        <v>6</v>
      </c>
      <c r="K117" s="65">
        <f>IFERROR(__xludf.DUMMYFUNCTION("""COMPUTED_VALUE"""),14.0)</f>
        <v>14</v>
      </c>
      <c r="L117" s="65">
        <f>IFERROR(__xludf.DUMMYFUNCTION("""COMPUTED_VALUE"""),1.0)</f>
        <v>1</v>
      </c>
      <c r="M117" s="65">
        <f>IFERROR(__xludf.DUMMYFUNCTION("""COMPUTED_VALUE"""),211.0)</f>
        <v>211</v>
      </c>
      <c r="N117" s="66">
        <f>IFERROR(__xludf.DUMMYFUNCTION("""COMPUTED_VALUE"""),14.0)</f>
        <v>14</v>
      </c>
    </row>
    <row r="118">
      <c r="A118" s="1"/>
      <c r="B118" s="62" t="str">
        <f>IFERROR(__xludf.DUMMYFUNCTION("""COMPUTED_VALUE"""),"Amit Patel")</f>
        <v>Amit Patel</v>
      </c>
      <c r="C118" s="63">
        <f>IFERROR(__xludf.DUMMYFUNCTION("""COMPUTED_VALUE"""),187.0)</f>
        <v>187</v>
      </c>
      <c r="D118" s="64">
        <f>IFERROR(__xludf.DUMMYFUNCTION("""COMPUTED_VALUE"""),5.0)</f>
        <v>5</v>
      </c>
      <c r="E118" s="63">
        <f>IFERROR(__xludf.DUMMYFUNCTION("""COMPUTED_VALUE"""),2.0)</f>
        <v>2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IFERROR(__xludf.DUMMYFUNCTION("""COMPUTED_VALUE"""),3.0)</f>
        <v>3</v>
      </c>
      <c r="I118" s="65">
        <f>IFERROR(__xludf.DUMMYFUNCTION("""COMPUTED_VALUE"""),7.0)</f>
        <v>7</v>
      </c>
      <c r="J118" s="65">
        <f>IFERROR(__xludf.DUMMYFUNCTION("""COMPUTED_VALUE"""),2.0)</f>
        <v>2</v>
      </c>
      <c r="K118" s="65">
        <f>IFERROR(__xludf.DUMMYFUNCTION("""COMPUTED_VALUE"""),12.0)</f>
        <v>12</v>
      </c>
      <c r="L118" s="65">
        <f>IFERROR(__xludf.DUMMYFUNCTION("""COMPUTED_VALUE"""),1.0)</f>
        <v>1</v>
      </c>
      <c r="M118" s="65">
        <f>IFERROR(__xludf.DUMMYFUNCTION("""COMPUTED_VALUE"""),199.0)</f>
        <v>199</v>
      </c>
      <c r="N118" s="66">
        <f>IFERROR(__xludf.DUMMYFUNCTION("""COMPUTED_VALUE"""),6.0)</f>
        <v>6</v>
      </c>
    </row>
    <row r="119">
      <c r="A119" s="1"/>
      <c r="B119" s="62" t="str">
        <f>IFERROR(__xludf.DUMMYFUNCTION("""COMPUTED_VALUE"""),"Sanjaye Elayattu")</f>
        <v>Sanjaye Elayattu</v>
      </c>
      <c r="C119" s="63">
        <f>IFERROR(__xludf.DUMMYFUNCTION("""COMPUTED_VALUE"""),183.0)</f>
        <v>183</v>
      </c>
      <c r="D119" s="64">
        <f>IFERROR(__xludf.DUMMYFUNCTION("""COMPUTED_VALUE"""),1.0)</f>
        <v>1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IFERROR(__xludf.DUMMYFUNCTION("""COMPUTED_VALUE"""),7.0)</f>
        <v>7</v>
      </c>
      <c r="J119" s="65">
        <f>IFERROR(__xludf.DUMMYFUNCTION("""COMPUTED_VALUE"""),6.0)</f>
        <v>6</v>
      </c>
      <c r="K119" s="65">
        <f>IFERROR(__xludf.DUMMYFUNCTION("""COMPUTED_VALUE"""),19.0)</f>
        <v>19</v>
      </c>
      <c r="L119" s="65">
        <f>IFERROR(__xludf.DUMMYFUNCTION("""COMPUTED_VALUE"""),3.0)</f>
        <v>3</v>
      </c>
      <c r="M119" s="65">
        <f>IFERROR(__xludf.DUMMYFUNCTION("""COMPUTED_VALUE"""),202.0)</f>
        <v>202</v>
      </c>
      <c r="N119" s="66">
        <f>IFERROR(__xludf.DUMMYFUNCTION("""COMPUTED_VALUE"""),4.0)</f>
        <v>4</v>
      </c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0"")"),"Lam Bui")</f>
        <v>Lam Bui</v>
      </c>
      <c r="C136" s="63">
        <f>IFERROR(__xludf.DUMMYFUNCTION("""COMPUTED_VALUE"""),238.0)</f>
        <v>238</v>
      </c>
      <c r="D136" s="64">
        <f>IFERROR(__xludf.DUMMYFUNCTION("""COMPUTED_VALUE"""),16.0)</f>
        <v>16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IFERROR(__xludf.DUMMYFUNCTION("""COMPUTED_VALUE"""),247.0)</f>
        <v>247</v>
      </c>
      <c r="N136" s="66">
        <f>IFERROR(__xludf.DUMMYFUNCTION("""COMPUTED_VALUE"""),16.0)</f>
        <v>16</v>
      </c>
    </row>
    <row r="137">
      <c r="A137" s="1"/>
      <c r="B137" s="62" t="str">
        <f>IFERROR(__xludf.DUMMYFUNCTION("""COMPUTED_VALUE"""),"Jonathan Phan")</f>
        <v>Jonathan Phan</v>
      </c>
      <c r="C137" s="63">
        <f>IFERROR(__xludf.DUMMYFUNCTION("""COMPUTED_VALUE"""),237.0)</f>
        <v>237</v>
      </c>
      <c r="D137" s="64">
        <f>IFERROR(__xludf.DUMMYFUNCTION("""COMPUTED_VALUE"""),20.0)</f>
        <v>20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IFERROR(__xludf.DUMMYFUNCTION("""COMPUTED_VALUE"""),246.0)</f>
        <v>246</v>
      </c>
      <c r="N137" s="66">
        <f>IFERROR(__xludf.DUMMYFUNCTION("""COMPUTED_VALUE"""),20.0)</f>
        <v>20</v>
      </c>
    </row>
    <row r="138">
      <c r="A138" s="1"/>
      <c r="B138" s="62" t="str">
        <f>IFERROR(__xludf.DUMMYFUNCTION("""COMPUTED_VALUE"""),"Pavan Akkimsetty")</f>
        <v>Pavan Akkimsetty</v>
      </c>
      <c r="C138" s="63">
        <f>IFERROR(__xludf.DUMMYFUNCTION("""COMPUTED_VALUE"""),234.0)</f>
        <v>234</v>
      </c>
      <c r="D138" s="64">
        <f>IFERROR(__xludf.DUMMYFUNCTION("""COMPUTED_VALUE"""),22.0)</f>
        <v>22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IFERROR(__xludf.DUMMYFUNCTION("""COMPUTED_VALUE"""),243.0)</f>
        <v>243</v>
      </c>
      <c r="N138" s="66">
        <f>IFERROR(__xludf.DUMMYFUNCTION("""COMPUTED_VALUE"""),22.0)</f>
        <v>22</v>
      </c>
    </row>
    <row r="139">
      <c r="A139" s="1"/>
      <c r="B139" s="62" t="str">
        <f>IFERROR(__xludf.DUMMYFUNCTION("""COMPUTED_VALUE"""),"Susanta Mishra")</f>
        <v>Susanta Mishra</v>
      </c>
      <c r="C139" s="63">
        <f>IFERROR(__xludf.DUMMYFUNCTION("""COMPUTED_VALUE"""),233.0)</f>
        <v>233</v>
      </c>
      <c r="D139" s="64">
        <f>IFERROR(__xludf.DUMMYFUNCTION("""COMPUTED_VALUE"""),18.0)</f>
        <v>18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IFERROR(__xludf.DUMMYFUNCTION("""COMPUTED_VALUE"""),242.0)</f>
        <v>242</v>
      </c>
      <c r="N139" s="66">
        <f>IFERROR(__xludf.DUMMYFUNCTION("""COMPUTED_VALUE"""),18.0)</f>
        <v>18</v>
      </c>
    </row>
    <row r="140">
      <c r="A140" s="1"/>
      <c r="B140" s="62" t="str">
        <f>IFERROR(__xludf.DUMMYFUNCTION("""COMPUTED_VALUE"""),"Lloyd Sagar")</f>
        <v>Lloyd Sagar</v>
      </c>
      <c r="C140" s="63">
        <f>IFERROR(__xludf.DUMMYFUNCTION("""COMPUTED_VALUE"""),226.0)</f>
        <v>226</v>
      </c>
      <c r="D140" s="64">
        <f>IFERROR(__xludf.DUMMYFUNCTION("""COMPUTED_VALUE"""),16.0)</f>
        <v>16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IFERROR(__xludf.DUMMYFUNCTION("""COMPUTED_VALUE"""),235.0)</f>
        <v>235</v>
      </c>
      <c r="N140" s="66">
        <f>IFERROR(__xludf.DUMMYFUNCTION("""COMPUTED_VALUE"""),16.0)</f>
        <v>16</v>
      </c>
    </row>
    <row r="141">
      <c r="A141" s="1"/>
      <c r="B141" s="62" t="str">
        <f>IFERROR(__xludf.DUMMYFUNCTION("""COMPUTED_VALUE"""),"Joe Luzzi")</f>
        <v>Joe Luzzi</v>
      </c>
      <c r="C141" s="63">
        <f>IFERROR(__xludf.DUMMYFUNCTION("""COMPUTED_VALUE"""),222.0)</f>
        <v>222</v>
      </c>
      <c r="D141" s="64">
        <f>IFERROR(__xludf.DUMMYFUNCTION("""COMPUTED_VALUE"""),16.0)</f>
        <v>16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IFERROR(__xludf.DUMMYFUNCTION("""COMPUTED_VALUE"""),231.0)</f>
        <v>231</v>
      </c>
      <c r="N141" s="66">
        <f>IFERROR(__xludf.DUMMYFUNCTION("""COMPUTED_VALUE"""),16.0)</f>
        <v>16</v>
      </c>
    </row>
    <row r="142">
      <c r="A142" s="1"/>
      <c r="B142" s="62" t="str">
        <f>IFERROR(__xludf.DUMMYFUNCTION("""COMPUTED_VALUE"""),"Oscar Bonilla")</f>
        <v>Oscar Bonilla</v>
      </c>
      <c r="C142" s="63">
        <f>IFERROR(__xludf.DUMMYFUNCTION("""COMPUTED_VALUE"""),222.0)</f>
        <v>222</v>
      </c>
      <c r="D142" s="64">
        <f>IFERROR(__xludf.DUMMYFUNCTION("""COMPUTED_VALUE"""),15.0)</f>
        <v>15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IFERROR(__xludf.DUMMYFUNCTION("""COMPUTED_VALUE"""),231.0)</f>
        <v>231</v>
      </c>
      <c r="N142" s="66">
        <f>IFERROR(__xludf.DUMMYFUNCTION("""COMPUTED_VALUE"""),15.0)</f>
        <v>15</v>
      </c>
    </row>
    <row r="143">
      <c r="A143" s="1"/>
      <c r="B143" s="62" t="str">
        <f>IFERROR(__xludf.DUMMYFUNCTION("""COMPUTED_VALUE"""),"David Tam")</f>
        <v>David Tam</v>
      </c>
      <c r="C143" s="63">
        <f>IFERROR(__xludf.DUMMYFUNCTION("""COMPUTED_VALUE"""),220.0)</f>
        <v>220</v>
      </c>
      <c r="D143" s="64">
        <f>IFERROR(__xludf.DUMMYFUNCTION("""COMPUTED_VALUE"""),18.0)</f>
        <v>18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IFERROR(__xludf.DUMMYFUNCTION("""COMPUTED_VALUE"""),229.0)</f>
        <v>229</v>
      </c>
      <c r="N143" s="66">
        <f>IFERROR(__xludf.DUMMYFUNCTION("""COMPUTED_VALUE"""),18.0)</f>
        <v>18</v>
      </c>
    </row>
    <row r="144">
      <c r="A144" s="1"/>
      <c r="B144" s="62" t="str">
        <f>IFERROR(__xludf.DUMMYFUNCTION("""COMPUTED_VALUE"""),"Mauricio Palacios")</f>
        <v>Mauricio Palacios</v>
      </c>
      <c r="C144" s="63">
        <f>IFERROR(__xludf.DUMMYFUNCTION("""COMPUTED_VALUE"""),216.0)</f>
        <v>216</v>
      </c>
      <c r="D144" s="64">
        <f>IFERROR(__xludf.DUMMYFUNCTION("""COMPUTED_VALUE"""),15.0)</f>
        <v>15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IFERROR(__xludf.DUMMYFUNCTION("""COMPUTED_VALUE"""),225.0)</f>
        <v>225</v>
      </c>
      <c r="N144" s="66">
        <f>IFERROR(__xludf.DUMMYFUNCTION("""COMPUTED_VALUE"""),15.0)</f>
        <v>15</v>
      </c>
    </row>
    <row r="145">
      <c r="A145" s="1"/>
      <c r="B145" s="62" t="str">
        <f>IFERROR(__xludf.DUMMYFUNCTION("""COMPUTED_VALUE"""),"Trinath Goteti")</f>
        <v>Trinath Goteti</v>
      </c>
      <c r="C145" s="63">
        <f>IFERROR(__xludf.DUMMYFUNCTION("""COMPUTED_VALUE"""),216.0)</f>
        <v>216</v>
      </c>
      <c r="D145" s="64">
        <f>IFERROR(__xludf.DUMMYFUNCTION("""COMPUTED_VALUE"""),14.0)</f>
        <v>14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IFERROR(__xludf.DUMMYFUNCTION("""COMPUTED_VALUE"""),225.0)</f>
        <v>225</v>
      </c>
      <c r="N145" s="66">
        <f>IFERROR(__xludf.DUMMYFUNCTION("""COMPUTED_VALUE"""),14.0)</f>
        <v>14</v>
      </c>
    </row>
    <row r="146">
      <c r="A146" s="1"/>
      <c r="B146" s="62" t="str">
        <f>IFERROR(__xludf.DUMMYFUNCTION("""COMPUTED_VALUE"""),"Matthew Huang")</f>
        <v>Matthew Huang</v>
      </c>
      <c r="C146" s="63">
        <f>IFERROR(__xludf.DUMMYFUNCTION("""COMPUTED_VALUE"""),213.0)</f>
        <v>213</v>
      </c>
      <c r="D146" s="64">
        <f>IFERROR(__xludf.DUMMYFUNCTION("""COMPUTED_VALUE"""),12.0)</f>
        <v>12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IFERROR(__xludf.DUMMYFUNCTION("""COMPUTED_VALUE"""),222.0)</f>
        <v>222</v>
      </c>
      <c r="N146" s="66">
        <f>IFERROR(__xludf.DUMMYFUNCTION("""COMPUTED_VALUE"""),12.0)</f>
        <v>12</v>
      </c>
    </row>
    <row r="147">
      <c r="A147" s="1"/>
      <c r="B147" s="62" t="str">
        <f>IFERROR(__xludf.DUMMYFUNCTION("""COMPUTED_VALUE"""),"Jimmy Awolesi")</f>
        <v>Jimmy Awolesi</v>
      </c>
      <c r="C147" s="63">
        <f>IFERROR(__xludf.DUMMYFUNCTION("""COMPUTED_VALUE"""),208.0)</f>
        <v>208</v>
      </c>
      <c r="D147" s="64">
        <f>IFERROR(__xludf.DUMMYFUNCTION("""COMPUTED_VALUE"""),15.0)</f>
        <v>15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IFERROR(__xludf.DUMMYFUNCTION("""COMPUTED_VALUE"""),217.0)</f>
        <v>217</v>
      </c>
      <c r="N147" s="66">
        <f>IFERROR(__xludf.DUMMYFUNCTION("""COMPUTED_VALUE"""),15.0)</f>
        <v>15</v>
      </c>
    </row>
    <row r="148">
      <c r="A148" s="1"/>
      <c r="B148" s="62" t="str">
        <f>IFERROR(__xludf.DUMMYFUNCTION("""COMPUTED_VALUE"""),"Rajasekar Ramasamy")</f>
        <v>Rajasekar Ramasamy</v>
      </c>
      <c r="C148" s="63">
        <f>IFERROR(__xludf.DUMMYFUNCTION("""COMPUTED_VALUE"""),206.0)</f>
        <v>206</v>
      </c>
      <c r="D148" s="64">
        <f>IFERROR(__xludf.DUMMYFUNCTION("""COMPUTED_VALUE"""),13.0)</f>
        <v>13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IFERROR(__xludf.DUMMYFUNCTION("""COMPUTED_VALUE"""),215.0)</f>
        <v>215</v>
      </c>
      <c r="N148" s="66">
        <f>IFERROR(__xludf.DUMMYFUNCTION("""COMPUTED_VALUE"""),13.0)</f>
        <v>13</v>
      </c>
    </row>
    <row r="149">
      <c r="A149" s="1"/>
      <c r="B149" s="62" t="str">
        <f>IFERROR(__xludf.DUMMYFUNCTION("""COMPUTED_VALUE"""),"Kingsley Kuo")</f>
        <v>Kingsley Kuo</v>
      </c>
      <c r="C149" s="63">
        <f>IFERROR(__xludf.DUMMYFUNCTION("""COMPUTED_VALUE"""),206.0)</f>
        <v>206</v>
      </c>
      <c r="D149" s="64">
        <f>IFERROR(__xludf.DUMMYFUNCTION("""COMPUTED_VALUE"""),11.0)</f>
        <v>11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IFERROR(__xludf.DUMMYFUNCTION("""COMPUTED_VALUE"""),215.0)</f>
        <v>215</v>
      </c>
      <c r="N149" s="66">
        <f>IFERROR(__xludf.DUMMYFUNCTION("""COMPUTED_VALUE"""),11.0)</f>
        <v>11</v>
      </c>
    </row>
    <row r="150">
      <c r="A150" s="1"/>
      <c r="B150" s="62" t="str">
        <f>IFERROR(__xludf.DUMMYFUNCTION("""COMPUTED_VALUE"""),"Manish Anand")</f>
        <v>Manish Anand</v>
      </c>
      <c r="C150" s="63">
        <f>IFERROR(__xludf.DUMMYFUNCTION("""COMPUTED_VALUE"""),204.0)</f>
        <v>204</v>
      </c>
      <c r="D150" s="64">
        <f>IFERROR(__xludf.DUMMYFUNCTION("""COMPUTED_VALUE"""),10.0)</f>
        <v>10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IFERROR(__xludf.DUMMYFUNCTION("""COMPUTED_VALUE"""),213.0)</f>
        <v>213</v>
      </c>
      <c r="N150" s="66">
        <f>IFERROR(__xludf.DUMMYFUNCTION("""COMPUTED_VALUE"""),10.0)</f>
        <v>10</v>
      </c>
    </row>
    <row r="151">
      <c r="A151" s="1"/>
      <c r="B151" s="62" t="str">
        <f>IFERROR(__xludf.DUMMYFUNCTION("""COMPUTED_VALUE"""),"Andrew Chin")</f>
        <v>Andrew Chin</v>
      </c>
      <c r="C151" s="63">
        <f>IFERROR(__xludf.DUMMYFUNCTION("""COMPUTED_VALUE"""),202.0)</f>
        <v>202</v>
      </c>
      <c r="D151" s="64">
        <f>IFERROR(__xludf.DUMMYFUNCTION("""COMPUTED_VALUE"""),10.0)</f>
        <v>10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IFERROR(__xludf.DUMMYFUNCTION("""COMPUTED_VALUE"""),211.0)</f>
        <v>211</v>
      </c>
      <c r="N151" s="66">
        <f>IFERROR(__xludf.DUMMYFUNCTION("""COMPUTED_VALUE"""),10.0)</f>
        <v>10</v>
      </c>
    </row>
    <row r="152">
      <c r="A152" s="1"/>
      <c r="B152" s="62" t="str">
        <f>IFERROR(__xludf.DUMMYFUNCTION("""COMPUTED_VALUE"""),"Vinot Kumar Nagappan")</f>
        <v>Vinot Kumar Nagappan</v>
      </c>
      <c r="C152" s="63">
        <f>IFERROR(__xludf.DUMMYFUNCTION("""COMPUTED_VALUE"""),202.0)</f>
        <v>202</v>
      </c>
      <c r="D152" s="64">
        <f>IFERROR(__xludf.DUMMYFUNCTION("""COMPUTED_VALUE"""),9.0)</f>
        <v>9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IFERROR(__xludf.DUMMYFUNCTION("""COMPUTED_VALUE"""),211.0)</f>
        <v>211</v>
      </c>
      <c r="N152" s="66">
        <f>IFERROR(__xludf.DUMMYFUNCTION("""COMPUTED_VALUE"""),9.0)</f>
        <v>9</v>
      </c>
    </row>
    <row r="153">
      <c r="A153" s="1"/>
      <c r="B153" s="62" t="str">
        <f>IFERROR(__xludf.DUMMYFUNCTION("""COMPUTED_VALUE"""),"Balaji Alahari")</f>
        <v>Balaji Alahari</v>
      </c>
      <c r="C153" s="63">
        <f>IFERROR(__xludf.DUMMYFUNCTION("""COMPUTED_VALUE"""),201.0)</f>
        <v>201</v>
      </c>
      <c r="D153" s="64">
        <f>IFERROR(__xludf.DUMMYFUNCTION("""COMPUTED_VALUE"""),8.0)</f>
        <v>8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IFERROR(__xludf.DUMMYFUNCTION("""COMPUTED_VALUE"""),210.0)</f>
        <v>210</v>
      </c>
      <c r="N153" s="66">
        <f>IFERROR(__xludf.DUMMYFUNCTION("""COMPUTED_VALUE"""),8.0)</f>
        <v>8</v>
      </c>
    </row>
    <row r="154">
      <c r="A154" s="1"/>
      <c r="B154" s="62" t="str">
        <f>IFERROR(__xludf.DUMMYFUNCTION("""COMPUTED_VALUE"""),"Vinaya Kajla")</f>
        <v>Vinaya Kajla</v>
      </c>
      <c r="C154" s="63">
        <f>IFERROR(__xludf.DUMMYFUNCTION("""COMPUTED_VALUE"""),199.0)</f>
        <v>199</v>
      </c>
      <c r="D154" s="64">
        <f>IFERROR(__xludf.DUMMYFUNCTION("""COMPUTED_VALUE"""),15.0)</f>
        <v>15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IFERROR(__xludf.DUMMYFUNCTION("""COMPUTED_VALUE"""),208.0)</f>
        <v>208</v>
      </c>
      <c r="N154" s="66">
        <f>IFERROR(__xludf.DUMMYFUNCTION("""COMPUTED_VALUE"""),15.0)</f>
        <v>15</v>
      </c>
    </row>
    <row r="155">
      <c r="A155" s="1"/>
      <c r="B155" s="62" t="str">
        <f>IFERROR(__xludf.DUMMYFUNCTION("""COMPUTED_VALUE"""),"Naveen Raj")</f>
        <v>Naveen Raj</v>
      </c>
      <c r="C155" s="63">
        <f>IFERROR(__xludf.DUMMYFUNCTION("""COMPUTED_VALUE"""),199.0)</f>
        <v>199</v>
      </c>
      <c r="D155" s="64">
        <f>IFERROR(__xludf.DUMMYFUNCTION("""COMPUTED_VALUE"""),11.0)</f>
        <v>11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IFERROR(__xludf.DUMMYFUNCTION("""COMPUTED_VALUE"""),208.0)</f>
        <v>208</v>
      </c>
      <c r="N155" s="66">
        <f>IFERROR(__xludf.DUMMYFUNCTION("""COMPUTED_VALUE"""),11.0)</f>
        <v>11</v>
      </c>
    </row>
    <row r="156">
      <c r="A156" s="1"/>
      <c r="B156" s="62" t="str">
        <f>IFERROR(__xludf.DUMMYFUNCTION("""COMPUTED_VALUE"""),"Savay Lieu")</f>
        <v>Savay Lieu</v>
      </c>
      <c r="C156" s="63">
        <f>IFERROR(__xludf.DUMMYFUNCTION("""COMPUTED_VALUE"""),194.0)</f>
        <v>194</v>
      </c>
      <c r="D156" s="64">
        <f>IFERROR(__xludf.DUMMYFUNCTION("""COMPUTED_VALUE"""),5.0)</f>
        <v>5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IFERROR(__xludf.DUMMYFUNCTION("""COMPUTED_VALUE"""),203.0)</f>
        <v>203</v>
      </c>
      <c r="N156" s="66">
        <f>IFERROR(__xludf.DUMMYFUNCTION("""COMPUTED_VALUE"""),5.0)</f>
        <v>5</v>
      </c>
    </row>
    <row r="157">
      <c r="A157" s="1"/>
      <c r="B157" s="62" t="str">
        <f>IFERROR(__xludf.DUMMYFUNCTION("""COMPUTED_VALUE"""),"Sudhagar Subbaian")</f>
        <v>Sudhagar Subbaian</v>
      </c>
      <c r="C157" s="63">
        <f>IFERROR(__xludf.DUMMYFUNCTION("""COMPUTED_VALUE"""),189.0)</f>
        <v>189</v>
      </c>
      <c r="D157" s="64">
        <f>IFERROR(__xludf.DUMMYFUNCTION("""COMPUTED_VALUE"""),5.0)</f>
        <v>5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IFERROR(__xludf.DUMMYFUNCTION("""COMPUTED_VALUE"""),198.0)</f>
        <v>198</v>
      </c>
      <c r="N157" s="66">
        <f>IFERROR(__xludf.DUMMYFUNCTION("""COMPUTED_VALUE"""),5.0)</f>
        <v>5</v>
      </c>
    </row>
    <row r="158">
      <c r="A158" s="1"/>
      <c r="B158" s="62" t="str">
        <f>IFERROR(__xludf.DUMMYFUNCTION("""COMPUTED_VALUE"""),"Robert Chang")</f>
        <v>Robert Chang</v>
      </c>
      <c r="C158" s="63">
        <f>IFERROR(__xludf.DUMMYFUNCTION("""COMPUTED_VALUE"""),189.0)</f>
        <v>189</v>
      </c>
      <c r="D158" s="64">
        <f>IFERROR(__xludf.DUMMYFUNCTION("""COMPUTED_VALUE"""),4.0)</f>
        <v>4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IFERROR(__xludf.DUMMYFUNCTION("""COMPUTED_VALUE"""),198.0)</f>
        <v>198</v>
      </c>
      <c r="N158" s="66">
        <f>IFERROR(__xludf.DUMMYFUNCTION("""COMPUTED_VALUE"""),4.0)</f>
        <v>4</v>
      </c>
    </row>
    <row r="159">
      <c r="A159" s="1"/>
      <c r="B159" s="62" t="str">
        <f>IFERROR(__xludf.DUMMYFUNCTION("""COMPUTED_VALUE"""),"Alejandro Mejia")</f>
        <v>Alejandro Mejia</v>
      </c>
      <c r="C159" s="63">
        <f>IFERROR(__xludf.DUMMYFUNCTION("""COMPUTED_VALUE"""),187.0)</f>
        <v>187</v>
      </c>
      <c r="D159" s="64">
        <f>IFERROR(__xludf.DUMMYFUNCTION("""COMPUTED_VALUE"""),4.0)</f>
        <v>4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IFERROR(__xludf.DUMMYFUNCTION("""COMPUTED_VALUE"""),196.0)</f>
        <v>196</v>
      </c>
      <c r="N159" s="66">
        <f>IFERROR(__xludf.DUMMYFUNCTION("""COMPUTED_VALUE"""),4.0)</f>
        <v>4</v>
      </c>
    </row>
    <row r="160">
      <c r="A160" s="1"/>
      <c r="B160" s="62" t="str">
        <f>IFERROR(__xludf.DUMMYFUNCTION("""COMPUTED_VALUE"""),"Rosie Bonilla")</f>
        <v>Rosie Bonilla</v>
      </c>
      <c r="C160" s="63">
        <f>IFERROR(__xludf.DUMMYFUNCTION("""COMPUTED_VALUE"""),186.0)</f>
        <v>186</v>
      </c>
      <c r="D160" s="64">
        <f>IFERROR(__xludf.DUMMYFUNCTION("""COMPUTED_VALUE"""),2.0)</f>
        <v>2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IFERROR(__xludf.DUMMYFUNCTION("""COMPUTED_VALUE"""),195.0)</f>
        <v>195</v>
      </c>
      <c r="N160" s="66">
        <f>IFERROR(__xludf.DUMMYFUNCTION("""COMPUTED_VALUE"""),2.0)</f>
        <v>2</v>
      </c>
    </row>
    <row r="161">
      <c r="A161" s="1"/>
      <c r="B161" s="62" t="str">
        <f>IFERROR(__xludf.DUMMYFUNCTION("""COMPUTED_VALUE"""),"Ash Nikravan")</f>
        <v>Ash Nikravan</v>
      </c>
      <c r="C161" s="63">
        <f>IFERROR(__xludf.DUMMYFUNCTION("""COMPUTED_VALUE"""),182.0)</f>
        <v>182</v>
      </c>
      <c r="D161" s="64">
        <f>IFERROR(__xludf.DUMMYFUNCTION("""COMPUTED_VALUE"""),5.0)</f>
        <v>5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IFERROR(__xludf.DUMMYFUNCTION("""COMPUTED_VALUE"""),191.0)</f>
        <v>191</v>
      </c>
      <c r="N161" s="66">
        <f>IFERROR(__xludf.DUMMYFUNCTION("""COMPUTED_VALUE"""),5.0)</f>
        <v>5</v>
      </c>
    </row>
    <row r="162">
      <c r="A162" s="1"/>
      <c r="B162" s="62" t="str">
        <f>IFERROR(__xludf.DUMMYFUNCTION("""COMPUTED_VALUE"""),"Troy Wong")</f>
        <v>Troy Wong</v>
      </c>
      <c r="C162" s="63">
        <f>IFERROR(__xludf.DUMMYFUNCTION("""COMPUTED_VALUE"""),181.0)</f>
        <v>181</v>
      </c>
      <c r="D162" s="64">
        <f>IFERROR(__xludf.DUMMYFUNCTION("""COMPUTED_VALUE"""),4.0)</f>
        <v>4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IFERROR(__xludf.DUMMYFUNCTION("""COMPUTED_VALUE"""),190.0)</f>
        <v>190</v>
      </c>
      <c r="N162" s="66">
        <f>IFERROR(__xludf.DUMMYFUNCTION("""COMPUTED_VALUE"""),4.0)</f>
        <v>4</v>
      </c>
    </row>
    <row r="163">
      <c r="A163" s="1"/>
      <c r="B163" s="62" t="str">
        <f>IFERROR(__xludf.DUMMYFUNCTION("""COMPUTED_VALUE"""),"Santosh Sundaresan ")</f>
        <v>Santosh Sundaresan </v>
      </c>
      <c r="C163" s="63">
        <f>IFERROR(__xludf.DUMMYFUNCTION("""COMPUTED_VALUE"""),180.0)</f>
        <v>180</v>
      </c>
      <c r="D163" s="64">
        <f>IFERROR(__xludf.DUMMYFUNCTION("""COMPUTED_VALUE"""),4.0)</f>
        <v>4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IFERROR(__xludf.DUMMYFUNCTION("""COMPUTED_VALUE"""),189.0)</f>
        <v>189</v>
      </c>
      <c r="N163" s="66">
        <f>IFERROR(__xludf.DUMMYFUNCTION("""COMPUTED_VALUE"""),4.0)</f>
        <v>4</v>
      </c>
    </row>
    <row r="164">
      <c r="A164" s="1"/>
      <c r="B164" s="62" t="str">
        <f>IFERROR(__xludf.DUMMYFUNCTION("""COMPUTED_VALUE"""),"Tony Lin")</f>
        <v>Tony Lin</v>
      </c>
      <c r="C164" s="63">
        <f>IFERROR(__xludf.DUMMYFUNCTION("""COMPUTED_VALUE"""),180.0)</f>
        <v>180</v>
      </c>
      <c r="D164" s="64">
        <f>IFERROR(__xludf.DUMMYFUNCTION("""COMPUTED_VALUE"""),3.0)</f>
        <v>3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IFERROR(__xludf.DUMMYFUNCTION("""COMPUTED_VALUE"""),189.0)</f>
        <v>189</v>
      </c>
      <c r="N164" s="66">
        <f>IFERROR(__xludf.DUMMYFUNCTION("""COMPUTED_VALUE"""),3.0)</f>
        <v>3</v>
      </c>
    </row>
    <row r="165">
      <c r="A165" s="1"/>
      <c r="B165" s="62" t="str">
        <f>IFERROR(__xludf.DUMMYFUNCTION("""COMPUTED_VALUE"""),"Chandrasekar Chinnathambi")</f>
        <v>Chandrasekar Chinnathambi</v>
      </c>
      <c r="C165" s="63">
        <f>IFERROR(__xludf.DUMMYFUNCTION("""COMPUTED_VALUE"""),178.0)</f>
        <v>178</v>
      </c>
      <c r="D165" s="64">
        <f>IFERROR(__xludf.DUMMYFUNCTION("""COMPUTED_VALUE"""),1.0)</f>
        <v>1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IFERROR(__xludf.DUMMYFUNCTION("""COMPUTED_VALUE"""),187.0)</f>
        <v>187</v>
      </c>
      <c r="N165" s="66">
        <f>IFERROR(__xludf.DUMMYFUNCTION("""COMPUTED_VALUE"""),1.0)</f>
        <v>1</v>
      </c>
    </row>
    <row r="166">
      <c r="A166" s="1"/>
      <c r="B166" s="62" t="str">
        <f>IFERROR(__xludf.DUMMYFUNCTION("""COMPUTED_VALUE"""),"Marcus Yovas")</f>
        <v>Marcus Yovas</v>
      </c>
      <c r="C166" s="63">
        <f>IFERROR(__xludf.DUMMYFUNCTION("""COMPUTED_VALUE"""),175.0)</f>
        <v>175</v>
      </c>
      <c r="D166" s="64">
        <f>IFERROR(__xludf.DUMMYFUNCTION("""COMPUTED_VALUE"""),2.0)</f>
        <v>2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IFERROR(__xludf.DUMMYFUNCTION("""COMPUTED_VALUE"""),184.0)</f>
        <v>184</v>
      </c>
      <c r="N166" s="66">
        <f>IFERROR(__xludf.DUMMYFUNCTION("""COMPUTED_VALUE"""),2.0)</f>
        <v>2</v>
      </c>
    </row>
    <row r="167">
      <c r="A167" s="1"/>
      <c r="B167" s="62" t="str">
        <f>IFERROR(__xludf.DUMMYFUNCTION("""COMPUTED_VALUE"""),"Joyce Zhu")</f>
        <v>Joyce Zhu</v>
      </c>
      <c r="C167" s="63">
        <f>IFERROR(__xludf.DUMMYFUNCTION("""COMPUTED_VALUE"""),171.0)</f>
        <v>171</v>
      </c>
      <c r="D167" s="64">
        <f>IFERROR(__xludf.DUMMYFUNCTION("""COMPUTED_VALUE"""),5.0)</f>
        <v>5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IFERROR(__xludf.DUMMYFUNCTION("""COMPUTED_VALUE"""),180.0)</f>
        <v>180</v>
      </c>
      <c r="N167" s="66">
        <f>IFERROR(__xludf.DUMMYFUNCTION("""COMPUTED_VALUE"""),5.0)</f>
        <v>5</v>
      </c>
    </row>
    <row r="168">
      <c r="A168" s="1"/>
      <c r="B168" s="62" t="str">
        <f>IFERROR(__xludf.DUMMYFUNCTION("""COMPUTED_VALUE"""),"Vilas Janardhanan")</f>
        <v>Vilas Janardhanan</v>
      </c>
      <c r="C168" s="63">
        <f>IFERROR(__xludf.DUMMYFUNCTION("""COMPUTED_VALUE"""),171.0)</f>
        <v>171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IFERROR(__xludf.DUMMYFUNCTION("""COMPUTED_VALUE"""),180.0)</f>
        <v>180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IFERROR(__xludf.DUMMYFUNCTION("""COMPUTED_VALUE"""),"Coco Yan")</f>
        <v>Coco Yan</v>
      </c>
      <c r="C169" s="63">
        <f>IFERROR(__xludf.DUMMYFUNCTION("""COMPUTED_VALUE"""),171.0)</f>
        <v>171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IFERROR(__xludf.DUMMYFUNCTION("""COMPUTED_VALUE"""),180.0)</f>
        <v>180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IFERROR(__xludf.DUMMYFUNCTION("""COMPUTED_VALUE"""),"Tiffany Yu")</f>
        <v>Tiffany Yu</v>
      </c>
      <c r="C170" s="63">
        <f>IFERROR(__xludf.DUMMYFUNCTION("""COMPUTED_VALUE"""),170.0)</f>
        <v>170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IFERROR(__xludf.DUMMYFUNCTION("""COMPUTED_VALUE"""),179.0)</f>
        <v>179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IFERROR(__xludf.DUMMYFUNCTION("""COMPUTED_VALUE"""),"Sai Dilip Ponnaganti")</f>
        <v>Sai Dilip Ponnaganti</v>
      </c>
      <c r="C171" s="63">
        <f>IFERROR(__xludf.DUMMYFUNCTION("""COMPUTED_VALUE"""),162.0)</f>
        <v>162</v>
      </c>
      <c r="D171" s="64">
        <f>IFERROR(__xludf.DUMMYFUNCTION("""COMPUTED_VALUE"""),0.0)</f>
        <v>0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IFERROR(__xludf.DUMMYFUNCTION("""COMPUTED_VALUE"""),171.0)</f>
        <v>171</v>
      </c>
      <c r="N171" s="66">
        <f>IFERROR(__xludf.DUMMYFUNCTION("""COMPUTED_VALUE"""),0.0)</f>
        <v>0</v>
      </c>
    </row>
    <row r="172">
      <c r="A172" s="1"/>
      <c r="B172" s="62" t="str">
        <f>IFERROR(__xludf.DUMMYFUNCTION("""COMPUTED_VALUE"""),"Jose Ortiz")</f>
        <v>Jose Ortiz</v>
      </c>
      <c r="C172" s="63">
        <f>IFERROR(__xludf.DUMMYFUNCTION("""COMPUTED_VALUE"""),161.0)</f>
        <v>161</v>
      </c>
      <c r="D172" s="64">
        <f>IFERROR(__xludf.DUMMYFUNCTION("""COMPUTED_VALUE"""),2.0)</f>
        <v>2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IFERROR(__xludf.DUMMYFUNCTION("""COMPUTED_VALUE"""),170.0)</f>
        <v>170</v>
      </c>
      <c r="N172" s="66">
        <f>IFERROR(__xludf.DUMMYFUNCTION("""COMPUTED_VALUE"""),2.0)</f>
        <v>2</v>
      </c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B222" s="74" t="s">
        <v>137</v>
      </c>
      <c r="C222" s="1"/>
      <c r="D222" s="1"/>
      <c r="E222" s="1"/>
      <c r="U222" s="74" t="s">
        <v>138</v>
      </c>
    </row>
    <row r="223">
      <c r="A223" s="41">
        <v>1.0</v>
      </c>
      <c r="B223" s="62" t="str">
        <f>IFERROR(__xludf.DUMMYFUNCTION("QUERY(B5:Q69, ""Select B   where Q is null"")"),"Adrian Tay")</f>
        <v>Adrian Tay</v>
      </c>
      <c r="C223" s="1"/>
      <c r="D223" s="1"/>
      <c r="E223" s="1"/>
      <c r="T223" s="41">
        <v>1.0</v>
      </c>
      <c r="U223" s="21" t="str">
        <f>IFERROR(__xludf.DUMMYFUNCTION("QUERY(B5:Q69, ""Select B   where Q = 'N' "")"),"David Tam")</f>
        <v>David Tam</v>
      </c>
    </row>
    <row r="224">
      <c r="A224" s="1">
        <f t="shared" ref="A224:A244" si="69">A223+1</f>
        <v>2</v>
      </c>
      <c r="B224" s="62" t="str">
        <f>IFERROR(__xludf.DUMMYFUNCTION("""COMPUTED_VALUE"""),"Lam Bui")</f>
        <v>Lam Bui</v>
      </c>
      <c r="C224" s="1"/>
      <c r="D224" s="1"/>
      <c r="E224" s="1"/>
      <c r="T224" s="1">
        <f t="shared" ref="T224:T234" si="70">T223+1</f>
        <v>2</v>
      </c>
      <c r="U224" s="21" t="str">
        <f>IFERROR(__xludf.DUMMYFUNCTION("""COMPUTED_VALUE"""),"Kingsley Kuo")</f>
        <v>Kingsley Kuo</v>
      </c>
    </row>
    <row r="225">
      <c r="A225" s="1">
        <f t="shared" si="69"/>
        <v>3</v>
      </c>
      <c r="B225" s="62" t="str">
        <f>IFERROR(__xludf.DUMMYFUNCTION("""COMPUTED_VALUE"""),"Eric Pan")</f>
        <v>Eric Pan</v>
      </c>
      <c r="C225" s="1"/>
      <c r="D225" s="1"/>
      <c r="E225" s="1"/>
      <c r="T225" s="1">
        <f t="shared" si="70"/>
        <v>3</v>
      </c>
      <c r="U225" s="21" t="str">
        <f>IFERROR(__xludf.DUMMYFUNCTION("""COMPUTED_VALUE"""),"Andrew Chin")</f>
        <v>Andrew Chin</v>
      </c>
    </row>
    <row r="226">
      <c r="A226" s="1">
        <f t="shared" si="69"/>
        <v>4</v>
      </c>
      <c r="B226" s="62" t="str">
        <f>IFERROR(__xludf.DUMMYFUNCTION("""COMPUTED_VALUE"""),"Sean Chang")</f>
        <v>Sean Chang</v>
      </c>
      <c r="C226" s="1"/>
      <c r="D226" s="1"/>
      <c r="E226" s="1"/>
      <c r="T226" s="1">
        <f t="shared" si="70"/>
        <v>4</v>
      </c>
      <c r="U226" s="21" t="str">
        <f>IFERROR(__xludf.DUMMYFUNCTION("""COMPUTED_VALUE"""),"Vinot Kumar Nagappan")</f>
        <v>Vinot Kumar Nagappan</v>
      </c>
    </row>
    <row r="227">
      <c r="A227" s="1">
        <f t="shared" si="69"/>
        <v>5</v>
      </c>
      <c r="B227" s="62" t="str">
        <f>IFERROR(__xludf.DUMMYFUNCTION("""COMPUTED_VALUE"""),"Pulkit Mathur")</f>
        <v>Pulkit Mathur</v>
      </c>
      <c r="C227" s="1"/>
      <c r="D227" s="1"/>
      <c r="E227" s="1"/>
      <c r="T227" s="1">
        <f t="shared" si="70"/>
        <v>5</v>
      </c>
      <c r="U227" s="21" t="str">
        <f>IFERROR(__xludf.DUMMYFUNCTION("""COMPUTED_VALUE"""),"Tony Wong")</f>
        <v>Tony Wong</v>
      </c>
    </row>
    <row r="228">
      <c r="A228" s="1">
        <f t="shared" si="69"/>
        <v>6</v>
      </c>
      <c r="B228" s="62" t="str">
        <f>IFERROR(__xludf.DUMMYFUNCTION("""COMPUTED_VALUE"""),"Trinath Goteti")</f>
        <v>Trinath Goteti</v>
      </c>
      <c r="C228" s="1"/>
      <c r="D228" s="1"/>
      <c r="E228" s="1"/>
      <c r="T228" s="1">
        <f t="shared" si="70"/>
        <v>6</v>
      </c>
      <c r="U228" s="21" t="str">
        <f>IFERROR(__xludf.DUMMYFUNCTION("""COMPUTED_VALUE"""),"Savay Lieu")</f>
        <v>Savay Lieu</v>
      </c>
    </row>
    <row r="229">
      <c r="A229" s="1">
        <f t="shared" si="69"/>
        <v>7</v>
      </c>
      <c r="B229" s="62" t="str">
        <f>IFERROR(__xludf.DUMMYFUNCTION("""COMPUTED_VALUE"""),"Nohely Mejia")</f>
        <v>Nohely Mejia</v>
      </c>
      <c r="C229" s="1"/>
      <c r="D229" s="1"/>
      <c r="E229" s="1"/>
      <c r="T229" s="1">
        <f t="shared" si="70"/>
        <v>7</v>
      </c>
      <c r="U229" s="21" t="str">
        <f>IFERROR(__xludf.DUMMYFUNCTION("""COMPUTED_VALUE"""),"Sudhagar Subbaian")</f>
        <v>Sudhagar Subbaian</v>
      </c>
    </row>
    <row r="230">
      <c r="A230" s="1">
        <f t="shared" si="69"/>
        <v>8</v>
      </c>
      <c r="B230" s="62" t="str">
        <f>IFERROR(__xludf.DUMMYFUNCTION("""COMPUTED_VALUE"""),"Alejandro Mejia")</f>
        <v>Alejandro Mejia</v>
      </c>
      <c r="C230" s="1"/>
      <c r="D230" s="1"/>
      <c r="E230" s="1"/>
      <c r="T230" s="1">
        <f t="shared" si="70"/>
        <v>8</v>
      </c>
      <c r="U230" s="21" t="str">
        <f>IFERROR(__xludf.DUMMYFUNCTION("""COMPUTED_VALUE"""),"Rosie Bonilla")</f>
        <v>Rosie Bonilla</v>
      </c>
    </row>
    <row r="231">
      <c r="A231" s="1">
        <f t="shared" si="69"/>
        <v>9</v>
      </c>
      <c r="B231" s="62" t="str">
        <f>IFERROR(__xludf.DUMMYFUNCTION("""COMPUTED_VALUE"""),"Ash Nikravan")</f>
        <v>Ash Nikravan</v>
      </c>
      <c r="C231" s="1"/>
      <c r="D231" s="1"/>
      <c r="E231" s="1"/>
      <c r="T231" s="1">
        <f t="shared" si="70"/>
        <v>9</v>
      </c>
      <c r="U231" s="21" t="str">
        <f>IFERROR(__xludf.DUMMYFUNCTION("""COMPUTED_VALUE"""),"Chandrasekar Chinnathambi")</f>
        <v>Chandrasekar Chinnathambi</v>
      </c>
    </row>
    <row r="232">
      <c r="A232" s="1">
        <f t="shared" si="69"/>
        <v>10</v>
      </c>
      <c r="B232" s="62" t="str">
        <f>IFERROR(__xludf.DUMMYFUNCTION("""COMPUTED_VALUE"""),"Jose Ortiz")</f>
        <v>Jose Ortiz</v>
      </c>
      <c r="C232" s="1"/>
      <c r="D232" s="1"/>
      <c r="E232" s="1"/>
      <c r="T232" s="1">
        <f t="shared" si="70"/>
        <v>10</v>
      </c>
      <c r="U232" s="21" t="str">
        <f>IFERROR(__xludf.DUMMYFUNCTION("""COMPUTED_VALUE"""),"Marcus Yovas")</f>
        <v>Marcus Yovas</v>
      </c>
    </row>
    <row r="233">
      <c r="A233" s="1">
        <f t="shared" si="69"/>
        <v>11</v>
      </c>
      <c r="B233" s="62"/>
      <c r="C233" s="1"/>
      <c r="D233" s="1"/>
      <c r="E233" s="1"/>
      <c r="T233" s="1">
        <f t="shared" si="70"/>
        <v>11</v>
      </c>
      <c r="U233" s="21" t="str">
        <f>IFERROR(__xludf.DUMMYFUNCTION("""COMPUTED_VALUE"""),"Vilas Janardhanan")</f>
        <v>Vilas Janardhanan</v>
      </c>
    </row>
    <row r="234">
      <c r="A234" s="1">
        <f t="shared" si="69"/>
        <v>12</v>
      </c>
      <c r="B234" s="62"/>
      <c r="C234" s="1"/>
      <c r="D234" s="1"/>
      <c r="E234" s="1"/>
      <c r="T234" s="1">
        <f t="shared" si="70"/>
        <v>12</v>
      </c>
      <c r="U234" s="21" t="str">
        <f>IFERROR(__xludf.DUMMYFUNCTION("""COMPUTED_VALUE"""),"Tiffany Yu")</f>
        <v>Tiffany Yu</v>
      </c>
    </row>
    <row r="235">
      <c r="A235" s="1">
        <f t="shared" si="69"/>
        <v>13</v>
      </c>
      <c r="B235" s="62"/>
      <c r="C235" s="1"/>
      <c r="D235" s="1"/>
      <c r="E235" s="1"/>
    </row>
    <row r="236">
      <c r="A236" s="1">
        <f t="shared" si="69"/>
        <v>14</v>
      </c>
      <c r="B236" s="62"/>
      <c r="C236" s="1"/>
      <c r="D236" s="1"/>
      <c r="E236" s="1"/>
    </row>
    <row r="237">
      <c r="A237" s="1">
        <f t="shared" si="69"/>
        <v>15</v>
      </c>
      <c r="B237" s="62"/>
      <c r="C237" s="1"/>
      <c r="D237" s="1"/>
      <c r="E237" s="1"/>
    </row>
    <row r="238">
      <c r="A238" s="1">
        <f t="shared" si="69"/>
        <v>16</v>
      </c>
      <c r="B238" s="62"/>
      <c r="C238" s="1"/>
      <c r="D238" s="1"/>
      <c r="E238" s="1"/>
    </row>
    <row r="239">
      <c r="A239" s="1">
        <f t="shared" si="69"/>
        <v>17</v>
      </c>
      <c r="B239" s="62"/>
      <c r="C239" s="1"/>
      <c r="D239" s="1"/>
      <c r="E239" s="1"/>
    </row>
    <row r="240">
      <c r="A240" s="1">
        <f t="shared" si="69"/>
        <v>18</v>
      </c>
      <c r="B240" s="62"/>
      <c r="C240" s="1"/>
      <c r="D240" s="1"/>
      <c r="E240" s="1"/>
    </row>
    <row r="241">
      <c r="A241" s="1">
        <f t="shared" si="69"/>
        <v>19</v>
      </c>
      <c r="B241" s="62"/>
      <c r="C241" s="1"/>
      <c r="D241" s="1"/>
      <c r="E241" s="1"/>
    </row>
    <row r="242">
      <c r="A242" s="1">
        <f t="shared" si="69"/>
        <v>20</v>
      </c>
      <c r="B242" s="62"/>
      <c r="C242" s="1"/>
      <c r="D242" s="1"/>
      <c r="E242" s="1"/>
    </row>
    <row r="243">
      <c r="A243" s="1">
        <f t="shared" si="69"/>
        <v>21</v>
      </c>
      <c r="B243" s="62"/>
      <c r="C243" s="1"/>
      <c r="D243" s="1"/>
      <c r="E243" s="1"/>
    </row>
    <row r="244">
      <c r="A244" s="1">
        <f t="shared" si="69"/>
        <v>22</v>
      </c>
      <c r="B244" s="62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</cols>
  <sheetData>
    <row r="1">
      <c r="A1" s="1"/>
      <c r="B1" s="2" t="s">
        <v>1</v>
      </c>
      <c r="C1" s="5">
        <v>45451.0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19.0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  <c r="Q3" s="20" t="s">
        <v>27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34</v>
      </c>
      <c r="R4" s="24" t="s">
        <v>35</v>
      </c>
      <c r="S4" s="24" t="s">
        <v>36</v>
      </c>
      <c r="T4" s="24" t="s">
        <v>37</v>
      </c>
    </row>
    <row r="5">
      <c r="A5" s="26">
        <v>1.0</v>
      </c>
      <c r="B5" s="27" t="s">
        <v>38</v>
      </c>
      <c r="C5" s="28">
        <v>254.0</v>
      </c>
      <c r="D5" s="29">
        <v>28.0</v>
      </c>
      <c r="E5" s="30">
        <v>3.0</v>
      </c>
      <c r="F5" s="31">
        <v>0.0</v>
      </c>
      <c r="G5" s="28">
        <v>9.0</v>
      </c>
      <c r="H5" s="31">
        <v>0.0</v>
      </c>
      <c r="I5" s="31">
        <v>0.0</v>
      </c>
      <c r="J5" s="31">
        <v>0.0</v>
      </c>
      <c r="K5" s="33">
        <v>9.0</v>
      </c>
      <c r="L5" s="31">
        <v>0.0</v>
      </c>
      <c r="M5" s="28">
        <f t="shared" ref="M5:N5" si="1">C5+K5</f>
        <v>263</v>
      </c>
      <c r="N5" s="29">
        <f t="shared" si="1"/>
        <v>28</v>
      </c>
      <c r="O5" s="35" t="s">
        <v>46</v>
      </c>
      <c r="P5" s="35" t="s">
        <v>46</v>
      </c>
      <c r="Q5" s="35"/>
      <c r="R5" s="31">
        <f>if(G5=13,1,0)+VLOOKUP(B5,'052524'!B:T,17,false)</f>
        <v>1</v>
      </c>
      <c r="S5" s="31"/>
      <c r="T5" s="31">
        <f>if(G5=9,1,0)+VLOOKUP(B5,'052524'!B:T,19,false)</f>
        <v>7</v>
      </c>
    </row>
    <row r="6">
      <c r="A6" s="26">
        <f t="shared" ref="A6:A69" si="3">A5+1</f>
        <v>2</v>
      </c>
      <c r="B6" s="27" t="s">
        <v>48</v>
      </c>
      <c r="C6" s="28">
        <v>243.0</v>
      </c>
      <c r="D6" s="29">
        <v>23.0</v>
      </c>
      <c r="E6" s="30">
        <v>2.0</v>
      </c>
      <c r="F6" s="31">
        <v>1.0</v>
      </c>
      <c r="G6" s="28">
        <v>0.0</v>
      </c>
      <c r="H6" s="31">
        <v>6.0</v>
      </c>
      <c r="I6" s="31">
        <v>6.0</v>
      </c>
      <c r="J6" s="31">
        <v>6.0</v>
      </c>
      <c r="K6" s="33">
        <v>18.0</v>
      </c>
      <c r="L6" s="31">
        <v>3.0</v>
      </c>
      <c r="M6" s="28">
        <f t="shared" ref="M6:N6" si="2">C6+K6</f>
        <v>261</v>
      </c>
      <c r="N6" s="29">
        <f t="shared" si="2"/>
        <v>26</v>
      </c>
      <c r="O6" s="35" t="s">
        <v>46</v>
      </c>
      <c r="P6" s="35" t="s">
        <v>46</v>
      </c>
      <c r="Q6" s="35"/>
      <c r="R6" s="31">
        <f>if(G6=13,1,0)+VLOOKUP(B6,'052524'!B:T,17,false)</f>
        <v>2</v>
      </c>
      <c r="S6" s="31"/>
      <c r="T6" s="31">
        <f>if(G6=9,1,0)+VLOOKUP(B6,'052524'!B:T,19,false)</f>
        <v>6</v>
      </c>
    </row>
    <row r="7">
      <c r="A7" s="26">
        <f t="shared" si="3"/>
        <v>3</v>
      </c>
      <c r="B7" s="39" t="s">
        <v>52</v>
      </c>
      <c r="C7" s="28">
        <v>237.0</v>
      </c>
      <c r="D7" s="29">
        <v>27.0</v>
      </c>
      <c r="E7" s="30">
        <v>1.0</v>
      </c>
      <c r="F7" s="31">
        <v>1.0</v>
      </c>
      <c r="G7" s="28">
        <v>0.0</v>
      </c>
      <c r="H7" s="31">
        <v>6.0</v>
      </c>
      <c r="I7" s="31">
        <v>3.0</v>
      </c>
      <c r="J7" s="31">
        <v>4.0</v>
      </c>
      <c r="K7" s="33">
        <v>13.0</v>
      </c>
      <c r="L7" s="31">
        <v>1.0</v>
      </c>
      <c r="M7" s="28">
        <f t="shared" ref="M7:N7" si="4">C7+K7</f>
        <v>250</v>
      </c>
      <c r="N7" s="29">
        <f t="shared" si="4"/>
        <v>28</v>
      </c>
      <c r="O7" s="35" t="s">
        <v>46</v>
      </c>
      <c r="P7" s="35" t="s">
        <v>46</v>
      </c>
      <c r="Q7" s="35" t="s">
        <v>46</v>
      </c>
      <c r="R7" s="31">
        <f>if(G7=13,1,0)+VLOOKUP(B7,'052524'!B:T,17,false)</f>
        <v>0</v>
      </c>
      <c r="S7" s="31"/>
      <c r="T7" s="31">
        <f>if(G7=9,1,0)+VLOOKUP(B7,'052524'!B:T,19,false)</f>
        <v>4</v>
      </c>
    </row>
    <row r="8">
      <c r="A8" s="26">
        <f t="shared" si="3"/>
        <v>4</v>
      </c>
      <c r="B8" s="27" t="s">
        <v>60</v>
      </c>
      <c r="C8" s="28">
        <v>229.0</v>
      </c>
      <c r="D8" s="29">
        <v>16.0</v>
      </c>
      <c r="E8" s="30">
        <v>3.0</v>
      </c>
      <c r="F8" s="31">
        <v>0.0</v>
      </c>
      <c r="G8" s="28">
        <v>9.0</v>
      </c>
      <c r="H8" s="31">
        <v>0.0</v>
      </c>
      <c r="I8" s="31">
        <v>0.0</v>
      </c>
      <c r="J8" s="31">
        <v>0.0</v>
      </c>
      <c r="K8" s="33">
        <v>9.0</v>
      </c>
      <c r="L8" s="31">
        <v>0.0</v>
      </c>
      <c r="M8" s="28">
        <f t="shared" ref="M8:N8" si="5">C8+K8</f>
        <v>238</v>
      </c>
      <c r="N8" s="29">
        <f t="shared" si="5"/>
        <v>16</v>
      </c>
      <c r="O8" s="35" t="s">
        <v>46</v>
      </c>
      <c r="P8" s="35" t="s">
        <v>46</v>
      </c>
      <c r="Q8" s="35"/>
      <c r="R8" s="31">
        <f>if(G8=13,1,0)+VLOOKUP(B8,'052524'!B:T,17,false)</f>
        <v>2</v>
      </c>
      <c r="S8" s="31"/>
      <c r="T8" s="31">
        <f>if(G8=9,1,0)+VLOOKUP(B8,'052524'!B:T,19,false)</f>
        <v>10</v>
      </c>
    </row>
    <row r="9">
      <c r="A9" s="26">
        <f t="shared" si="3"/>
        <v>5</v>
      </c>
      <c r="B9" s="27" t="s">
        <v>57</v>
      </c>
      <c r="C9" s="28">
        <v>228.0</v>
      </c>
      <c r="D9" s="29">
        <v>20.0</v>
      </c>
      <c r="E9" s="30">
        <v>1.0</v>
      </c>
      <c r="F9" s="31">
        <v>1.0</v>
      </c>
      <c r="G9" s="28">
        <v>0.0</v>
      </c>
      <c r="H9" s="31">
        <v>2.0</v>
      </c>
      <c r="I9" s="31">
        <v>6.0</v>
      </c>
      <c r="J9" s="31">
        <v>4.0</v>
      </c>
      <c r="K9" s="33">
        <v>12.0</v>
      </c>
      <c r="L9" s="31">
        <v>1.0</v>
      </c>
      <c r="M9" s="28">
        <f t="shared" ref="M9:N9" si="6">C9+K9</f>
        <v>240</v>
      </c>
      <c r="N9" s="29">
        <f t="shared" si="6"/>
        <v>21</v>
      </c>
      <c r="O9" s="35" t="s">
        <v>46</v>
      </c>
      <c r="P9" s="35" t="s">
        <v>46</v>
      </c>
      <c r="Q9" s="35" t="s">
        <v>46</v>
      </c>
      <c r="R9" s="31">
        <f>if(G9=13,1,0)+VLOOKUP(B9,'052524'!B:T,17,false)</f>
        <v>0</v>
      </c>
      <c r="S9" s="31"/>
      <c r="T9" s="31">
        <f>if(G9=9,1,0)+VLOOKUP(B9,'052524'!B:T,19,false)</f>
        <v>7</v>
      </c>
    </row>
    <row r="10">
      <c r="A10" s="26">
        <f t="shared" si="3"/>
        <v>6</v>
      </c>
      <c r="B10" s="27" t="s">
        <v>75</v>
      </c>
      <c r="C10" s="28">
        <v>226.0</v>
      </c>
      <c r="D10" s="29">
        <v>19.0</v>
      </c>
      <c r="E10" s="30">
        <v>1.0</v>
      </c>
      <c r="F10" s="31">
        <v>1.0</v>
      </c>
      <c r="G10" s="28">
        <v>0.0</v>
      </c>
      <c r="H10" s="31">
        <v>2.0</v>
      </c>
      <c r="I10" s="31">
        <v>3.0</v>
      </c>
      <c r="J10" s="31">
        <v>6.0</v>
      </c>
      <c r="K10" s="33">
        <v>11.0</v>
      </c>
      <c r="L10" s="31">
        <v>1.0</v>
      </c>
      <c r="M10" s="28">
        <f t="shared" ref="M10:N10" si="7">C10+K10</f>
        <v>237</v>
      </c>
      <c r="N10" s="29">
        <f t="shared" si="7"/>
        <v>20</v>
      </c>
      <c r="O10" s="35" t="s">
        <v>46</v>
      </c>
      <c r="P10" s="35" t="s">
        <v>46</v>
      </c>
      <c r="Q10" s="35"/>
      <c r="R10" s="31">
        <f>if(G10=13,1,0)+VLOOKUP(B10,'052524'!B:T,17,false)</f>
        <v>1</v>
      </c>
      <c r="S10" s="31"/>
      <c r="T10" s="31">
        <f>if(G10=9,1,0)+VLOOKUP(B10,'052524'!B:T,19,false)</f>
        <v>3</v>
      </c>
    </row>
    <row r="11">
      <c r="A11" s="26">
        <f t="shared" si="3"/>
        <v>7</v>
      </c>
      <c r="B11" s="27" t="s">
        <v>81</v>
      </c>
      <c r="C11" s="28">
        <v>225.0</v>
      </c>
      <c r="D11" s="29">
        <v>22.0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234</v>
      </c>
      <c r="N11" s="29">
        <f t="shared" si="8"/>
        <v>22</v>
      </c>
      <c r="O11" s="35" t="s">
        <v>46</v>
      </c>
      <c r="P11" s="35" t="s">
        <v>46</v>
      </c>
      <c r="Q11" s="35" t="s">
        <v>46</v>
      </c>
      <c r="R11" s="31">
        <f>if(G11=13,1,0)+VLOOKUP(B11,'052524'!B:T,17,false)</f>
        <v>0</v>
      </c>
      <c r="S11" s="31"/>
      <c r="T11" s="31">
        <f>if(G11=9,1,0)+VLOOKUP(B11,'052524'!B:T,19,false)</f>
        <v>5</v>
      </c>
    </row>
    <row r="12">
      <c r="A12" s="26">
        <f t="shared" si="3"/>
        <v>8</v>
      </c>
      <c r="B12" s="27" t="s">
        <v>56</v>
      </c>
      <c r="C12" s="28">
        <v>224.0</v>
      </c>
      <c r="D12" s="29">
        <v>18.0</v>
      </c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f t="shared" ref="M12:N12" si="9">C12+K12</f>
        <v>233</v>
      </c>
      <c r="N12" s="29">
        <f t="shared" si="9"/>
        <v>18</v>
      </c>
      <c r="O12" s="35" t="s">
        <v>46</v>
      </c>
      <c r="P12" s="35" t="s">
        <v>46</v>
      </c>
      <c r="Q12" s="35" t="s">
        <v>46</v>
      </c>
      <c r="R12" s="31">
        <f>if(G12=13,1,0)+VLOOKUP(B12,'052524'!B:T,17,false)</f>
        <v>0</v>
      </c>
      <c r="S12" s="31"/>
      <c r="T12" s="31">
        <f>if(G12=9,1,0)+VLOOKUP(B12,'052524'!B:T,19,false)</f>
        <v>12</v>
      </c>
    </row>
    <row r="13">
      <c r="A13" s="26">
        <f t="shared" si="3"/>
        <v>9</v>
      </c>
      <c r="B13" s="39" t="s">
        <v>50</v>
      </c>
      <c r="C13" s="28">
        <v>221.0</v>
      </c>
      <c r="D13" s="29">
        <v>20.0</v>
      </c>
      <c r="E13" s="30">
        <v>1.0</v>
      </c>
      <c r="F13" s="31">
        <v>2.0</v>
      </c>
      <c r="G13" s="28">
        <v>0.0</v>
      </c>
      <c r="H13" s="31">
        <v>6.0</v>
      </c>
      <c r="I13" s="31">
        <v>6.0</v>
      </c>
      <c r="J13" s="31">
        <v>6.0</v>
      </c>
      <c r="K13" s="33">
        <v>18.0</v>
      </c>
      <c r="L13" s="31">
        <v>3.0</v>
      </c>
      <c r="M13" s="28">
        <f t="shared" ref="M13:N13" si="10">C13+K13</f>
        <v>239</v>
      </c>
      <c r="N13" s="29">
        <f t="shared" si="10"/>
        <v>23</v>
      </c>
      <c r="O13" s="35" t="s">
        <v>46</v>
      </c>
      <c r="P13" s="35" t="s">
        <v>46</v>
      </c>
      <c r="Q13" s="35" t="s">
        <v>46</v>
      </c>
      <c r="R13" s="31">
        <f>if(G13=13,1,0)+VLOOKUP(B13,'052524'!B:T,17,false)</f>
        <v>0</v>
      </c>
      <c r="S13" s="31"/>
      <c r="T13" s="31">
        <f>if(G13=9,1,0)+VLOOKUP(B13,'052524'!B:T,19,false)</f>
        <v>10</v>
      </c>
    </row>
    <row r="14">
      <c r="A14" s="26">
        <f t="shared" si="3"/>
        <v>10</v>
      </c>
      <c r="B14" s="27" t="s">
        <v>61</v>
      </c>
      <c r="C14" s="28">
        <v>221.0</v>
      </c>
      <c r="D14" s="29">
        <v>19.0</v>
      </c>
      <c r="E14" s="30">
        <v>2.0</v>
      </c>
      <c r="F14" s="31">
        <v>2.0</v>
      </c>
      <c r="G14" s="28">
        <v>0.0</v>
      </c>
      <c r="H14" s="31">
        <v>1.0</v>
      </c>
      <c r="I14" s="31">
        <v>1.0</v>
      </c>
      <c r="J14" s="31">
        <v>6.0</v>
      </c>
      <c r="K14" s="33">
        <v>8.0</v>
      </c>
      <c r="L14" s="31">
        <v>1.0</v>
      </c>
      <c r="M14" s="28">
        <f t="shared" ref="M14:N14" si="11">C14+K14</f>
        <v>229</v>
      </c>
      <c r="N14" s="29">
        <f t="shared" si="11"/>
        <v>20</v>
      </c>
      <c r="O14" s="35" t="s">
        <v>46</v>
      </c>
      <c r="P14" s="35" t="s">
        <v>46</v>
      </c>
      <c r="Q14" s="35" t="s">
        <v>46</v>
      </c>
      <c r="R14" s="31">
        <f>if(G14=13,1,0)+VLOOKUP(B14,'052524'!B:T,17,false)</f>
        <v>2</v>
      </c>
      <c r="S14" s="31"/>
      <c r="T14" s="31">
        <f>if(G14=9,1,0)+VLOOKUP(B14,'052524'!B:T,19,false)</f>
        <v>4</v>
      </c>
    </row>
    <row r="15">
      <c r="A15" s="26">
        <f t="shared" si="3"/>
        <v>11</v>
      </c>
      <c r="B15" s="27" t="s">
        <v>77</v>
      </c>
      <c r="C15" s="28">
        <v>221.0</v>
      </c>
      <c r="D15" s="29">
        <v>13.0</v>
      </c>
      <c r="E15" s="30">
        <v>1.0</v>
      </c>
      <c r="F15" s="31">
        <v>2.0</v>
      </c>
      <c r="G15" s="28">
        <v>0.0</v>
      </c>
      <c r="H15" s="31">
        <v>6.0</v>
      </c>
      <c r="I15" s="31">
        <v>1.0</v>
      </c>
      <c r="J15" s="31">
        <v>1.0</v>
      </c>
      <c r="K15" s="33">
        <v>8.0</v>
      </c>
      <c r="L15" s="31">
        <v>1.0</v>
      </c>
      <c r="M15" s="28">
        <f t="shared" ref="M15:N15" si="12">C15+K15</f>
        <v>229</v>
      </c>
      <c r="N15" s="29">
        <f t="shared" si="12"/>
        <v>14</v>
      </c>
      <c r="O15" s="35" t="s">
        <v>46</v>
      </c>
      <c r="P15" s="35" t="s">
        <v>46</v>
      </c>
      <c r="Q15" s="35"/>
      <c r="R15" s="31">
        <f>if(G15=13,1,0)+VLOOKUP(B15,'052524'!B:T,17,false)</f>
        <v>2</v>
      </c>
      <c r="S15" s="31"/>
      <c r="T15" s="31">
        <f>if(G15=9,1,0)+VLOOKUP(B15,'052524'!B:T,19,false)</f>
        <v>6</v>
      </c>
    </row>
    <row r="16">
      <c r="A16" s="26">
        <f t="shared" si="3"/>
        <v>12</v>
      </c>
      <c r="B16" s="27" t="s">
        <v>90</v>
      </c>
      <c r="C16" s="28">
        <v>216.0</v>
      </c>
      <c r="D16" s="29">
        <v>17.0</v>
      </c>
      <c r="E16" s="30">
        <v>1.0</v>
      </c>
      <c r="F16" s="31">
        <v>2.0</v>
      </c>
      <c r="G16" s="28">
        <v>0.0</v>
      </c>
      <c r="H16" s="31">
        <v>1.0</v>
      </c>
      <c r="I16" s="31">
        <v>6.0</v>
      </c>
      <c r="J16" s="31">
        <v>1.0</v>
      </c>
      <c r="K16" s="33">
        <v>8.0</v>
      </c>
      <c r="L16" s="31">
        <v>1.0</v>
      </c>
      <c r="M16" s="28">
        <f t="shared" ref="M16:N16" si="13">C16+K16</f>
        <v>224</v>
      </c>
      <c r="N16" s="29">
        <f t="shared" si="13"/>
        <v>18</v>
      </c>
      <c r="O16" s="35" t="s">
        <v>46</v>
      </c>
      <c r="P16" s="35" t="s">
        <v>46</v>
      </c>
      <c r="Q16" s="35" t="s">
        <v>46</v>
      </c>
      <c r="R16" s="31">
        <f>if(G16=13,1,0)+VLOOKUP(B16,'052524'!B:T,17,false)</f>
        <v>0</v>
      </c>
      <c r="S16" s="31"/>
      <c r="T16" s="31">
        <f>if(G16=9,1,0)+VLOOKUP(B16,'052524'!B:T,19,false)</f>
        <v>11</v>
      </c>
    </row>
    <row r="17">
      <c r="A17" s="26">
        <f t="shared" si="3"/>
        <v>13</v>
      </c>
      <c r="B17" s="39" t="s">
        <v>103</v>
      </c>
      <c r="C17" s="28">
        <v>215.0</v>
      </c>
      <c r="D17" s="29">
        <v>15.0</v>
      </c>
      <c r="E17" s="30">
        <v>1.0</v>
      </c>
      <c r="F17" s="31">
        <v>3.0</v>
      </c>
      <c r="G17" s="28">
        <v>0.0</v>
      </c>
      <c r="H17" s="31">
        <v>1.0</v>
      </c>
      <c r="I17" s="31">
        <v>3.0</v>
      </c>
      <c r="J17" s="31">
        <v>7.0</v>
      </c>
      <c r="K17" s="33">
        <v>11.0</v>
      </c>
      <c r="L17" s="31">
        <v>1.0</v>
      </c>
      <c r="M17" s="28">
        <f t="shared" ref="M17:N17" si="14">C17+K17</f>
        <v>226</v>
      </c>
      <c r="N17" s="29">
        <f t="shared" si="14"/>
        <v>16</v>
      </c>
      <c r="O17" s="35" t="s">
        <v>46</v>
      </c>
      <c r="P17" s="35" t="s">
        <v>46</v>
      </c>
      <c r="Q17" s="35" t="s">
        <v>46</v>
      </c>
      <c r="R17" s="31">
        <f>if(G17=13,1,0)+VLOOKUP(B17,'052524'!B:T,17,false)</f>
        <v>1</v>
      </c>
      <c r="S17" s="31"/>
      <c r="T17" s="31">
        <f>if(G17=9,1,0)+VLOOKUP(B17,'052524'!B:T,19,false)</f>
        <v>9</v>
      </c>
    </row>
    <row r="18">
      <c r="A18" s="26">
        <f t="shared" si="3"/>
        <v>14</v>
      </c>
      <c r="B18" s="27" t="s">
        <v>63</v>
      </c>
      <c r="C18" s="28">
        <v>214.0</v>
      </c>
      <c r="D18" s="29">
        <v>17.0</v>
      </c>
      <c r="E18" s="30">
        <v>1.0</v>
      </c>
      <c r="F18" s="31">
        <v>3.0</v>
      </c>
      <c r="G18" s="28">
        <v>0.0</v>
      </c>
      <c r="H18" s="31">
        <v>6.0</v>
      </c>
      <c r="I18" s="31">
        <v>3.0</v>
      </c>
      <c r="J18" s="31">
        <v>6.0</v>
      </c>
      <c r="K18" s="33">
        <v>15.0</v>
      </c>
      <c r="L18" s="31">
        <v>1.0</v>
      </c>
      <c r="M18" s="28">
        <f t="shared" ref="M18:N18" si="15">C18+K18</f>
        <v>229</v>
      </c>
      <c r="N18" s="29">
        <f t="shared" si="15"/>
        <v>18</v>
      </c>
      <c r="O18" s="35" t="s">
        <v>46</v>
      </c>
      <c r="P18" s="35" t="s">
        <v>46</v>
      </c>
      <c r="Q18" s="35" t="s">
        <v>46</v>
      </c>
      <c r="R18" s="31">
        <f>if(G18=13,1,0)+VLOOKUP(B18,'052524'!B:T,17,false)</f>
        <v>2</v>
      </c>
      <c r="S18" s="31"/>
      <c r="T18" s="31">
        <f>if(G18=9,1,0)+VLOOKUP(B18,'052524'!B:T,19,false)</f>
        <v>2</v>
      </c>
    </row>
    <row r="19">
      <c r="A19" s="26">
        <f t="shared" si="3"/>
        <v>15</v>
      </c>
      <c r="B19" s="39" t="s">
        <v>55</v>
      </c>
      <c r="C19" s="28">
        <v>213.0</v>
      </c>
      <c r="D19" s="29">
        <v>17.0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222</v>
      </c>
      <c r="N19" s="29">
        <f t="shared" si="16"/>
        <v>17</v>
      </c>
      <c r="O19" s="35" t="s">
        <v>46</v>
      </c>
      <c r="P19" s="35" t="s">
        <v>46</v>
      </c>
      <c r="Q19" s="35"/>
      <c r="R19" s="31">
        <f>if(G19=13,1,0)+VLOOKUP(B19,'052524'!B:T,17,false)</f>
        <v>1</v>
      </c>
      <c r="S19" s="31"/>
      <c r="T19" s="31">
        <f>if(G19=9,1,0)+VLOOKUP(B19,'052524'!B:T,19,false)</f>
        <v>10</v>
      </c>
    </row>
    <row r="20">
      <c r="A20" s="26">
        <f t="shared" si="3"/>
        <v>16</v>
      </c>
      <c r="B20" s="27" t="s">
        <v>102</v>
      </c>
      <c r="C20" s="28">
        <v>213.0</v>
      </c>
      <c r="D20" s="29">
        <v>15.0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222</v>
      </c>
      <c r="N20" s="29">
        <f t="shared" si="17"/>
        <v>15</v>
      </c>
      <c r="O20" s="35" t="s">
        <v>46</v>
      </c>
      <c r="P20" s="35" t="s">
        <v>46</v>
      </c>
      <c r="Q20" s="35"/>
      <c r="R20" s="31">
        <f>if(G20=13,1,0)+VLOOKUP(B20,'052524'!B:T,17,false)</f>
        <v>0</v>
      </c>
      <c r="S20" s="31"/>
      <c r="T20" s="31">
        <f>if(G20=9,1,0)+VLOOKUP(B20,'052524'!B:T,19,false)</f>
        <v>12</v>
      </c>
    </row>
    <row r="21">
      <c r="A21" s="26">
        <f t="shared" si="3"/>
        <v>17</v>
      </c>
      <c r="B21" s="39" t="s">
        <v>86</v>
      </c>
      <c r="C21" s="28">
        <v>212.0</v>
      </c>
      <c r="D21" s="29">
        <v>19.0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221</v>
      </c>
      <c r="N21" s="29">
        <f t="shared" si="18"/>
        <v>19</v>
      </c>
      <c r="O21" s="35" t="s">
        <v>46</v>
      </c>
      <c r="P21" s="35" t="s">
        <v>46</v>
      </c>
      <c r="Q21" s="35"/>
      <c r="R21" s="31">
        <f>if(G21=13,1,0)+VLOOKUP(B21,'052524'!B:T,17,false)</f>
        <v>1</v>
      </c>
      <c r="S21" s="31"/>
      <c r="T21" s="31">
        <f>if(G21=9,1,0)+VLOOKUP(B21,'052524'!B:T,19,false)</f>
        <v>5</v>
      </c>
    </row>
    <row r="22">
      <c r="A22" s="26">
        <f t="shared" si="3"/>
        <v>18</v>
      </c>
      <c r="B22" s="27" t="s">
        <v>82</v>
      </c>
      <c r="C22" s="28">
        <v>212.0</v>
      </c>
      <c r="D22" s="29">
        <v>15.0</v>
      </c>
      <c r="E22" s="30">
        <v>1.0</v>
      </c>
      <c r="F22" s="31">
        <v>3.0</v>
      </c>
      <c r="G22" s="28">
        <v>0.0</v>
      </c>
      <c r="H22" s="31">
        <v>6.0</v>
      </c>
      <c r="I22" s="31">
        <v>6.0</v>
      </c>
      <c r="J22" s="31">
        <v>7.0</v>
      </c>
      <c r="K22" s="33">
        <v>19.0</v>
      </c>
      <c r="L22" s="31">
        <v>3.0</v>
      </c>
      <c r="M22" s="28">
        <f t="shared" ref="M22:N22" si="19">C22+K22</f>
        <v>231</v>
      </c>
      <c r="N22" s="29">
        <f t="shared" si="19"/>
        <v>18</v>
      </c>
      <c r="O22" s="35" t="s">
        <v>46</v>
      </c>
      <c r="P22" s="35" t="s">
        <v>46</v>
      </c>
      <c r="Q22" s="35"/>
      <c r="R22" s="31">
        <f>if(G22=13,1,0)+VLOOKUP(B22,'052524'!B:T,17,false)</f>
        <v>1</v>
      </c>
      <c r="S22" s="31"/>
      <c r="T22" s="31">
        <f>if(G22=9,1,0)+VLOOKUP(B22,'052524'!B:T,19,false)</f>
        <v>11</v>
      </c>
    </row>
    <row r="23">
      <c r="A23" s="26">
        <f t="shared" si="3"/>
        <v>19</v>
      </c>
      <c r="B23" s="54" t="s">
        <v>59</v>
      </c>
      <c r="C23" s="28">
        <v>211.0</v>
      </c>
      <c r="D23" s="29">
        <v>18.0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220</v>
      </c>
      <c r="N23" s="29">
        <f t="shared" si="20"/>
        <v>18</v>
      </c>
      <c r="O23" s="35" t="s">
        <v>46</v>
      </c>
      <c r="P23" s="35" t="s">
        <v>46</v>
      </c>
      <c r="Q23" s="35"/>
      <c r="R23" s="31">
        <f>if(G23=13,1,0)+VLOOKUP(B23,'052524'!B:T,17,false)</f>
        <v>1</v>
      </c>
      <c r="S23" s="31"/>
      <c r="T23" s="31">
        <f>if(G23=9,1,0)+VLOOKUP(B23,'052524'!B:T,19,false)</f>
        <v>7</v>
      </c>
    </row>
    <row r="24">
      <c r="A24" s="26">
        <f t="shared" si="3"/>
        <v>20</v>
      </c>
      <c r="B24" s="27" t="s">
        <v>84</v>
      </c>
      <c r="C24" s="28">
        <v>209.0</v>
      </c>
      <c r="D24" s="29">
        <v>15.0</v>
      </c>
      <c r="E24" s="30">
        <v>1.0</v>
      </c>
      <c r="F24" s="31">
        <v>3.0</v>
      </c>
      <c r="G24" s="28">
        <v>0.0</v>
      </c>
      <c r="H24" s="31">
        <v>1.0</v>
      </c>
      <c r="I24" s="31">
        <v>6.0</v>
      </c>
      <c r="J24" s="31">
        <v>6.0</v>
      </c>
      <c r="K24" s="33">
        <v>13.0</v>
      </c>
      <c r="L24" s="31">
        <v>1.0</v>
      </c>
      <c r="M24" s="28">
        <f t="shared" ref="M24:N24" si="21">C24+K24</f>
        <v>222</v>
      </c>
      <c r="N24" s="29">
        <f t="shared" si="21"/>
        <v>16</v>
      </c>
      <c r="O24" s="35" t="s">
        <v>46</v>
      </c>
      <c r="P24" s="35" t="s">
        <v>46</v>
      </c>
      <c r="Q24" s="35"/>
      <c r="R24" s="31">
        <f>if(G24=13,1,0)+VLOOKUP(B24,'052524'!B:T,17,false)</f>
        <v>2</v>
      </c>
      <c r="S24" s="31"/>
      <c r="T24" s="31">
        <f>if(G24=9,1,0)+VLOOKUP(B24,'052524'!B:T,19,false)</f>
        <v>1</v>
      </c>
    </row>
    <row r="25">
      <c r="A25" s="26">
        <f t="shared" si="3"/>
        <v>21</v>
      </c>
      <c r="B25" s="54" t="s">
        <v>95</v>
      </c>
      <c r="C25" s="28">
        <v>208.0</v>
      </c>
      <c r="D25" s="29">
        <v>17.0</v>
      </c>
      <c r="E25" s="30">
        <v>2.0</v>
      </c>
      <c r="F25" s="31">
        <v>5.0</v>
      </c>
      <c r="G25" s="28">
        <v>0.0</v>
      </c>
      <c r="H25" s="31">
        <v>1.0</v>
      </c>
      <c r="I25" s="31">
        <v>6.0</v>
      </c>
      <c r="J25" s="31">
        <v>3.0</v>
      </c>
      <c r="K25" s="33">
        <v>10.0</v>
      </c>
      <c r="L25" s="31">
        <v>1.0</v>
      </c>
      <c r="M25" s="28">
        <f t="shared" ref="M25:N25" si="22">C25+K25</f>
        <v>218</v>
      </c>
      <c r="N25" s="29">
        <f t="shared" si="22"/>
        <v>18</v>
      </c>
      <c r="O25" s="35" t="s">
        <v>46</v>
      </c>
      <c r="P25" s="35" t="s">
        <v>46</v>
      </c>
      <c r="Q25" s="35" t="s">
        <v>46</v>
      </c>
      <c r="R25" s="31">
        <f>if(G25=13,1,0)+VLOOKUP(B25,'052524'!B:T,17,false)</f>
        <v>0</v>
      </c>
      <c r="S25" s="31"/>
      <c r="T25" s="31">
        <f>if(G25=9,1,0)+VLOOKUP(B25,'052524'!B:T,19,false)</f>
        <v>4</v>
      </c>
    </row>
    <row r="26">
      <c r="A26" s="26">
        <f t="shared" si="3"/>
        <v>22</v>
      </c>
      <c r="B26" s="27" t="s">
        <v>96</v>
      </c>
      <c r="C26" s="28">
        <v>207.0</v>
      </c>
      <c r="D26" s="29">
        <v>15.0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216</v>
      </c>
      <c r="N26" s="29">
        <f t="shared" si="23"/>
        <v>15</v>
      </c>
      <c r="O26" s="35" t="s">
        <v>46</v>
      </c>
      <c r="P26" s="35" t="s">
        <v>46</v>
      </c>
      <c r="Q26" s="35"/>
      <c r="R26" s="31">
        <f>if(G26=13,1,0)+VLOOKUP(B26,'052524'!B:T,17,false)</f>
        <v>1</v>
      </c>
      <c r="S26" s="31"/>
      <c r="T26" s="31">
        <f>if(G26=9,1,0)+VLOOKUP(B26,'052524'!B:T,19,false)</f>
        <v>5</v>
      </c>
    </row>
    <row r="27">
      <c r="A27" s="26">
        <f t="shared" si="3"/>
        <v>23</v>
      </c>
      <c r="B27" s="27" t="s">
        <v>65</v>
      </c>
      <c r="C27" s="28">
        <v>207.0</v>
      </c>
      <c r="D27" s="29">
        <v>15.0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216</v>
      </c>
      <c r="N27" s="29">
        <f t="shared" si="24"/>
        <v>15</v>
      </c>
      <c r="O27" s="35" t="s">
        <v>46</v>
      </c>
      <c r="P27" s="35" t="s">
        <v>46</v>
      </c>
      <c r="Q27" s="35"/>
      <c r="R27" s="31">
        <f>if(G27=13,1,0)+VLOOKUP(B27,'052524'!B:T,17,false)</f>
        <v>0</v>
      </c>
      <c r="S27" s="31"/>
      <c r="T27" s="31">
        <f>if(G27=9,1,0)+VLOOKUP(B27,'052524'!B:T,19,false)</f>
        <v>14</v>
      </c>
    </row>
    <row r="28">
      <c r="A28" s="26">
        <f t="shared" si="3"/>
        <v>24</v>
      </c>
      <c r="B28" s="27" t="s">
        <v>68</v>
      </c>
      <c r="C28" s="28">
        <v>207.0</v>
      </c>
      <c r="D28" s="29">
        <v>14.0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216</v>
      </c>
      <c r="N28" s="29">
        <f t="shared" si="25"/>
        <v>14</v>
      </c>
      <c r="O28" s="35" t="s">
        <v>46</v>
      </c>
      <c r="P28" s="35" t="s">
        <v>46</v>
      </c>
      <c r="Q28" s="35"/>
      <c r="R28" s="31">
        <f>if(G28=13,1,0)+VLOOKUP(B28,'052524'!B:T,17,false)</f>
        <v>2</v>
      </c>
      <c r="S28" s="31"/>
      <c r="T28" s="31">
        <f>if(G28=9,1,0)+VLOOKUP(B28,'052524'!B:T,19,false)</f>
        <v>11</v>
      </c>
    </row>
    <row r="29">
      <c r="A29" s="26">
        <f t="shared" si="3"/>
        <v>25</v>
      </c>
      <c r="B29" s="27" t="s">
        <v>78</v>
      </c>
      <c r="C29" s="28">
        <v>205.0</v>
      </c>
      <c r="D29" s="29">
        <v>18.0</v>
      </c>
      <c r="E29" s="30">
        <v>2.0</v>
      </c>
      <c r="F29" s="31">
        <v>5.0</v>
      </c>
      <c r="G29" s="28">
        <v>0.0</v>
      </c>
      <c r="H29" s="31">
        <v>1.0</v>
      </c>
      <c r="I29" s="31">
        <v>2.0</v>
      </c>
      <c r="J29" s="31">
        <v>6.0</v>
      </c>
      <c r="K29" s="33">
        <v>9.0</v>
      </c>
      <c r="L29" s="31">
        <v>1.0</v>
      </c>
      <c r="M29" s="28">
        <f t="shared" ref="M29:N29" si="26">C29+K29</f>
        <v>214</v>
      </c>
      <c r="N29" s="29">
        <f t="shared" si="26"/>
        <v>19</v>
      </c>
      <c r="O29" s="35" t="s">
        <v>46</v>
      </c>
      <c r="P29" s="35" t="s">
        <v>46</v>
      </c>
      <c r="Q29" s="35"/>
      <c r="R29" s="31">
        <f>if(G29=13,1,0)+VLOOKUP(B29,'052524'!B:T,17,false)</f>
        <v>0</v>
      </c>
      <c r="S29" s="31"/>
      <c r="T29" s="31">
        <f>if(G29=9,1,0)+VLOOKUP(B29,'052524'!B:T,19,false)</f>
        <v>6</v>
      </c>
    </row>
    <row r="30">
      <c r="A30" s="26">
        <f t="shared" si="3"/>
        <v>26</v>
      </c>
      <c r="B30" s="27" t="s">
        <v>79</v>
      </c>
      <c r="C30" s="28">
        <v>197.0</v>
      </c>
      <c r="D30" s="29">
        <v>13.0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206</v>
      </c>
      <c r="N30" s="29">
        <f t="shared" si="27"/>
        <v>13</v>
      </c>
      <c r="O30" s="35" t="s">
        <v>46</v>
      </c>
      <c r="P30" s="35" t="s">
        <v>46</v>
      </c>
      <c r="Q30" s="35" t="s">
        <v>46</v>
      </c>
      <c r="R30" s="31">
        <f>if(G30=13,1,0)+VLOOKUP(B30,'052524'!B:T,17,false)</f>
        <v>0</v>
      </c>
      <c r="S30" s="31"/>
      <c r="T30" s="31">
        <f>if(G30=9,1,0)+VLOOKUP(B30,'052524'!B:T,19,false)</f>
        <v>10</v>
      </c>
    </row>
    <row r="31">
      <c r="A31" s="26">
        <f t="shared" si="3"/>
        <v>27</v>
      </c>
      <c r="B31" s="39" t="s">
        <v>71</v>
      </c>
      <c r="C31" s="28">
        <v>197.0</v>
      </c>
      <c r="D31" s="29">
        <v>11.0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206</v>
      </c>
      <c r="N31" s="29">
        <f t="shared" si="28"/>
        <v>11</v>
      </c>
      <c r="O31" s="35" t="s">
        <v>46</v>
      </c>
      <c r="P31" s="35" t="s">
        <v>46</v>
      </c>
      <c r="Q31" s="35"/>
      <c r="R31" s="31">
        <f>if(G31=13,1,0)+VLOOKUP(B31,'052524'!B:T,17,false)</f>
        <v>0</v>
      </c>
      <c r="S31" s="31"/>
      <c r="T31" s="31">
        <f>if(G31=9,1,0)+VLOOKUP(B31,'052524'!B:T,19,false)</f>
        <v>13</v>
      </c>
    </row>
    <row r="32">
      <c r="A32" s="26">
        <f t="shared" si="3"/>
        <v>28</v>
      </c>
      <c r="B32" s="39" t="s">
        <v>106</v>
      </c>
      <c r="C32" s="28">
        <v>197.0</v>
      </c>
      <c r="D32" s="29">
        <v>11.0</v>
      </c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f t="shared" ref="M32:N32" si="29">C32+K32</f>
        <v>206</v>
      </c>
      <c r="N32" s="29">
        <f t="shared" si="29"/>
        <v>11</v>
      </c>
      <c r="O32" s="35" t="s">
        <v>46</v>
      </c>
      <c r="P32" s="35" t="s">
        <v>46</v>
      </c>
      <c r="Q32" s="35" t="s">
        <v>46</v>
      </c>
      <c r="R32" s="31">
        <f>if(G32=13,1,0)+VLOOKUP(B32,'052524'!B:T,17,false)</f>
        <v>0</v>
      </c>
      <c r="S32" s="31"/>
      <c r="T32" s="31">
        <f>if(G32=9,1,0)+VLOOKUP(B32,'052524'!B:T,19,false)</f>
        <v>11</v>
      </c>
    </row>
    <row r="33">
      <c r="A33" s="26">
        <f t="shared" si="3"/>
        <v>29</v>
      </c>
      <c r="B33" s="54" t="s">
        <v>89</v>
      </c>
      <c r="C33" s="28">
        <v>196.0</v>
      </c>
      <c r="D33" s="29">
        <v>16.0</v>
      </c>
      <c r="E33" s="30">
        <v>2.0</v>
      </c>
      <c r="F33" s="31">
        <v>5.0</v>
      </c>
      <c r="G33" s="28">
        <v>0.0</v>
      </c>
      <c r="H33" s="31">
        <v>6.0</v>
      </c>
      <c r="I33" s="31">
        <v>2.0</v>
      </c>
      <c r="J33" s="31">
        <v>3.0</v>
      </c>
      <c r="K33" s="33">
        <v>11.0</v>
      </c>
      <c r="L33" s="31">
        <v>1.0</v>
      </c>
      <c r="M33" s="28">
        <f t="shared" ref="M33:N33" si="30">C33+K33</f>
        <v>207</v>
      </c>
      <c r="N33" s="29">
        <f t="shared" si="30"/>
        <v>17</v>
      </c>
      <c r="O33" s="35" t="s">
        <v>46</v>
      </c>
      <c r="P33" s="35" t="s">
        <v>46</v>
      </c>
      <c r="Q33" s="35" t="s">
        <v>46</v>
      </c>
      <c r="R33" s="31">
        <f>if(G33=13,1,0)+VLOOKUP(B33,'052524'!B:T,17,false)</f>
        <v>0</v>
      </c>
      <c r="S33" s="31"/>
      <c r="T33" s="31">
        <f>if(G33=9,1,0)+VLOOKUP(B33,'052524'!B:T,19,false)</f>
        <v>5</v>
      </c>
    </row>
    <row r="34">
      <c r="A34" s="26">
        <f t="shared" si="3"/>
        <v>30</v>
      </c>
      <c r="B34" s="27" t="s">
        <v>110</v>
      </c>
      <c r="C34" s="28">
        <v>195.0</v>
      </c>
      <c r="D34" s="29">
        <v>10.0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204</v>
      </c>
      <c r="N34" s="29">
        <f t="shared" si="31"/>
        <v>10</v>
      </c>
      <c r="O34" s="35" t="s">
        <v>46</v>
      </c>
      <c r="P34" s="35" t="s">
        <v>46</v>
      </c>
      <c r="Q34" s="35" t="s">
        <v>46</v>
      </c>
      <c r="R34" s="31">
        <f>if(G34=13,1,0)+VLOOKUP(B34,'052524'!B:T,17,false)</f>
        <v>1</v>
      </c>
      <c r="S34" s="31"/>
      <c r="T34" s="31">
        <f>if(G34=9,1,0)+VLOOKUP(B34,'052524'!B:T,19,false)</f>
        <v>12</v>
      </c>
    </row>
    <row r="35">
      <c r="A35" s="26">
        <f t="shared" si="3"/>
        <v>31</v>
      </c>
      <c r="B35" s="27" t="s">
        <v>107</v>
      </c>
      <c r="C35" s="28">
        <v>195.0</v>
      </c>
      <c r="D35" s="29">
        <v>9.0</v>
      </c>
      <c r="E35" s="30">
        <v>2.0</v>
      </c>
      <c r="F35" s="31">
        <v>5.0</v>
      </c>
      <c r="G35" s="28">
        <v>0.0</v>
      </c>
      <c r="H35" s="31">
        <v>6.0</v>
      </c>
      <c r="I35" s="31">
        <v>6.0</v>
      </c>
      <c r="J35" s="31">
        <v>6.0</v>
      </c>
      <c r="K35" s="33">
        <v>18.0</v>
      </c>
      <c r="L35" s="31">
        <v>3.0</v>
      </c>
      <c r="M35" s="28">
        <f t="shared" ref="M35:N35" si="32">C35+K35</f>
        <v>213</v>
      </c>
      <c r="N35" s="29">
        <f t="shared" si="32"/>
        <v>12</v>
      </c>
      <c r="O35" s="35" t="s">
        <v>46</v>
      </c>
      <c r="P35" s="35" t="s">
        <v>46</v>
      </c>
      <c r="Q35" s="35" t="s">
        <v>46</v>
      </c>
      <c r="R35" s="31">
        <f>if(G35=13,1,0)+VLOOKUP(B35,'052524'!B:T,17,false)</f>
        <v>2</v>
      </c>
      <c r="S35" s="31"/>
      <c r="T35" s="31">
        <f>if(G35=9,1,0)+VLOOKUP(B35,'052524'!B:T,19,false)</f>
        <v>11</v>
      </c>
    </row>
    <row r="36">
      <c r="A36" s="26">
        <f t="shared" si="3"/>
        <v>32</v>
      </c>
      <c r="B36" s="54" t="s">
        <v>73</v>
      </c>
      <c r="C36" s="28">
        <v>194.0</v>
      </c>
      <c r="D36" s="29">
        <v>14.0</v>
      </c>
      <c r="E36" s="30">
        <v>1.0</v>
      </c>
      <c r="F36" s="31">
        <v>6.0</v>
      </c>
      <c r="G36" s="28">
        <v>0.0</v>
      </c>
      <c r="H36" s="31">
        <v>3.0</v>
      </c>
      <c r="I36" s="31">
        <v>6.0</v>
      </c>
      <c r="J36" s="31">
        <v>6.0</v>
      </c>
      <c r="K36" s="33">
        <v>15.0</v>
      </c>
      <c r="L36" s="31">
        <v>2.0</v>
      </c>
      <c r="M36" s="28">
        <f t="shared" ref="M36:N36" si="33">C36+K36</f>
        <v>209</v>
      </c>
      <c r="N36" s="29">
        <f t="shared" si="33"/>
        <v>16</v>
      </c>
      <c r="O36" s="35" t="s">
        <v>46</v>
      </c>
      <c r="P36" s="35" t="s">
        <v>46</v>
      </c>
      <c r="Q36" s="35" t="s">
        <v>46</v>
      </c>
      <c r="R36" s="31">
        <f>if(G36=13,1,0)+VLOOKUP(B36,'052524'!B:T,17,false)</f>
        <v>0</v>
      </c>
      <c r="S36" s="31"/>
      <c r="T36" s="31">
        <f>if(G36=9,1,0)+VLOOKUP(B36,'052524'!B:T,19,false)</f>
        <v>4</v>
      </c>
    </row>
    <row r="37">
      <c r="A37" s="26">
        <f t="shared" si="3"/>
        <v>33</v>
      </c>
      <c r="B37" s="54" t="s">
        <v>108</v>
      </c>
      <c r="C37" s="28">
        <v>193.0</v>
      </c>
      <c r="D37" s="29">
        <v>16.0</v>
      </c>
      <c r="E37" s="30">
        <v>1.0</v>
      </c>
      <c r="F37" s="31">
        <v>6.0</v>
      </c>
      <c r="G37" s="28">
        <v>0.0</v>
      </c>
      <c r="H37" s="31">
        <v>6.0</v>
      </c>
      <c r="I37" s="31">
        <v>6.0</v>
      </c>
      <c r="J37" s="31">
        <v>3.0</v>
      </c>
      <c r="K37" s="33">
        <v>15.0</v>
      </c>
      <c r="L37" s="31">
        <v>2.0</v>
      </c>
      <c r="M37" s="28">
        <f t="shared" ref="M37:N37" si="34">C37+K37</f>
        <v>208</v>
      </c>
      <c r="N37" s="29">
        <f t="shared" si="34"/>
        <v>18</v>
      </c>
      <c r="O37" s="35" t="s">
        <v>46</v>
      </c>
      <c r="P37" s="35" t="s">
        <v>46</v>
      </c>
      <c r="Q37" s="35" t="s">
        <v>46</v>
      </c>
      <c r="R37" s="31">
        <f>if(G37=13,1,0)+VLOOKUP(B37,'052524'!B:T,17,false)</f>
        <v>0</v>
      </c>
      <c r="S37" s="31"/>
      <c r="T37" s="31">
        <f>if(G37=9,1,0)+VLOOKUP(B37,'052524'!B:T,19,false)</f>
        <v>3</v>
      </c>
    </row>
    <row r="38">
      <c r="A38" s="26">
        <f t="shared" si="3"/>
        <v>34</v>
      </c>
      <c r="B38" s="39" t="s">
        <v>111</v>
      </c>
      <c r="C38" s="28">
        <v>193.0</v>
      </c>
      <c r="D38" s="29">
        <v>10.0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202</v>
      </c>
      <c r="N38" s="29">
        <f t="shared" si="35"/>
        <v>10</v>
      </c>
      <c r="O38" s="35" t="s">
        <v>46</v>
      </c>
      <c r="P38" s="35" t="s">
        <v>46</v>
      </c>
      <c r="Q38" s="35"/>
      <c r="R38" s="31">
        <f>if(G38=13,1,0)+VLOOKUP(B38,'052524'!B:T,17,false)</f>
        <v>0</v>
      </c>
      <c r="S38" s="31"/>
      <c r="T38" s="31">
        <f>if(G38=9,1,0)+VLOOKUP(B38,'052524'!B:T,19,false)</f>
        <v>14</v>
      </c>
    </row>
    <row r="39">
      <c r="A39" s="26">
        <f t="shared" si="3"/>
        <v>35</v>
      </c>
      <c r="B39" s="27" t="s">
        <v>42</v>
      </c>
      <c r="C39" s="28">
        <v>192.0</v>
      </c>
      <c r="D39" s="29">
        <v>13.0</v>
      </c>
      <c r="E39" s="30">
        <v>1.0</v>
      </c>
      <c r="F39" s="31">
        <v>6.0</v>
      </c>
      <c r="G39" s="28">
        <v>0.0</v>
      </c>
      <c r="H39" s="31">
        <v>6.0</v>
      </c>
      <c r="I39" s="31">
        <v>4.0</v>
      </c>
      <c r="J39" s="31">
        <v>6.0</v>
      </c>
      <c r="K39" s="33">
        <v>16.0</v>
      </c>
      <c r="L39" s="31">
        <v>2.0</v>
      </c>
      <c r="M39" s="28">
        <f t="shared" ref="M39:N39" si="36">C39+K39</f>
        <v>208</v>
      </c>
      <c r="N39" s="29">
        <f t="shared" si="36"/>
        <v>15</v>
      </c>
      <c r="O39" s="35" t="s">
        <v>46</v>
      </c>
      <c r="P39" s="35" t="s">
        <v>46</v>
      </c>
      <c r="Q39" s="35" t="s">
        <v>46</v>
      </c>
      <c r="R39" s="31">
        <f>if(G39=13,1,0)+VLOOKUP(B39,'052524'!B:T,17,false)</f>
        <v>0</v>
      </c>
      <c r="S39" s="31"/>
      <c r="T39" s="31">
        <f>if(G39=9,1,0)+VLOOKUP(B39,'052524'!B:T,19,false)</f>
        <v>5</v>
      </c>
    </row>
    <row r="40">
      <c r="A40" s="26">
        <f t="shared" si="3"/>
        <v>36</v>
      </c>
      <c r="B40" s="27" t="s">
        <v>98</v>
      </c>
      <c r="C40" s="28">
        <v>192.0</v>
      </c>
      <c r="D40" s="29">
        <v>8.0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201</v>
      </c>
      <c r="N40" s="29">
        <f t="shared" si="37"/>
        <v>8</v>
      </c>
      <c r="O40" s="35" t="s">
        <v>46</v>
      </c>
      <c r="P40" s="35" t="s">
        <v>46</v>
      </c>
      <c r="Q40" s="35" t="s">
        <v>46</v>
      </c>
      <c r="R40" s="31">
        <f>if(G40=13,1,0)+VLOOKUP(B40,'052524'!B:T,17,false)</f>
        <v>1</v>
      </c>
      <c r="S40" s="31"/>
      <c r="T40" s="31">
        <f>if(G40=9,1,0)+VLOOKUP(B40,'052524'!B:T,19,false)</f>
        <v>14</v>
      </c>
    </row>
    <row r="41">
      <c r="A41" s="26">
        <f t="shared" si="3"/>
        <v>37</v>
      </c>
      <c r="B41" s="54" t="s">
        <v>94</v>
      </c>
      <c r="C41" s="28">
        <v>191.0</v>
      </c>
      <c r="D41" s="29">
        <v>17.0</v>
      </c>
      <c r="E41" s="30">
        <v>1.0</v>
      </c>
      <c r="F41" s="31">
        <v>6.0</v>
      </c>
      <c r="G41" s="28">
        <v>0.0</v>
      </c>
      <c r="H41" s="31">
        <v>3.0</v>
      </c>
      <c r="I41" s="31">
        <v>4.0</v>
      </c>
      <c r="J41" s="31">
        <v>3.0</v>
      </c>
      <c r="K41" s="33">
        <v>10.0</v>
      </c>
      <c r="L41" s="31">
        <v>0.0</v>
      </c>
      <c r="M41" s="28">
        <f t="shared" ref="M41:N41" si="38">C41+K41</f>
        <v>201</v>
      </c>
      <c r="N41" s="29">
        <f t="shared" si="38"/>
        <v>17</v>
      </c>
      <c r="O41" s="35" t="s">
        <v>46</v>
      </c>
      <c r="P41" s="35" t="s">
        <v>46</v>
      </c>
      <c r="Q41" s="35" t="s">
        <v>46</v>
      </c>
      <c r="R41" s="31">
        <f>if(G41=13,1,0)+VLOOKUP(B41,'052524'!B:T,17,false)</f>
        <v>0</v>
      </c>
      <c r="S41" s="31"/>
      <c r="T41" s="31">
        <f>if(G41=9,1,0)+VLOOKUP(B41,'052524'!B:T,19,false)</f>
        <v>1</v>
      </c>
    </row>
    <row r="42">
      <c r="A42" s="26">
        <f t="shared" si="3"/>
        <v>38</v>
      </c>
      <c r="B42" s="27" t="s">
        <v>83</v>
      </c>
      <c r="C42" s="28">
        <v>191.0</v>
      </c>
      <c r="D42" s="29">
        <v>15.0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200</v>
      </c>
      <c r="N42" s="29">
        <f t="shared" si="39"/>
        <v>15</v>
      </c>
      <c r="O42" s="35" t="s">
        <v>46</v>
      </c>
      <c r="P42" s="35" t="s">
        <v>46</v>
      </c>
      <c r="Q42" s="35" t="s">
        <v>46</v>
      </c>
      <c r="R42" s="31">
        <f>if(G42=13,1,0)+VLOOKUP(B42,'052524'!B:T,17,false)</f>
        <v>1</v>
      </c>
      <c r="S42" s="31"/>
      <c r="T42" s="31">
        <f>if(G42=9,1,0)+VLOOKUP(B42,'052524'!B:T,19,false)</f>
        <v>6</v>
      </c>
    </row>
    <row r="43">
      <c r="A43" s="26">
        <f t="shared" si="3"/>
        <v>39</v>
      </c>
      <c r="B43" s="27" t="s">
        <v>76</v>
      </c>
      <c r="C43" s="28">
        <v>191.0</v>
      </c>
      <c r="D43" s="29">
        <v>8.0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200</v>
      </c>
      <c r="N43" s="29">
        <f t="shared" si="40"/>
        <v>8</v>
      </c>
      <c r="O43" s="35" t="s">
        <v>46</v>
      </c>
      <c r="P43" s="35" t="s">
        <v>46</v>
      </c>
      <c r="Q43" s="35" t="s">
        <v>46</v>
      </c>
      <c r="R43" s="31">
        <f>if(G43=13,1,0)+VLOOKUP(B43,'052524'!B:T,17,false)</f>
        <v>1</v>
      </c>
      <c r="S43" s="31"/>
      <c r="T43" s="31">
        <f>if(G43=9,1,0)+VLOOKUP(B43,'052524'!B:T,19,false)</f>
        <v>11</v>
      </c>
    </row>
    <row r="44">
      <c r="A44" s="26">
        <f t="shared" si="3"/>
        <v>40</v>
      </c>
      <c r="B44" s="54" t="s">
        <v>47</v>
      </c>
      <c r="C44" s="28">
        <v>190.0</v>
      </c>
      <c r="D44" s="29">
        <v>15.0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199</v>
      </c>
      <c r="N44" s="29">
        <f t="shared" si="41"/>
        <v>15</v>
      </c>
      <c r="O44" s="35" t="s">
        <v>46</v>
      </c>
      <c r="P44" s="35" t="s">
        <v>46</v>
      </c>
      <c r="Q44" s="35" t="s">
        <v>46</v>
      </c>
      <c r="R44" s="31">
        <f>if(G44=13,1,0)+VLOOKUP(B44,'052524'!B:T,17,false)</f>
        <v>0</v>
      </c>
      <c r="S44" s="31"/>
      <c r="T44" s="31">
        <f>if(G44=9,1,0)+VLOOKUP(B44,'052524'!B:T,19,false)</f>
        <v>2</v>
      </c>
    </row>
    <row r="45">
      <c r="A45" s="26">
        <f t="shared" si="3"/>
        <v>41</v>
      </c>
      <c r="B45" s="27" t="s">
        <v>66</v>
      </c>
      <c r="C45" s="28">
        <v>190.0</v>
      </c>
      <c r="D45" s="29">
        <v>11.0</v>
      </c>
      <c r="E45" s="30">
        <v>3.0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199</v>
      </c>
      <c r="N45" s="29">
        <f t="shared" si="42"/>
        <v>11</v>
      </c>
      <c r="O45" s="35" t="s">
        <v>46</v>
      </c>
      <c r="P45" s="35" t="s">
        <v>46</v>
      </c>
      <c r="Q45" s="35" t="s">
        <v>46</v>
      </c>
      <c r="R45" s="31">
        <f>if(G45=13,1,0)+VLOOKUP(B45,'052524'!B:T,17,false)</f>
        <v>1</v>
      </c>
      <c r="S45" s="31"/>
      <c r="T45" s="31">
        <f>if(G45=9,1,0)+VLOOKUP(B45,'052524'!B:T,19,false)</f>
        <v>6</v>
      </c>
    </row>
    <row r="46">
      <c r="A46" s="26">
        <f t="shared" si="3"/>
        <v>42</v>
      </c>
      <c r="B46" s="39" t="s">
        <v>105</v>
      </c>
      <c r="C46" s="28">
        <v>188.0</v>
      </c>
      <c r="D46" s="29">
        <v>13.0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197</v>
      </c>
      <c r="N46" s="29">
        <f t="shared" si="43"/>
        <v>13</v>
      </c>
      <c r="O46" s="35" t="s">
        <v>46</v>
      </c>
      <c r="P46" s="35" t="s">
        <v>46</v>
      </c>
      <c r="Q46" s="35" t="s">
        <v>46</v>
      </c>
      <c r="R46" s="31">
        <f>if(G46=13,1,0)+VLOOKUP(B46,'052524'!B:T,17,false)</f>
        <v>0</v>
      </c>
      <c r="S46" s="31"/>
      <c r="T46" s="31">
        <f>if(G46=9,1,0)+VLOOKUP(B46,'052524'!B:T,19,false)</f>
        <v>7</v>
      </c>
    </row>
    <row r="47">
      <c r="A47" s="26">
        <f t="shared" si="3"/>
        <v>43</v>
      </c>
      <c r="B47" s="54" t="s">
        <v>100</v>
      </c>
      <c r="C47" s="28">
        <v>188.0</v>
      </c>
      <c r="D47" s="29">
        <v>9.0</v>
      </c>
      <c r="E47" s="30">
        <v>1.0</v>
      </c>
      <c r="F47" s="31">
        <v>7.0</v>
      </c>
      <c r="G47" s="28">
        <v>0.0</v>
      </c>
      <c r="H47" s="31">
        <v>6.0</v>
      </c>
      <c r="I47" s="31">
        <v>7.0</v>
      </c>
      <c r="J47" s="31">
        <v>4.0</v>
      </c>
      <c r="K47" s="33">
        <v>17.0</v>
      </c>
      <c r="L47" s="31">
        <v>2.0</v>
      </c>
      <c r="M47" s="28">
        <f t="shared" ref="M47:N47" si="44">C47+K47</f>
        <v>205</v>
      </c>
      <c r="N47" s="29">
        <f t="shared" si="44"/>
        <v>11</v>
      </c>
      <c r="O47" s="35" t="s">
        <v>46</v>
      </c>
      <c r="P47" s="35" t="s">
        <v>46</v>
      </c>
      <c r="Q47" s="35" t="s">
        <v>46</v>
      </c>
      <c r="R47" s="31">
        <f>if(G47=13,1,0)+VLOOKUP(B47,'052524'!B:T,17,false)</f>
        <v>1</v>
      </c>
      <c r="S47" s="31"/>
      <c r="T47" s="31">
        <f>if(G47=9,1,0)+VLOOKUP(B47,'052524'!B:T,19,false)</f>
        <v>11</v>
      </c>
    </row>
    <row r="48">
      <c r="A48" s="26">
        <f t="shared" si="3"/>
        <v>44</v>
      </c>
      <c r="B48" s="27" t="s">
        <v>109</v>
      </c>
      <c r="C48" s="28">
        <v>186.0</v>
      </c>
      <c r="D48" s="29">
        <v>5.0</v>
      </c>
      <c r="E48" s="30">
        <v>2.0</v>
      </c>
      <c r="F48" s="31">
        <v>7.0</v>
      </c>
      <c r="G48" s="28">
        <v>0.0</v>
      </c>
      <c r="H48" s="31">
        <v>4.0</v>
      </c>
      <c r="I48" s="31">
        <v>6.0</v>
      </c>
      <c r="J48" s="31">
        <v>4.0</v>
      </c>
      <c r="K48" s="33">
        <v>14.0</v>
      </c>
      <c r="L48" s="31">
        <v>0.0</v>
      </c>
      <c r="M48" s="28">
        <f t="shared" ref="M48:N48" si="45">C48+K48</f>
        <v>200</v>
      </c>
      <c r="N48" s="29">
        <f t="shared" si="45"/>
        <v>5</v>
      </c>
      <c r="O48" s="35" t="s">
        <v>46</v>
      </c>
      <c r="P48" s="35" t="s">
        <v>46</v>
      </c>
      <c r="Q48" s="35"/>
      <c r="R48" s="31">
        <f>if(G48=13,1,0)+VLOOKUP(B48,'052524'!B:T,17,false)</f>
        <v>2</v>
      </c>
      <c r="S48" s="31"/>
      <c r="T48" s="31">
        <f>if(G48=9,1,0)+VLOOKUP(B48,'052524'!B:T,19,false)</f>
        <v>12</v>
      </c>
    </row>
    <row r="49">
      <c r="A49" s="26">
        <f t="shared" si="3"/>
        <v>45</v>
      </c>
      <c r="B49" s="27" t="s">
        <v>113</v>
      </c>
      <c r="C49" s="28">
        <v>185.0</v>
      </c>
      <c r="D49" s="29">
        <v>5.0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194</v>
      </c>
      <c r="N49" s="29">
        <f t="shared" si="46"/>
        <v>5</v>
      </c>
      <c r="O49" s="35" t="s">
        <v>46</v>
      </c>
      <c r="P49" s="35" t="s">
        <v>46</v>
      </c>
      <c r="Q49" s="35"/>
      <c r="R49" s="31">
        <f>if(G49=13,1,0)+VLOOKUP(B49,'052524'!B:T,17,false)</f>
        <v>1</v>
      </c>
      <c r="S49" s="31"/>
      <c r="T49" s="31">
        <f>if(G49=9,1,0)+VLOOKUP(B49,'052524'!B:T,19,false)</f>
        <v>16</v>
      </c>
    </row>
    <row r="50">
      <c r="A50" s="26">
        <f t="shared" si="3"/>
        <v>46</v>
      </c>
      <c r="B50" s="27" t="s">
        <v>112</v>
      </c>
      <c r="C50" s="28">
        <v>184.0</v>
      </c>
      <c r="D50" s="29">
        <v>7.0</v>
      </c>
      <c r="E50" s="30">
        <v>1.0</v>
      </c>
      <c r="F50" s="31">
        <v>7.0</v>
      </c>
      <c r="G50" s="28">
        <v>0.0</v>
      </c>
      <c r="H50" s="31">
        <v>6.0</v>
      </c>
      <c r="I50" s="31">
        <v>6.0</v>
      </c>
      <c r="J50" s="31">
        <v>6.0</v>
      </c>
      <c r="K50" s="33">
        <v>18.0</v>
      </c>
      <c r="L50" s="31">
        <v>2.0</v>
      </c>
      <c r="M50" s="28">
        <f t="shared" ref="M50:N50" si="47">C50+K50</f>
        <v>202</v>
      </c>
      <c r="N50" s="29">
        <f t="shared" si="47"/>
        <v>9</v>
      </c>
      <c r="O50" s="35" t="s">
        <v>46</v>
      </c>
      <c r="P50" s="35" t="s">
        <v>46</v>
      </c>
      <c r="Q50" s="35"/>
      <c r="R50" s="31">
        <f>if(G50=13,1,0)+VLOOKUP(B50,'052524'!B:T,17,false)</f>
        <v>0</v>
      </c>
      <c r="S50" s="31"/>
      <c r="T50" s="31">
        <f>if(G50=9,1,0)+VLOOKUP(B50,'052524'!B:T,19,false)</f>
        <v>14</v>
      </c>
    </row>
    <row r="51">
      <c r="A51" s="26">
        <f t="shared" si="3"/>
        <v>47</v>
      </c>
      <c r="B51" s="75" t="s">
        <v>45</v>
      </c>
      <c r="C51" s="28">
        <v>183.0</v>
      </c>
      <c r="D51" s="29">
        <v>10.0</v>
      </c>
      <c r="E51" s="30">
        <v>2.0</v>
      </c>
      <c r="F51" s="31">
        <v>7.0</v>
      </c>
      <c r="G51" s="28">
        <v>0.0</v>
      </c>
      <c r="H51" s="31">
        <v>4.0</v>
      </c>
      <c r="I51" s="31">
        <v>7.0</v>
      </c>
      <c r="J51" s="31">
        <v>6.0</v>
      </c>
      <c r="K51" s="33">
        <v>17.0</v>
      </c>
      <c r="L51" s="31">
        <v>2.0</v>
      </c>
      <c r="M51" s="28">
        <f t="shared" ref="M51:N51" si="48">C51+K51</f>
        <v>200</v>
      </c>
      <c r="N51" s="29">
        <f t="shared" si="48"/>
        <v>12</v>
      </c>
      <c r="O51" s="35" t="s">
        <v>46</v>
      </c>
      <c r="P51" s="35" t="s">
        <v>46</v>
      </c>
      <c r="Q51" s="35"/>
      <c r="R51" s="31">
        <f>if(G51=13,1,0)+VLOOKUP(B51,'052524'!B:T,17,false)</f>
        <v>1</v>
      </c>
      <c r="S51" s="31"/>
      <c r="T51" s="31">
        <f>if(G51=9,1,0)+VLOOKUP(B51,'052524'!B:T,19,false)</f>
        <v>7</v>
      </c>
    </row>
    <row r="52">
      <c r="A52" s="26">
        <f t="shared" si="3"/>
        <v>48</v>
      </c>
      <c r="B52" s="54" t="s">
        <v>116</v>
      </c>
      <c r="C52" s="28">
        <v>180.0</v>
      </c>
      <c r="D52" s="29">
        <v>5.0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189</v>
      </c>
      <c r="N52" s="29">
        <f t="shared" si="49"/>
        <v>5</v>
      </c>
      <c r="O52" s="35" t="s">
        <v>46</v>
      </c>
      <c r="P52" s="35" t="s">
        <v>46</v>
      </c>
      <c r="Q52" s="35"/>
      <c r="R52" s="31">
        <f>if(G52=13,1,0)+VLOOKUP(B52,'052524'!B:T,17,false)</f>
        <v>0</v>
      </c>
      <c r="S52" s="31"/>
      <c r="T52" s="31">
        <f>if(G52=9,1,0)+VLOOKUP(B52,'052524'!B:T,19,false)</f>
        <v>15</v>
      </c>
    </row>
    <row r="53">
      <c r="A53" s="26">
        <f t="shared" si="3"/>
        <v>49</v>
      </c>
      <c r="B53" s="27" t="s">
        <v>117</v>
      </c>
      <c r="C53" s="28">
        <v>180.0</v>
      </c>
      <c r="D53" s="29">
        <v>4.0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189</v>
      </c>
      <c r="N53" s="29">
        <f t="shared" si="50"/>
        <v>4</v>
      </c>
      <c r="O53" s="35" t="s">
        <v>46</v>
      </c>
      <c r="P53" s="35" t="s">
        <v>46</v>
      </c>
      <c r="Q53" s="35" t="s">
        <v>46</v>
      </c>
      <c r="R53" s="31">
        <f>if(G53=13,1,0)+VLOOKUP(B53,'052524'!B:T,17,false)</f>
        <v>2</v>
      </c>
      <c r="S53" s="31"/>
      <c r="T53" s="31">
        <f>if(G53=9,1,0)+VLOOKUP(B53,'052524'!B:T,19,false)</f>
        <v>15</v>
      </c>
    </row>
    <row r="54">
      <c r="A54" s="26">
        <f t="shared" si="3"/>
        <v>50</v>
      </c>
      <c r="B54" s="27" t="s">
        <v>115</v>
      </c>
      <c r="C54" s="28">
        <v>178.0</v>
      </c>
      <c r="D54" s="29">
        <v>5.0</v>
      </c>
      <c r="E54" s="30">
        <v>4.0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187</v>
      </c>
      <c r="N54" s="29">
        <f t="shared" si="51"/>
        <v>5</v>
      </c>
      <c r="O54" s="35" t="s">
        <v>46</v>
      </c>
      <c r="P54" s="35" t="s">
        <v>46</v>
      </c>
      <c r="Q54" s="35" t="s">
        <v>46</v>
      </c>
      <c r="R54" s="31">
        <f>if(G54=13,1,0)+VLOOKUP(B54,'052524'!B:T,17,false)</f>
        <v>0</v>
      </c>
      <c r="S54" s="31"/>
      <c r="T54" s="31">
        <f>if(G54=9,1,0)+VLOOKUP(B54,'052524'!B:T,19,false)</f>
        <v>17</v>
      </c>
    </row>
    <row r="55">
      <c r="A55" s="26">
        <f t="shared" si="3"/>
        <v>51</v>
      </c>
      <c r="B55" s="27" t="s">
        <v>39</v>
      </c>
      <c r="C55" s="28">
        <v>178.0</v>
      </c>
      <c r="D55" s="29">
        <v>4.0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187</v>
      </c>
      <c r="N55" s="29">
        <f t="shared" si="52"/>
        <v>4</v>
      </c>
      <c r="O55" s="35" t="s">
        <v>46</v>
      </c>
      <c r="P55" s="35" t="s">
        <v>46</v>
      </c>
      <c r="Q55" s="35"/>
      <c r="R55" s="31">
        <f>if(G55=13,1,0)+VLOOKUP(B55,'052524'!B:T,17,false)</f>
        <v>0</v>
      </c>
      <c r="S55" s="31"/>
      <c r="T55" s="31">
        <f>if(G55=9,1,0)+VLOOKUP(B55,'052524'!B:T,19,false)</f>
        <v>17</v>
      </c>
    </row>
    <row r="56">
      <c r="A56" s="26">
        <f t="shared" si="3"/>
        <v>52</v>
      </c>
      <c r="B56" s="27" t="s">
        <v>118</v>
      </c>
      <c r="C56" s="28">
        <v>177.0</v>
      </c>
      <c r="D56" s="29">
        <v>2.0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186</v>
      </c>
      <c r="N56" s="29">
        <f t="shared" si="53"/>
        <v>2</v>
      </c>
      <c r="O56" s="35" t="s">
        <v>46</v>
      </c>
      <c r="P56" s="35" t="s">
        <v>46</v>
      </c>
      <c r="Q56" s="35"/>
      <c r="R56" s="31">
        <f>if(G56=13,1,0)+VLOOKUP(B56,'052524'!B:T,17,false)</f>
        <v>2</v>
      </c>
      <c r="S56" s="31"/>
      <c r="T56" s="31">
        <f>if(G56=9,1,0)+VLOOKUP(B56,'052524'!B:T,19,false)</f>
        <v>16</v>
      </c>
    </row>
    <row r="57">
      <c r="A57" s="26">
        <f t="shared" si="3"/>
        <v>53</v>
      </c>
      <c r="B57" s="27" t="s">
        <v>114</v>
      </c>
      <c r="C57" s="28">
        <v>174.0</v>
      </c>
      <c r="D57" s="29">
        <v>1.0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183</v>
      </c>
      <c r="N57" s="29">
        <f t="shared" si="54"/>
        <v>1</v>
      </c>
      <c r="O57" s="35" t="s">
        <v>46</v>
      </c>
      <c r="P57" s="35" t="s">
        <v>46</v>
      </c>
      <c r="Q57" s="35" t="s">
        <v>46</v>
      </c>
      <c r="R57" s="31">
        <f>if(G57=13,1,0)+VLOOKUP(B57,'052524'!B:T,17,false)</f>
        <v>1</v>
      </c>
      <c r="S57" s="31"/>
      <c r="T57" s="31">
        <f>if(G57=9,1,0)+VLOOKUP(B57,'052524'!B:T,19,false)</f>
        <v>17</v>
      </c>
    </row>
    <row r="58">
      <c r="A58" s="26">
        <f t="shared" si="3"/>
        <v>54</v>
      </c>
      <c r="B58" s="54" t="s">
        <v>54</v>
      </c>
      <c r="C58" s="28">
        <v>173.0</v>
      </c>
      <c r="D58" s="29">
        <v>5.0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182</v>
      </c>
      <c r="N58" s="29">
        <f t="shared" si="55"/>
        <v>5</v>
      </c>
      <c r="O58" s="35" t="s">
        <v>46</v>
      </c>
      <c r="P58" s="35" t="s">
        <v>46</v>
      </c>
      <c r="Q58" s="35"/>
      <c r="R58" s="31">
        <f>if(G58=13,1,0)+VLOOKUP(B58,'052524'!B:T,17,false)</f>
        <v>1</v>
      </c>
      <c r="S58" s="31"/>
      <c r="T58" s="31">
        <f>if(G58=9,1,0)+VLOOKUP(B58,'052524'!B:T,19,false)</f>
        <v>13</v>
      </c>
    </row>
    <row r="59">
      <c r="A59" s="26">
        <f t="shared" si="3"/>
        <v>55</v>
      </c>
      <c r="B59" s="39" t="s">
        <v>119</v>
      </c>
      <c r="C59" s="28">
        <v>172.0</v>
      </c>
      <c r="D59" s="29">
        <v>4.0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181</v>
      </c>
      <c r="N59" s="29">
        <f t="shared" si="56"/>
        <v>4</v>
      </c>
      <c r="O59" s="35" t="s">
        <v>46</v>
      </c>
      <c r="P59" s="35" t="s">
        <v>46</v>
      </c>
      <c r="Q59" s="35" t="s">
        <v>46</v>
      </c>
      <c r="R59" s="31">
        <f>if(G59=13,1,0)+VLOOKUP(B59,'052524'!B:T,17,false)</f>
        <v>0</v>
      </c>
      <c r="S59" s="31"/>
      <c r="T59" s="31">
        <f>if(G59=9,1,0)+VLOOKUP(B59,'052524'!B:T,19,false)</f>
        <v>17</v>
      </c>
    </row>
    <row r="60">
      <c r="A60" s="26">
        <f t="shared" si="3"/>
        <v>56</v>
      </c>
      <c r="B60" s="27" t="s">
        <v>120</v>
      </c>
      <c r="C60" s="28">
        <v>171.0</v>
      </c>
      <c r="D60" s="29">
        <v>4.0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180</v>
      </c>
      <c r="N60" s="29">
        <f t="shared" si="57"/>
        <v>4</v>
      </c>
      <c r="O60" s="35" t="s">
        <v>46</v>
      </c>
      <c r="P60" s="35" t="s">
        <v>46</v>
      </c>
      <c r="Q60" s="35" t="s">
        <v>46</v>
      </c>
      <c r="R60" s="31">
        <f>if(G60=13,1,0)+VLOOKUP(B60,'052524'!B:T,17,false)</f>
        <v>1</v>
      </c>
      <c r="S60" s="31"/>
      <c r="T60" s="31">
        <f>if(G60=9,1,0)+VLOOKUP(B60,'052524'!B:T,19,false)</f>
        <v>16</v>
      </c>
    </row>
    <row r="61">
      <c r="A61" s="26">
        <f t="shared" si="3"/>
        <v>57</v>
      </c>
      <c r="B61" s="39" t="s">
        <v>121</v>
      </c>
      <c r="C61" s="28">
        <v>171.0</v>
      </c>
      <c r="D61" s="29">
        <v>3.0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180</v>
      </c>
      <c r="N61" s="29">
        <f t="shared" si="58"/>
        <v>3</v>
      </c>
      <c r="O61" s="35" t="s">
        <v>46</v>
      </c>
      <c r="P61" s="35" t="s">
        <v>46</v>
      </c>
      <c r="Q61" s="35" t="s">
        <v>46</v>
      </c>
      <c r="R61" s="31">
        <f>if(G61=13,1,0)+VLOOKUP(B61,'052524'!B:T,17,false)</f>
        <v>0</v>
      </c>
      <c r="S61" s="31"/>
      <c r="T61" s="31">
        <f>if(G61=9,1,0)+VLOOKUP(B61,'052524'!B:T,19,false)</f>
        <v>17</v>
      </c>
    </row>
    <row r="62">
      <c r="A62" s="26">
        <f t="shared" si="3"/>
        <v>58</v>
      </c>
      <c r="B62" s="54" t="s">
        <v>122</v>
      </c>
      <c r="C62" s="28">
        <v>169.0</v>
      </c>
      <c r="D62" s="29">
        <v>1.0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178</v>
      </c>
      <c r="N62" s="29">
        <f t="shared" si="59"/>
        <v>1</v>
      </c>
      <c r="O62" s="35" t="s">
        <v>46</v>
      </c>
      <c r="P62" s="35" t="s">
        <v>46</v>
      </c>
      <c r="Q62" s="35"/>
      <c r="R62" s="31">
        <f>if(G62=13,1,0)+VLOOKUP(B62,'052524'!B:T,17,false)</f>
        <v>0</v>
      </c>
      <c r="S62" s="31"/>
      <c r="T62" s="31">
        <f>if(G62=9,1,0)+VLOOKUP(B62,'052524'!B:T,19,false)</f>
        <v>18</v>
      </c>
    </row>
    <row r="63">
      <c r="A63" s="26">
        <f t="shared" si="3"/>
        <v>59</v>
      </c>
      <c r="B63" s="54" t="s">
        <v>123</v>
      </c>
      <c r="C63" s="28">
        <v>166.0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175</v>
      </c>
      <c r="N63" s="29">
        <f t="shared" si="60"/>
        <v>2</v>
      </c>
      <c r="O63" s="35" t="s">
        <v>46</v>
      </c>
      <c r="P63" s="35" t="s">
        <v>46</v>
      </c>
      <c r="Q63" s="35"/>
      <c r="R63" s="31">
        <f>if(G63=13,1,0)+VLOOKUP(B63,'052524'!B:T,17,false)</f>
        <v>1</v>
      </c>
      <c r="S63" s="31"/>
      <c r="T63" s="31">
        <f>if(G63=9,1,0)+VLOOKUP(B63,'052524'!B:T,19,false)</f>
        <v>17</v>
      </c>
    </row>
    <row r="64">
      <c r="A64" s="26">
        <f t="shared" si="3"/>
        <v>60</v>
      </c>
      <c r="B64" s="39" t="s">
        <v>97</v>
      </c>
      <c r="C64" s="28">
        <v>162.0</v>
      </c>
      <c r="D64" s="29">
        <v>5.0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171</v>
      </c>
      <c r="N64" s="29">
        <f t="shared" si="61"/>
        <v>5</v>
      </c>
      <c r="O64" s="35" t="s">
        <v>46</v>
      </c>
      <c r="P64" s="35" t="s">
        <v>46</v>
      </c>
      <c r="Q64" s="35" t="s">
        <v>46</v>
      </c>
      <c r="R64" s="31">
        <f>if(G64=13,1,0)+VLOOKUP(B64,'052524'!B:T,17,false)</f>
        <v>0</v>
      </c>
      <c r="S64" s="31"/>
      <c r="T64" s="31">
        <f>if(G64=9,1,0)+VLOOKUP(B64,'052524'!B:T,19,false)</f>
        <v>8</v>
      </c>
    </row>
    <row r="65">
      <c r="A65" s="26">
        <f t="shared" si="3"/>
        <v>61</v>
      </c>
      <c r="B65" s="39" t="s">
        <v>124</v>
      </c>
      <c r="C65" s="28">
        <v>162.0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171</v>
      </c>
      <c r="N65" s="29">
        <f t="shared" si="62"/>
        <v>0</v>
      </c>
      <c r="O65" s="35" t="s">
        <v>46</v>
      </c>
      <c r="P65" s="35" t="s">
        <v>46</v>
      </c>
      <c r="Q65" s="35"/>
      <c r="R65" s="31">
        <f>if(G65=13,1,0)+VLOOKUP(B65,'052524'!B:T,17,false)</f>
        <v>0</v>
      </c>
      <c r="S65" s="31"/>
      <c r="T65" s="31">
        <f>if(G65=9,1,0)+VLOOKUP(B65,'052524'!B:T,19,false)</f>
        <v>19</v>
      </c>
    </row>
    <row r="66">
      <c r="A66" s="26">
        <f t="shared" si="3"/>
        <v>62</v>
      </c>
      <c r="B66" s="39" t="s">
        <v>125</v>
      </c>
      <c r="C66" s="28">
        <v>162.0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171</v>
      </c>
      <c r="N66" s="29">
        <f t="shared" si="63"/>
        <v>0</v>
      </c>
      <c r="O66" s="35" t="s">
        <v>46</v>
      </c>
      <c r="P66" s="35" t="s">
        <v>46</v>
      </c>
      <c r="Q66" s="35"/>
      <c r="R66" s="31">
        <f>if(G66=13,1,0)+VLOOKUP(B66,'052524'!B:T,17,false)</f>
        <v>0</v>
      </c>
      <c r="S66" s="31"/>
      <c r="T66" s="31">
        <f>if(G66=9,1,0)+VLOOKUP(B66,'052524'!B:T,19,false)</f>
        <v>18</v>
      </c>
    </row>
    <row r="67">
      <c r="A67" s="26">
        <f t="shared" si="3"/>
        <v>63</v>
      </c>
      <c r="B67" s="39" t="s">
        <v>126</v>
      </c>
      <c r="C67" s="28">
        <v>161.0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170</v>
      </c>
      <c r="N67" s="29">
        <f t="shared" si="64"/>
        <v>2</v>
      </c>
      <c r="O67" s="35" t="s">
        <v>46</v>
      </c>
      <c r="P67" s="35" t="s">
        <v>46</v>
      </c>
      <c r="Q67" s="35"/>
      <c r="R67" s="31">
        <f>if(G67=13,1,0)+VLOOKUP(B67,'052524'!B:T,17,false)</f>
        <v>0</v>
      </c>
      <c r="S67" s="31"/>
      <c r="T67" s="31">
        <f>if(G67=9,1,0)+VLOOKUP(B67,'052524'!B:T,19,false)</f>
        <v>17</v>
      </c>
    </row>
    <row r="68">
      <c r="A68" s="26">
        <f t="shared" si="3"/>
        <v>64</v>
      </c>
      <c r="B68" s="27" t="s">
        <v>74</v>
      </c>
      <c r="C68" s="28">
        <v>153.0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162</v>
      </c>
      <c r="N68" s="29">
        <f t="shared" si="65"/>
        <v>0</v>
      </c>
      <c r="O68" s="35" t="s">
        <v>46</v>
      </c>
      <c r="P68" s="35" t="s">
        <v>46</v>
      </c>
      <c r="Q68" s="35"/>
      <c r="R68" s="31">
        <f>if(G68=13,1,0)+VLOOKUP(B68,'052524'!B:T,17,false)</f>
        <v>0</v>
      </c>
      <c r="S68" s="31"/>
      <c r="T68" s="31">
        <f>if(G68=9,1,0)+VLOOKUP(B68,'052524'!B:T,19,false)</f>
        <v>19</v>
      </c>
    </row>
    <row r="69">
      <c r="A69" s="26">
        <f t="shared" si="3"/>
        <v>65</v>
      </c>
      <c r="B69" s="39" t="s">
        <v>127</v>
      </c>
      <c r="C69" s="28">
        <v>152.0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161</v>
      </c>
      <c r="N69" s="29">
        <f t="shared" si="66"/>
        <v>2</v>
      </c>
      <c r="O69" s="35" t="s">
        <v>46</v>
      </c>
      <c r="P69" s="35" t="s">
        <v>46</v>
      </c>
      <c r="Q69" s="35"/>
      <c r="R69" s="31">
        <f>if(G69=13,1,0)+VLOOKUP(B69,'052524'!B:T,17,false)</f>
        <v>0</v>
      </c>
      <c r="S69" s="31"/>
      <c r="T69" s="31">
        <f>if(G69=9,1,0)+VLOOKUP(B69,'052524'!B:T,19,false)</f>
        <v>17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 t="shared" ref="P72:Q72" si="67">COUNTA(P5:P69)</f>
        <v>65</v>
      </c>
      <c r="Q72" s="14">
        <f t="shared" si="67"/>
        <v>33</v>
      </c>
    </row>
    <row r="73">
      <c r="A73" s="1"/>
      <c r="C73" s="1"/>
      <c r="D73" s="1"/>
      <c r="E73" s="1"/>
      <c r="O73" s="13" t="s">
        <v>129</v>
      </c>
      <c r="P73" s="14">
        <f t="shared" ref="P73:Q73" si="68">P74-P72</f>
        <v>0</v>
      </c>
      <c r="Q73" s="14">
        <f t="shared" si="68"/>
        <v>32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  <c r="Q74" s="14">
        <f>P74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desc"",0)"),"Eric Pan")</f>
        <v>Eric Pan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IFERROR(__xludf.DUMMYFUNCTION("""COMPUTED_VALUE"""),"Peter Cheng")</f>
        <v>Peter Cheng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IFERROR(__xludf.DUMMYFUNCTION("""COMPUTED_VALUE"""),"Christopher Li")</f>
        <v>Christopher Li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IFERROR(__xludf.DUMMYFUNCTION("""COMPUTED_VALUE"""),"Matthew Huang")</f>
        <v>Matthew Huang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IFERROR(__xludf.DUMMYFUNCTION("""COMPUTED_VALUE"""),"Vinot Kumar Nagappan")</f>
        <v>Vinot Kumar Nagappan</v>
      </c>
      <c r="C83" s="60">
        <f>IFERROR(__xludf.DUMMYFUNCTION("""COMPUTED_VALUE"""),18.0)</f>
        <v>18</v>
      </c>
      <c r="D83" s="60">
        <f>IFERROR(__xludf.DUMMYFUNCTION("""COMPUTED_VALUE"""),2.0)</f>
        <v>2</v>
      </c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1"")"),"Peter Cheng")</f>
        <v>Peter Cheng</v>
      </c>
      <c r="C92" s="63">
        <f>IFERROR(__xludf.DUMMYFUNCTION("""COMPUTED_VALUE"""),243.0)</f>
        <v>243</v>
      </c>
      <c r="D92" s="64">
        <f>IFERROR(__xludf.DUMMYFUNCTION("""COMPUTED_VALUE"""),23.0)</f>
        <v>23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IFERROR(__xludf.DUMMYFUNCTION("""COMPUTED_VALUE"""),18.0)</f>
        <v>18</v>
      </c>
      <c r="L92" s="65">
        <f>IFERROR(__xludf.DUMMYFUNCTION("""COMPUTED_VALUE"""),3.0)</f>
        <v>3</v>
      </c>
      <c r="M92" s="65">
        <f>IFERROR(__xludf.DUMMYFUNCTION("""COMPUTED_VALUE"""),261.0)</f>
        <v>261</v>
      </c>
      <c r="N92" s="66">
        <f>IFERROR(__xludf.DUMMYFUNCTION("""COMPUTED_VALUE"""),26.0)</f>
        <v>26</v>
      </c>
    </row>
    <row r="93">
      <c r="A93" s="1"/>
      <c r="B93" s="62" t="str">
        <f>IFERROR(__xludf.DUMMYFUNCTION("""COMPUTED_VALUE"""),"Suleman Alidina")</f>
        <v>Suleman Alidina</v>
      </c>
      <c r="C93" s="63">
        <f>IFERROR(__xludf.DUMMYFUNCTION("""COMPUTED_VALUE"""),237.0)</f>
        <v>237</v>
      </c>
      <c r="D93" s="64">
        <f>IFERROR(__xludf.DUMMYFUNCTION("""COMPUTED_VALUE"""),27.0)</f>
        <v>27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IFERROR(__xludf.DUMMYFUNCTION("""COMPUTED_VALUE"""),6.0)</f>
        <v>6</v>
      </c>
      <c r="I93" s="65">
        <f>IFERROR(__xludf.DUMMYFUNCTION("""COMPUTED_VALUE"""),3.0)</f>
        <v>3</v>
      </c>
      <c r="J93" s="65">
        <f>IFERROR(__xludf.DUMMYFUNCTION("""COMPUTED_VALUE"""),4.0)</f>
        <v>4</v>
      </c>
      <c r="K93" s="65">
        <f>IFERROR(__xludf.DUMMYFUNCTION("""COMPUTED_VALUE"""),13.0)</f>
        <v>13</v>
      </c>
      <c r="L93" s="65">
        <f>IFERROR(__xludf.DUMMYFUNCTION("""COMPUTED_VALUE"""),1.0)</f>
        <v>1</v>
      </c>
      <c r="M93" s="65">
        <f>IFERROR(__xludf.DUMMYFUNCTION("""COMPUTED_VALUE"""),250.0)</f>
        <v>250</v>
      </c>
      <c r="N93" s="66">
        <f>IFERROR(__xludf.DUMMYFUNCTION("""COMPUTED_VALUE"""),28.0)</f>
        <v>28</v>
      </c>
    </row>
    <row r="94">
      <c r="A94" s="1"/>
      <c r="B94" s="62" t="str">
        <f>IFERROR(__xludf.DUMMYFUNCTION("""COMPUTED_VALUE"""),"Peter Homsey")</f>
        <v>Peter Homsey</v>
      </c>
      <c r="C94" s="63">
        <f>IFERROR(__xludf.DUMMYFUNCTION("""COMPUTED_VALUE"""),228.0)</f>
        <v>228</v>
      </c>
      <c r="D94" s="64">
        <f>IFERROR(__xludf.DUMMYFUNCTION("""COMPUTED_VALUE"""),20.0)</f>
        <v>20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IFERROR(__xludf.DUMMYFUNCTION("""COMPUTED_VALUE"""),2.0)</f>
        <v>2</v>
      </c>
      <c r="I94" s="65">
        <f>IFERROR(__xludf.DUMMYFUNCTION("""COMPUTED_VALUE"""),6.0)</f>
        <v>6</v>
      </c>
      <c r="J94" s="65">
        <f>IFERROR(__xludf.DUMMYFUNCTION("""COMPUTED_VALUE"""),4.0)</f>
        <v>4</v>
      </c>
      <c r="K94" s="65">
        <f>IFERROR(__xludf.DUMMYFUNCTION("""COMPUTED_VALUE"""),12.0)</f>
        <v>12</v>
      </c>
      <c r="L94" s="65">
        <f>IFERROR(__xludf.DUMMYFUNCTION("""COMPUTED_VALUE"""),1.0)</f>
        <v>1</v>
      </c>
      <c r="M94" s="65">
        <f>IFERROR(__xludf.DUMMYFUNCTION("""COMPUTED_VALUE"""),240.0)</f>
        <v>240</v>
      </c>
      <c r="N94" s="66">
        <f>IFERROR(__xludf.DUMMYFUNCTION("""COMPUTED_VALUE"""),21.0)</f>
        <v>21</v>
      </c>
    </row>
    <row r="95">
      <c r="A95" s="1"/>
      <c r="B95" s="62" t="str">
        <f>IFERROR(__xludf.DUMMYFUNCTION("""COMPUTED_VALUE"""),"Jonathan Phan")</f>
        <v>Jonathan Phan</v>
      </c>
      <c r="C95" s="63">
        <f>IFERROR(__xludf.DUMMYFUNCTION("""COMPUTED_VALUE"""),226.0)</f>
        <v>226</v>
      </c>
      <c r="D95" s="64">
        <f>IFERROR(__xludf.DUMMYFUNCTION("""COMPUTED_VALUE"""),19.0)</f>
        <v>19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IFERROR(__xludf.DUMMYFUNCTION("""COMPUTED_VALUE"""),2.0)</f>
        <v>2</v>
      </c>
      <c r="I95" s="65">
        <f>IFERROR(__xludf.DUMMYFUNCTION("""COMPUTED_VALUE"""),3.0)</f>
        <v>3</v>
      </c>
      <c r="J95" s="65">
        <f>IFERROR(__xludf.DUMMYFUNCTION("""COMPUTED_VALUE"""),6.0)</f>
        <v>6</v>
      </c>
      <c r="K95" s="65">
        <f>IFERROR(__xludf.DUMMYFUNCTION("""COMPUTED_VALUE"""),11.0)</f>
        <v>11</v>
      </c>
      <c r="L95" s="65">
        <f>IFERROR(__xludf.DUMMYFUNCTION("""COMPUTED_VALUE"""),1.0)</f>
        <v>1</v>
      </c>
      <c r="M95" s="65">
        <f>IFERROR(__xludf.DUMMYFUNCTION("""COMPUTED_VALUE"""),237.0)</f>
        <v>237</v>
      </c>
      <c r="N95" s="66">
        <f>IFERROR(__xludf.DUMMYFUNCTION("""COMPUTED_VALUE"""),20.0)</f>
        <v>20</v>
      </c>
    </row>
    <row r="96">
      <c r="A96" s="1"/>
      <c r="B96" s="67" t="str">
        <f>IFERROR(__xludf.DUMMYFUNCTION("""COMPUTED_VALUE"""),"Christopher Li")</f>
        <v>Christopher Li</v>
      </c>
      <c r="C96" s="68">
        <f>IFERROR(__xludf.DUMMYFUNCTION("""COMPUTED_VALUE"""),221.0)</f>
        <v>221</v>
      </c>
      <c r="D96" s="69">
        <f>IFERROR(__xludf.DUMMYFUNCTION("""COMPUTED_VALUE"""),20.0)</f>
        <v>20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IFERROR(__xludf.DUMMYFUNCTION("""COMPUTED_VALUE"""),6.0)</f>
        <v>6</v>
      </c>
      <c r="K96" s="70">
        <f>IFERROR(__xludf.DUMMYFUNCTION("""COMPUTED_VALUE"""),18.0)</f>
        <v>18</v>
      </c>
      <c r="L96" s="70">
        <f>IFERROR(__xludf.DUMMYFUNCTION("""COMPUTED_VALUE"""),3.0)</f>
        <v>3</v>
      </c>
      <c r="M96" s="70">
        <f>IFERROR(__xludf.DUMMYFUNCTION("""COMPUTED_VALUE"""),239.0)</f>
        <v>239</v>
      </c>
      <c r="N96" s="71">
        <f>IFERROR(__xludf.DUMMYFUNCTION("""COMPUTED_VALUE"""),23.0)</f>
        <v>23</v>
      </c>
    </row>
    <row r="97">
      <c r="A97" s="1"/>
      <c r="B97" s="67" t="str">
        <f>IFERROR(__xludf.DUMMYFUNCTION("""COMPUTED_VALUE"""),"David Shin")</f>
        <v>David Shin</v>
      </c>
      <c r="C97" s="68">
        <f>IFERROR(__xludf.DUMMYFUNCTION("""COMPUTED_VALUE"""),221.0)</f>
        <v>221</v>
      </c>
      <c r="D97" s="69">
        <f>IFERROR(__xludf.DUMMYFUNCTION("""COMPUTED_VALUE"""),19.0)</f>
        <v>19</v>
      </c>
      <c r="E97" s="68">
        <f>IFERROR(__xludf.DUMMYFUNCTION("""COMPUTED_VALUE"""),2.0)</f>
        <v>2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IFERROR(__xludf.DUMMYFUNCTION("""COMPUTED_VALUE"""),1.0)</f>
        <v>1</v>
      </c>
      <c r="I97" s="70">
        <f>IFERROR(__xludf.DUMMYFUNCTION("""COMPUTED_VALUE"""),1.0)</f>
        <v>1</v>
      </c>
      <c r="J97" s="70">
        <f>IFERROR(__xludf.DUMMYFUNCTION("""COMPUTED_VALUE"""),6.0)</f>
        <v>6</v>
      </c>
      <c r="K97" s="70">
        <f>IFERROR(__xludf.DUMMYFUNCTION("""COMPUTED_VALUE"""),8.0)</f>
        <v>8</v>
      </c>
      <c r="L97" s="70">
        <f>IFERROR(__xludf.DUMMYFUNCTION("""COMPUTED_VALUE"""),1.0)</f>
        <v>1</v>
      </c>
      <c r="M97" s="70">
        <f>IFERROR(__xludf.DUMMYFUNCTION("""COMPUTED_VALUE"""),229.0)</f>
        <v>229</v>
      </c>
      <c r="N97" s="71">
        <f>IFERROR(__xludf.DUMMYFUNCTION("""COMPUTED_VALUE"""),20.0)</f>
        <v>20</v>
      </c>
    </row>
    <row r="98">
      <c r="A98" s="1"/>
      <c r="B98" s="67" t="str">
        <f>IFERROR(__xludf.DUMMYFUNCTION("""COMPUTED_VALUE"""),"Sean Chang")</f>
        <v>Sean Chang</v>
      </c>
      <c r="C98" s="68">
        <f>IFERROR(__xludf.DUMMYFUNCTION("""COMPUTED_VALUE"""),221.0)</f>
        <v>221</v>
      </c>
      <c r="D98" s="69">
        <f>IFERROR(__xludf.DUMMYFUNCTION("""COMPUTED_VALUE"""),13.0)</f>
        <v>13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IFERROR(__xludf.DUMMYFUNCTION("""COMPUTED_VALUE"""),1.0)</f>
        <v>1</v>
      </c>
      <c r="J98" s="70">
        <f>IFERROR(__xludf.DUMMYFUNCTION("""COMPUTED_VALUE"""),1.0)</f>
        <v>1</v>
      </c>
      <c r="K98" s="70">
        <f>IFERROR(__xludf.DUMMYFUNCTION("""COMPUTED_VALUE"""),8.0)</f>
        <v>8</v>
      </c>
      <c r="L98" s="70">
        <f>IFERROR(__xludf.DUMMYFUNCTION("""COMPUTED_VALUE"""),1.0)</f>
        <v>1</v>
      </c>
      <c r="M98" s="70">
        <f>IFERROR(__xludf.DUMMYFUNCTION("""COMPUTED_VALUE"""),229.0)</f>
        <v>229</v>
      </c>
      <c r="N98" s="71">
        <f>IFERROR(__xludf.DUMMYFUNCTION("""COMPUTED_VALUE"""),14.0)</f>
        <v>14</v>
      </c>
    </row>
    <row r="99">
      <c r="A99" s="1"/>
      <c r="B99" s="67" t="str">
        <f>IFERROR(__xludf.DUMMYFUNCTION("""COMPUTED_VALUE"""),"Tom Le")</f>
        <v>Tom Le</v>
      </c>
      <c r="C99" s="68">
        <f>IFERROR(__xludf.DUMMYFUNCTION("""COMPUTED_VALUE"""),216.0)</f>
        <v>216</v>
      </c>
      <c r="D99" s="69">
        <f>IFERROR(__xludf.DUMMYFUNCTION("""COMPUTED_VALUE"""),17.0)</f>
        <v>17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IFERROR(__xludf.DUMMYFUNCTION("""COMPUTED_VALUE"""),1.0)</f>
        <v>1</v>
      </c>
      <c r="I99" s="70">
        <f>IFERROR(__xludf.DUMMYFUNCTION("""COMPUTED_VALUE"""),6.0)</f>
        <v>6</v>
      </c>
      <c r="J99" s="70">
        <f>IFERROR(__xludf.DUMMYFUNCTION("""COMPUTED_VALUE"""),1.0)</f>
        <v>1</v>
      </c>
      <c r="K99" s="70">
        <f>IFERROR(__xludf.DUMMYFUNCTION("""COMPUTED_VALUE"""),8.0)</f>
        <v>8</v>
      </c>
      <c r="L99" s="70">
        <f>IFERROR(__xludf.DUMMYFUNCTION("""COMPUTED_VALUE"""),1.0)</f>
        <v>1</v>
      </c>
      <c r="M99" s="70">
        <f>IFERROR(__xludf.DUMMYFUNCTION("""COMPUTED_VALUE"""),224.0)</f>
        <v>224</v>
      </c>
      <c r="N99" s="71">
        <f>IFERROR(__xludf.DUMMYFUNCTION("""COMPUTED_VALUE"""),18.0)</f>
        <v>18</v>
      </c>
    </row>
    <row r="100">
      <c r="A100" s="1"/>
      <c r="B100" s="67" t="str">
        <f>IFERROR(__xludf.DUMMYFUNCTION("""COMPUTED_VALUE"""),"Lloyd Sagar")</f>
        <v>Lloyd Sagar</v>
      </c>
      <c r="C100" s="63">
        <f>IFERROR(__xludf.DUMMYFUNCTION("""COMPUTED_VALUE"""),215.0)</f>
        <v>215</v>
      </c>
      <c r="D100" s="64">
        <f>IFERROR(__xludf.DUMMYFUNCTION("""COMPUTED_VALUE"""),15.0)</f>
        <v>15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IFERROR(__xludf.DUMMYFUNCTION("""COMPUTED_VALUE"""),1.0)</f>
        <v>1</v>
      </c>
      <c r="I100" s="65">
        <f>IFERROR(__xludf.DUMMYFUNCTION("""COMPUTED_VALUE"""),3.0)</f>
        <v>3</v>
      </c>
      <c r="J100" s="65">
        <f>IFERROR(__xludf.DUMMYFUNCTION("""COMPUTED_VALUE"""),7.0)</f>
        <v>7</v>
      </c>
      <c r="K100" s="65">
        <f>IFERROR(__xludf.DUMMYFUNCTION("""COMPUTED_VALUE"""),11.0)</f>
        <v>11</v>
      </c>
      <c r="L100" s="65">
        <f>IFERROR(__xludf.DUMMYFUNCTION("""COMPUTED_VALUE"""),1.0)</f>
        <v>1</v>
      </c>
      <c r="M100" s="65">
        <f>IFERROR(__xludf.DUMMYFUNCTION("""COMPUTED_VALUE"""),226.0)</f>
        <v>226</v>
      </c>
      <c r="N100" s="66">
        <f>IFERROR(__xludf.DUMMYFUNCTION("""COMPUTED_VALUE"""),16.0)</f>
        <v>16</v>
      </c>
    </row>
    <row r="101">
      <c r="A101" s="1"/>
      <c r="B101" s="67" t="str">
        <f>IFERROR(__xludf.DUMMYFUNCTION("""COMPUTED_VALUE"""),"Ted Shen")</f>
        <v>Ted Shen</v>
      </c>
      <c r="C101" s="63">
        <f>IFERROR(__xludf.DUMMYFUNCTION("""COMPUTED_VALUE"""),214.0)</f>
        <v>214</v>
      </c>
      <c r="D101" s="64">
        <f>IFERROR(__xludf.DUMMYFUNCTION("""COMPUTED_VALUE"""),17.0)</f>
        <v>17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IFERROR(__xludf.DUMMYFUNCTION("""COMPUTED_VALUE"""),3.0)</f>
        <v>3</v>
      </c>
      <c r="J101" s="65">
        <f>IFERROR(__xludf.DUMMYFUNCTION("""COMPUTED_VALUE"""),6.0)</f>
        <v>6</v>
      </c>
      <c r="K101" s="65">
        <f>IFERROR(__xludf.DUMMYFUNCTION("""COMPUTED_VALUE"""),15.0)</f>
        <v>15</v>
      </c>
      <c r="L101" s="65">
        <f>IFERROR(__xludf.DUMMYFUNCTION("""COMPUTED_VALUE"""),1.0)</f>
        <v>1</v>
      </c>
      <c r="M101" s="65">
        <f>IFERROR(__xludf.DUMMYFUNCTION("""COMPUTED_VALUE"""),229.0)</f>
        <v>229</v>
      </c>
      <c r="N101" s="66">
        <f>IFERROR(__xludf.DUMMYFUNCTION("""COMPUTED_VALUE"""),18.0)</f>
        <v>18</v>
      </c>
    </row>
    <row r="102">
      <c r="A102" s="1"/>
      <c r="B102" s="62" t="str">
        <f>IFERROR(__xludf.DUMMYFUNCTION("""COMPUTED_VALUE"""),"Eric Pan")</f>
        <v>Eric Pan</v>
      </c>
      <c r="C102" s="63">
        <f>IFERROR(__xludf.DUMMYFUNCTION("""COMPUTED_VALUE"""),212.0)</f>
        <v>212</v>
      </c>
      <c r="D102" s="64">
        <f>IFERROR(__xludf.DUMMYFUNCTION("""COMPUTED_VALUE"""),15.0)</f>
        <v>15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IFERROR(__xludf.DUMMYFUNCTION("""COMPUTED_VALUE"""),6.0)</f>
        <v>6</v>
      </c>
      <c r="J102" s="65">
        <f>IFERROR(__xludf.DUMMYFUNCTION("""COMPUTED_VALUE"""),7.0)</f>
        <v>7</v>
      </c>
      <c r="K102" s="65">
        <f>IFERROR(__xludf.DUMMYFUNCTION("""COMPUTED_VALUE"""),19.0)</f>
        <v>19</v>
      </c>
      <c r="L102" s="65">
        <f>IFERROR(__xludf.DUMMYFUNCTION("""COMPUTED_VALUE"""),3.0)</f>
        <v>3</v>
      </c>
      <c r="M102" s="65">
        <f>IFERROR(__xludf.DUMMYFUNCTION("""COMPUTED_VALUE"""),231.0)</f>
        <v>231</v>
      </c>
      <c r="N102" s="66">
        <f>IFERROR(__xludf.DUMMYFUNCTION("""COMPUTED_VALUE"""),18.0)</f>
        <v>18</v>
      </c>
    </row>
    <row r="103">
      <c r="A103" s="1"/>
      <c r="B103" s="62" t="str">
        <f>IFERROR(__xludf.DUMMYFUNCTION("""COMPUTED_VALUE"""),"Joe Luzzi")</f>
        <v>Joe Luzzi</v>
      </c>
      <c r="C103" s="63">
        <f>IFERROR(__xludf.DUMMYFUNCTION("""COMPUTED_VALUE"""),209.0)</f>
        <v>209</v>
      </c>
      <c r="D103" s="64">
        <f>IFERROR(__xludf.DUMMYFUNCTION("""COMPUTED_VALUE"""),15.0)</f>
        <v>15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IFERROR(__xludf.DUMMYFUNCTION("""COMPUTED_VALUE"""),1.0)</f>
        <v>1</v>
      </c>
      <c r="I103" s="65">
        <f>IFERROR(__xludf.DUMMYFUNCTION("""COMPUTED_VALUE"""),6.0)</f>
        <v>6</v>
      </c>
      <c r="J103" s="65">
        <f>IFERROR(__xludf.DUMMYFUNCTION("""COMPUTED_VALUE"""),6.0)</f>
        <v>6</v>
      </c>
      <c r="K103" s="65">
        <f>IFERROR(__xludf.DUMMYFUNCTION("""COMPUTED_VALUE"""),13.0)</f>
        <v>13</v>
      </c>
      <c r="L103" s="65">
        <f>IFERROR(__xludf.DUMMYFUNCTION("""COMPUTED_VALUE"""),1.0)</f>
        <v>1</v>
      </c>
      <c r="M103" s="65">
        <f>IFERROR(__xludf.DUMMYFUNCTION("""COMPUTED_VALUE"""),222.0)</f>
        <v>222</v>
      </c>
      <c r="N103" s="66">
        <f>IFERROR(__xludf.DUMMYFUNCTION("""COMPUTED_VALUE"""),16.0)</f>
        <v>16</v>
      </c>
    </row>
    <row r="104">
      <c r="A104" s="1"/>
      <c r="B104" s="67" t="str">
        <f>IFERROR(__xludf.DUMMYFUNCTION("""COMPUTED_VALUE"""),"Andrew Wen")</f>
        <v>Andrew Wen</v>
      </c>
      <c r="C104" s="68">
        <f>IFERROR(__xludf.DUMMYFUNCTION("""COMPUTED_VALUE"""),208.0)</f>
        <v>208</v>
      </c>
      <c r="D104" s="69">
        <f>IFERROR(__xludf.DUMMYFUNCTION("""COMPUTED_VALUE"""),17.0)</f>
        <v>17</v>
      </c>
      <c r="E104" s="68">
        <f>IFERROR(__xludf.DUMMYFUNCTION("""COMPUTED_VALUE"""),2.0)</f>
        <v>2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IFERROR(__xludf.DUMMYFUNCTION("""COMPUTED_VALUE"""),1.0)</f>
        <v>1</v>
      </c>
      <c r="I104" s="70">
        <f>IFERROR(__xludf.DUMMYFUNCTION("""COMPUTED_VALUE"""),6.0)</f>
        <v>6</v>
      </c>
      <c r="J104" s="70">
        <f>IFERROR(__xludf.DUMMYFUNCTION("""COMPUTED_VALUE"""),3.0)</f>
        <v>3</v>
      </c>
      <c r="K104" s="70">
        <f>IFERROR(__xludf.DUMMYFUNCTION("""COMPUTED_VALUE"""),10.0)</f>
        <v>10</v>
      </c>
      <c r="L104" s="70">
        <f>IFERROR(__xludf.DUMMYFUNCTION("""COMPUTED_VALUE"""),1.0)</f>
        <v>1</v>
      </c>
      <c r="M104" s="70">
        <f>IFERROR(__xludf.DUMMYFUNCTION("""COMPUTED_VALUE"""),218.0)</f>
        <v>218</v>
      </c>
      <c r="N104" s="71">
        <f>IFERROR(__xludf.DUMMYFUNCTION("""COMPUTED_VALUE"""),18.0)</f>
        <v>18</v>
      </c>
    </row>
    <row r="105">
      <c r="A105" s="1"/>
      <c r="B105" s="67" t="str">
        <f>IFERROR(__xludf.DUMMYFUNCTION("""COMPUTED_VALUE"""),"Erik Hoeckmann")</f>
        <v>Erik Hoeckmann</v>
      </c>
      <c r="C105" s="68">
        <f>IFERROR(__xludf.DUMMYFUNCTION("""COMPUTED_VALUE"""),205.0)</f>
        <v>205</v>
      </c>
      <c r="D105" s="69">
        <f>IFERROR(__xludf.DUMMYFUNCTION("""COMPUTED_VALUE"""),18.0)</f>
        <v>18</v>
      </c>
      <c r="E105" s="68">
        <f>IFERROR(__xludf.DUMMYFUNCTION("""COMPUTED_VALUE"""),2.0)</f>
        <v>2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IFERROR(__xludf.DUMMYFUNCTION("""COMPUTED_VALUE"""),1.0)</f>
        <v>1</v>
      </c>
      <c r="I105" s="70">
        <f>IFERROR(__xludf.DUMMYFUNCTION("""COMPUTED_VALUE"""),2.0)</f>
        <v>2</v>
      </c>
      <c r="J105" s="70">
        <f>IFERROR(__xludf.DUMMYFUNCTION("""COMPUTED_VALUE"""),6.0)</f>
        <v>6</v>
      </c>
      <c r="K105" s="70">
        <f>IFERROR(__xludf.DUMMYFUNCTION("""COMPUTED_VALUE"""),9.0)</f>
        <v>9</v>
      </c>
      <c r="L105" s="70">
        <f>IFERROR(__xludf.DUMMYFUNCTION("""COMPUTED_VALUE"""),1.0)</f>
        <v>1</v>
      </c>
      <c r="M105" s="70">
        <f>IFERROR(__xludf.DUMMYFUNCTION("""COMPUTED_VALUE"""),214.0)</f>
        <v>214</v>
      </c>
      <c r="N105" s="71">
        <f>IFERROR(__xludf.DUMMYFUNCTION("""COMPUTED_VALUE"""),19.0)</f>
        <v>19</v>
      </c>
    </row>
    <row r="106">
      <c r="A106" s="1"/>
      <c r="B106" s="67" t="str">
        <f>IFERROR(__xludf.DUMMYFUNCTION("""COMPUTED_VALUE"""),"Vishnu Amarnath")</f>
        <v>Vishnu Amarnath</v>
      </c>
      <c r="C106" s="68">
        <f>IFERROR(__xludf.DUMMYFUNCTION("""COMPUTED_VALUE"""),196.0)</f>
        <v>196</v>
      </c>
      <c r="D106" s="69">
        <f>IFERROR(__xludf.DUMMYFUNCTION("""COMPUTED_VALUE"""),16.0)</f>
        <v>16</v>
      </c>
      <c r="E106" s="68">
        <f>IFERROR(__xludf.DUMMYFUNCTION("""COMPUTED_VALUE"""),2.0)</f>
        <v>2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IFERROR(__xludf.DUMMYFUNCTION("""COMPUTED_VALUE"""),2.0)</f>
        <v>2</v>
      </c>
      <c r="J106" s="70">
        <f>IFERROR(__xludf.DUMMYFUNCTION("""COMPUTED_VALUE"""),3.0)</f>
        <v>3</v>
      </c>
      <c r="K106" s="70">
        <f>IFERROR(__xludf.DUMMYFUNCTION("""COMPUTED_VALUE"""),11.0)</f>
        <v>11</v>
      </c>
      <c r="L106" s="70">
        <f>IFERROR(__xludf.DUMMYFUNCTION("""COMPUTED_VALUE"""),1.0)</f>
        <v>1</v>
      </c>
      <c r="M106" s="70">
        <f>IFERROR(__xludf.DUMMYFUNCTION("""COMPUTED_VALUE"""),207.0)</f>
        <v>207</v>
      </c>
      <c r="N106" s="71">
        <f>IFERROR(__xludf.DUMMYFUNCTION("""COMPUTED_VALUE"""),17.0)</f>
        <v>17</v>
      </c>
    </row>
    <row r="107">
      <c r="A107" s="1"/>
      <c r="B107" s="67" t="str">
        <f>IFERROR(__xludf.DUMMYFUNCTION("""COMPUTED_VALUE"""),"Matthew Huang")</f>
        <v>Matthew Huang</v>
      </c>
      <c r="C107" s="68">
        <f>IFERROR(__xludf.DUMMYFUNCTION("""COMPUTED_VALUE"""),195.0)</f>
        <v>195</v>
      </c>
      <c r="D107" s="69">
        <f>IFERROR(__xludf.DUMMYFUNCTION("""COMPUTED_VALUE"""),9.0)</f>
        <v>9</v>
      </c>
      <c r="E107" s="68">
        <f>IFERROR(__xludf.DUMMYFUNCTION("""COMPUTED_VALUE"""),2.0)</f>
        <v>2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IFERROR(__xludf.DUMMYFUNCTION("""COMPUTED_VALUE"""),6.0)</f>
        <v>6</v>
      </c>
      <c r="J107" s="70">
        <f>IFERROR(__xludf.DUMMYFUNCTION("""COMPUTED_VALUE"""),6.0)</f>
        <v>6</v>
      </c>
      <c r="K107" s="70">
        <f>IFERROR(__xludf.DUMMYFUNCTION("""COMPUTED_VALUE"""),18.0)</f>
        <v>18</v>
      </c>
      <c r="L107" s="70">
        <f>IFERROR(__xludf.DUMMYFUNCTION("""COMPUTED_VALUE"""),3.0)</f>
        <v>3</v>
      </c>
      <c r="M107" s="70">
        <f>IFERROR(__xludf.DUMMYFUNCTION("""COMPUTED_VALUE"""),213.0)</f>
        <v>213</v>
      </c>
      <c r="N107" s="71">
        <f>IFERROR(__xludf.DUMMYFUNCTION("""COMPUTED_VALUE"""),12.0)</f>
        <v>12</v>
      </c>
    </row>
    <row r="108">
      <c r="A108" s="1"/>
      <c r="B108" s="62" t="str">
        <f>IFERROR(__xludf.DUMMYFUNCTION("""COMPUTED_VALUE"""),"Scott Li")</f>
        <v>Scott Li</v>
      </c>
      <c r="C108" s="63">
        <f>IFERROR(__xludf.DUMMYFUNCTION("""COMPUTED_VALUE"""),194.0)</f>
        <v>194</v>
      </c>
      <c r="D108" s="64">
        <f>IFERROR(__xludf.DUMMYFUNCTION("""COMPUTED_VALUE"""),14.0)</f>
        <v>14</v>
      </c>
      <c r="E108" s="63">
        <f>IFERROR(__xludf.DUMMYFUNCTION("""COMPUTED_VALUE"""),1.0)</f>
        <v>1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IFERROR(__xludf.DUMMYFUNCTION("""COMPUTED_VALUE"""),3.0)</f>
        <v>3</v>
      </c>
      <c r="I108" s="65">
        <f>IFERROR(__xludf.DUMMYFUNCTION("""COMPUTED_VALUE"""),6.0)</f>
        <v>6</v>
      </c>
      <c r="J108" s="65">
        <f>IFERROR(__xludf.DUMMYFUNCTION("""COMPUTED_VALUE"""),6.0)</f>
        <v>6</v>
      </c>
      <c r="K108" s="65">
        <f>IFERROR(__xludf.DUMMYFUNCTION("""COMPUTED_VALUE"""),15.0)</f>
        <v>15</v>
      </c>
      <c r="L108" s="65">
        <f>IFERROR(__xludf.DUMMYFUNCTION("""COMPUTED_VALUE"""),2.0)</f>
        <v>2</v>
      </c>
      <c r="M108" s="65">
        <f>IFERROR(__xludf.DUMMYFUNCTION("""COMPUTED_VALUE"""),209.0)</f>
        <v>209</v>
      </c>
      <c r="N108" s="66">
        <f>IFERROR(__xludf.DUMMYFUNCTION("""COMPUTED_VALUE"""),16.0)</f>
        <v>16</v>
      </c>
    </row>
    <row r="109">
      <c r="A109" s="1"/>
      <c r="B109" s="62" t="str">
        <f>IFERROR(__xludf.DUMMYFUNCTION("""COMPUTED_VALUE"""),"Kumar Palakeel")</f>
        <v>Kumar Palakeel</v>
      </c>
      <c r="C109" s="63">
        <f>IFERROR(__xludf.DUMMYFUNCTION("""COMPUTED_VALUE"""),193.0)</f>
        <v>193</v>
      </c>
      <c r="D109" s="64">
        <f>IFERROR(__xludf.DUMMYFUNCTION("""COMPUTED_VALUE"""),16.0)</f>
        <v>16</v>
      </c>
      <c r="E109" s="63">
        <f>IFERROR(__xludf.DUMMYFUNCTION("""COMPUTED_VALUE"""),1.0)</f>
        <v>1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IFERROR(__xludf.DUMMYFUNCTION("""COMPUTED_VALUE"""),6.0)</f>
        <v>6</v>
      </c>
      <c r="J109" s="65">
        <f>IFERROR(__xludf.DUMMYFUNCTION("""COMPUTED_VALUE"""),3.0)</f>
        <v>3</v>
      </c>
      <c r="K109" s="65">
        <f>IFERROR(__xludf.DUMMYFUNCTION("""COMPUTED_VALUE"""),15.0)</f>
        <v>15</v>
      </c>
      <c r="L109" s="65">
        <f>IFERROR(__xludf.DUMMYFUNCTION("""COMPUTED_VALUE"""),2.0)</f>
        <v>2</v>
      </c>
      <c r="M109" s="65">
        <f>IFERROR(__xludf.DUMMYFUNCTION("""COMPUTED_VALUE"""),208.0)</f>
        <v>208</v>
      </c>
      <c r="N109" s="66">
        <f>IFERROR(__xludf.DUMMYFUNCTION("""COMPUTED_VALUE"""),18.0)</f>
        <v>18</v>
      </c>
    </row>
    <row r="110">
      <c r="A110" s="1"/>
      <c r="B110" s="62" t="str">
        <f>IFERROR(__xludf.DUMMYFUNCTION("""COMPUTED_VALUE"""),"Jimmy Awolesi")</f>
        <v>Jimmy Awolesi</v>
      </c>
      <c r="C110" s="63">
        <f>IFERROR(__xludf.DUMMYFUNCTION("""COMPUTED_VALUE"""),192.0)</f>
        <v>192</v>
      </c>
      <c r="D110" s="64">
        <f>IFERROR(__xludf.DUMMYFUNCTION("""COMPUTED_VALUE"""),13.0)</f>
        <v>13</v>
      </c>
      <c r="E110" s="63">
        <f>IFERROR(__xludf.DUMMYFUNCTION("""COMPUTED_VALUE"""),1.0)</f>
        <v>1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IFERROR(__xludf.DUMMYFUNCTION("""COMPUTED_VALUE"""),4.0)</f>
        <v>4</v>
      </c>
      <c r="J110" s="65">
        <f>IFERROR(__xludf.DUMMYFUNCTION("""COMPUTED_VALUE"""),6.0)</f>
        <v>6</v>
      </c>
      <c r="K110" s="65">
        <f>IFERROR(__xludf.DUMMYFUNCTION("""COMPUTED_VALUE"""),16.0)</f>
        <v>16</v>
      </c>
      <c r="L110" s="65">
        <f>IFERROR(__xludf.DUMMYFUNCTION("""COMPUTED_VALUE"""),2.0)</f>
        <v>2</v>
      </c>
      <c r="M110" s="65">
        <f>IFERROR(__xludf.DUMMYFUNCTION("""COMPUTED_VALUE"""),208.0)</f>
        <v>208</v>
      </c>
      <c r="N110" s="66">
        <f>IFERROR(__xludf.DUMMYFUNCTION("""COMPUTED_VALUE"""),15.0)</f>
        <v>15</v>
      </c>
    </row>
    <row r="111">
      <c r="A111" s="1"/>
      <c r="B111" s="62" t="str">
        <f>IFERROR(__xludf.DUMMYFUNCTION("""COMPUTED_VALUE"""),"Eric Tan")</f>
        <v>Eric Tan</v>
      </c>
      <c r="C111" s="63">
        <f>IFERROR(__xludf.DUMMYFUNCTION("""COMPUTED_VALUE"""),191.0)</f>
        <v>191</v>
      </c>
      <c r="D111" s="64">
        <f>IFERROR(__xludf.DUMMYFUNCTION("""COMPUTED_VALUE"""),17.0)</f>
        <v>17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IFERROR(__xludf.DUMMYFUNCTION("""COMPUTED_VALUE"""),3.0)</f>
        <v>3</v>
      </c>
      <c r="I111" s="65">
        <f>IFERROR(__xludf.DUMMYFUNCTION("""COMPUTED_VALUE"""),4.0)</f>
        <v>4</v>
      </c>
      <c r="J111" s="65">
        <f>IFERROR(__xludf.DUMMYFUNCTION("""COMPUTED_VALUE"""),3.0)</f>
        <v>3</v>
      </c>
      <c r="K111" s="65">
        <f>IFERROR(__xludf.DUMMYFUNCTION("""COMPUTED_VALUE"""),10.0)</f>
        <v>10</v>
      </c>
      <c r="L111" s="65">
        <f>IFERROR(__xludf.DUMMYFUNCTION("""COMPUTED_VALUE"""),0.0)</f>
        <v>0</v>
      </c>
      <c r="M111" s="65">
        <f>IFERROR(__xludf.DUMMYFUNCTION("""COMPUTED_VALUE"""),201.0)</f>
        <v>201</v>
      </c>
      <c r="N111" s="66">
        <f>IFERROR(__xludf.DUMMYFUNCTION("""COMPUTED_VALUE"""),17.0)</f>
        <v>17</v>
      </c>
    </row>
    <row r="112">
      <c r="A112" s="1"/>
      <c r="B112" s="67" t="str">
        <f>IFERROR(__xludf.DUMMYFUNCTION("""COMPUTED_VALUE"""),"Ramesh Bandaru")</f>
        <v>Ramesh Bandaru</v>
      </c>
      <c r="C112" s="68">
        <f>IFERROR(__xludf.DUMMYFUNCTION("""COMPUTED_VALUE"""),188.0)</f>
        <v>188</v>
      </c>
      <c r="D112" s="69">
        <f>IFERROR(__xludf.DUMMYFUNCTION("""COMPUTED_VALUE"""),9.0)</f>
        <v>9</v>
      </c>
      <c r="E112" s="68">
        <f>IFERROR(__xludf.DUMMYFUNCTION("""COMPUTED_VALUE"""),1.0)</f>
        <v>1</v>
      </c>
      <c r="F112" s="70">
        <f>IFERROR(__xludf.DUMMYFUNCTION("""COMPUTED_VALUE"""),7.0)</f>
        <v>7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IFERROR(__xludf.DUMMYFUNCTION("""COMPUTED_VALUE"""),7.0)</f>
        <v>7</v>
      </c>
      <c r="J112" s="70">
        <f>IFERROR(__xludf.DUMMYFUNCTION("""COMPUTED_VALUE"""),4.0)</f>
        <v>4</v>
      </c>
      <c r="K112" s="70">
        <f>IFERROR(__xludf.DUMMYFUNCTION("""COMPUTED_VALUE"""),17.0)</f>
        <v>17</v>
      </c>
      <c r="L112" s="70">
        <f>IFERROR(__xludf.DUMMYFUNCTION("""COMPUTED_VALUE"""),2.0)</f>
        <v>2</v>
      </c>
      <c r="M112" s="70">
        <f>IFERROR(__xludf.DUMMYFUNCTION("""COMPUTED_VALUE"""),205.0)</f>
        <v>205</v>
      </c>
      <c r="N112" s="71">
        <f>IFERROR(__xludf.DUMMYFUNCTION("""COMPUTED_VALUE"""),11.0)</f>
        <v>11</v>
      </c>
    </row>
    <row r="113">
      <c r="A113" s="1"/>
      <c r="B113" s="67" t="str">
        <f>IFERROR(__xludf.DUMMYFUNCTION("""COMPUTED_VALUE"""),"Nohely Mejia")</f>
        <v>Nohely Mejia</v>
      </c>
      <c r="C113" s="68">
        <f>IFERROR(__xludf.DUMMYFUNCTION("""COMPUTED_VALUE"""),186.0)</f>
        <v>186</v>
      </c>
      <c r="D113" s="69">
        <f>IFERROR(__xludf.DUMMYFUNCTION("""COMPUTED_VALUE"""),5.0)</f>
        <v>5</v>
      </c>
      <c r="E113" s="68">
        <f>IFERROR(__xludf.DUMMYFUNCTION("""COMPUTED_VALUE"""),2.0)</f>
        <v>2</v>
      </c>
      <c r="F113" s="70">
        <f>IFERROR(__xludf.DUMMYFUNCTION("""COMPUTED_VALUE"""),7.0)</f>
        <v>7</v>
      </c>
      <c r="G113" s="70">
        <f>IFERROR(__xludf.DUMMYFUNCTION("""COMPUTED_VALUE"""),0.0)</f>
        <v>0</v>
      </c>
      <c r="H113" s="70">
        <f>IFERROR(__xludf.DUMMYFUNCTION("""COMPUTED_VALUE"""),4.0)</f>
        <v>4</v>
      </c>
      <c r="I113" s="70">
        <f>IFERROR(__xludf.DUMMYFUNCTION("""COMPUTED_VALUE"""),6.0)</f>
        <v>6</v>
      </c>
      <c r="J113" s="70">
        <f>IFERROR(__xludf.DUMMYFUNCTION("""COMPUTED_VALUE"""),4.0)</f>
        <v>4</v>
      </c>
      <c r="K113" s="70">
        <f>IFERROR(__xludf.DUMMYFUNCTION("""COMPUTED_VALUE"""),14.0)</f>
        <v>14</v>
      </c>
      <c r="L113" s="70">
        <f>IFERROR(__xludf.DUMMYFUNCTION("""COMPUTED_VALUE"""),0.0)</f>
        <v>0</v>
      </c>
      <c r="M113" s="70">
        <f>IFERROR(__xludf.DUMMYFUNCTION("""COMPUTED_VALUE"""),200.0)</f>
        <v>200</v>
      </c>
      <c r="N113" s="71">
        <f>IFERROR(__xludf.DUMMYFUNCTION("""COMPUTED_VALUE"""),5.0)</f>
        <v>5</v>
      </c>
    </row>
    <row r="114">
      <c r="A114" s="1"/>
      <c r="B114" s="67" t="str">
        <f>IFERROR(__xludf.DUMMYFUNCTION("""COMPUTED_VALUE"""),"Vinot Kumar Nagappan")</f>
        <v>Vinot Kumar Nagappan</v>
      </c>
      <c r="C114" s="68">
        <f>IFERROR(__xludf.DUMMYFUNCTION("""COMPUTED_VALUE"""),184.0)</f>
        <v>184</v>
      </c>
      <c r="D114" s="69">
        <f>IFERROR(__xludf.DUMMYFUNCTION("""COMPUTED_VALUE"""),7.0)</f>
        <v>7</v>
      </c>
      <c r="E114" s="68">
        <f>IFERROR(__xludf.DUMMYFUNCTION("""COMPUTED_VALUE"""),1.0)</f>
        <v>1</v>
      </c>
      <c r="F114" s="70">
        <f>IFERROR(__xludf.DUMMYFUNCTION("""COMPUTED_VALUE"""),7.0)</f>
        <v>7</v>
      </c>
      <c r="G114" s="70">
        <f>IFERROR(__xludf.DUMMYFUNCTION("""COMPUTED_VALUE"""),0.0)</f>
        <v>0</v>
      </c>
      <c r="H114" s="70">
        <f>IFERROR(__xludf.DUMMYFUNCTION("""COMPUTED_VALUE"""),6.0)</f>
        <v>6</v>
      </c>
      <c r="I114" s="70">
        <f>IFERROR(__xludf.DUMMYFUNCTION("""COMPUTED_VALUE"""),6.0)</f>
        <v>6</v>
      </c>
      <c r="J114" s="70">
        <f>IFERROR(__xludf.DUMMYFUNCTION("""COMPUTED_VALUE"""),6.0)</f>
        <v>6</v>
      </c>
      <c r="K114" s="70">
        <f>IFERROR(__xludf.DUMMYFUNCTION("""COMPUTED_VALUE"""),18.0)</f>
        <v>18</v>
      </c>
      <c r="L114" s="70">
        <f>IFERROR(__xludf.DUMMYFUNCTION("""COMPUTED_VALUE"""),2.0)</f>
        <v>2</v>
      </c>
      <c r="M114" s="70">
        <f>IFERROR(__xludf.DUMMYFUNCTION("""COMPUTED_VALUE"""),202.0)</f>
        <v>202</v>
      </c>
      <c r="N114" s="71">
        <f>IFERROR(__xludf.DUMMYFUNCTION("""COMPUTED_VALUE"""),9.0)</f>
        <v>9</v>
      </c>
    </row>
    <row r="115">
      <c r="A115" s="1"/>
      <c r="B115" s="67" t="str">
        <f>IFERROR(__xludf.DUMMYFUNCTION("""COMPUTED_VALUE"""),"Tony Wong")</f>
        <v>Tony Wong</v>
      </c>
      <c r="C115" s="68">
        <f>IFERROR(__xludf.DUMMYFUNCTION("""COMPUTED_VALUE"""),183.0)</f>
        <v>183</v>
      </c>
      <c r="D115" s="69">
        <f>IFERROR(__xludf.DUMMYFUNCTION("""COMPUTED_VALUE"""),10.0)</f>
        <v>10</v>
      </c>
      <c r="E115" s="68">
        <f>IFERROR(__xludf.DUMMYFUNCTION("""COMPUTED_VALUE"""),2.0)</f>
        <v>2</v>
      </c>
      <c r="F115" s="70">
        <f>IFERROR(__xludf.DUMMYFUNCTION("""COMPUTED_VALUE"""),7.0)</f>
        <v>7</v>
      </c>
      <c r="G115" s="70">
        <f>IFERROR(__xludf.DUMMYFUNCTION("""COMPUTED_VALUE"""),0.0)</f>
        <v>0</v>
      </c>
      <c r="H115" s="70">
        <f>IFERROR(__xludf.DUMMYFUNCTION("""COMPUTED_VALUE"""),4.0)</f>
        <v>4</v>
      </c>
      <c r="I115" s="70">
        <f>IFERROR(__xludf.DUMMYFUNCTION("""COMPUTED_VALUE"""),7.0)</f>
        <v>7</v>
      </c>
      <c r="J115" s="70">
        <f>IFERROR(__xludf.DUMMYFUNCTION("""COMPUTED_VALUE"""),6.0)</f>
        <v>6</v>
      </c>
      <c r="K115" s="70">
        <f>IFERROR(__xludf.DUMMYFUNCTION("""COMPUTED_VALUE"""),17.0)</f>
        <v>17</v>
      </c>
      <c r="L115" s="70">
        <f>IFERROR(__xludf.DUMMYFUNCTION("""COMPUTED_VALUE"""),2.0)</f>
        <v>2</v>
      </c>
      <c r="M115" s="70">
        <f>IFERROR(__xludf.DUMMYFUNCTION("""COMPUTED_VALUE"""),200.0)</f>
        <v>200</v>
      </c>
      <c r="N115" s="71">
        <f>IFERROR(__xludf.DUMMYFUNCTION("""COMPUTED_VALUE"""),12.0)</f>
        <v>12</v>
      </c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0"")"),"Adrian Tay")</f>
        <v>Adrian Tay</v>
      </c>
      <c r="C136" s="63">
        <f>IFERROR(__xludf.DUMMYFUNCTION("""COMPUTED_VALUE"""),254.0)</f>
        <v>254</v>
      </c>
      <c r="D136" s="64">
        <f>IFERROR(__xludf.DUMMYFUNCTION("""COMPUTED_VALUE"""),28.0)</f>
        <v>28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IFERROR(__xludf.DUMMYFUNCTION("""COMPUTED_VALUE"""),263.0)</f>
        <v>263</v>
      </c>
      <c r="N136" s="66">
        <f>IFERROR(__xludf.DUMMYFUNCTION("""COMPUTED_VALUE"""),28.0)</f>
        <v>28</v>
      </c>
    </row>
    <row r="137">
      <c r="A137" s="1"/>
      <c r="B137" s="62" t="str">
        <f>IFERROR(__xludf.DUMMYFUNCTION("""COMPUTED_VALUE"""),"Lam Bui")</f>
        <v>Lam Bui</v>
      </c>
      <c r="C137" s="63">
        <f>IFERROR(__xludf.DUMMYFUNCTION("""COMPUTED_VALUE"""),229.0)</f>
        <v>229</v>
      </c>
      <c r="D137" s="64">
        <f>IFERROR(__xludf.DUMMYFUNCTION("""COMPUTED_VALUE"""),16.0)</f>
        <v>16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IFERROR(__xludf.DUMMYFUNCTION("""COMPUTED_VALUE"""),238.0)</f>
        <v>238</v>
      </c>
      <c r="N137" s="66">
        <f>IFERROR(__xludf.DUMMYFUNCTION("""COMPUTED_VALUE"""),16.0)</f>
        <v>16</v>
      </c>
    </row>
    <row r="138">
      <c r="A138" s="1"/>
      <c r="B138" s="62" t="str">
        <f>IFERROR(__xludf.DUMMYFUNCTION("""COMPUTED_VALUE"""),"Pavan Akkimsetty")</f>
        <v>Pavan Akkimsetty</v>
      </c>
      <c r="C138" s="63">
        <f>IFERROR(__xludf.DUMMYFUNCTION("""COMPUTED_VALUE"""),225.0)</f>
        <v>225</v>
      </c>
      <c r="D138" s="64">
        <f>IFERROR(__xludf.DUMMYFUNCTION("""COMPUTED_VALUE"""),22.0)</f>
        <v>22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IFERROR(__xludf.DUMMYFUNCTION("""COMPUTED_VALUE"""),234.0)</f>
        <v>234</v>
      </c>
      <c r="N138" s="66">
        <f>IFERROR(__xludf.DUMMYFUNCTION("""COMPUTED_VALUE"""),22.0)</f>
        <v>22</v>
      </c>
    </row>
    <row r="139">
      <c r="A139" s="1"/>
      <c r="B139" s="62" t="str">
        <f>IFERROR(__xludf.DUMMYFUNCTION("""COMPUTED_VALUE"""),"Susanta Mishra")</f>
        <v>Susanta Mishra</v>
      </c>
      <c r="C139" s="63">
        <f>IFERROR(__xludf.DUMMYFUNCTION("""COMPUTED_VALUE"""),224.0)</f>
        <v>224</v>
      </c>
      <c r="D139" s="64">
        <f>IFERROR(__xludf.DUMMYFUNCTION("""COMPUTED_VALUE"""),18.0)</f>
        <v>18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IFERROR(__xludf.DUMMYFUNCTION("""COMPUTED_VALUE"""),233.0)</f>
        <v>233</v>
      </c>
      <c r="N139" s="66">
        <f>IFERROR(__xludf.DUMMYFUNCTION("""COMPUTED_VALUE"""),18.0)</f>
        <v>18</v>
      </c>
    </row>
    <row r="140">
      <c r="A140" s="1"/>
      <c r="B140" s="62" t="str">
        <f>IFERROR(__xludf.DUMMYFUNCTION("""COMPUTED_VALUE"""),"Luis Hsu")</f>
        <v>Luis Hsu</v>
      </c>
      <c r="C140" s="63">
        <f>IFERROR(__xludf.DUMMYFUNCTION("""COMPUTED_VALUE"""),213.0)</f>
        <v>213</v>
      </c>
      <c r="D140" s="64">
        <f>IFERROR(__xludf.DUMMYFUNCTION("""COMPUTED_VALUE"""),17.0)</f>
        <v>17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IFERROR(__xludf.DUMMYFUNCTION("""COMPUTED_VALUE"""),222.0)</f>
        <v>222</v>
      </c>
      <c r="N140" s="66">
        <f>IFERROR(__xludf.DUMMYFUNCTION("""COMPUTED_VALUE"""),17.0)</f>
        <v>17</v>
      </c>
    </row>
    <row r="141">
      <c r="A141" s="1"/>
      <c r="B141" s="62" t="str">
        <f>IFERROR(__xludf.DUMMYFUNCTION("""COMPUTED_VALUE"""),"Oscar Bonilla")</f>
        <v>Oscar Bonilla</v>
      </c>
      <c r="C141" s="63">
        <f>IFERROR(__xludf.DUMMYFUNCTION("""COMPUTED_VALUE"""),213.0)</f>
        <v>213</v>
      </c>
      <c r="D141" s="64">
        <f>IFERROR(__xludf.DUMMYFUNCTION("""COMPUTED_VALUE"""),15.0)</f>
        <v>15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IFERROR(__xludf.DUMMYFUNCTION("""COMPUTED_VALUE"""),222.0)</f>
        <v>222</v>
      </c>
      <c r="N141" s="66">
        <f>IFERROR(__xludf.DUMMYFUNCTION("""COMPUTED_VALUE"""),15.0)</f>
        <v>15</v>
      </c>
    </row>
    <row r="142">
      <c r="A142" s="1"/>
      <c r="B142" s="62" t="str">
        <f>IFERROR(__xludf.DUMMYFUNCTION("""COMPUTED_VALUE"""),"Chinna Ponnaganti")</f>
        <v>Chinna Ponnaganti</v>
      </c>
      <c r="C142" s="63">
        <f>IFERROR(__xludf.DUMMYFUNCTION("""COMPUTED_VALUE"""),212.0)</f>
        <v>212</v>
      </c>
      <c r="D142" s="64">
        <f>IFERROR(__xludf.DUMMYFUNCTION("""COMPUTED_VALUE"""),19.0)</f>
        <v>19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IFERROR(__xludf.DUMMYFUNCTION("""COMPUTED_VALUE"""),221.0)</f>
        <v>221</v>
      </c>
      <c r="N142" s="66">
        <f>IFERROR(__xludf.DUMMYFUNCTION("""COMPUTED_VALUE"""),19.0)</f>
        <v>19</v>
      </c>
    </row>
    <row r="143">
      <c r="A143" s="1"/>
      <c r="B143" s="62" t="str">
        <f>IFERROR(__xludf.DUMMYFUNCTION("""COMPUTED_VALUE"""),"David Tam")</f>
        <v>David Tam</v>
      </c>
      <c r="C143" s="63">
        <f>IFERROR(__xludf.DUMMYFUNCTION("""COMPUTED_VALUE"""),211.0)</f>
        <v>211</v>
      </c>
      <c r="D143" s="64">
        <f>IFERROR(__xludf.DUMMYFUNCTION("""COMPUTED_VALUE"""),18.0)</f>
        <v>18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IFERROR(__xludf.DUMMYFUNCTION("""COMPUTED_VALUE"""),220.0)</f>
        <v>220</v>
      </c>
      <c r="N143" s="66">
        <f>IFERROR(__xludf.DUMMYFUNCTION("""COMPUTED_VALUE"""),18.0)</f>
        <v>18</v>
      </c>
    </row>
    <row r="144">
      <c r="A144" s="1"/>
      <c r="B144" s="62" t="str">
        <f>IFERROR(__xludf.DUMMYFUNCTION("""COMPUTED_VALUE"""),"Mauricio Palacios")</f>
        <v>Mauricio Palacios</v>
      </c>
      <c r="C144" s="63">
        <f>IFERROR(__xludf.DUMMYFUNCTION("""COMPUTED_VALUE"""),207.0)</f>
        <v>207</v>
      </c>
      <c r="D144" s="64">
        <f>IFERROR(__xludf.DUMMYFUNCTION("""COMPUTED_VALUE"""),15.0)</f>
        <v>15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IFERROR(__xludf.DUMMYFUNCTION("""COMPUTED_VALUE"""),216.0)</f>
        <v>216</v>
      </c>
      <c r="N144" s="66">
        <f>IFERROR(__xludf.DUMMYFUNCTION("""COMPUTED_VALUE"""),15.0)</f>
        <v>15</v>
      </c>
    </row>
    <row r="145">
      <c r="A145" s="1"/>
      <c r="B145" s="62" t="str">
        <f>IFERROR(__xludf.DUMMYFUNCTION("""COMPUTED_VALUE"""),"Pulkit Mathur")</f>
        <v>Pulkit Mathur</v>
      </c>
      <c r="C145" s="63">
        <f>IFERROR(__xludf.DUMMYFUNCTION("""COMPUTED_VALUE"""),207.0)</f>
        <v>207</v>
      </c>
      <c r="D145" s="64">
        <f>IFERROR(__xludf.DUMMYFUNCTION("""COMPUTED_VALUE"""),15.0)</f>
        <v>15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IFERROR(__xludf.DUMMYFUNCTION("""COMPUTED_VALUE"""),216.0)</f>
        <v>216</v>
      </c>
      <c r="N145" s="66">
        <f>IFERROR(__xludf.DUMMYFUNCTION("""COMPUTED_VALUE"""),15.0)</f>
        <v>15</v>
      </c>
    </row>
    <row r="146">
      <c r="A146" s="1"/>
      <c r="B146" s="62" t="str">
        <f>IFERROR(__xludf.DUMMYFUNCTION("""COMPUTED_VALUE"""),"Trinath Goteti")</f>
        <v>Trinath Goteti</v>
      </c>
      <c r="C146" s="63">
        <f>IFERROR(__xludf.DUMMYFUNCTION("""COMPUTED_VALUE"""),207.0)</f>
        <v>207</v>
      </c>
      <c r="D146" s="64">
        <f>IFERROR(__xludf.DUMMYFUNCTION("""COMPUTED_VALUE"""),14.0)</f>
        <v>14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IFERROR(__xludf.DUMMYFUNCTION("""COMPUTED_VALUE"""),216.0)</f>
        <v>216</v>
      </c>
      <c r="N146" s="66">
        <f>IFERROR(__xludf.DUMMYFUNCTION("""COMPUTED_VALUE"""),14.0)</f>
        <v>14</v>
      </c>
    </row>
    <row r="147">
      <c r="A147" s="1"/>
      <c r="B147" s="62" t="str">
        <f>IFERROR(__xludf.DUMMYFUNCTION("""COMPUTED_VALUE"""),"Rajasekar Ramasamy")</f>
        <v>Rajasekar Ramasamy</v>
      </c>
      <c r="C147" s="63">
        <f>IFERROR(__xludf.DUMMYFUNCTION("""COMPUTED_VALUE"""),197.0)</f>
        <v>197</v>
      </c>
      <c r="D147" s="64">
        <f>IFERROR(__xludf.DUMMYFUNCTION("""COMPUTED_VALUE"""),13.0)</f>
        <v>13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IFERROR(__xludf.DUMMYFUNCTION("""COMPUTED_VALUE"""),206.0)</f>
        <v>206</v>
      </c>
      <c r="N147" s="66">
        <f>IFERROR(__xludf.DUMMYFUNCTION("""COMPUTED_VALUE"""),13.0)</f>
        <v>13</v>
      </c>
    </row>
    <row r="148">
      <c r="A148" s="1"/>
      <c r="B148" s="62" t="str">
        <f>IFERROR(__xludf.DUMMYFUNCTION("""COMPUTED_VALUE"""),"Kingsley Kuo")</f>
        <v>Kingsley Kuo</v>
      </c>
      <c r="C148" s="63">
        <f>IFERROR(__xludf.DUMMYFUNCTION("""COMPUTED_VALUE"""),197.0)</f>
        <v>197</v>
      </c>
      <c r="D148" s="64">
        <f>IFERROR(__xludf.DUMMYFUNCTION("""COMPUTED_VALUE"""),11.0)</f>
        <v>11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IFERROR(__xludf.DUMMYFUNCTION("""COMPUTED_VALUE"""),206.0)</f>
        <v>206</v>
      </c>
      <c r="N148" s="66">
        <f>IFERROR(__xludf.DUMMYFUNCTION("""COMPUTED_VALUE"""),11.0)</f>
        <v>11</v>
      </c>
    </row>
    <row r="149">
      <c r="A149" s="1"/>
      <c r="B149" s="62" t="str">
        <f>IFERROR(__xludf.DUMMYFUNCTION("""COMPUTED_VALUE"""),"Sandy Weyant")</f>
        <v>Sandy Weyant</v>
      </c>
      <c r="C149" s="63">
        <f>IFERROR(__xludf.DUMMYFUNCTION("""COMPUTED_VALUE"""),197.0)</f>
        <v>197</v>
      </c>
      <c r="D149" s="64">
        <f>IFERROR(__xludf.DUMMYFUNCTION("""COMPUTED_VALUE"""),11.0)</f>
        <v>11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IFERROR(__xludf.DUMMYFUNCTION("""COMPUTED_VALUE"""),206.0)</f>
        <v>206</v>
      </c>
      <c r="N149" s="66">
        <f>IFERROR(__xludf.DUMMYFUNCTION("""COMPUTED_VALUE"""),11.0)</f>
        <v>11</v>
      </c>
    </row>
    <row r="150">
      <c r="A150" s="1"/>
      <c r="B150" s="62" t="str">
        <f>IFERROR(__xludf.DUMMYFUNCTION("""COMPUTED_VALUE"""),"Manish Anand")</f>
        <v>Manish Anand</v>
      </c>
      <c r="C150" s="63">
        <f>IFERROR(__xludf.DUMMYFUNCTION("""COMPUTED_VALUE"""),195.0)</f>
        <v>195</v>
      </c>
      <c r="D150" s="64">
        <f>IFERROR(__xludf.DUMMYFUNCTION("""COMPUTED_VALUE"""),10.0)</f>
        <v>10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IFERROR(__xludf.DUMMYFUNCTION("""COMPUTED_VALUE"""),204.0)</f>
        <v>204</v>
      </c>
      <c r="N150" s="66">
        <f>IFERROR(__xludf.DUMMYFUNCTION("""COMPUTED_VALUE"""),10.0)</f>
        <v>10</v>
      </c>
    </row>
    <row r="151">
      <c r="A151" s="1"/>
      <c r="B151" s="62" t="str">
        <f>IFERROR(__xludf.DUMMYFUNCTION("""COMPUTED_VALUE"""),"Andrew Chin")</f>
        <v>Andrew Chin</v>
      </c>
      <c r="C151" s="63">
        <f>IFERROR(__xludf.DUMMYFUNCTION("""COMPUTED_VALUE"""),193.0)</f>
        <v>193</v>
      </c>
      <c r="D151" s="64">
        <f>IFERROR(__xludf.DUMMYFUNCTION("""COMPUTED_VALUE"""),10.0)</f>
        <v>10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IFERROR(__xludf.DUMMYFUNCTION("""COMPUTED_VALUE"""),202.0)</f>
        <v>202</v>
      </c>
      <c r="N151" s="66">
        <f>IFERROR(__xludf.DUMMYFUNCTION("""COMPUTED_VALUE"""),10.0)</f>
        <v>10</v>
      </c>
    </row>
    <row r="152">
      <c r="A152" s="1"/>
      <c r="B152" s="62" t="str">
        <f>IFERROR(__xludf.DUMMYFUNCTION("""COMPUTED_VALUE"""),"Balaji Alahari")</f>
        <v>Balaji Alahari</v>
      </c>
      <c r="C152" s="63">
        <f>IFERROR(__xludf.DUMMYFUNCTION("""COMPUTED_VALUE"""),192.0)</f>
        <v>192</v>
      </c>
      <c r="D152" s="64">
        <f>IFERROR(__xludf.DUMMYFUNCTION("""COMPUTED_VALUE"""),8.0)</f>
        <v>8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IFERROR(__xludf.DUMMYFUNCTION("""COMPUTED_VALUE"""),201.0)</f>
        <v>201</v>
      </c>
      <c r="N152" s="66">
        <f>IFERROR(__xludf.DUMMYFUNCTION("""COMPUTED_VALUE"""),8.0)</f>
        <v>8</v>
      </c>
    </row>
    <row r="153">
      <c r="A153" s="1"/>
      <c r="B153" s="62" t="str">
        <f>IFERROR(__xludf.DUMMYFUNCTION("""COMPUTED_VALUE"""),"Manuel Rivera")</f>
        <v>Manuel Rivera</v>
      </c>
      <c r="C153" s="63">
        <f>IFERROR(__xludf.DUMMYFUNCTION("""COMPUTED_VALUE"""),191.0)</f>
        <v>191</v>
      </c>
      <c r="D153" s="64">
        <f>IFERROR(__xludf.DUMMYFUNCTION("""COMPUTED_VALUE"""),15.0)</f>
        <v>15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IFERROR(__xludf.DUMMYFUNCTION("""COMPUTED_VALUE"""),200.0)</f>
        <v>200</v>
      </c>
      <c r="N153" s="66">
        <f>IFERROR(__xludf.DUMMYFUNCTION("""COMPUTED_VALUE"""),15.0)</f>
        <v>15</v>
      </c>
    </row>
    <row r="154">
      <c r="A154" s="1"/>
      <c r="B154" s="62" t="str">
        <f>IFERROR(__xludf.DUMMYFUNCTION("""COMPUTED_VALUE"""),"Vamsi Lolla ")</f>
        <v>Vamsi Lolla </v>
      </c>
      <c r="C154" s="63">
        <f>IFERROR(__xludf.DUMMYFUNCTION("""COMPUTED_VALUE"""),191.0)</f>
        <v>191</v>
      </c>
      <c r="D154" s="64">
        <f>IFERROR(__xludf.DUMMYFUNCTION("""COMPUTED_VALUE"""),8.0)</f>
        <v>8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IFERROR(__xludf.DUMMYFUNCTION("""COMPUTED_VALUE"""),200.0)</f>
        <v>200</v>
      </c>
      <c r="N154" s="66">
        <f>IFERROR(__xludf.DUMMYFUNCTION("""COMPUTED_VALUE"""),8.0)</f>
        <v>8</v>
      </c>
    </row>
    <row r="155">
      <c r="A155" s="1"/>
      <c r="B155" s="62" t="str">
        <f>IFERROR(__xludf.DUMMYFUNCTION("""COMPUTED_VALUE"""),"Vinaya Kajla")</f>
        <v>Vinaya Kajla</v>
      </c>
      <c r="C155" s="63">
        <f>IFERROR(__xludf.DUMMYFUNCTION("""COMPUTED_VALUE"""),190.0)</f>
        <v>190</v>
      </c>
      <c r="D155" s="64">
        <f>IFERROR(__xludf.DUMMYFUNCTION("""COMPUTED_VALUE"""),15.0)</f>
        <v>15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IFERROR(__xludf.DUMMYFUNCTION("""COMPUTED_VALUE"""),199.0)</f>
        <v>199</v>
      </c>
      <c r="N155" s="66">
        <f>IFERROR(__xludf.DUMMYFUNCTION("""COMPUTED_VALUE"""),15.0)</f>
        <v>15</v>
      </c>
    </row>
    <row r="156">
      <c r="A156" s="1"/>
      <c r="B156" s="62" t="str">
        <f>IFERROR(__xludf.DUMMYFUNCTION("""COMPUTED_VALUE"""),"Naveen Raj")</f>
        <v>Naveen Raj</v>
      </c>
      <c r="C156" s="63">
        <f>IFERROR(__xludf.DUMMYFUNCTION("""COMPUTED_VALUE"""),190.0)</f>
        <v>190</v>
      </c>
      <c r="D156" s="64">
        <f>IFERROR(__xludf.DUMMYFUNCTION("""COMPUTED_VALUE"""),11.0)</f>
        <v>11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IFERROR(__xludf.DUMMYFUNCTION("""COMPUTED_VALUE"""),199.0)</f>
        <v>199</v>
      </c>
      <c r="N156" s="66">
        <f>IFERROR(__xludf.DUMMYFUNCTION("""COMPUTED_VALUE"""),11.0)</f>
        <v>11</v>
      </c>
    </row>
    <row r="157">
      <c r="A157" s="1"/>
      <c r="B157" s="62" t="str">
        <f>IFERROR(__xludf.DUMMYFUNCTION("""COMPUTED_VALUE"""),"Elayaraja Thangaraj ")</f>
        <v>Elayaraja Thangaraj </v>
      </c>
      <c r="C157" s="63">
        <f>IFERROR(__xludf.DUMMYFUNCTION("""COMPUTED_VALUE"""),188.0)</f>
        <v>188</v>
      </c>
      <c r="D157" s="64">
        <f>IFERROR(__xludf.DUMMYFUNCTION("""COMPUTED_VALUE"""),13.0)</f>
        <v>13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IFERROR(__xludf.DUMMYFUNCTION("""COMPUTED_VALUE"""),197.0)</f>
        <v>197</v>
      </c>
      <c r="N157" s="66">
        <f>IFERROR(__xludf.DUMMYFUNCTION("""COMPUTED_VALUE"""),13.0)</f>
        <v>13</v>
      </c>
    </row>
    <row r="158">
      <c r="A158" s="1"/>
      <c r="B158" s="62" t="str">
        <f>IFERROR(__xludf.DUMMYFUNCTION("""COMPUTED_VALUE"""),"Savay Lieu")</f>
        <v>Savay Lieu</v>
      </c>
      <c r="C158" s="63">
        <f>IFERROR(__xludf.DUMMYFUNCTION("""COMPUTED_VALUE"""),185.0)</f>
        <v>185</v>
      </c>
      <c r="D158" s="64">
        <f>IFERROR(__xludf.DUMMYFUNCTION("""COMPUTED_VALUE"""),5.0)</f>
        <v>5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IFERROR(__xludf.DUMMYFUNCTION("""COMPUTED_VALUE"""),194.0)</f>
        <v>194</v>
      </c>
      <c r="N158" s="66">
        <f>IFERROR(__xludf.DUMMYFUNCTION("""COMPUTED_VALUE"""),5.0)</f>
        <v>5</v>
      </c>
    </row>
    <row r="159">
      <c r="A159" s="1"/>
      <c r="B159" s="62" t="str">
        <f>IFERROR(__xludf.DUMMYFUNCTION("""COMPUTED_VALUE"""),"Sudhagar Subbaian")</f>
        <v>Sudhagar Subbaian</v>
      </c>
      <c r="C159" s="63">
        <f>IFERROR(__xludf.DUMMYFUNCTION("""COMPUTED_VALUE"""),180.0)</f>
        <v>180</v>
      </c>
      <c r="D159" s="64">
        <f>IFERROR(__xludf.DUMMYFUNCTION("""COMPUTED_VALUE"""),5.0)</f>
        <v>5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IFERROR(__xludf.DUMMYFUNCTION("""COMPUTED_VALUE"""),189.0)</f>
        <v>189</v>
      </c>
      <c r="N159" s="66">
        <f>IFERROR(__xludf.DUMMYFUNCTION("""COMPUTED_VALUE"""),5.0)</f>
        <v>5</v>
      </c>
    </row>
    <row r="160">
      <c r="A160" s="1"/>
      <c r="B160" s="62" t="str">
        <f>IFERROR(__xludf.DUMMYFUNCTION("""COMPUTED_VALUE"""),"Robert Chang")</f>
        <v>Robert Chang</v>
      </c>
      <c r="C160" s="63">
        <f>IFERROR(__xludf.DUMMYFUNCTION("""COMPUTED_VALUE"""),180.0)</f>
        <v>180</v>
      </c>
      <c r="D160" s="64">
        <f>IFERROR(__xludf.DUMMYFUNCTION("""COMPUTED_VALUE"""),4.0)</f>
        <v>4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IFERROR(__xludf.DUMMYFUNCTION("""COMPUTED_VALUE"""),189.0)</f>
        <v>189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IFERROR(__xludf.DUMMYFUNCTION("""COMPUTED_VALUE"""),"Amit Patel")</f>
        <v>Amit Patel</v>
      </c>
      <c r="C161" s="63">
        <f>IFERROR(__xludf.DUMMYFUNCTION("""COMPUTED_VALUE"""),178.0)</f>
        <v>178</v>
      </c>
      <c r="D161" s="64">
        <f>IFERROR(__xludf.DUMMYFUNCTION("""COMPUTED_VALUE"""),5.0)</f>
        <v>5</v>
      </c>
      <c r="E161" s="63">
        <f>IFERROR(__xludf.DUMMYFUNCTION("""COMPUTED_VALUE"""),4.0)</f>
        <v>4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IFERROR(__xludf.DUMMYFUNCTION("""COMPUTED_VALUE"""),187.0)</f>
        <v>187</v>
      </c>
      <c r="N161" s="66">
        <f>IFERROR(__xludf.DUMMYFUNCTION("""COMPUTED_VALUE"""),5.0)</f>
        <v>5</v>
      </c>
    </row>
    <row r="162">
      <c r="A162" s="1"/>
      <c r="B162" s="62" t="str">
        <f>IFERROR(__xludf.DUMMYFUNCTION("""COMPUTED_VALUE"""),"Alejandro Mejia")</f>
        <v>Alejandro Mejia</v>
      </c>
      <c r="C162" s="63">
        <f>IFERROR(__xludf.DUMMYFUNCTION("""COMPUTED_VALUE"""),178.0)</f>
        <v>178</v>
      </c>
      <c r="D162" s="64">
        <f>IFERROR(__xludf.DUMMYFUNCTION("""COMPUTED_VALUE"""),4.0)</f>
        <v>4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IFERROR(__xludf.DUMMYFUNCTION("""COMPUTED_VALUE"""),187.0)</f>
        <v>187</v>
      </c>
      <c r="N162" s="66">
        <f>IFERROR(__xludf.DUMMYFUNCTION("""COMPUTED_VALUE"""),4.0)</f>
        <v>4</v>
      </c>
    </row>
    <row r="163">
      <c r="A163" s="1"/>
      <c r="B163" s="62" t="str">
        <f>IFERROR(__xludf.DUMMYFUNCTION("""COMPUTED_VALUE"""),"Rosie Bonilla")</f>
        <v>Rosie Bonilla</v>
      </c>
      <c r="C163" s="63">
        <f>IFERROR(__xludf.DUMMYFUNCTION("""COMPUTED_VALUE"""),177.0)</f>
        <v>177</v>
      </c>
      <c r="D163" s="64">
        <f>IFERROR(__xludf.DUMMYFUNCTION("""COMPUTED_VALUE"""),2.0)</f>
        <v>2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IFERROR(__xludf.DUMMYFUNCTION("""COMPUTED_VALUE"""),186.0)</f>
        <v>186</v>
      </c>
      <c r="N163" s="66">
        <f>IFERROR(__xludf.DUMMYFUNCTION("""COMPUTED_VALUE"""),2.0)</f>
        <v>2</v>
      </c>
    </row>
    <row r="164">
      <c r="A164" s="1"/>
      <c r="B164" s="62" t="str">
        <f>IFERROR(__xludf.DUMMYFUNCTION("""COMPUTED_VALUE"""),"Sanjaye Elayattu")</f>
        <v>Sanjaye Elayattu</v>
      </c>
      <c r="C164" s="63">
        <f>IFERROR(__xludf.DUMMYFUNCTION("""COMPUTED_VALUE"""),174.0)</f>
        <v>174</v>
      </c>
      <c r="D164" s="64">
        <f>IFERROR(__xludf.DUMMYFUNCTION("""COMPUTED_VALUE"""),1.0)</f>
        <v>1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IFERROR(__xludf.DUMMYFUNCTION("""COMPUTED_VALUE"""),183.0)</f>
        <v>183</v>
      </c>
      <c r="N164" s="66">
        <f>IFERROR(__xludf.DUMMYFUNCTION("""COMPUTED_VALUE"""),1.0)</f>
        <v>1</v>
      </c>
    </row>
    <row r="165">
      <c r="A165" s="1"/>
      <c r="B165" s="62" t="str">
        <f>IFERROR(__xludf.DUMMYFUNCTION("""COMPUTED_VALUE"""),"Ash Nikravan")</f>
        <v>Ash Nikravan</v>
      </c>
      <c r="C165" s="63">
        <f>IFERROR(__xludf.DUMMYFUNCTION("""COMPUTED_VALUE"""),173.0)</f>
        <v>173</v>
      </c>
      <c r="D165" s="64">
        <f>IFERROR(__xludf.DUMMYFUNCTION("""COMPUTED_VALUE"""),5.0)</f>
        <v>5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IFERROR(__xludf.DUMMYFUNCTION("""COMPUTED_VALUE"""),182.0)</f>
        <v>182</v>
      </c>
      <c r="N165" s="66">
        <f>IFERROR(__xludf.DUMMYFUNCTION("""COMPUTED_VALUE"""),5.0)</f>
        <v>5</v>
      </c>
    </row>
    <row r="166">
      <c r="A166" s="1"/>
      <c r="B166" s="62" t="str">
        <f>IFERROR(__xludf.DUMMYFUNCTION("""COMPUTED_VALUE"""),"Troy Wong")</f>
        <v>Troy Wong</v>
      </c>
      <c r="C166" s="63">
        <f>IFERROR(__xludf.DUMMYFUNCTION("""COMPUTED_VALUE"""),172.0)</f>
        <v>172</v>
      </c>
      <c r="D166" s="64">
        <f>IFERROR(__xludf.DUMMYFUNCTION("""COMPUTED_VALUE"""),4.0)</f>
        <v>4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IFERROR(__xludf.DUMMYFUNCTION("""COMPUTED_VALUE"""),181.0)</f>
        <v>181</v>
      </c>
      <c r="N166" s="66">
        <f>IFERROR(__xludf.DUMMYFUNCTION("""COMPUTED_VALUE"""),4.0)</f>
        <v>4</v>
      </c>
    </row>
    <row r="167">
      <c r="A167" s="1"/>
      <c r="B167" s="62" t="str">
        <f>IFERROR(__xludf.DUMMYFUNCTION("""COMPUTED_VALUE"""),"Santosh Sundaresan ")</f>
        <v>Santosh Sundaresan </v>
      </c>
      <c r="C167" s="63">
        <f>IFERROR(__xludf.DUMMYFUNCTION("""COMPUTED_VALUE"""),171.0)</f>
        <v>171</v>
      </c>
      <c r="D167" s="64">
        <f>IFERROR(__xludf.DUMMYFUNCTION("""COMPUTED_VALUE"""),4.0)</f>
        <v>4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IFERROR(__xludf.DUMMYFUNCTION("""COMPUTED_VALUE"""),180.0)</f>
        <v>180</v>
      </c>
      <c r="N167" s="66">
        <f>IFERROR(__xludf.DUMMYFUNCTION("""COMPUTED_VALUE"""),4.0)</f>
        <v>4</v>
      </c>
    </row>
    <row r="168">
      <c r="A168" s="1"/>
      <c r="B168" s="62" t="str">
        <f>IFERROR(__xludf.DUMMYFUNCTION("""COMPUTED_VALUE"""),"Tony Lin")</f>
        <v>Tony Lin</v>
      </c>
      <c r="C168" s="63">
        <f>IFERROR(__xludf.DUMMYFUNCTION("""COMPUTED_VALUE"""),171.0)</f>
        <v>171</v>
      </c>
      <c r="D168" s="64">
        <f>IFERROR(__xludf.DUMMYFUNCTION("""COMPUTED_VALUE"""),3.0)</f>
        <v>3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IFERROR(__xludf.DUMMYFUNCTION("""COMPUTED_VALUE"""),180.0)</f>
        <v>180</v>
      </c>
      <c r="N168" s="66">
        <f>IFERROR(__xludf.DUMMYFUNCTION("""COMPUTED_VALUE"""),3.0)</f>
        <v>3</v>
      </c>
    </row>
    <row r="169">
      <c r="A169" s="1"/>
      <c r="B169" s="62" t="str">
        <f>IFERROR(__xludf.DUMMYFUNCTION("""COMPUTED_VALUE"""),"Chandrasekar Chinnathambi")</f>
        <v>Chandrasekar Chinnathambi</v>
      </c>
      <c r="C169" s="63">
        <f>IFERROR(__xludf.DUMMYFUNCTION("""COMPUTED_VALUE"""),169.0)</f>
        <v>169</v>
      </c>
      <c r="D169" s="64">
        <f>IFERROR(__xludf.DUMMYFUNCTION("""COMPUTED_VALUE"""),1.0)</f>
        <v>1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IFERROR(__xludf.DUMMYFUNCTION("""COMPUTED_VALUE"""),178.0)</f>
        <v>178</v>
      </c>
      <c r="N169" s="66">
        <f>IFERROR(__xludf.DUMMYFUNCTION("""COMPUTED_VALUE"""),1.0)</f>
        <v>1</v>
      </c>
    </row>
    <row r="170">
      <c r="A170" s="1"/>
      <c r="B170" s="62" t="str">
        <f>IFERROR(__xludf.DUMMYFUNCTION("""COMPUTED_VALUE"""),"Marcus Yovas")</f>
        <v>Marcus Yovas</v>
      </c>
      <c r="C170" s="63">
        <f>IFERROR(__xludf.DUMMYFUNCTION("""COMPUTED_VALUE"""),166.0)</f>
        <v>166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IFERROR(__xludf.DUMMYFUNCTION("""COMPUTED_VALUE"""),175.0)</f>
        <v>175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IFERROR(__xludf.DUMMYFUNCTION("""COMPUTED_VALUE"""),"Joyce Zhu")</f>
        <v>Joyce Zhu</v>
      </c>
      <c r="C171" s="63">
        <f>IFERROR(__xludf.DUMMYFUNCTION("""COMPUTED_VALUE"""),162.0)</f>
        <v>162</v>
      </c>
      <c r="D171" s="64">
        <f>IFERROR(__xludf.DUMMYFUNCTION("""COMPUTED_VALUE"""),5.0)</f>
        <v>5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IFERROR(__xludf.DUMMYFUNCTION("""COMPUTED_VALUE"""),171.0)</f>
        <v>171</v>
      </c>
      <c r="N171" s="66">
        <f>IFERROR(__xludf.DUMMYFUNCTION("""COMPUTED_VALUE"""),5.0)</f>
        <v>5</v>
      </c>
    </row>
    <row r="172">
      <c r="A172" s="1"/>
      <c r="B172" s="62" t="str">
        <f>IFERROR(__xludf.DUMMYFUNCTION("""COMPUTED_VALUE"""),"Vilas Janardhanan")</f>
        <v>Vilas Janardhanan</v>
      </c>
      <c r="C172" s="63">
        <f>IFERROR(__xludf.DUMMYFUNCTION("""COMPUTED_VALUE"""),162.0)</f>
        <v>162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IFERROR(__xludf.DUMMYFUNCTION("""COMPUTED_VALUE"""),171.0)</f>
        <v>171</v>
      </c>
      <c r="N172" s="66">
        <f>IFERROR(__xludf.DUMMYFUNCTION("""COMPUTED_VALUE"""),0.0)</f>
        <v>0</v>
      </c>
    </row>
    <row r="173">
      <c r="A173" s="1"/>
      <c r="B173" s="62" t="str">
        <f>IFERROR(__xludf.DUMMYFUNCTION("""COMPUTED_VALUE"""),"Coco Yan")</f>
        <v>Coco Yan</v>
      </c>
      <c r="C173" s="63">
        <f>IFERROR(__xludf.DUMMYFUNCTION("""COMPUTED_VALUE"""),162.0)</f>
        <v>162</v>
      </c>
      <c r="D173" s="64">
        <f>IFERROR(__xludf.DUMMYFUNCTION("""COMPUTED_VALUE"""),0.0)</f>
        <v>0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IFERROR(__xludf.DUMMYFUNCTION("""COMPUTED_VALUE"""),171.0)</f>
        <v>171</v>
      </c>
      <c r="N173" s="66">
        <f>IFERROR(__xludf.DUMMYFUNCTION("""COMPUTED_VALUE"""),0.0)</f>
        <v>0</v>
      </c>
    </row>
    <row r="174">
      <c r="A174" s="1"/>
      <c r="B174" s="62" t="str">
        <f>IFERROR(__xludf.DUMMYFUNCTION("""COMPUTED_VALUE"""),"Tiffany Yu")</f>
        <v>Tiffany Yu</v>
      </c>
      <c r="C174" s="63">
        <f>IFERROR(__xludf.DUMMYFUNCTION("""COMPUTED_VALUE"""),161.0)</f>
        <v>161</v>
      </c>
      <c r="D174" s="64">
        <f>IFERROR(__xludf.DUMMYFUNCTION("""COMPUTED_VALUE"""),2.0)</f>
        <v>2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IFERROR(__xludf.DUMMYFUNCTION("""COMPUTED_VALUE"""),170.0)</f>
        <v>170</v>
      </c>
      <c r="N174" s="66">
        <f>IFERROR(__xludf.DUMMYFUNCTION("""COMPUTED_VALUE"""),2.0)</f>
        <v>2</v>
      </c>
    </row>
    <row r="175">
      <c r="A175" s="1"/>
      <c r="B175" s="62" t="str">
        <f>IFERROR(__xludf.DUMMYFUNCTION("""COMPUTED_VALUE"""),"Sai Dilip Ponnaganti")</f>
        <v>Sai Dilip Ponnaganti</v>
      </c>
      <c r="C175" s="63">
        <f>IFERROR(__xludf.DUMMYFUNCTION("""COMPUTED_VALUE"""),153.0)</f>
        <v>153</v>
      </c>
      <c r="D175" s="64">
        <f>IFERROR(__xludf.DUMMYFUNCTION("""COMPUTED_VALUE"""),0.0)</f>
        <v>0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IFERROR(__xludf.DUMMYFUNCTION("""COMPUTED_VALUE"""),162.0)</f>
        <v>162</v>
      </c>
      <c r="N175" s="66">
        <f>IFERROR(__xludf.DUMMYFUNCTION("""COMPUTED_VALUE"""),0.0)</f>
        <v>0</v>
      </c>
    </row>
    <row r="176">
      <c r="A176" s="1"/>
      <c r="B176" s="62" t="str">
        <f>IFERROR(__xludf.DUMMYFUNCTION("""COMPUTED_VALUE"""),"Jose Ortiz")</f>
        <v>Jose Ortiz</v>
      </c>
      <c r="C176" s="63">
        <f>IFERROR(__xludf.DUMMYFUNCTION("""COMPUTED_VALUE"""),152.0)</f>
        <v>152</v>
      </c>
      <c r="D176" s="64">
        <f>IFERROR(__xludf.DUMMYFUNCTION("""COMPUTED_VALUE"""),2.0)</f>
        <v>2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IFERROR(__xludf.DUMMYFUNCTION("""COMPUTED_VALUE"""),161.0)</f>
        <v>161</v>
      </c>
      <c r="N176" s="66">
        <f>IFERROR(__xludf.DUMMYFUNCTION("""COMPUTED_VALUE"""),2.0)</f>
        <v>2</v>
      </c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</cols>
  <sheetData>
    <row r="1">
      <c r="A1" s="1"/>
      <c r="B1" s="2" t="s">
        <v>1</v>
      </c>
      <c r="C1" s="5">
        <v>45437.0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18.0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  <c r="Q3" s="20" t="s">
        <v>27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34</v>
      </c>
      <c r="R4" s="24" t="s">
        <v>35</v>
      </c>
      <c r="S4" s="24" t="s">
        <v>36</v>
      </c>
      <c r="T4" s="24" t="s">
        <v>37</v>
      </c>
    </row>
    <row r="5">
      <c r="A5" s="26">
        <v>1.0</v>
      </c>
      <c r="B5" s="27" t="s">
        <v>38</v>
      </c>
      <c r="C5" s="28">
        <v>236.0</v>
      </c>
      <c r="D5" s="29">
        <v>25.0</v>
      </c>
      <c r="E5" s="30">
        <v>1.0</v>
      </c>
      <c r="F5" s="31">
        <v>1.0</v>
      </c>
      <c r="G5" s="28">
        <v>0.0</v>
      </c>
      <c r="H5" s="31">
        <v>6.0</v>
      </c>
      <c r="I5" s="31">
        <v>6.0</v>
      </c>
      <c r="J5" s="31">
        <v>6.0</v>
      </c>
      <c r="K5" s="33">
        <v>18.0</v>
      </c>
      <c r="L5" s="31">
        <v>3.0</v>
      </c>
      <c r="M5" s="28">
        <f t="shared" ref="M5:N5" si="1">C5+K5</f>
        <v>254</v>
      </c>
      <c r="N5" s="29">
        <f t="shared" si="1"/>
        <v>28</v>
      </c>
      <c r="O5" s="35" t="s">
        <v>46</v>
      </c>
      <c r="P5" s="35" t="s">
        <v>46</v>
      </c>
      <c r="Q5" s="35"/>
      <c r="R5" s="31">
        <f>if(G5=13,1,0)+VLOOKUP(B5,'051824'!B:Q,16,false)</f>
        <v>1</v>
      </c>
      <c r="S5" s="31"/>
      <c r="T5" s="31">
        <f>if(G5=9,1,0)+VLOOKUP(B5,'051824'!B:S,18,false)</f>
        <v>6</v>
      </c>
    </row>
    <row r="6">
      <c r="A6" s="26">
        <f t="shared" ref="A6:A69" si="3">A5+1</f>
        <v>2</v>
      </c>
      <c r="B6" s="27" t="s">
        <v>48</v>
      </c>
      <c r="C6" s="28">
        <v>234.0</v>
      </c>
      <c r="D6" s="29">
        <v>23.0</v>
      </c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f t="shared" ref="M6:N6" si="2">C6+K6</f>
        <v>243</v>
      </c>
      <c r="N6" s="29">
        <f t="shared" si="2"/>
        <v>23</v>
      </c>
      <c r="O6" s="35" t="s">
        <v>46</v>
      </c>
      <c r="P6" s="35" t="s">
        <v>46</v>
      </c>
      <c r="Q6" s="35"/>
      <c r="R6" s="31">
        <f>if(G6=13,1,0)+VLOOKUP(B6,'051824'!B:Q,16,false)</f>
        <v>2</v>
      </c>
      <c r="S6" s="31"/>
      <c r="T6" s="31">
        <f>if(G6=9,1,0)+VLOOKUP(B6,'051824'!B:S,18,false)</f>
        <v>6</v>
      </c>
    </row>
    <row r="7">
      <c r="A7" s="26">
        <f t="shared" si="3"/>
        <v>3</v>
      </c>
      <c r="B7" s="39" t="s">
        <v>52</v>
      </c>
      <c r="C7" s="28">
        <v>224.0</v>
      </c>
      <c r="D7" s="29">
        <v>26.0</v>
      </c>
      <c r="E7" s="30">
        <v>1.0</v>
      </c>
      <c r="F7" s="31">
        <v>1.0</v>
      </c>
      <c r="G7" s="28">
        <v>0.0</v>
      </c>
      <c r="H7" s="31">
        <v>6.0</v>
      </c>
      <c r="I7" s="31">
        <v>3.0</v>
      </c>
      <c r="J7" s="31">
        <v>4.0</v>
      </c>
      <c r="K7" s="33">
        <v>13.0</v>
      </c>
      <c r="L7" s="31">
        <v>1.0</v>
      </c>
      <c r="M7" s="28">
        <f t="shared" ref="M7:N7" si="4">C7+K7</f>
        <v>237</v>
      </c>
      <c r="N7" s="29">
        <f t="shared" si="4"/>
        <v>27</v>
      </c>
      <c r="O7" s="35" t="s">
        <v>46</v>
      </c>
      <c r="P7" s="35" t="s">
        <v>46</v>
      </c>
      <c r="Q7" s="35"/>
      <c r="R7" s="31">
        <f>if(G7=13,1,0)+VLOOKUP(B7,'051824'!B:Q,16,false)</f>
        <v>0</v>
      </c>
      <c r="S7" s="31"/>
      <c r="T7" s="31">
        <f>if(G7=9,1,0)+VLOOKUP(B7,'051824'!B:S,18,false)</f>
        <v>4</v>
      </c>
    </row>
    <row r="8">
      <c r="A8" s="26">
        <f t="shared" si="3"/>
        <v>4</v>
      </c>
      <c r="B8" s="27" t="s">
        <v>57</v>
      </c>
      <c r="C8" s="28">
        <v>214.0</v>
      </c>
      <c r="D8" s="29">
        <v>19.0</v>
      </c>
      <c r="E8" s="30">
        <v>1.0</v>
      </c>
      <c r="F8" s="31">
        <v>1.0</v>
      </c>
      <c r="G8" s="28">
        <v>0.0</v>
      </c>
      <c r="H8" s="31">
        <v>4.0</v>
      </c>
      <c r="I8" s="31">
        <v>6.0</v>
      </c>
      <c r="J8" s="31">
        <v>4.0</v>
      </c>
      <c r="K8" s="33">
        <v>14.0</v>
      </c>
      <c r="L8" s="31">
        <v>1.0</v>
      </c>
      <c r="M8" s="28">
        <f t="shared" ref="M8:N8" si="5">C8+K8</f>
        <v>228</v>
      </c>
      <c r="N8" s="29">
        <f t="shared" si="5"/>
        <v>20</v>
      </c>
      <c r="O8" s="35" t="s">
        <v>46</v>
      </c>
      <c r="P8" s="35" t="s">
        <v>46</v>
      </c>
      <c r="Q8" s="35"/>
      <c r="R8" s="31">
        <f>if(G8=13,1,0)+VLOOKUP(B8,'051824'!B:Q,16,false)</f>
        <v>0</v>
      </c>
      <c r="S8" s="31"/>
      <c r="T8" s="31">
        <f>if(G8=9,1,0)+VLOOKUP(B8,'051824'!B:S,18,false)</f>
        <v>7</v>
      </c>
    </row>
    <row r="9">
      <c r="A9" s="26">
        <f t="shared" si="3"/>
        <v>5</v>
      </c>
      <c r="B9" s="27" t="s">
        <v>81</v>
      </c>
      <c r="C9" s="28">
        <v>212.0</v>
      </c>
      <c r="D9" s="29">
        <v>21.0</v>
      </c>
      <c r="E9" s="30">
        <v>1.0</v>
      </c>
      <c r="F9" s="31">
        <v>1.0</v>
      </c>
      <c r="G9" s="28">
        <v>0.0</v>
      </c>
      <c r="H9" s="31">
        <v>4.0</v>
      </c>
      <c r="I9" s="31">
        <v>3.0</v>
      </c>
      <c r="J9" s="31">
        <v>6.0</v>
      </c>
      <c r="K9" s="33">
        <v>13.0</v>
      </c>
      <c r="L9" s="31">
        <v>1.0</v>
      </c>
      <c r="M9" s="28">
        <f t="shared" ref="M9:N9" si="6">C9+K9</f>
        <v>225</v>
      </c>
      <c r="N9" s="29">
        <f t="shared" si="6"/>
        <v>22</v>
      </c>
      <c r="O9" s="35" t="s">
        <v>46</v>
      </c>
      <c r="P9" s="35" t="s">
        <v>46</v>
      </c>
      <c r="Q9" s="35"/>
      <c r="R9" s="31">
        <f>if(G9=13,1,0)+VLOOKUP(B9,'051824'!B:Q,16,false)</f>
        <v>0</v>
      </c>
      <c r="S9" s="31"/>
      <c r="T9" s="31">
        <f>if(G9=9,1,0)+VLOOKUP(B9,'051824'!B:S,18,false)</f>
        <v>4</v>
      </c>
    </row>
    <row r="10">
      <c r="A10" s="26">
        <f t="shared" si="3"/>
        <v>6</v>
      </c>
      <c r="B10" s="27" t="s">
        <v>75</v>
      </c>
      <c r="C10" s="28">
        <v>211.0</v>
      </c>
      <c r="D10" s="29">
        <v>18.0</v>
      </c>
      <c r="E10" s="30">
        <v>1.0</v>
      </c>
      <c r="F10" s="31">
        <v>2.0</v>
      </c>
      <c r="G10" s="28">
        <v>0.0</v>
      </c>
      <c r="H10" s="31">
        <v>6.0</v>
      </c>
      <c r="I10" s="31">
        <v>6.0</v>
      </c>
      <c r="J10" s="31">
        <v>3.0</v>
      </c>
      <c r="K10" s="33">
        <v>15.0</v>
      </c>
      <c r="L10" s="31">
        <v>1.0</v>
      </c>
      <c r="M10" s="28">
        <f t="shared" ref="M10:N10" si="7">C10+K10</f>
        <v>226</v>
      </c>
      <c r="N10" s="29">
        <f t="shared" si="7"/>
        <v>19</v>
      </c>
      <c r="O10" s="35" t="s">
        <v>46</v>
      </c>
      <c r="P10" s="35" t="s">
        <v>46</v>
      </c>
      <c r="Q10" s="35"/>
      <c r="R10" s="31">
        <f>if(G10=13,1,0)+VLOOKUP(B10,'051824'!B:Q,16,false)</f>
        <v>1</v>
      </c>
      <c r="S10" s="31"/>
      <c r="T10" s="31">
        <f>if(G10=9,1,0)+VLOOKUP(B10,'051824'!B:S,18,false)</f>
        <v>3</v>
      </c>
    </row>
    <row r="11">
      <c r="A11" s="26">
        <f t="shared" si="3"/>
        <v>7</v>
      </c>
      <c r="B11" s="27" t="s">
        <v>60</v>
      </c>
      <c r="C11" s="28">
        <v>210.0</v>
      </c>
      <c r="D11" s="29">
        <v>13.0</v>
      </c>
      <c r="E11" s="30">
        <v>2.0</v>
      </c>
      <c r="F11" s="31">
        <v>2.0</v>
      </c>
      <c r="G11" s="28">
        <v>0.0</v>
      </c>
      <c r="H11" s="31">
        <v>7.0</v>
      </c>
      <c r="I11" s="31">
        <v>6.0</v>
      </c>
      <c r="J11" s="31">
        <v>6.0</v>
      </c>
      <c r="K11" s="33">
        <v>19.0</v>
      </c>
      <c r="L11" s="31">
        <v>3.0</v>
      </c>
      <c r="M11" s="28">
        <f t="shared" ref="M11:N11" si="8">C11+K11</f>
        <v>229</v>
      </c>
      <c r="N11" s="29">
        <f t="shared" si="8"/>
        <v>16</v>
      </c>
      <c r="O11" s="35" t="s">
        <v>46</v>
      </c>
      <c r="P11" s="35" t="s">
        <v>46</v>
      </c>
      <c r="Q11" s="35"/>
      <c r="R11" s="31">
        <f>if(G11=13,1,0)+VLOOKUP(B11,'051824'!B:Q,16,false)</f>
        <v>2</v>
      </c>
      <c r="S11" s="31"/>
      <c r="T11" s="31">
        <f>if(G11=9,1,0)+VLOOKUP(B11,'051824'!B:S,18,false)</f>
        <v>9</v>
      </c>
    </row>
    <row r="12">
      <c r="A12" s="26">
        <f t="shared" si="3"/>
        <v>8</v>
      </c>
      <c r="B12" s="27" t="s">
        <v>56</v>
      </c>
      <c r="C12" s="28">
        <v>208.0</v>
      </c>
      <c r="D12" s="29">
        <v>17.0</v>
      </c>
      <c r="E12" s="30">
        <v>1.0</v>
      </c>
      <c r="F12" s="31">
        <v>2.0</v>
      </c>
      <c r="G12" s="28">
        <v>0.0</v>
      </c>
      <c r="H12" s="31">
        <v>6.0</v>
      </c>
      <c r="I12" s="31">
        <v>4.0</v>
      </c>
      <c r="J12" s="31">
        <v>6.0</v>
      </c>
      <c r="K12" s="33">
        <v>16.0</v>
      </c>
      <c r="L12" s="31">
        <v>1.0</v>
      </c>
      <c r="M12" s="28">
        <f t="shared" ref="M12:N12" si="9">C12+K12</f>
        <v>224</v>
      </c>
      <c r="N12" s="29">
        <f t="shared" si="9"/>
        <v>18</v>
      </c>
      <c r="O12" s="35" t="s">
        <v>46</v>
      </c>
      <c r="P12" s="35" t="s">
        <v>46</v>
      </c>
      <c r="Q12" s="35" t="s">
        <v>46</v>
      </c>
      <c r="R12" s="31">
        <f>if(G12=13,1,0)+VLOOKUP(B12,'051824'!B:Q,16,false)</f>
        <v>0</v>
      </c>
      <c r="S12" s="31"/>
      <c r="T12" s="31">
        <f>if(G12=9,1,0)+VLOOKUP(B12,'051824'!B:S,18,false)</f>
        <v>11</v>
      </c>
    </row>
    <row r="13">
      <c r="A13" s="26">
        <f t="shared" si="3"/>
        <v>9</v>
      </c>
      <c r="B13" s="27" t="s">
        <v>90</v>
      </c>
      <c r="C13" s="28">
        <v>207.0</v>
      </c>
      <c r="D13" s="29">
        <v>17.0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216</v>
      </c>
      <c r="N13" s="29">
        <f t="shared" si="10"/>
        <v>17</v>
      </c>
      <c r="O13" s="35" t="s">
        <v>46</v>
      </c>
      <c r="P13" s="35" t="s">
        <v>46</v>
      </c>
      <c r="Q13" s="35"/>
      <c r="R13" s="31">
        <f>if(G13=13,1,0)+VLOOKUP(B13,'051824'!B:Q,16,false)</f>
        <v>0</v>
      </c>
      <c r="S13" s="31"/>
      <c r="T13" s="31">
        <f>if(G13=9,1,0)+VLOOKUP(B13,'051824'!B:S,18,false)</f>
        <v>11</v>
      </c>
    </row>
    <row r="14">
      <c r="A14" s="26">
        <f t="shared" si="3"/>
        <v>10</v>
      </c>
      <c r="B14" s="27" t="s">
        <v>77</v>
      </c>
      <c r="C14" s="28">
        <v>207.0</v>
      </c>
      <c r="D14" s="29">
        <v>12.0</v>
      </c>
      <c r="E14" s="30">
        <v>1.0</v>
      </c>
      <c r="F14" s="31">
        <v>2.0</v>
      </c>
      <c r="G14" s="28">
        <v>0.0</v>
      </c>
      <c r="H14" s="31">
        <v>7.0</v>
      </c>
      <c r="I14" s="31">
        <v>4.0</v>
      </c>
      <c r="J14" s="31">
        <v>3.0</v>
      </c>
      <c r="K14" s="33">
        <v>14.0</v>
      </c>
      <c r="L14" s="31">
        <v>1.0</v>
      </c>
      <c r="M14" s="28">
        <f t="shared" ref="M14:N14" si="11">C14+K14</f>
        <v>221</v>
      </c>
      <c r="N14" s="29">
        <f t="shared" si="11"/>
        <v>13</v>
      </c>
      <c r="O14" s="35" t="s">
        <v>46</v>
      </c>
      <c r="P14" s="35" t="s">
        <v>46</v>
      </c>
      <c r="Q14" s="35"/>
      <c r="R14" s="31">
        <f>if(G14=13,1,0)+VLOOKUP(B14,'051824'!B:Q,16,false)</f>
        <v>2</v>
      </c>
      <c r="S14" s="31"/>
      <c r="T14" s="31">
        <f>if(G14=9,1,0)+VLOOKUP(B14,'051824'!B:S,18,false)</f>
        <v>6</v>
      </c>
    </row>
    <row r="15">
      <c r="A15" s="26">
        <f t="shared" si="3"/>
        <v>11</v>
      </c>
      <c r="B15" s="27" t="s">
        <v>61</v>
      </c>
      <c r="C15" s="28">
        <v>204.0</v>
      </c>
      <c r="D15" s="29">
        <v>17.0</v>
      </c>
      <c r="E15" s="30">
        <v>2.0</v>
      </c>
      <c r="F15" s="31">
        <v>3.0</v>
      </c>
      <c r="G15" s="28">
        <v>0.0</v>
      </c>
      <c r="H15" s="31">
        <v>4.0</v>
      </c>
      <c r="I15" s="31">
        <v>6.0</v>
      </c>
      <c r="J15" s="31">
        <v>7.0</v>
      </c>
      <c r="K15" s="33">
        <v>17.0</v>
      </c>
      <c r="L15" s="31">
        <v>2.0</v>
      </c>
      <c r="M15" s="28">
        <f t="shared" ref="M15:N15" si="12">C15+K15</f>
        <v>221</v>
      </c>
      <c r="N15" s="29">
        <f t="shared" si="12"/>
        <v>19</v>
      </c>
      <c r="O15" s="35" t="s">
        <v>46</v>
      </c>
      <c r="P15" s="35" t="s">
        <v>46</v>
      </c>
      <c r="Q15" s="35"/>
      <c r="R15" s="31">
        <f>if(G15=13,1,0)+VLOOKUP(B15,'051824'!B:Q,16,false)</f>
        <v>2</v>
      </c>
      <c r="S15" s="31"/>
      <c r="T15" s="31">
        <f>if(G15=9,1,0)+VLOOKUP(B15,'051824'!B:S,18,false)</f>
        <v>4</v>
      </c>
    </row>
    <row r="16">
      <c r="A16" s="26">
        <f t="shared" si="3"/>
        <v>12</v>
      </c>
      <c r="B16" s="39" t="s">
        <v>55</v>
      </c>
      <c r="C16" s="28">
        <v>204.0</v>
      </c>
      <c r="D16" s="29">
        <v>17.0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213</v>
      </c>
      <c r="N16" s="29">
        <f t="shared" si="13"/>
        <v>17</v>
      </c>
      <c r="O16" s="35" t="s">
        <v>46</v>
      </c>
      <c r="P16" s="35" t="s">
        <v>46</v>
      </c>
      <c r="Q16" s="35"/>
      <c r="R16" s="31">
        <f>if(G16=13,1,0)+VLOOKUP(B16,'051824'!B:Q,16,false)</f>
        <v>1</v>
      </c>
      <c r="S16" s="31"/>
      <c r="T16" s="31">
        <f>if(G16=9,1,0)+VLOOKUP(B16,'051824'!B:S,18,false)</f>
        <v>9</v>
      </c>
    </row>
    <row r="17">
      <c r="A17" s="26">
        <f t="shared" si="3"/>
        <v>13</v>
      </c>
      <c r="B17" s="39" t="s">
        <v>50</v>
      </c>
      <c r="C17" s="28">
        <v>203.0</v>
      </c>
      <c r="D17" s="29">
        <v>18.0</v>
      </c>
      <c r="E17" s="30">
        <v>1.0</v>
      </c>
      <c r="F17" s="31">
        <v>3.0</v>
      </c>
      <c r="G17" s="28">
        <v>0.0</v>
      </c>
      <c r="H17" s="31">
        <v>6.0</v>
      </c>
      <c r="I17" s="31">
        <v>6.0</v>
      </c>
      <c r="J17" s="31">
        <v>6.0</v>
      </c>
      <c r="K17" s="33">
        <v>18.0</v>
      </c>
      <c r="L17" s="31">
        <v>2.0</v>
      </c>
      <c r="M17" s="28">
        <f t="shared" ref="M17:N17" si="14">C17+K17</f>
        <v>221</v>
      </c>
      <c r="N17" s="29">
        <f t="shared" si="14"/>
        <v>20</v>
      </c>
      <c r="O17" s="35" t="s">
        <v>46</v>
      </c>
      <c r="P17" s="35" t="s">
        <v>46</v>
      </c>
      <c r="Q17" s="35"/>
      <c r="R17" s="31">
        <f>if(G17=13,1,0)+VLOOKUP(B17,'051824'!B:Q,16,false)</f>
        <v>0</v>
      </c>
      <c r="S17" s="31"/>
      <c r="T17" s="31">
        <f>if(G17=9,1,0)+VLOOKUP(B17,'051824'!B:S,18,false)</f>
        <v>10</v>
      </c>
    </row>
    <row r="18">
      <c r="A18" s="26">
        <f t="shared" si="3"/>
        <v>14</v>
      </c>
      <c r="B18" s="27" t="s">
        <v>82</v>
      </c>
      <c r="C18" s="28">
        <v>203.0</v>
      </c>
      <c r="D18" s="29">
        <v>15.0</v>
      </c>
      <c r="E18" s="30">
        <v>3.0</v>
      </c>
      <c r="F18" s="31">
        <v>0.0</v>
      </c>
      <c r="G18" s="28">
        <v>9.0</v>
      </c>
      <c r="H18" s="31">
        <v>0.0</v>
      </c>
      <c r="I18" s="31">
        <v>0.0</v>
      </c>
      <c r="J18" s="31">
        <v>0.0</v>
      </c>
      <c r="K18" s="33">
        <v>9.0</v>
      </c>
      <c r="L18" s="31">
        <v>0.0</v>
      </c>
      <c r="M18" s="28">
        <f t="shared" ref="M18:N18" si="15">C18+K18</f>
        <v>212</v>
      </c>
      <c r="N18" s="29">
        <f t="shared" si="15"/>
        <v>15</v>
      </c>
      <c r="O18" s="35" t="s">
        <v>46</v>
      </c>
      <c r="P18" s="35" t="s">
        <v>46</v>
      </c>
      <c r="Q18" s="35"/>
      <c r="R18" s="31">
        <f>if(G18=13,1,0)+VLOOKUP(B18,'051824'!B:Q,16,false)</f>
        <v>1</v>
      </c>
      <c r="S18" s="31"/>
      <c r="T18" s="31">
        <f>if(G18=9,1,0)+VLOOKUP(B18,'051824'!B:S,18,false)</f>
        <v>11</v>
      </c>
    </row>
    <row r="19">
      <c r="A19" s="26">
        <f t="shared" si="3"/>
        <v>15</v>
      </c>
      <c r="B19" s="39" t="s">
        <v>86</v>
      </c>
      <c r="C19" s="28">
        <v>201.0</v>
      </c>
      <c r="D19" s="29">
        <v>19.0</v>
      </c>
      <c r="E19" s="30">
        <v>2.0</v>
      </c>
      <c r="F19" s="31">
        <v>3.0</v>
      </c>
      <c r="G19" s="28">
        <v>0.0</v>
      </c>
      <c r="H19" s="31">
        <v>4.0</v>
      </c>
      <c r="I19" s="31">
        <v>1.0</v>
      </c>
      <c r="J19" s="31">
        <v>6.0</v>
      </c>
      <c r="K19" s="33">
        <v>11.0</v>
      </c>
      <c r="L19" s="31">
        <v>0.0</v>
      </c>
      <c r="M19" s="28">
        <f t="shared" ref="M19:N19" si="16">C19+K19</f>
        <v>212</v>
      </c>
      <c r="N19" s="29">
        <f t="shared" si="16"/>
        <v>19</v>
      </c>
      <c r="O19" s="35" t="s">
        <v>46</v>
      </c>
      <c r="P19" s="35" t="s">
        <v>46</v>
      </c>
      <c r="Q19" s="35"/>
      <c r="R19" s="31">
        <f>if(G19=13,1,0)+VLOOKUP(B19,'051824'!B:Q,16,false)</f>
        <v>1</v>
      </c>
      <c r="S19" s="31"/>
      <c r="T19" s="31">
        <f>if(G19=9,1,0)+VLOOKUP(B19,'051824'!B:S,18,false)</f>
        <v>4</v>
      </c>
    </row>
    <row r="20">
      <c r="A20" s="26">
        <f t="shared" si="3"/>
        <v>16</v>
      </c>
      <c r="B20" s="27" t="s">
        <v>84</v>
      </c>
      <c r="C20" s="28">
        <v>200.0</v>
      </c>
      <c r="D20" s="29">
        <v>15.0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209</v>
      </c>
      <c r="N20" s="29">
        <f t="shared" si="17"/>
        <v>15</v>
      </c>
      <c r="O20" s="35" t="s">
        <v>46</v>
      </c>
      <c r="P20" s="35" t="s">
        <v>46</v>
      </c>
      <c r="Q20" s="35"/>
      <c r="R20" s="31">
        <f>if(G20=13,1,0)+VLOOKUP(B20,'051824'!B:Q,16,false)</f>
        <v>2</v>
      </c>
      <c r="S20" s="31"/>
      <c r="T20" s="31">
        <f>if(G20=9,1,0)+VLOOKUP(B20,'051824'!B:S,18,false)</f>
        <v>1</v>
      </c>
    </row>
    <row r="21">
      <c r="A21" s="26">
        <f t="shared" si="3"/>
        <v>17</v>
      </c>
      <c r="B21" s="27" t="s">
        <v>102</v>
      </c>
      <c r="C21" s="28">
        <v>199.0</v>
      </c>
      <c r="D21" s="29">
        <v>13.0</v>
      </c>
      <c r="E21" s="30">
        <v>1.0</v>
      </c>
      <c r="F21" s="31">
        <v>3.0</v>
      </c>
      <c r="G21" s="28">
        <v>0.0</v>
      </c>
      <c r="H21" s="31">
        <v>6.0</v>
      </c>
      <c r="I21" s="31">
        <v>1.0</v>
      </c>
      <c r="J21" s="31">
        <v>7.0</v>
      </c>
      <c r="K21" s="33">
        <v>14.0</v>
      </c>
      <c r="L21" s="31">
        <v>2.0</v>
      </c>
      <c r="M21" s="28">
        <f t="shared" ref="M21:N21" si="18">C21+K21</f>
        <v>213</v>
      </c>
      <c r="N21" s="29">
        <f t="shared" si="18"/>
        <v>15</v>
      </c>
      <c r="O21" s="35" t="s">
        <v>46</v>
      </c>
      <c r="P21" s="35" t="s">
        <v>46</v>
      </c>
      <c r="Q21" s="35"/>
      <c r="R21" s="31">
        <f>if(G21=13,1,0)+VLOOKUP(B21,'051824'!B:Q,16,false)</f>
        <v>0</v>
      </c>
      <c r="S21" s="31"/>
      <c r="T21" s="31">
        <f>if(G21=9,1,0)+VLOOKUP(B21,'051824'!B:S,18,false)</f>
        <v>11</v>
      </c>
    </row>
    <row r="22">
      <c r="A22" s="26">
        <f t="shared" si="3"/>
        <v>18</v>
      </c>
      <c r="B22" s="27" t="s">
        <v>96</v>
      </c>
      <c r="C22" s="28">
        <v>198.0</v>
      </c>
      <c r="D22" s="29">
        <v>15.0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207</v>
      </c>
      <c r="N22" s="29">
        <f t="shared" si="19"/>
        <v>15</v>
      </c>
      <c r="O22" s="35" t="s">
        <v>46</v>
      </c>
      <c r="P22" s="35" t="s">
        <v>46</v>
      </c>
      <c r="Q22" s="35"/>
      <c r="R22" s="31">
        <f>if(G22=13,1,0)+VLOOKUP(B22,'051824'!B:Q,16,false)</f>
        <v>1</v>
      </c>
      <c r="S22" s="31"/>
      <c r="T22" s="31">
        <f>if(G22=9,1,0)+VLOOKUP(B22,'051824'!B:S,18,false)</f>
        <v>4</v>
      </c>
    </row>
    <row r="23">
      <c r="A23" s="26">
        <f t="shared" si="3"/>
        <v>19</v>
      </c>
      <c r="B23" s="27" t="s">
        <v>65</v>
      </c>
      <c r="C23" s="28">
        <v>198.0</v>
      </c>
      <c r="D23" s="29">
        <v>15.0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207</v>
      </c>
      <c r="N23" s="29">
        <f t="shared" si="20"/>
        <v>15</v>
      </c>
      <c r="O23" s="35" t="s">
        <v>46</v>
      </c>
      <c r="P23" s="35" t="s">
        <v>46</v>
      </c>
      <c r="Q23" s="35"/>
      <c r="R23" s="31">
        <f>if(G23=13,1,0)+VLOOKUP(B23,'051824'!B:Q,16,false)</f>
        <v>0</v>
      </c>
      <c r="S23" s="31"/>
      <c r="T23" s="31">
        <f>if(G23=9,1,0)+VLOOKUP(B23,'051824'!B:S,18,false)</f>
        <v>13</v>
      </c>
    </row>
    <row r="24">
      <c r="A24" s="26">
        <f t="shared" si="3"/>
        <v>20</v>
      </c>
      <c r="B24" s="27" t="s">
        <v>68</v>
      </c>
      <c r="C24" s="28">
        <v>198.0</v>
      </c>
      <c r="D24" s="29">
        <v>14.0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207</v>
      </c>
      <c r="N24" s="29">
        <f t="shared" si="21"/>
        <v>14</v>
      </c>
      <c r="O24" s="35" t="s">
        <v>46</v>
      </c>
      <c r="P24" s="35" t="s">
        <v>46</v>
      </c>
      <c r="Q24" s="35"/>
      <c r="R24" s="31">
        <f>if(G24=13,1,0)+VLOOKUP(B24,'051824'!B:Q,16,false)</f>
        <v>2</v>
      </c>
      <c r="S24" s="31"/>
      <c r="T24" s="31">
        <f>if(G24=9,1,0)+VLOOKUP(B24,'051824'!B:S,18,false)</f>
        <v>10</v>
      </c>
    </row>
    <row r="25">
      <c r="A25" s="26">
        <f t="shared" si="3"/>
        <v>21</v>
      </c>
      <c r="B25" s="39" t="s">
        <v>103</v>
      </c>
      <c r="C25" s="28">
        <v>198.0</v>
      </c>
      <c r="D25" s="29">
        <v>13.0</v>
      </c>
      <c r="E25" s="30">
        <v>1.0</v>
      </c>
      <c r="F25" s="31">
        <v>5.0</v>
      </c>
      <c r="G25" s="28">
        <v>0.0</v>
      </c>
      <c r="H25" s="31">
        <v>7.0</v>
      </c>
      <c r="I25" s="31">
        <v>4.0</v>
      </c>
      <c r="J25" s="31">
        <v>6.0</v>
      </c>
      <c r="K25" s="33">
        <v>17.0</v>
      </c>
      <c r="L25" s="31">
        <v>2.0</v>
      </c>
      <c r="M25" s="28">
        <f t="shared" ref="M25:N25" si="22">C25+K25</f>
        <v>215</v>
      </c>
      <c r="N25" s="29">
        <f t="shared" si="22"/>
        <v>15</v>
      </c>
      <c r="O25" s="35" t="s">
        <v>46</v>
      </c>
      <c r="P25" s="35" t="s">
        <v>46</v>
      </c>
      <c r="Q25" s="35"/>
      <c r="R25" s="31">
        <f>if(G25=13,1,0)+VLOOKUP(B25,'051824'!B:Q,16,false)</f>
        <v>1</v>
      </c>
      <c r="S25" s="31"/>
      <c r="T25" s="31">
        <f>if(G25=9,1,0)+VLOOKUP(B25,'051824'!B:S,18,false)</f>
        <v>9</v>
      </c>
    </row>
    <row r="26">
      <c r="A26" s="26">
        <f t="shared" si="3"/>
        <v>22</v>
      </c>
      <c r="B26" s="27" t="s">
        <v>63</v>
      </c>
      <c r="C26" s="28">
        <v>196.0</v>
      </c>
      <c r="D26" s="29">
        <v>15.0</v>
      </c>
      <c r="E26" s="30">
        <v>1.0</v>
      </c>
      <c r="F26" s="31">
        <v>5.0</v>
      </c>
      <c r="G26" s="28">
        <v>0.0</v>
      </c>
      <c r="H26" s="31">
        <v>6.0</v>
      </c>
      <c r="I26" s="31">
        <v>6.0</v>
      </c>
      <c r="J26" s="31">
        <v>6.0</v>
      </c>
      <c r="K26" s="33">
        <v>18.0</v>
      </c>
      <c r="L26" s="31">
        <v>2.0</v>
      </c>
      <c r="M26" s="28">
        <f t="shared" ref="M26:N26" si="23">C26+K26</f>
        <v>214</v>
      </c>
      <c r="N26" s="29">
        <f t="shared" si="23"/>
        <v>17</v>
      </c>
      <c r="O26" s="35" t="s">
        <v>46</v>
      </c>
      <c r="P26" s="35" t="s">
        <v>46</v>
      </c>
      <c r="Q26" s="35"/>
      <c r="R26" s="31">
        <f>if(G26=13,1,0)+VLOOKUP(B26,'051824'!B:Q,16,false)</f>
        <v>2</v>
      </c>
      <c r="S26" s="31"/>
      <c r="T26" s="31">
        <f>if(G26=9,1,0)+VLOOKUP(B26,'051824'!B:S,18,false)</f>
        <v>2</v>
      </c>
    </row>
    <row r="27">
      <c r="A27" s="26">
        <f t="shared" si="3"/>
        <v>23</v>
      </c>
      <c r="B27" s="54" t="s">
        <v>95</v>
      </c>
      <c r="C27" s="28">
        <v>195.0</v>
      </c>
      <c r="D27" s="29">
        <v>17.0</v>
      </c>
      <c r="E27" s="30">
        <v>2.0</v>
      </c>
      <c r="F27" s="31">
        <v>5.0</v>
      </c>
      <c r="G27" s="28">
        <v>0.0</v>
      </c>
      <c r="H27" s="31">
        <v>6.0</v>
      </c>
      <c r="I27" s="31">
        <v>4.0</v>
      </c>
      <c r="J27" s="31">
        <v>3.0</v>
      </c>
      <c r="K27" s="33">
        <v>13.0</v>
      </c>
      <c r="L27" s="31">
        <v>0.0</v>
      </c>
      <c r="M27" s="28">
        <f t="shared" ref="M27:N27" si="24">C27+K27</f>
        <v>208</v>
      </c>
      <c r="N27" s="29">
        <f t="shared" si="24"/>
        <v>17</v>
      </c>
      <c r="O27" s="35" t="s">
        <v>46</v>
      </c>
      <c r="P27" s="35" t="s">
        <v>46</v>
      </c>
      <c r="Q27" s="35"/>
      <c r="R27" s="31">
        <f>if(G27=13,1,0)+VLOOKUP(B27,'051824'!B:Q,16,false)</f>
        <v>0</v>
      </c>
      <c r="S27" s="31"/>
      <c r="T27" s="31">
        <f>if(G27=9,1,0)+VLOOKUP(B27,'051824'!B:S,18,false)</f>
        <v>4</v>
      </c>
    </row>
    <row r="28">
      <c r="A28" s="26">
        <f t="shared" si="3"/>
        <v>24</v>
      </c>
      <c r="B28" s="54" t="s">
        <v>59</v>
      </c>
      <c r="C28" s="28">
        <v>195.0</v>
      </c>
      <c r="D28" s="29">
        <v>16.0</v>
      </c>
      <c r="E28" s="30">
        <v>1.0</v>
      </c>
      <c r="F28" s="31">
        <v>5.0</v>
      </c>
      <c r="G28" s="28">
        <v>0.0</v>
      </c>
      <c r="H28" s="31">
        <v>7.0</v>
      </c>
      <c r="I28" s="31">
        <v>6.0</v>
      </c>
      <c r="J28" s="31">
        <v>3.0</v>
      </c>
      <c r="K28" s="33">
        <v>16.0</v>
      </c>
      <c r="L28" s="31">
        <v>2.0</v>
      </c>
      <c r="M28" s="28">
        <f t="shared" ref="M28:N28" si="25">C28+K28</f>
        <v>211</v>
      </c>
      <c r="N28" s="29">
        <f t="shared" si="25"/>
        <v>18</v>
      </c>
      <c r="O28" s="35" t="s">
        <v>46</v>
      </c>
      <c r="P28" s="35" t="s">
        <v>46</v>
      </c>
      <c r="Q28" s="35"/>
      <c r="R28" s="31">
        <f>if(G28=13,1,0)+VLOOKUP(B28,'051824'!B:Q,16,false)</f>
        <v>1</v>
      </c>
      <c r="S28" s="31"/>
      <c r="T28" s="31">
        <f>if(G28=9,1,0)+VLOOKUP(B28,'051824'!B:S,18,false)</f>
        <v>6</v>
      </c>
    </row>
    <row r="29">
      <c r="A29" s="26">
        <f t="shared" si="3"/>
        <v>25</v>
      </c>
      <c r="B29" s="27" t="s">
        <v>79</v>
      </c>
      <c r="C29" s="28">
        <v>188.0</v>
      </c>
      <c r="D29" s="29">
        <v>13.0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197</v>
      </c>
      <c r="N29" s="29">
        <f t="shared" si="26"/>
        <v>13</v>
      </c>
      <c r="O29" s="35" t="s">
        <v>46</v>
      </c>
      <c r="P29" s="35" t="s">
        <v>46</v>
      </c>
      <c r="Q29" s="35"/>
      <c r="R29" s="31">
        <f>if(G29=13,1,0)+VLOOKUP(B29,'051824'!B:Q,16,false)</f>
        <v>0</v>
      </c>
      <c r="S29" s="31"/>
      <c r="T29" s="31">
        <f>if(G29=9,1,0)+VLOOKUP(B29,'051824'!B:S,18,false)</f>
        <v>9</v>
      </c>
    </row>
    <row r="30">
      <c r="A30" s="26">
        <f t="shared" si="3"/>
        <v>26</v>
      </c>
      <c r="B30" s="39" t="s">
        <v>71</v>
      </c>
      <c r="C30" s="28">
        <v>188.0</v>
      </c>
      <c r="D30" s="29">
        <v>11.0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197</v>
      </c>
      <c r="N30" s="29">
        <f t="shared" si="27"/>
        <v>11</v>
      </c>
      <c r="O30" s="35" t="s">
        <v>46</v>
      </c>
      <c r="P30" s="35" t="s">
        <v>46</v>
      </c>
      <c r="Q30" s="35"/>
      <c r="R30" s="31">
        <f>if(G30=13,1,0)+VLOOKUP(B30,'051824'!B:Q,16,false)</f>
        <v>0</v>
      </c>
      <c r="S30" s="31"/>
      <c r="T30" s="31">
        <f>if(G30=9,1,0)+VLOOKUP(B30,'051824'!B:S,18,false)</f>
        <v>12</v>
      </c>
    </row>
    <row r="31">
      <c r="A31" s="26">
        <f t="shared" si="3"/>
        <v>27</v>
      </c>
      <c r="B31" s="27" t="s">
        <v>78</v>
      </c>
      <c r="C31" s="28">
        <v>187.0</v>
      </c>
      <c r="D31" s="29">
        <v>15.0</v>
      </c>
      <c r="E31" s="30">
        <v>2.0</v>
      </c>
      <c r="F31" s="31">
        <v>6.0</v>
      </c>
      <c r="G31" s="28">
        <v>0.0</v>
      </c>
      <c r="H31" s="31">
        <v>6.0</v>
      </c>
      <c r="I31" s="31">
        <v>6.0</v>
      </c>
      <c r="J31" s="31">
        <v>6.0</v>
      </c>
      <c r="K31" s="33">
        <v>18.0</v>
      </c>
      <c r="L31" s="31">
        <v>3.0</v>
      </c>
      <c r="M31" s="28">
        <f t="shared" ref="M31:N31" si="28">C31+K31</f>
        <v>205</v>
      </c>
      <c r="N31" s="29">
        <f t="shared" si="28"/>
        <v>18</v>
      </c>
      <c r="O31" s="35" t="s">
        <v>46</v>
      </c>
      <c r="P31" s="35" t="s">
        <v>46</v>
      </c>
      <c r="Q31" s="35"/>
      <c r="R31" s="31">
        <f>if(G31=13,1,0)+VLOOKUP(B31,'051824'!B:Q,16,false)</f>
        <v>0</v>
      </c>
      <c r="S31" s="31"/>
      <c r="T31" s="31">
        <f>if(G31=9,1,0)+VLOOKUP(B31,'051824'!B:S,18,false)</f>
        <v>6</v>
      </c>
    </row>
    <row r="32">
      <c r="A32" s="26">
        <f t="shared" si="3"/>
        <v>28</v>
      </c>
      <c r="B32" s="54" t="s">
        <v>89</v>
      </c>
      <c r="C32" s="28">
        <v>187.0</v>
      </c>
      <c r="D32" s="29">
        <v>15.0</v>
      </c>
      <c r="E32" s="30">
        <v>2.0</v>
      </c>
      <c r="F32" s="31">
        <v>6.0</v>
      </c>
      <c r="G32" s="28">
        <v>0.0</v>
      </c>
      <c r="H32" s="31">
        <v>6.0</v>
      </c>
      <c r="I32" s="31">
        <v>1.0</v>
      </c>
      <c r="J32" s="31">
        <v>2.0</v>
      </c>
      <c r="K32" s="33">
        <v>9.0</v>
      </c>
      <c r="L32" s="31">
        <v>1.0</v>
      </c>
      <c r="M32" s="28">
        <f t="shared" ref="M32:N32" si="29">C32+K32</f>
        <v>196</v>
      </c>
      <c r="N32" s="29">
        <f t="shared" si="29"/>
        <v>16</v>
      </c>
      <c r="O32" s="35" t="s">
        <v>46</v>
      </c>
      <c r="P32" s="35" t="s">
        <v>46</v>
      </c>
      <c r="Q32" s="35"/>
      <c r="R32" s="31">
        <f>if(G32=13,1,0)+VLOOKUP(B32,'051824'!B:Q,16,false)</f>
        <v>0</v>
      </c>
      <c r="S32" s="31"/>
      <c r="T32" s="31">
        <f>if(G32=9,1,0)+VLOOKUP(B32,'051824'!B:S,18,false)</f>
        <v>5</v>
      </c>
    </row>
    <row r="33">
      <c r="A33" s="26">
        <f t="shared" si="3"/>
        <v>29</v>
      </c>
      <c r="B33" s="39" t="s">
        <v>106</v>
      </c>
      <c r="C33" s="28">
        <v>186.0</v>
      </c>
      <c r="D33" s="29">
        <v>10.0</v>
      </c>
      <c r="E33" s="30">
        <v>1.0</v>
      </c>
      <c r="F33" s="31">
        <v>6.0</v>
      </c>
      <c r="G33" s="28">
        <v>0.0</v>
      </c>
      <c r="H33" s="31">
        <v>3.0</v>
      </c>
      <c r="I33" s="31">
        <v>6.0</v>
      </c>
      <c r="J33" s="31">
        <v>2.0</v>
      </c>
      <c r="K33" s="33">
        <v>11.0</v>
      </c>
      <c r="L33" s="31">
        <v>1.0</v>
      </c>
      <c r="M33" s="28">
        <f t="shared" ref="M33:N33" si="30">C33+K33</f>
        <v>197</v>
      </c>
      <c r="N33" s="29">
        <f t="shared" si="30"/>
        <v>11</v>
      </c>
      <c r="O33" s="35" t="s">
        <v>46</v>
      </c>
      <c r="P33" s="35" t="s">
        <v>46</v>
      </c>
      <c r="Q33" s="35"/>
      <c r="R33" s="31">
        <f>if(G33=13,1,0)+VLOOKUP(B33,'051824'!B:Q,16,false)</f>
        <v>0</v>
      </c>
      <c r="S33" s="31"/>
      <c r="T33" s="31">
        <f>if(G33=9,1,0)+VLOOKUP(B33,'051824'!B:S,18,false)</f>
        <v>10</v>
      </c>
    </row>
    <row r="34">
      <c r="A34" s="26">
        <f t="shared" si="3"/>
        <v>30</v>
      </c>
      <c r="B34" s="27" t="s">
        <v>110</v>
      </c>
      <c r="C34" s="28">
        <v>186.0</v>
      </c>
      <c r="D34" s="29">
        <v>10.0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195</v>
      </c>
      <c r="N34" s="29">
        <f t="shared" si="31"/>
        <v>10</v>
      </c>
      <c r="O34" s="35" t="s">
        <v>46</v>
      </c>
      <c r="P34" s="35" t="s">
        <v>46</v>
      </c>
      <c r="Q34" s="35"/>
      <c r="R34" s="31">
        <f>if(G34=13,1,0)+VLOOKUP(B34,'051824'!B:Q,16,false)</f>
        <v>1</v>
      </c>
      <c r="S34" s="31"/>
      <c r="T34" s="31">
        <f>if(G34=9,1,0)+VLOOKUP(B34,'051824'!B:S,18,false)</f>
        <v>11</v>
      </c>
    </row>
    <row r="35">
      <c r="A35" s="26">
        <f t="shared" si="3"/>
        <v>31</v>
      </c>
      <c r="B35" s="27" t="s">
        <v>107</v>
      </c>
      <c r="C35" s="28">
        <v>186.0</v>
      </c>
      <c r="D35" s="29">
        <v>9.0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195</v>
      </c>
      <c r="N35" s="29">
        <f t="shared" si="32"/>
        <v>9</v>
      </c>
      <c r="O35" s="35" t="s">
        <v>46</v>
      </c>
      <c r="P35" s="35" t="s">
        <v>46</v>
      </c>
      <c r="Q35" s="35"/>
      <c r="R35" s="31">
        <f>if(G35=13,1,0)+VLOOKUP(B35,'051824'!B:Q,16,false)</f>
        <v>2</v>
      </c>
      <c r="S35" s="31"/>
      <c r="T35" s="31">
        <f>if(G35=9,1,0)+VLOOKUP(B35,'051824'!B:S,18,false)</f>
        <v>11</v>
      </c>
    </row>
    <row r="36">
      <c r="A36" s="26">
        <f t="shared" si="3"/>
        <v>32</v>
      </c>
      <c r="B36" s="54" t="s">
        <v>73</v>
      </c>
      <c r="C36" s="28">
        <v>185.0</v>
      </c>
      <c r="D36" s="29">
        <v>14.0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194</v>
      </c>
      <c r="N36" s="29">
        <f t="shared" si="33"/>
        <v>14</v>
      </c>
      <c r="O36" s="35" t="s">
        <v>46</v>
      </c>
      <c r="P36" s="35" t="s">
        <v>46</v>
      </c>
      <c r="Q36" s="35"/>
      <c r="R36" s="31">
        <f>if(G36=13,1,0)+VLOOKUP(B36,'051824'!B:Q,16,false)</f>
        <v>0</v>
      </c>
      <c r="S36" s="31"/>
      <c r="T36" s="31">
        <f>if(G36=9,1,0)+VLOOKUP(B36,'051824'!B:S,18,false)</f>
        <v>4</v>
      </c>
    </row>
    <row r="37">
      <c r="A37" s="26">
        <f t="shared" si="3"/>
        <v>33</v>
      </c>
      <c r="B37" s="54" t="s">
        <v>108</v>
      </c>
      <c r="C37" s="28">
        <v>184.0</v>
      </c>
      <c r="D37" s="29">
        <v>16.0</v>
      </c>
      <c r="E37" s="30">
        <v>3.0</v>
      </c>
      <c r="F37" s="31">
        <v>0.0</v>
      </c>
      <c r="G37" s="28">
        <v>9.0</v>
      </c>
      <c r="H37" s="31">
        <v>0.0</v>
      </c>
      <c r="I37" s="31">
        <v>0.0</v>
      </c>
      <c r="J37" s="31">
        <v>0.0</v>
      </c>
      <c r="K37" s="33">
        <v>9.0</v>
      </c>
      <c r="L37" s="31">
        <v>0.0</v>
      </c>
      <c r="M37" s="28">
        <f t="shared" ref="M37:N37" si="34">C37+K37</f>
        <v>193</v>
      </c>
      <c r="N37" s="29">
        <f t="shared" si="34"/>
        <v>16</v>
      </c>
      <c r="O37" s="35" t="s">
        <v>46</v>
      </c>
      <c r="P37" s="35" t="s">
        <v>46</v>
      </c>
      <c r="Q37" s="35"/>
      <c r="R37" s="31">
        <f>if(G37=13,1,0)+VLOOKUP(B37,'051824'!B:Q,16,false)</f>
        <v>0</v>
      </c>
      <c r="S37" s="31"/>
      <c r="T37" s="31">
        <f>if(G37=9,1,0)+VLOOKUP(B37,'051824'!B:S,18,false)</f>
        <v>3</v>
      </c>
    </row>
    <row r="38">
      <c r="A38" s="26">
        <f t="shared" si="3"/>
        <v>34</v>
      </c>
      <c r="B38" s="39" t="s">
        <v>111</v>
      </c>
      <c r="C38" s="28">
        <v>184.0</v>
      </c>
      <c r="D38" s="29">
        <v>10.0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193</v>
      </c>
      <c r="N38" s="29">
        <f t="shared" si="35"/>
        <v>10</v>
      </c>
      <c r="O38" s="35" t="s">
        <v>46</v>
      </c>
      <c r="P38" s="35" t="s">
        <v>46</v>
      </c>
      <c r="Q38" s="35"/>
      <c r="R38" s="31">
        <f>if(G38=13,1,0)+VLOOKUP(B38,'051824'!B:Q,16,false)</f>
        <v>0</v>
      </c>
      <c r="S38" s="31"/>
      <c r="T38" s="31">
        <f>if(G38=9,1,0)+VLOOKUP(B38,'051824'!B:S,18,false)</f>
        <v>13</v>
      </c>
    </row>
    <row r="39">
      <c r="A39" s="26">
        <f t="shared" si="3"/>
        <v>35</v>
      </c>
      <c r="B39" s="27" t="s">
        <v>98</v>
      </c>
      <c r="C39" s="28">
        <v>183.0</v>
      </c>
      <c r="D39" s="29">
        <v>8.0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192</v>
      </c>
      <c r="N39" s="29">
        <f t="shared" si="36"/>
        <v>8</v>
      </c>
      <c r="O39" s="35" t="s">
        <v>46</v>
      </c>
      <c r="P39" s="35" t="s">
        <v>46</v>
      </c>
      <c r="Q39" s="35"/>
      <c r="R39" s="31">
        <f>if(G39=13,1,0)+VLOOKUP(B39,'051824'!B:Q,16,false)</f>
        <v>1</v>
      </c>
      <c r="S39" s="31"/>
      <c r="T39" s="31">
        <f>if(G39=9,1,0)+VLOOKUP(B39,'051824'!B:S,18,false)</f>
        <v>13</v>
      </c>
    </row>
    <row r="40">
      <c r="A40" s="26">
        <f t="shared" si="3"/>
        <v>36</v>
      </c>
      <c r="B40" s="27" t="s">
        <v>83</v>
      </c>
      <c r="C40" s="28">
        <v>182.0</v>
      </c>
      <c r="D40" s="29">
        <v>15.0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191</v>
      </c>
      <c r="N40" s="29">
        <f t="shared" si="37"/>
        <v>15</v>
      </c>
      <c r="O40" s="35" t="s">
        <v>46</v>
      </c>
      <c r="P40" s="35" t="s">
        <v>46</v>
      </c>
      <c r="Q40" s="35"/>
      <c r="R40" s="31">
        <f>if(G40=13,1,0)+VLOOKUP(B40,'051824'!B:Q,16,false)</f>
        <v>1</v>
      </c>
      <c r="S40" s="31"/>
      <c r="T40" s="31">
        <f>if(G40=9,1,0)+VLOOKUP(B40,'051824'!B:S,18,false)</f>
        <v>5</v>
      </c>
    </row>
    <row r="41">
      <c r="A41" s="26">
        <f t="shared" si="3"/>
        <v>37</v>
      </c>
      <c r="B41" s="27" t="s">
        <v>42</v>
      </c>
      <c r="C41" s="28">
        <v>182.0</v>
      </c>
      <c r="D41" s="29">
        <v>12.0</v>
      </c>
      <c r="E41" s="30">
        <v>1.0</v>
      </c>
      <c r="F41" s="31">
        <v>6.0</v>
      </c>
      <c r="G41" s="28">
        <v>0.0</v>
      </c>
      <c r="H41" s="31">
        <v>3.0</v>
      </c>
      <c r="I41" s="31">
        <v>1.0</v>
      </c>
      <c r="J41" s="31">
        <v>6.0</v>
      </c>
      <c r="K41" s="33">
        <v>10.0</v>
      </c>
      <c r="L41" s="31">
        <v>1.0</v>
      </c>
      <c r="M41" s="28">
        <f t="shared" ref="M41:N41" si="38">C41+K41</f>
        <v>192</v>
      </c>
      <c r="N41" s="29">
        <f t="shared" si="38"/>
        <v>13</v>
      </c>
      <c r="O41" s="35" t="s">
        <v>46</v>
      </c>
      <c r="P41" s="35" t="s">
        <v>46</v>
      </c>
      <c r="Q41" s="35"/>
      <c r="R41" s="31">
        <f>if(G41=13,1,0)+VLOOKUP(B41,'051824'!B:Q,16,false)</f>
        <v>0</v>
      </c>
      <c r="S41" s="31"/>
      <c r="T41" s="31">
        <f>if(G41=9,1,0)+VLOOKUP(B41,'051824'!B:S,18,false)</f>
        <v>5</v>
      </c>
    </row>
    <row r="42">
      <c r="A42" s="26">
        <f t="shared" si="3"/>
        <v>38</v>
      </c>
      <c r="B42" s="27" t="s">
        <v>76</v>
      </c>
      <c r="C42" s="28">
        <v>182.0</v>
      </c>
      <c r="D42" s="29">
        <v>8.0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191</v>
      </c>
      <c r="N42" s="29">
        <f t="shared" si="39"/>
        <v>8</v>
      </c>
      <c r="O42" s="35" t="s">
        <v>46</v>
      </c>
      <c r="P42" s="35" t="s">
        <v>46</v>
      </c>
      <c r="Q42" s="35"/>
      <c r="R42" s="31">
        <f>if(G42=13,1,0)+VLOOKUP(B42,'051824'!B:Q,16,false)</f>
        <v>1</v>
      </c>
      <c r="S42" s="31"/>
      <c r="T42" s="31">
        <f>if(G42=9,1,0)+VLOOKUP(B42,'051824'!B:S,18,false)</f>
        <v>10</v>
      </c>
    </row>
    <row r="43">
      <c r="A43" s="26">
        <f t="shared" si="3"/>
        <v>39</v>
      </c>
      <c r="B43" s="27" t="s">
        <v>66</v>
      </c>
      <c r="C43" s="28">
        <v>181.0</v>
      </c>
      <c r="D43" s="29">
        <v>11.0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190</v>
      </c>
      <c r="N43" s="29">
        <f t="shared" si="40"/>
        <v>11</v>
      </c>
      <c r="O43" s="35" t="s">
        <v>46</v>
      </c>
      <c r="P43" s="35" t="s">
        <v>46</v>
      </c>
      <c r="Q43" s="35"/>
      <c r="R43" s="31">
        <f>if(G43=13,1,0)+VLOOKUP(B43,'051824'!B:Q,16,false)</f>
        <v>1</v>
      </c>
      <c r="S43" s="31"/>
      <c r="T43" s="31">
        <f>if(G43=9,1,0)+VLOOKUP(B43,'051824'!B:S,18,false)</f>
        <v>5</v>
      </c>
    </row>
    <row r="44">
      <c r="A44" s="26">
        <f t="shared" si="3"/>
        <v>40</v>
      </c>
      <c r="B44" s="54" t="s">
        <v>100</v>
      </c>
      <c r="C44" s="28">
        <v>179.0</v>
      </c>
      <c r="D44" s="29">
        <v>9.0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188</v>
      </c>
      <c r="N44" s="29">
        <f t="shared" si="41"/>
        <v>9</v>
      </c>
      <c r="O44" s="35" t="s">
        <v>46</v>
      </c>
      <c r="P44" s="35" t="s">
        <v>46</v>
      </c>
      <c r="Q44" s="35"/>
      <c r="R44" s="31">
        <f>if(G44=13,1,0)+VLOOKUP(B44,'051824'!B:Q,16,false)</f>
        <v>1</v>
      </c>
      <c r="S44" s="31"/>
      <c r="T44" s="31">
        <f>if(G44=9,1,0)+VLOOKUP(B44,'051824'!B:S,18,false)</f>
        <v>11</v>
      </c>
    </row>
    <row r="45">
      <c r="A45" s="26">
        <f t="shared" si="3"/>
        <v>41</v>
      </c>
      <c r="B45" s="54" t="s">
        <v>94</v>
      </c>
      <c r="C45" s="28">
        <v>178.0</v>
      </c>
      <c r="D45" s="29">
        <v>16.0</v>
      </c>
      <c r="E45" s="30">
        <v>1.0</v>
      </c>
      <c r="F45" s="31">
        <v>7.0</v>
      </c>
      <c r="G45" s="28">
        <v>0.0</v>
      </c>
      <c r="H45" s="31">
        <v>6.0</v>
      </c>
      <c r="I45" s="31">
        <v>2.0</v>
      </c>
      <c r="J45" s="31">
        <v>5.0</v>
      </c>
      <c r="K45" s="33">
        <v>13.0</v>
      </c>
      <c r="L45" s="31">
        <v>1.0</v>
      </c>
      <c r="M45" s="28">
        <f t="shared" ref="M45:N45" si="42">C45+K45</f>
        <v>191</v>
      </c>
      <c r="N45" s="29">
        <f t="shared" si="42"/>
        <v>17</v>
      </c>
      <c r="O45" s="35" t="s">
        <v>46</v>
      </c>
      <c r="P45" s="35" t="s">
        <v>46</v>
      </c>
      <c r="Q45" s="35"/>
      <c r="R45" s="31">
        <f>if(G45=13,1,0)+VLOOKUP(B45,'051824'!B:Q,16,false)</f>
        <v>0</v>
      </c>
      <c r="S45" s="31"/>
      <c r="T45" s="31">
        <f>if(G45=9,1,0)+VLOOKUP(B45,'051824'!B:S,18,false)</f>
        <v>1</v>
      </c>
    </row>
    <row r="46">
      <c r="A46" s="26">
        <f t="shared" si="3"/>
        <v>42</v>
      </c>
      <c r="B46" s="54" t="s">
        <v>47</v>
      </c>
      <c r="C46" s="28">
        <v>177.0</v>
      </c>
      <c r="D46" s="29">
        <v>14.0</v>
      </c>
      <c r="E46" s="30">
        <v>1.0</v>
      </c>
      <c r="F46" s="31">
        <v>7.0</v>
      </c>
      <c r="G46" s="28">
        <v>0.0</v>
      </c>
      <c r="H46" s="31">
        <v>4.0</v>
      </c>
      <c r="I46" s="31">
        <v>2.0</v>
      </c>
      <c r="J46" s="31">
        <v>7.0</v>
      </c>
      <c r="K46" s="33">
        <v>13.0</v>
      </c>
      <c r="L46" s="31">
        <v>1.0</v>
      </c>
      <c r="M46" s="28">
        <f t="shared" ref="M46:N46" si="43">C46+K46</f>
        <v>190</v>
      </c>
      <c r="N46" s="29">
        <f t="shared" si="43"/>
        <v>15</v>
      </c>
      <c r="O46" s="35" t="s">
        <v>46</v>
      </c>
      <c r="P46" s="35" t="s">
        <v>46</v>
      </c>
      <c r="Q46" s="35"/>
      <c r="R46" s="31">
        <f>if(G46=13,1,0)+VLOOKUP(B46,'051824'!B:Q,16,false)</f>
        <v>0</v>
      </c>
      <c r="S46" s="31"/>
      <c r="T46" s="31">
        <f>if(G46=9,1,0)+VLOOKUP(B46,'051824'!B:S,18,false)</f>
        <v>1</v>
      </c>
    </row>
    <row r="47">
      <c r="A47" s="26">
        <f t="shared" si="3"/>
        <v>43</v>
      </c>
      <c r="B47" s="27" t="s">
        <v>109</v>
      </c>
      <c r="C47" s="28">
        <v>177.0</v>
      </c>
      <c r="D47" s="29">
        <v>5.0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186</v>
      </c>
      <c r="N47" s="29">
        <f t="shared" si="44"/>
        <v>5</v>
      </c>
      <c r="O47" s="35" t="s">
        <v>46</v>
      </c>
      <c r="P47" s="35" t="s">
        <v>46</v>
      </c>
      <c r="Q47" s="35"/>
      <c r="R47" s="31">
        <f>if(G47=13,1,0)+VLOOKUP(B47,'051824'!B:Q,16,false)</f>
        <v>2</v>
      </c>
      <c r="S47" s="31"/>
      <c r="T47" s="31">
        <f>if(G47=9,1,0)+VLOOKUP(B47,'051824'!B:S,18,false)</f>
        <v>12</v>
      </c>
    </row>
    <row r="48">
      <c r="A48" s="26">
        <f t="shared" si="3"/>
        <v>44</v>
      </c>
      <c r="B48" s="27" t="s">
        <v>113</v>
      </c>
      <c r="C48" s="28">
        <v>176.0</v>
      </c>
      <c r="D48" s="29">
        <v>5.0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185</v>
      </c>
      <c r="N48" s="29">
        <f t="shared" si="45"/>
        <v>5</v>
      </c>
      <c r="O48" s="35" t="s">
        <v>46</v>
      </c>
      <c r="P48" s="35" t="s">
        <v>46</v>
      </c>
      <c r="Q48" s="35"/>
      <c r="R48" s="31">
        <f>if(G48=13,1,0)+VLOOKUP(B48,'051824'!B:Q,16,false)</f>
        <v>1</v>
      </c>
      <c r="S48" s="31"/>
      <c r="T48" s="31">
        <f>if(G48=9,1,0)+VLOOKUP(B48,'051824'!B:S,18,false)</f>
        <v>15</v>
      </c>
    </row>
    <row r="49">
      <c r="A49" s="26">
        <f t="shared" si="3"/>
        <v>45</v>
      </c>
      <c r="B49" s="27" t="s">
        <v>112</v>
      </c>
      <c r="C49" s="28">
        <v>175.0</v>
      </c>
      <c r="D49" s="29">
        <v>7.0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184</v>
      </c>
      <c r="N49" s="29">
        <f t="shared" si="46"/>
        <v>7</v>
      </c>
      <c r="O49" s="35" t="s">
        <v>46</v>
      </c>
      <c r="P49" s="35" t="s">
        <v>46</v>
      </c>
      <c r="Q49" s="35"/>
      <c r="R49" s="31">
        <f>if(G49=13,1,0)+VLOOKUP(B49,'051824'!B:Q,16,false)</f>
        <v>0</v>
      </c>
      <c r="S49" s="31"/>
      <c r="T49" s="31">
        <f>if(G49=9,1,0)+VLOOKUP(B49,'051824'!B:S,18,false)</f>
        <v>14</v>
      </c>
    </row>
    <row r="50">
      <c r="A50" s="26">
        <f t="shared" si="3"/>
        <v>46</v>
      </c>
      <c r="B50" s="39" t="s">
        <v>45</v>
      </c>
      <c r="C50" s="28">
        <v>174.0</v>
      </c>
      <c r="D50" s="29">
        <v>10.0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183</v>
      </c>
      <c r="N50" s="29">
        <f t="shared" si="47"/>
        <v>10</v>
      </c>
      <c r="O50" s="35" t="s">
        <v>46</v>
      </c>
      <c r="P50" s="35" t="s">
        <v>46</v>
      </c>
      <c r="Q50" s="35"/>
      <c r="R50" s="31">
        <f>if(G50=13,1,0)+VLOOKUP(B50,'051824'!B:Q,16,false)</f>
        <v>1</v>
      </c>
      <c r="S50" s="31"/>
      <c r="T50" s="31">
        <f>if(G50=9,1,0)+VLOOKUP(B50,'051824'!B:S,18,false)</f>
        <v>7</v>
      </c>
    </row>
    <row r="51">
      <c r="A51" s="26">
        <f t="shared" si="3"/>
        <v>47</v>
      </c>
      <c r="B51" s="75" t="s">
        <v>105</v>
      </c>
      <c r="C51" s="28">
        <v>173.0</v>
      </c>
      <c r="D51" s="29">
        <v>12.0</v>
      </c>
      <c r="E51" s="30">
        <v>1.0</v>
      </c>
      <c r="F51" s="31">
        <v>7.0</v>
      </c>
      <c r="G51" s="28">
        <v>0.0</v>
      </c>
      <c r="H51" s="31">
        <v>4.0</v>
      </c>
      <c r="I51" s="31">
        <v>6.0</v>
      </c>
      <c r="J51" s="31">
        <v>5.0</v>
      </c>
      <c r="K51" s="33">
        <v>15.0</v>
      </c>
      <c r="L51" s="31">
        <v>1.0</v>
      </c>
      <c r="M51" s="28">
        <f t="shared" ref="M51:N51" si="48">C51+K51</f>
        <v>188</v>
      </c>
      <c r="N51" s="29">
        <f t="shared" si="48"/>
        <v>13</v>
      </c>
      <c r="O51" s="35" t="s">
        <v>46</v>
      </c>
      <c r="P51" s="35" t="s">
        <v>46</v>
      </c>
      <c r="Q51" s="35"/>
      <c r="R51" s="31">
        <f>if(G51=13,1,0)+VLOOKUP(B51,'051824'!B:Q,16,false)</f>
        <v>0</v>
      </c>
      <c r="S51" s="31"/>
      <c r="T51" s="31">
        <f>if(G51=9,1,0)+VLOOKUP(B51,'051824'!B:S,18,false)</f>
        <v>6</v>
      </c>
    </row>
    <row r="52">
      <c r="A52" s="26">
        <f t="shared" si="3"/>
        <v>48</v>
      </c>
      <c r="B52" s="54" t="s">
        <v>116</v>
      </c>
      <c r="C52" s="28">
        <v>171.0</v>
      </c>
      <c r="D52" s="29">
        <v>5.0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180</v>
      </c>
      <c r="N52" s="29">
        <f t="shared" si="49"/>
        <v>5</v>
      </c>
      <c r="O52" s="35" t="s">
        <v>46</v>
      </c>
      <c r="P52" s="35" t="s">
        <v>46</v>
      </c>
      <c r="Q52" s="35"/>
      <c r="R52" s="31">
        <f>if(G52=13,1,0)+VLOOKUP(B52,'051824'!B:Q,16,false)</f>
        <v>0</v>
      </c>
      <c r="S52" s="31"/>
      <c r="T52" s="31">
        <f>if(G52=9,1,0)+VLOOKUP(B52,'051824'!B:S,18,false)</f>
        <v>14</v>
      </c>
    </row>
    <row r="53">
      <c r="A53" s="26">
        <f t="shared" si="3"/>
        <v>49</v>
      </c>
      <c r="B53" s="27" t="s">
        <v>117</v>
      </c>
      <c r="C53" s="28">
        <v>171.0</v>
      </c>
      <c r="D53" s="29">
        <v>4.0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180</v>
      </c>
      <c r="N53" s="29">
        <f t="shared" si="50"/>
        <v>4</v>
      </c>
      <c r="O53" s="35" t="s">
        <v>46</v>
      </c>
      <c r="P53" s="35" t="s">
        <v>46</v>
      </c>
      <c r="Q53" s="35"/>
      <c r="R53" s="31">
        <f>if(G53=13,1,0)+VLOOKUP(B53,'051824'!B:Q,16,false)</f>
        <v>2</v>
      </c>
      <c r="S53" s="31"/>
      <c r="T53" s="31">
        <f>if(G53=9,1,0)+VLOOKUP(B53,'051824'!B:S,18,false)</f>
        <v>14</v>
      </c>
    </row>
    <row r="54">
      <c r="A54" s="26">
        <f t="shared" si="3"/>
        <v>50</v>
      </c>
      <c r="B54" s="27" t="s">
        <v>39</v>
      </c>
      <c r="C54" s="28">
        <v>169.0</v>
      </c>
      <c r="D54" s="29">
        <v>4.0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178</v>
      </c>
      <c r="N54" s="29">
        <f t="shared" si="51"/>
        <v>4</v>
      </c>
      <c r="O54" s="35" t="s">
        <v>46</v>
      </c>
      <c r="P54" s="35" t="s">
        <v>46</v>
      </c>
      <c r="Q54" s="35"/>
      <c r="R54" s="31">
        <f>if(G54=13,1,0)+VLOOKUP(B54,'051824'!B:Q,16,false)</f>
        <v>0</v>
      </c>
      <c r="S54" s="31"/>
      <c r="T54" s="31">
        <f>if(G54=9,1,0)+VLOOKUP(B54,'051824'!B:S,18,false)</f>
        <v>16</v>
      </c>
    </row>
    <row r="55">
      <c r="A55" s="26">
        <f t="shared" si="3"/>
        <v>51</v>
      </c>
      <c r="B55" s="27" t="s">
        <v>118</v>
      </c>
      <c r="C55" s="28">
        <v>168.0</v>
      </c>
      <c r="D55" s="29">
        <v>2.0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177</v>
      </c>
      <c r="N55" s="29">
        <f t="shared" si="52"/>
        <v>2</v>
      </c>
      <c r="O55" s="35" t="s">
        <v>46</v>
      </c>
      <c r="P55" s="35" t="s">
        <v>46</v>
      </c>
      <c r="Q55" s="35"/>
      <c r="R55" s="31">
        <f>if(G55=13,1,0)+VLOOKUP(B55,'051824'!B:Q,16,false)</f>
        <v>2</v>
      </c>
      <c r="S55" s="31"/>
      <c r="T55" s="31">
        <f>if(G55=9,1,0)+VLOOKUP(B55,'051824'!B:S,18,false)</f>
        <v>15</v>
      </c>
    </row>
    <row r="56">
      <c r="A56" s="26">
        <f t="shared" si="3"/>
        <v>52</v>
      </c>
      <c r="B56" s="27" t="s">
        <v>114</v>
      </c>
      <c r="C56" s="28">
        <v>165.0</v>
      </c>
      <c r="D56" s="29">
        <v>1.0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174</v>
      </c>
      <c r="N56" s="29">
        <f t="shared" si="53"/>
        <v>1</v>
      </c>
      <c r="O56" s="35" t="s">
        <v>46</v>
      </c>
      <c r="P56" s="35" t="s">
        <v>46</v>
      </c>
      <c r="Q56" s="35"/>
      <c r="R56" s="31">
        <f>if(G56=13,1,0)+VLOOKUP(B56,'051824'!B:Q,16,false)</f>
        <v>1</v>
      </c>
      <c r="S56" s="31"/>
      <c r="T56" s="31">
        <f>if(G56=9,1,0)+VLOOKUP(B56,'051824'!B:S,18,false)</f>
        <v>16</v>
      </c>
    </row>
    <row r="57">
      <c r="A57" s="26">
        <f t="shared" si="3"/>
        <v>53</v>
      </c>
      <c r="B57" s="54" t="s">
        <v>54</v>
      </c>
      <c r="C57" s="28">
        <v>164.0</v>
      </c>
      <c r="D57" s="29">
        <v>5.0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173</v>
      </c>
      <c r="N57" s="29">
        <f t="shared" si="54"/>
        <v>5</v>
      </c>
      <c r="O57" s="35" t="s">
        <v>46</v>
      </c>
      <c r="P57" s="35" t="s">
        <v>46</v>
      </c>
      <c r="Q57" s="35"/>
      <c r="R57" s="31">
        <f>if(G57=13,1,0)+VLOOKUP(B57,'051824'!B:Q,16,false)</f>
        <v>1</v>
      </c>
      <c r="S57" s="31"/>
      <c r="T57" s="31">
        <f>if(G57=9,1,0)+VLOOKUP(B57,'051824'!B:S,18,false)</f>
        <v>12</v>
      </c>
    </row>
    <row r="58">
      <c r="A58" s="26">
        <f t="shared" si="3"/>
        <v>54</v>
      </c>
      <c r="B58" s="39" t="s">
        <v>119</v>
      </c>
      <c r="C58" s="28">
        <v>163.0</v>
      </c>
      <c r="D58" s="29">
        <v>4.0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172</v>
      </c>
      <c r="N58" s="29">
        <f t="shared" si="55"/>
        <v>4</v>
      </c>
      <c r="O58" s="35" t="s">
        <v>46</v>
      </c>
      <c r="P58" s="35" t="s">
        <v>46</v>
      </c>
      <c r="Q58" s="35"/>
      <c r="R58" s="31">
        <f>if(G58=13,1,0)+VLOOKUP(B58,'051824'!B:Q,16,false)</f>
        <v>0</v>
      </c>
      <c r="S58" s="31"/>
      <c r="T58" s="31">
        <f>if(G58=9,1,0)+VLOOKUP(B58,'051824'!B:S,18,false)</f>
        <v>16</v>
      </c>
    </row>
    <row r="59">
      <c r="A59" s="26">
        <f t="shared" si="3"/>
        <v>55</v>
      </c>
      <c r="B59" s="27" t="s">
        <v>120</v>
      </c>
      <c r="C59" s="28">
        <v>162.0</v>
      </c>
      <c r="D59" s="29">
        <v>4.0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171</v>
      </c>
      <c r="N59" s="29">
        <f t="shared" si="56"/>
        <v>4</v>
      </c>
      <c r="O59" s="35" t="s">
        <v>46</v>
      </c>
      <c r="P59" s="35" t="s">
        <v>46</v>
      </c>
      <c r="Q59" s="35"/>
      <c r="R59" s="31">
        <f>if(G59=13,1,0)+VLOOKUP(B59,'051824'!B:Q,16,false)</f>
        <v>1</v>
      </c>
      <c r="S59" s="31"/>
      <c r="T59" s="31">
        <f>if(G59=9,1,0)+VLOOKUP(B59,'051824'!B:S,18,false)</f>
        <v>15</v>
      </c>
    </row>
    <row r="60">
      <c r="A60" s="26">
        <f t="shared" si="3"/>
        <v>56</v>
      </c>
      <c r="B60" s="39" t="s">
        <v>121</v>
      </c>
      <c r="C60" s="28">
        <v>162.0</v>
      </c>
      <c r="D60" s="29">
        <v>3.0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171</v>
      </c>
      <c r="N60" s="29">
        <f t="shared" si="57"/>
        <v>3</v>
      </c>
      <c r="O60" s="35" t="s">
        <v>46</v>
      </c>
      <c r="P60" s="35" t="s">
        <v>46</v>
      </c>
      <c r="Q60" s="35"/>
      <c r="R60" s="31">
        <f>if(G60=13,1,0)+VLOOKUP(B60,'051824'!B:Q,16,false)</f>
        <v>0</v>
      </c>
      <c r="S60" s="31"/>
      <c r="T60" s="31">
        <f>if(G60=9,1,0)+VLOOKUP(B60,'051824'!B:S,18,false)</f>
        <v>16</v>
      </c>
    </row>
    <row r="61">
      <c r="A61" s="26">
        <f t="shared" si="3"/>
        <v>57</v>
      </c>
      <c r="B61" s="54" t="s">
        <v>122</v>
      </c>
      <c r="C61" s="28">
        <v>160.0</v>
      </c>
      <c r="D61" s="29">
        <v>1.0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169</v>
      </c>
      <c r="N61" s="29">
        <f t="shared" si="58"/>
        <v>1</v>
      </c>
      <c r="O61" s="35" t="s">
        <v>46</v>
      </c>
      <c r="P61" s="35" t="s">
        <v>46</v>
      </c>
      <c r="Q61" s="35"/>
      <c r="R61" s="31">
        <f>if(G61=13,1,0)+VLOOKUP(B61,'051824'!B:Q,16,false)</f>
        <v>0</v>
      </c>
      <c r="S61" s="31"/>
      <c r="T61" s="31">
        <f>if(G61=9,1,0)+VLOOKUP(B61,'051824'!B:S,18,false)</f>
        <v>17</v>
      </c>
    </row>
    <row r="62">
      <c r="A62" s="26">
        <f t="shared" si="3"/>
        <v>58</v>
      </c>
      <c r="B62" s="27" t="s">
        <v>115</v>
      </c>
      <c r="C62" s="28">
        <v>159.0</v>
      </c>
      <c r="D62" s="29">
        <v>2.0</v>
      </c>
      <c r="E62" s="30">
        <v>2.0</v>
      </c>
      <c r="F62" s="31">
        <v>7.0</v>
      </c>
      <c r="G62" s="28">
        <v>0.0</v>
      </c>
      <c r="H62" s="31">
        <v>6.0</v>
      </c>
      <c r="I62" s="31">
        <v>6.0</v>
      </c>
      <c r="J62" s="31">
        <v>7.0</v>
      </c>
      <c r="K62" s="33">
        <v>19.0</v>
      </c>
      <c r="L62" s="31">
        <v>3.0</v>
      </c>
      <c r="M62" s="28">
        <f t="shared" ref="M62:N62" si="59">C62+K62</f>
        <v>178</v>
      </c>
      <c r="N62" s="29">
        <f t="shared" si="59"/>
        <v>5</v>
      </c>
      <c r="O62" s="35" t="s">
        <v>46</v>
      </c>
      <c r="P62" s="35" t="s">
        <v>46</v>
      </c>
      <c r="Q62" s="35"/>
      <c r="R62" s="31">
        <f>if(G62=13,1,0)+VLOOKUP(B62,'051824'!B:Q,16,false)</f>
        <v>0</v>
      </c>
      <c r="S62" s="31"/>
      <c r="T62" s="31">
        <f>if(G62=9,1,0)+VLOOKUP(B62,'051824'!B:S,18,false)</f>
        <v>16</v>
      </c>
    </row>
    <row r="63">
      <c r="A63" s="26">
        <f t="shared" si="3"/>
        <v>59</v>
      </c>
      <c r="B63" s="54" t="s">
        <v>123</v>
      </c>
      <c r="C63" s="28">
        <v>157.0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166</v>
      </c>
      <c r="N63" s="29">
        <f t="shared" si="60"/>
        <v>2</v>
      </c>
      <c r="O63" s="35" t="s">
        <v>46</v>
      </c>
      <c r="P63" s="35" t="s">
        <v>46</v>
      </c>
      <c r="Q63" s="35"/>
      <c r="R63" s="31">
        <f>if(G63=13,1,0)+VLOOKUP(B63,'051824'!B:Q,16,false)</f>
        <v>1</v>
      </c>
      <c r="S63" s="31"/>
      <c r="T63" s="31">
        <f>if(G63=9,1,0)+VLOOKUP(B63,'051824'!B:S,18,false)</f>
        <v>16</v>
      </c>
    </row>
    <row r="64">
      <c r="A64" s="26">
        <f t="shared" si="3"/>
        <v>60</v>
      </c>
      <c r="B64" s="39" t="s">
        <v>97</v>
      </c>
      <c r="C64" s="28">
        <v>153.0</v>
      </c>
      <c r="D64" s="29">
        <v>5.0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162</v>
      </c>
      <c r="N64" s="29">
        <f t="shared" si="61"/>
        <v>5</v>
      </c>
      <c r="O64" s="35" t="s">
        <v>46</v>
      </c>
      <c r="P64" s="35" t="s">
        <v>46</v>
      </c>
      <c r="Q64" s="35" t="s">
        <v>46</v>
      </c>
      <c r="R64" s="31">
        <f>if(G64=13,1,0)+VLOOKUP(B64,'051824'!B:Q,16,false)</f>
        <v>0</v>
      </c>
      <c r="S64" s="31"/>
      <c r="T64" s="31">
        <f>if(G64=9,1,0)+VLOOKUP(B64,'051824'!B:S,18,false)</f>
        <v>7</v>
      </c>
    </row>
    <row r="65">
      <c r="A65" s="26">
        <f t="shared" si="3"/>
        <v>61</v>
      </c>
      <c r="B65" s="39" t="s">
        <v>124</v>
      </c>
      <c r="C65" s="28">
        <v>153.0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162</v>
      </c>
      <c r="N65" s="29">
        <f t="shared" si="62"/>
        <v>0</v>
      </c>
      <c r="O65" s="35" t="s">
        <v>46</v>
      </c>
      <c r="P65" s="35" t="s">
        <v>46</v>
      </c>
      <c r="Q65" s="35"/>
      <c r="R65" s="31">
        <f>if(G65=13,1,0)+VLOOKUP(B65,'051824'!B:Q,16,false)</f>
        <v>0</v>
      </c>
      <c r="S65" s="31"/>
      <c r="T65" s="31">
        <f>if(G65=9,1,0)+VLOOKUP(B65,'051824'!B:S,18,false)</f>
        <v>18</v>
      </c>
    </row>
    <row r="66">
      <c r="A66" s="26">
        <f t="shared" si="3"/>
        <v>62</v>
      </c>
      <c r="B66" s="39" t="s">
        <v>125</v>
      </c>
      <c r="C66" s="28">
        <v>153.0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162</v>
      </c>
      <c r="N66" s="29">
        <f t="shared" si="63"/>
        <v>0</v>
      </c>
      <c r="O66" s="35" t="s">
        <v>46</v>
      </c>
      <c r="P66" s="35" t="s">
        <v>46</v>
      </c>
      <c r="Q66" s="35"/>
      <c r="R66" s="31">
        <f>if(G66=13,1,0)+VLOOKUP(B66,'051824'!B:Q,16,false)</f>
        <v>0</v>
      </c>
      <c r="S66" s="31"/>
      <c r="T66" s="31">
        <f>if(G66=9,1,0)+VLOOKUP(B66,'051824'!B:S,18,false)</f>
        <v>17</v>
      </c>
    </row>
    <row r="67">
      <c r="A67" s="26">
        <f t="shared" si="3"/>
        <v>63</v>
      </c>
      <c r="B67" s="39" t="s">
        <v>126</v>
      </c>
      <c r="C67" s="28">
        <v>152.0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161</v>
      </c>
      <c r="N67" s="29">
        <f t="shared" si="64"/>
        <v>2</v>
      </c>
      <c r="O67" s="35" t="s">
        <v>46</v>
      </c>
      <c r="P67" s="35" t="s">
        <v>46</v>
      </c>
      <c r="Q67" s="35"/>
      <c r="R67" s="31">
        <f>if(G67=13,1,0)+VLOOKUP(B67,'051824'!B:Q,16,false)</f>
        <v>0</v>
      </c>
      <c r="S67" s="31"/>
      <c r="T67" s="31">
        <f>if(G67=9,1,0)+VLOOKUP(B67,'051824'!B:S,18,false)</f>
        <v>16</v>
      </c>
    </row>
    <row r="68">
      <c r="A68" s="26">
        <f t="shared" si="3"/>
        <v>64</v>
      </c>
      <c r="B68" s="27" t="s">
        <v>74</v>
      </c>
      <c r="C68" s="28">
        <v>144.0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153</v>
      </c>
      <c r="N68" s="29">
        <f t="shared" si="65"/>
        <v>0</v>
      </c>
      <c r="O68" s="35" t="s">
        <v>46</v>
      </c>
      <c r="P68" s="35" t="s">
        <v>46</v>
      </c>
      <c r="Q68" s="35"/>
      <c r="R68" s="31">
        <f>if(G68=13,1,0)+VLOOKUP(B68,'051824'!B:Q,16,false)</f>
        <v>0</v>
      </c>
      <c r="S68" s="31"/>
      <c r="T68" s="31">
        <f>if(G68=9,1,0)+VLOOKUP(B68,'051824'!B:S,18,false)</f>
        <v>18</v>
      </c>
    </row>
    <row r="69">
      <c r="A69" s="26">
        <f t="shared" si="3"/>
        <v>65</v>
      </c>
      <c r="B69" s="39" t="s">
        <v>127</v>
      </c>
      <c r="C69" s="28">
        <v>143.0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152</v>
      </c>
      <c r="N69" s="29">
        <f t="shared" si="66"/>
        <v>2</v>
      </c>
      <c r="O69" s="35" t="s">
        <v>46</v>
      </c>
      <c r="P69" s="35" t="s">
        <v>46</v>
      </c>
      <c r="Q69" s="35"/>
      <c r="R69" s="31">
        <f>if(G69=13,1,0)+VLOOKUP(B69,'051824'!B:Q,16,false)</f>
        <v>0</v>
      </c>
      <c r="S69" s="31"/>
      <c r="T69" s="31">
        <f>if(G69=9,1,0)+VLOOKUP(B69,'051824'!B:S,18,false)</f>
        <v>16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 t="shared" ref="P72:Q72" si="67">COUNTA(P5:P69)</f>
        <v>65</v>
      </c>
      <c r="Q72" s="14">
        <f t="shared" si="67"/>
        <v>2</v>
      </c>
    </row>
    <row r="73">
      <c r="A73" s="1"/>
      <c r="C73" s="1"/>
      <c r="D73" s="1"/>
      <c r="E73" s="1"/>
      <c r="O73" s="13" t="s">
        <v>129</v>
      </c>
      <c r="P73" s="14">
        <f t="shared" ref="P73:Q73" si="68">P74-P72</f>
        <v>0</v>
      </c>
      <c r="Q73" s="14">
        <f t="shared" si="68"/>
        <v>63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  <c r="Q74" s="14">
        <f>P74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desc"",0)"),"Lam Bui")</f>
        <v>Lam Bui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IFERROR(__xludf.DUMMYFUNCTION("""COMPUTED_VALUE"""),"Amit Patel")</f>
        <v>Amit Patel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IFERROR(__xludf.DUMMYFUNCTION("""COMPUTED_VALUE"""),"Adrian Tay")</f>
        <v>Adrian Tay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IFERROR(__xludf.DUMMYFUNCTION("""COMPUTED_VALUE"""),"Erik Hoeckmann")</f>
        <v>Erik Hoeckmann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IFERROR(__xludf.DUMMYFUNCTION("""COMPUTED_VALUE"""),"Christopher Li")</f>
        <v>Christopher Li</v>
      </c>
      <c r="C83" s="60">
        <f>IFERROR(__xludf.DUMMYFUNCTION("""COMPUTED_VALUE"""),18.0)</f>
        <v>18</v>
      </c>
      <c r="D83" s="60">
        <f>IFERROR(__xludf.DUMMYFUNCTION("""COMPUTED_VALUE"""),2.0)</f>
        <v>2</v>
      </c>
      <c r="E83" s="1"/>
      <c r="K83" s="9"/>
    </row>
    <row r="84">
      <c r="A84" s="1"/>
      <c r="B84" s="39" t="str">
        <f>IFERROR(__xludf.DUMMYFUNCTION("""COMPUTED_VALUE"""),"Ted Shen")</f>
        <v>Ted Shen</v>
      </c>
      <c r="C84" s="60">
        <f>IFERROR(__xludf.DUMMYFUNCTION("""COMPUTED_VALUE"""),18.0)</f>
        <v>18</v>
      </c>
      <c r="D84" s="60">
        <f>IFERROR(__xludf.DUMMYFUNCTION("""COMPUTED_VALUE"""),2.0)</f>
        <v>2</v>
      </c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1"")"),"Adrian Tay")</f>
        <v>Adrian Tay</v>
      </c>
      <c r="C92" s="63">
        <f>IFERROR(__xludf.DUMMYFUNCTION("""COMPUTED_VALUE"""),236.0)</f>
        <v>236</v>
      </c>
      <c r="D92" s="64">
        <f>IFERROR(__xludf.DUMMYFUNCTION("""COMPUTED_VALUE"""),25.0)</f>
        <v>25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IFERROR(__xludf.DUMMYFUNCTION("""COMPUTED_VALUE"""),18.0)</f>
        <v>18</v>
      </c>
      <c r="L92" s="65">
        <f>IFERROR(__xludf.DUMMYFUNCTION("""COMPUTED_VALUE"""),3.0)</f>
        <v>3</v>
      </c>
      <c r="M92" s="65">
        <f>IFERROR(__xludf.DUMMYFUNCTION("""COMPUTED_VALUE"""),254.0)</f>
        <v>254</v>
      </c>
      <c r="N92" s="66">
        <f>IFERROR(__xludf.DUMMYFUNCTION("""COMPUTED_VALUE"""),28.0)</f>
        <v>28</v>
      </c>
    </row>
    <row r="93">
      <c r="A93" s="1"/>
      <c r="B93" s="62" t="str">
        <f>IFERROR(__xludf.DUMMYFUNCTION("""COMPUTED_VALUE"""),"Suleman Alidina")</f>
        <v>Suleman Alidina</v>
      </c>
      <c r="C93" s="63">
        <f>IFERROR(__xludf.DUMMYFUNCTION("""COMPUTED_VALUE"""),224.0)</f>
        <v>224</v>
      </c>
      <c r="D93" s="64">
        <f>IFERROR(__xludf.DUMMYFUNCTION("""COMPUTED_VALUE"""),26.0)</f>
        <v>26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IFERROR(__xludf.DUMMYFUNCTION("""COMPUTED_VALUE"""),6.0)</f>
        <v>6</v>
      </c>
      <c r="I93" s="65">
        <f>IFERROR(__xludf.DUMMYFUNCTION("""COMPUTED_VALUE"""),3.0)</f>
        <v>3</v>
      </c>
      <c r="J93" s="65">
        <f>IFERROR(__xludf.DUMMYFUNCTION("""COMPUTED_VALUE"""),4.0)</f>
        <v>4</v>
      </c>
      <c r="K93" s="65">
        <f>IFERROR(__xludf.DUMMYFUNCTION("""COMPUTED_VALUE"""),13.0)</f>
        <v>13</v>
      </c>
      <c r="L93" s="65">
        <f>IFERROR(__xludf.DUMMYFUNCTION("""COMPUTED_VALUE"""),1.0)</f>
        <v>1</v>
      </c>
      <c r="M93" s="65">
        <f>IFERROR(__xludf.DUMMYFUNCTION("""COMPUTED_VALUE"""),237.0)</f>
        <v>237</v>
      </c>
      <c r="N93" s="66">
        <f>IFERROR(__xludf.DUMMYFUNCTION("""COMPUTED_VALUE"""),27.0)</f>
        <v>27</v>
      </c>
    </row>
    <row r="94">
      <c r="A94" s="1"/>
      <c r="B94" s="62" t="str">
        <f>IFERROR(__xludf.DUMMYFUNCTION("""COMPUTED_VALUE"""),"Peter Homsey")</f>
        <v>Peter Homsey</v>
      </c>
      <c r="C94" s="63">
        <f>IFERROR(__xludf.DUMMYFUNCTION("""COMPUTED_VALUE"""),214.0)</f>
        <v>214</v>
      </c>
      <c r="D94" s="64">
        <f>IFERROR(__xludf.DUMMYFUNCTION("""COMPUTED_VALUE"""),19.0)</f>
        <v>19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IFERROR(__xludf.DUMMYFUNCTION("""COMPUTED_VALUE"""),4.0)</f>
        <v>4</v>
      </c>
      <c r="I94" s="65">
        <f>IFERROR(__xludf.DUMMYFUNCTION("""COMPUTED_VALUE"""),6.0)</f>
        <v>6</v>
      </c>
      <c r="J94" s="65">
        <f>IFERROR(__xludf.DUMMYFUNCTION("""COMPUTED_VALUE"""),4.0)</f>
        <v>4</v>
      </c>
      <c r="K94" s="65">
        <f>IFERROR(__xludf.DUMMYFUNCTION("""COMPUTED_VALUE"""),14.0)</f>
        <v>14</v>
      </c>
      <c r="L94" s="65">
        <f>IFERROR(__xludf.DUMMYFUNCTION("""COMPUTED_VALUE"""),1.0)</f>
        <v>1</v>
      </c>
      <c r="M94" s="65">
        <f>IFERROR(__xludf.DUMMYFUNCTION("""COMPUTED_VALUE"""),228.0)</f>
        <v>228</v>
      </c>
      <c r="N94" s="66">
        <f>IFERROR(__xludf.DUMMYFUNCTION("""COMPUTED_VALUE"""),20.0)</f>
        <v>20</v>
      </c>
    </row>
    <row r="95">
      <c r="A95" s="1"/>
      <c r="B95" s="62" t="str">
        <f>IFERROR(__xludf.DUMMYFUNCTION("""COMPUTED_VALUE"""),"Pavan Akkimsetty")</f>
        <v>Pavan Akkimsetty</v>
      </c>
      <c r="C95" s="63">
        <f>IFERROR(__xludf.DUMMYFUNCTION("""COMPUTED_VALUE"""),212.0)</f>
        <v>212</v>
      </c>
      <c r="D95" s="64">
        <f>IFERROR(__xludf.DUMMYFUNCTION("""COMPUTED_VALUE"""),21.0)</f>
        <v>21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IFERROR(__xludf.DUMMYFUNCTION("""COMPUTED_VALUE"""),4.0)</f>
        <v>4</v>
      </c>
      <c r="I95" s="65">
        <f>IFERROR(__xludf.DUMMYFUNCTION("""COMPUTED_VALUE"""),3.0)</f>
        <v>3</v>
      </c>
      <c r="J95" s="65">
        <f>IFERROR(__xludf.DUMMYFUNCTION("""COMPUTED_VALUE"""),6.0)</f>
        <v>6</v>
      </c>
      <c r="K95" s="65">
        <f>IFERROR(__xludf.DUMMYFUNCTION("""COMPUTED_VALUE"""),13.0)</f>
        <v>13</v>
      </c>
      <c r="L95" s="65">
        <f>IFERROR(__xludf.DUMMYFUNCTION("""COMPUTED_VALUE"""),1.0)</f>
        <v>1</v>
      </c>
      <c r="M95" s="65">
        <f>IFERROR(__xludf.DUMMYFUNCTION("""COMPUTED_VALUE"""),225.0)</f>
        <v>225</v>
      </c>
      <c r="N95" s="66">
        <f>IFERROR(__xludf.DUMMYFUNCTION("""COMPUTED_VALUE"""),22.0)</f>
        <v>22</v>
      </c>
    </row>
    <row r="96">
      <c r="A96" s="1"/>
      <c r="B96" s="67" t="str">
        <f>IFERROR(__xludf.DUMMYFUNCTION("""COMPUTED_VALUE"""),"Jonathan Phan")</f>
        <v>Jonathan Phan</v>
      </c>
      <c r="C96" s="68">
        <f>IFERROR(__xludf.DUMMYFUNCTION("""COMPUTED_VALUE"""),211.0)</f>
        <v>211</v>
      </c>
      <c r="D96" s="69">
        <f>IFERROR(__xludf.DUMMYFUNCTION("""COMPUTED_VALUE"""),18.0)</f>
        <v>18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IFERROR(__xludf.DUMMYFUNCTION("""COMPUTED_VALUE"""),3.0)</f>
        <v>3</v>
      </c>
      <c r="K96" s="70">
        <f>IFERROR(__xludf.DUMMYFUNCTION("""COMPUTED_VALUE"""),15.0)</f>
        <v>15</v>
      </c>
      <c r="L96" s="70">
        <f>IFERROR(__xludf.DUMMYFUNCTION("""COMPUTED_VALUE"""),1.0)</f>
        <v>1</v>
      </c>
      <c r="M96" s="70">
        <f>IFERROR(__xludf.DUMMYFUNCTION("""COMPUTED_VALUE"""),226.0)</f>
        <v>226</v>
      </c>
      <c r="N96" s="71">
        <f>IFERROR(__xludf.DUMMYFUNCTION("""COMPUTED_VALUE"""),19.0)</f>
        <v>19</v>
      </c>
    </row>
    <row r="97">
      <c r="A97" s="1"/>
      <c r="B97" s="67" t="str">
        <f>IFERROR(__xludf.DUMMYFUNCTION("""COMPUTED_VALUE"""),"Lam Bui")</f>
        <v>Lam Bui</v>
      </c>
      <c r="C97" s="68">
        <f>IFERROR(__xludf.DUMMYFUNCTION("""COMPUTED_VALUE"""),210.0)</f>
        <v>210</v>
      </c>
      <c r="D97" s="69">
        <f>IFERROR(__xludf.DUMMYFUNCTION("""COMPUTED_VALUE"""),13.0)</f>
        <v>13</v>
      </c>
      <c r="E97" s="68">
        <f>IFERROR(__xludf.DUMMYFUNCTION("""COMPUTED_VALUE"""),2.0)</f>
        <v>2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IFERROR(__xludf.DUMMYFUNCTION("""COMPUTED_VALUE"""),7.0)</f>
        <v>7</v>
      </c>
      <c r="I97" s="70">
        <f>IFERROR(__xludf.DUMMYFUNCTION("""COMPUTED_VALUE"""),6.0)</f>
        <v>6</v>
      </c>
      <c r="J97" s="70">
        <f>IFERROR(__xludf.DUMMYFUNCTION("""COMPUTED_VALUE"""),6.0)</f>
        <v>6</v>
      </c>
      <c r="K97" s="70">
        <f>IFERROR(__xludf.DUMMYFUNCTION("""COMPUTED_VALUE"""),19.0)</f>
        <v>19</v>
      </c>
      <c r="L97" s="70">
        <f>IFERROR(__xludf.DUMMYFUNCTION("""COMPUTED_VALUE"""),3.0)</f>
        <v>3</v>
      </c>
      <c r="M97" s="70">
        <f>IFERROR(__xludf.DUMMYFUNCTION("""COMPUTED_VALUE"""),229.0)</f>
        <v>229</v>
      </c>
      <c r="N97" s="71">
        <f>IFERROR(__xludf.DUMMYFUNCTION("""COMPUTED_VALUE"""),16.0)</f>
        <v>16</v>
      </c>
    </row>
    <row r="98">
      <c r="A98" s="1"/>
      <c r="B98" s="67" t="str">
        <f>IFERROR(__xludf.DUMMYFUNCTION("""COMPUTED_VALUE"""),"Susanta Mishra")</f>
        <v>Susanta Mishra</v>
      </c>
      <c r="C98" s="68">
        <f>IFERROR(__xludf.DUMMYFUNCTION("""COMPUTED_VALUE"""),208.0)</f>
        <v>208</v>
      </c>
      <c r="D98" s="69">
        <f>IFERROR(__xludf.DUMMYFUNCTION("""COMPUTED_VALUE"""),17.0)</f>
        <v>17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IFERROR(__xludf.DUMMYFUNCTION("""COMPUTED_VALUE"""),4.0)</f>
        <v>4</v>
      </c>
      <c r="J98" s="70">
        <f>IFERROR(__xludf.DUMMYFUNCTION("""COMPUTED_VALUE"""),6.0)</f>
        <v>6</v>
      </c>
      <c r="K98" s="70">
        <f>IFERROR(__xludf.DUMMYFUNCTION("""COMPUTED_VALUE"""),16.0)</f>
        <v>16</v>
      </c>
      <c r="L98" s="70">
        <f>IFERROR(__xludf.DUMMYFUNCTION("""COMPUTED_VALUE"""),1.0)</f>
        <v>1</v>
      </c>
      <c r="M98" s="70">
        <f>IFERROR(__xludf.DUMMYFUNCTION("""COMPUTED_VALUE"""),224.0)</f>
        <v>224</v>
      </c>
      <c r="N98" s="71">
        <f>IFERROR(__xludf.DUMMYFUNCTION("""COMPUTED_VALUE"""),18.0)</f>
        <v>18</v>
      </c>
    </row>
    <row r="99">
      <c r="A99" s="1"/>
      <c r="B99" s="67" t="str">
        <f>IFERROR(__xludf.DUMMYFUNCTION("""COMPUTED_VALUE"""),"Sean Chang")</f>
        <v>Sean Chang</v>
      </c>
      <c r="C99" s="68">
        <f>IFERROR(__xludf.DUMMYFUNCTION("""COMPUTED_VALUE"""),207.0)</f>
        <v>207</v>
      </c>
      <c r="D99" s="69">
        <f>IFERROR(__xludf.DUMMYFUNCTION("""COMPUTED_VALUE"""),12.0)</f>
        <v>12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IFERROR(__xludf.DUMMYFUNCTION("""COMPUTED_VALUE"""),7.0)</f>
        <v>7</v>
      </c>
      <c r="I99" s="70">
        <f>IFERROR(__xludf.DUMMYFUNCTION("""COMPUTED_VALUE"""),4.0)</f>
        <v>4</v>
      </c>
      <c r="J99" s="70">
        <f>IFERROR(__xludf.DUMMYFUNCTION("""COMPUTED_VALUE"""),3.0)</f>
        <v>3</v>
      </c>
      <c r="K99" s="70">
        <f>IFERROR(__xludf.DUMMYFUNCTION("""COMPUTED_VALUE"""),14.0)</f>
        <v>14</v>
      </c>
      <c r="L99" s="70">
        <f>IFERROR(__xludf.DUMMYFUNCTION("""COMPUTED_VALUE"""),1.0)</f>
        <v>1</v>
      </c>
      <c r="M99" s="70">
        <f>IFERROR(__xludf.DUMMYFUNCTION("""COMPUTED_VALUE"""),221.0)</f>
        <v>221</v>
      </c>
      <c r="N99" s="71">
        <f>IFERROR(__xludf.DUMMYFUNCTION("""COMPUTED_VALUE"""),13.0)</f>
        <v>13</v>
      </c>
    </row>
    <row r="100">
      <c r="A100" s="1"/>
      <c r="B100" s="67" t="str">
        <f>IFERROR(__xludf.DUMMYFUNCTION("""COMPUTED_VALUE"""),"David Shin")</f>
        <v>David Shin</v>
      </c>
      <c r="C100" s="63">
        <f>IFERROR(__xludf.DUMMYFUNCTION("""COMPUTED_VALUE"""),204.0)</f>
        <v>204</v>
      </c>
      <c r="D100" s="64">
        <f>IFERROR(__xludf.DUMMYFUNCTION("""COMPUTED_VALUE"""),17.0)</f>
        <v>17</v>
      </c>
      <c r="E100" s="63">
        <f>IFERROR(__xludf.DUMMYFUNCTION("""COMPUTED_VALUE"""),2.0)</f>
        <v>2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IFERROR(__xludf.DUMMYFUNCTION("""COMPUTED_VALUE"""),4.0)</f>
        <v>4</v>
      </c>
      <c r="I100" s="65">
        <f>IFERROR(__xludf.DUMMYFUNCTION("""COMPUTED_VALUE"""),6.0)</f>
        <v>6</v>
      </c>
      <c r="J100" s="65">
        <f>IFERROR(__xludf.DUMMYFUNCTION("""COMPUTED_VALUE"""),7.0)</f>
        <v>7</v>
      </c>
      <c r="K100" s="65">
        <f>IFERROR(__xludf.DUMMYFUNCTION("""COMPUTED_VALUE"""),17.0)</f>
        <v>17</v>
      </c>
      <c r="L100" s="65">
        <f>IFERROR(__xludf.DUMMYFUNCTION("""COMPUTED_VALUE"""),2.0)</f>
        <v>2</v>
      </c>
      <c r="M100" s="65">
        <f>IFERROR(__xludf.DUMMYFUNCTION("""COMPUTED_VALUE"""),221.0)</f>
        <v>221</v>
      </c>
      <c r="N100" s="66">
        <f>IFERROR(__xludf.DUMMYFUNCTION("""COMPUTED_VALUE"""),19.0)</f>
        <v>19</v>
      </c>
    </row>
    <row r="101">
      <c r="A101" s="1"/>
      <c r="B101" s="67" t="str">
        <f>IFERROR(__xludf.DUMMYFUNCTION("""COMPUTED_VALUE"""),"Christopher Li")</f>
        <v>Christopher Li</v>
      </c>
      <c r="C101" s="63">
        <f>IFERROR(__xludf.DUMMYFUNCTION("""COMPUTED_VALUE"""),203.0)</f>
        <v>203</v>
      </c>
      <c r="D101" s="64">
        <f>IFERROR(__xludf.DUMMYFUNCTION("""COMPUTED_VALUE"""),18.0)</f>
        <v>18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IFERROR(__xludf.DUMMYFUNCTION("""COMPUTED_VALUE"""),6.0)</f>
        <v>6</v>
      </c>
      <c r="J101" s="65">
        <f>IFERROR(__xludf.DUMMYFUNCTION("""COMPUTED_VALUE"""),6.0)</f>
        <v>6</v>
      </c>
      <c r="K101" s="65">
        <f>IFERROR(__xludf.DUMMYFUNCTION("""COMPUTED_VALUE"""),18.0)</f>
        <v>18</v>
      </c>
      <c r="L101" s="65">
        <f>IFERROR(__xludf.DUMMYFUNCTION("""COMPUTED_VALUE"""),2.0)</f>
        <v>2</v>
      </c>
      <c r="M101" s="65">
        <f>IFERROR(__xludf.DUMMYFUNCTION("""COMPUTED_VALUE"""),221.0)</f>
        <v>221</v>
      </c>
      <c r="N101" s="66">
        <f>IFERROR(__xludf.DUMMYFUNCTION("""COMPUTED_VALUE"""),20.0)</f>
        <v>20</v>
      </c>
    </row>
    <row r="102">
      <c r="A102" s="1"/>
      <c r="B102" s="62" t="str">
        <f>IFERROR(__xludf.DUMMYFUNCTION("""COMPUTED_VALUE"""),"Chinna Ponnaganti")</f>
        <v>Chinna Ponnaganti</v>
      </c>
      <c r="C102" s="63">
        <f>IFERROR(__xludf.DUMMYFUNCTION("""COMPUTED_VALUE"""),201.0)</f>
        <v>201</v>
      </c>
      <c r="D102" s="64">
        <f>IFERROR(__xludf.DUMMYFUNCTION("""COMPUTED_VALUE"""),19.0)</f>
        <v>19</v>
      </c>
      <c r="E102" s="63">
        <f>IFERROR(__xludf.DUMMYFUNCTION("""COMPUTED_VALUE"""),2.0)</f>
        <v>2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IFERROR(__xludf.DUMMYFUNCTION("""COMPUTED_VALUE"""),4.0)</f>
        <v>4</v>
      </c>
      <c r="I102" s="65">
        <f>IFERROR(__xludf.DUMMYFUNCTION("""COMPUTED_VALUE"""),1.0)</f>
        <v>1</v>
      </c>
      <c r="J102" s="65">
        <f>IFERROR(__xludf.DUMMYFUNCTION("""COMPUTED_VALUE"""),6.0)</f>
        <v>6</v>
      </c>
      <c r="K102" s="65">
        <f>IFERROR(__xludf.DUMMYFUNCTION("""COMPUTED_VALUE"""),11.0)</f>
        <v>11</v>
      </c>
      <c r="L102" s="65">
        <f>IFERROR(__xludf.DUMMYFUNCTION("""COMPUTED_VALUE"""),0.0)</f>
        <v>0</v>
      </c>
      <c r="M102" s="65">
        <f>IFERROR(__xludf.DUMMYFUNCTION("""COMPUTED_VALUE"""),212.0)</f>
        <v>212</v>
      </c>
      <c r="N102" s="66">
        <f>IFERROR(__xludf.DUMMYFUNCTION("""COMPUTED_VALUE"""),19.0)</f>
        <v>19</v>
      </c>
    </row>
    <row r="103">
      <c r="A103" s="1"/>
      <c r="B103" s="62" t="str">
        <f>IFERROR(__xludf.DUMMYFUNCTION("""COMPUTED_VALUE"""),"Oscar Bonilla")</f>
        <v>Oscar Bonilla</v>
      </c>
      <c r="C103" s="63">
        <f>IFERROR(__xludf.DUMMYFUNCTION("""COMPUTED_VALUE"""),199.0)</f>
        <v>199</v>
      </c>
      <c r="D103" s="64">
        <f>IFERROR(__xludf.DUMMYFUNCTION("""COMPUTED_VALUE"""),13.0)</f>
        <v>13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IFERROR(__xludf.DUMMYFUNCTION("""COMPUTED_VALUE"""),6.0)</f>
        <v>6</v>
      </c>
      <c r="I103" s="65">
        <f>IFERROR(__xludf.DUMMYFUNCTION("""COMPUTED_VALUE"""),1.0)</f>
        <v>1</v>
      </c>
      <c r="J103" s="65">
        <f>IFERROR(__xludf.DUMMYFUNCTION("""COMPUTED_VALUE"""),7.0)</f>
        <v>7</v>
      </c>
      <c r="K103" s="65">
        <f>IFERROR(__xludf.DUMMYFUNCTION("""COMPUTED_VALUE"""),14.0)</f>
        <v>14</v>
      </c>
      <c r="L103" s="65">
        <f>IFERROR(__xludf.DUMMYFUNCTION("""COMPUTED_VALUE"""),2.0)</f>
        <v>2</v>
      </c>
      <c r="M103" s="65">
        <f>IFERROR(__xludf.DUMMYFUNCTION("""COMPUTED_VALUE"""),213.0)</f>
        <v>213</v>
      </c>
      <c r="N103" s="66">
        <f>IFERROR(__xludf.DUMMYFUNCTION("""COMPUTED_VALUE"""),15.0)</f>
        <v>15</v>
      </c>
    </row>
    <row r="104">
      <c r="A104" s="1"/>
      <c r="B104" s="67" t="str">
        <f>IFERROR(__xludf.DUMMYFUNCTION("""COMPUTED_VALUE"""),"Lloyd Sagar")</f>
        <v>Lloyd Sagar</v>
      </c>
      <c r="C104" s="68">
        <f>IFERROR(__xludf.DUMMYFUNCTION("""COMPUTED_VALUE"""),198.0)</f>
        <v>198</v>
      </c>
      <c r="D104" s="69">
        <f>IFERROR(__xludf.DUMMYFUNCTION("""COMPUTED_VALUE"""),13.0)</f>
        <v>13</v>
      </c>
      <c r="E104" s="68">
        <f>IFERROR(__xludf.DUMMYFUNCTION("""COMPUTED_VALUE"""),1.0)</f>
        <v>1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IFERROR(__xludf.DUMMYFUNCTION("""COMPUTED_VALUE"""),7.0)</f>
        <v>7</v>
      </c>
      <c r="I104" s="70">
        <f>IFERROR(__xludf.DUMMYFUNCTION("""COMPUTED_VALUE"""),4.0)</f>
        <v>4</v>
      </c>
      <c r="J104" s="70">
        <f>IFERROR(__xludf.DUMMYFUNCTION("""COMPUTED_VALUE"""),6.0)</f>
        <v>6</v>
      </c>
      <c r="K104" s="70">
        <f>IFERROR(__xludf.DUMMYFUNCTION("""COMPUTED_VALUE"""),17.0)</f>
        <v>17</v>
      </c>
      <c r="L104" s="70">
        <f>IFERROR(__xludf.DUMMYFUNCTION("""COMPUTED_VALUE"""),2.0)</f>
        <v>2</v>
      </c>
      <c r="M104" s="70">
        <f>IFERROR(__xludf.DUMMYFUNCTION("""COMPUTED_VALUE"""),215.0)</f>
        <v>215</v>
      </c>
      <c r="N104" s="71">
        <f>IFERROR(__xludf.DUMMYFUNCTION("""COMPUTED_VALUE"""),15.0)</f>
        <v>15</v>
      </c>
    </row>
    <row r="105">
      <c r="A105" s="1"/>
      <c r="B105" s="67" t="str">
        <f>IFERROR(__xludf.DUMMYFUNCTION("""COMPUTED_VALUE"""),"Ted Shen")</f>
        <v>Ted Shen</v>
      </c>
      <c r="C105" s="68">
        <f>IFERROR(__xludf.DUMMYFUNCTION("""COMPUTED_VALUE"""),196.0)</f>
        <v>196</v>
      </c>
      <c r="D105" s="69">
        <f>IFERROR(__xludf.DUMMYFUNCTION("""COMPUTED_VALUE"""),15.0)</f>
        <v>15</v>
      </c>
      <c r="E105" s="68">
        <f>IFERROR(__xludf.DUMMYFUNCTION("""COMPUTED_VALUE"""),1.0)</f>
        <v>1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IFERROR(__xludf.DUMMYFUNCTION("""COMPUTED_VALUE"""),18.0)</f>
        <v>18</v>
      </c>
      <c r="L105" s="70">
        <f>IFERROR(__xludf.DUMMYFUNCTION("""COMPUTED_VALUE"""),2.0)</f>
        <v>2</v>
      </c>
      <c r="M105" s="70">
        <f>IFERROR(__xludf.DUMMYFUNCTION("""COMPUTED_VALUE"""),214.0)</f>
        <v>214</v>
      </c>
      <c r="N105" s="71">
        <f>IFERROR(__xludf.DUMMYFUNCTION("""COMPUTED_VALUE"""),17.0)</f>
        <v>17</v>
      </c>
    </row>
    <row r="106">
      <c r="A106" s="1"/>
      <c r="B106" s="67" t="str">
        <f>IFERROR(__xludf.DUMMYFUNCTION("""COMPUTED_VALUE"""),"Andrew Wen")</f>
        <v>Andrew Wen</v>
      </c>
      <c r="C106" s="68">
        <f>IFERROR(__xludf.DUMMYFUNCTION("""COMPUTED_VALUE"""),195.0)</f>
        <v>195</v>
      </c>
      <c r="D106" s="69">
        <f>IFERROR(__xludf.DUMMYFUNCTION("""COMPUTED_VALUE"""),17.0)</f>
        <v>17</v>
      </c>
      <c r="E106" s="68">
        <f>IFERROR(__xludf.DUMMYFUNCTION("""COMPUTED_VALUE"""),2.0)</f>
        <v>2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IFERROR(__xludf.DUMMYFUNCTION("""COMPUTED_VALUE"""),4.0)</f>
        <v>4</v>
      </c>
      <c r="J106" s="70">
        <f>IFERROR(__xludf.DUMMYFUNCTION("""COMPUTED_VALUE"""),3.0)</f>
        <v>3</v>
      </c>
      <c r="K106" s="70">
        <f>IFERROR(__xludf.DUMMYFUNCTION("""COMPUTED_VALUE"""),13.0)</f>
        <v>13</v>
      </c>
      <c r="L106" s="70">
        <f>IFERROR(__xludf.DUMMYFUNCTION("""COMPUTED_VALUE"""),0.0)</f>
        <v>0</v>
      </c>
      <c r="M106" s="70">
        <f>IFERROR(__xludf.DUMMYFUNCTION("""COMPUTED_VALUE"""),208.0)</f>
        <v>208</v>
      </c>
      <c r="N106" s="71">
        <f>IFERROR(__xludf.DUMMYFUNCTION("""COMPUTED_VALUE"""),17.0)</f>
        <v>17</v>
      </c>
    </row>
    <row r="107">
      <c r="A107" s="1"/>
      <c r="B107" s="67" t="str">
        <f>IFERROR(__xludf.DUMMYFUNCTION("""COMPUTED_VALUE"""),"David Tam")</f>
        <v>David Tam</v>
      </c>
      <c r="C107" s="68">
        <f>IFERROR(__xludf.DUMMYFUNCTION("""COMPUTED_VALUE"""),195.0)</f>
        <v>195</v>
      </c>
      <c r="D107" s="69">
        <f>IFERROR(__xludf.DUMMYFUNCTION("""COMPUTED_VALUE"""),16.0)</f>
        <v>16</v>
      </c>
      <c r="E107" s="68">
        <f>IFERROR(__xludf.DUMMYFUNCTION("""COMPUTED_VALUE"""),1.0)</f>
        <v>1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IFERROR(__xludf.DUMMYFUNCTION("""COMPUTED_VALUE"""),7.0)</f>
        <v>7</v>
      </c>
      <c r="I107" s="70">
        <f>IFERROR(__xludf.DUMMYFUNCTION("""COMPUTED_VALUE"""),6.0)</f>
        <v>6</v>
      </c>
      <c r="J107" s="70">
        <f>IFERROR(__xludf.DUMMYFUNCTION("""COMPUTED_VALUE"""),3.0)</f>
        <v>3</v>
      </c>
      <c r="K107" s="70">
        <f>IFERROR(__xludf.DUMMYFUNCTION("""COMPUTED_VALUE"""),16.0)</f>
        <v>16</v>
      </c>
      <c r="L107" s="70">
        <f>IFERROR(__xludf.DUMMYFUNCTION("""COMPUTED_VALUE"""),2.0)</f>
        <v>2</v>
      </c>
      <c r="M107" s="70">
        <f>IFERROR(__xludf.DUMMYFUNCTION("""COMPUTED_VALUE"""),211.0)</f>
        <v>211</v>
      </c>
      <c r="N107" s="71">
        <f>IFERROR(__xludf.DUMMYFUNCTION("""COMPUTED_VALUE"""),18.0)</f>
        <v>18</v>
      </c>
    </row>
    <row r="108">
      <c r="A108" s="1"/>
      <c r="B108" s="62" t="str">
        <f>IFERROR(__xludf.DUMMYFUNCTION("""COMPUTED_VALUE"""),"Erik Hoeckmann")</f>
        <v>Erik Hoeckmann</v>
      </c>
      <c r="C108" s="63">
        <f>IFERROR(__xludf.DUMMYFUNCTION("""COMPUTED_VALUE"""),187.0)</f>
        <v>187</v>
      </c>
      <c r="D108" s="64">
        <f>IFERROR(__xludf.DUMMYFUNCTION("""COMPUTED_VALUE"""),15.0)</f>
        <v>15</v>
      </c>
      <c r="E108" s="63">
        <f>IFERROR(__xludf.DUMMYFUNCTION("""COMPUTED_VALUE"""),2.0)</f>
        <v>2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IFERROR(__xludf.DUMMYFUNCTION("""COMPUTED_VALUE"""),6.0)</f>
        <v>6</v>
      </c>
      <c r="J108" s="65">
        <f>IFERROR(__xludf.DUMMYFUNCTION("""COMPUTED_VALUE"""),6.0)</f>
        <v>6</v>
      </c>
      <c r="K108" s="65">
        <f>IFERROR(__xludf.DUMMYFUNCTION("""COMPUTED_VALUE"""),18.0)</f>
        <v>18</v>
      </c>
      <c r="L108" s="65">
        <f>IFERROR(__xludf.DUMMYFUNCTION("""COMPUTED_VALUE"""),3.0)</f>
        <v>3</v>
      </c>
      <c r="M108" s="65">
        <f>IFERROR(__xludf.DUMMYFUNCTION("""COMPUTED_VALUE"""),205.0)</f>
        <v>205</v>
      </c>
      <c r="N108" s="66">
        <f>IFERROR(__xludf.DUMMYFUNCTION("""COMPUTED_VALUE"""),18.0)</f>
        <v>18</v>
      </c>
    </row>
    <row r="109">
      <c r="A109" s="1"/>
      <c r="B109" s="62" t="str">
        <f>IFERROR(__xludf.DUMMYFUNCTION("""COMPUTED_VALUE"""),"Vishnu Amarnath")</f>
        <v>Vishnu Amarnath</v>
      </c>
      <c r="C109" s="63">
        <f>IFERROR(__xludf.DUMMYFUNCTION("""COMPUTED_VALUE"""),187.0)</f>
        <v>187</v>
      </c>
      <c r="D109" s="64">
        <f>IFERROR(__xludf.DUMMYFUNCTION("""COMPUTED_VALUE"""),15.0)</f>
        <v>15</v>
      </c>
      <c r="E109" s="63">
        <f>IFERROR(__xludf.DUMMYFUNCTION("""COMPUTED_VALUE"""),2.0)</f>
        <v>2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IFERROR(__xludf.DUMMYFUNCTION("""COMPUTED_VALUE"""),1.0)</f>
        <v>1</v>
      </c>
      <c r="J109" s="65">
        <f>IFERROR(__xludf.DUMMYFUNCTION("""COMPUTED_VALUE"""),2.0)</f>
        <v>2</v>
      </c>
      <c r="K109" s="65">
        <f>IFERROR(__xludf.DUMMYFUNCTION("""COMPUTED_VALUE"""),9.0)</f>
        <v>9</v>
      </c>
      <c r="L109" s="65">
        <f>IFERROR(__xludf.DUMMYFUNCTION("""COMPUTED_VALUE"""),1.0)</f>
        <v>1</v>
      </c>
      <c r="M109" s="65">
        <f>IFERROR(__xludf.DUMMYFUNCTION("""COMPUTED_VALUE"""),196.0)</f>
        <v>196</v>
      </c>
      <c r="N109" s="66">
        <f>IFERROR(__xludf.DUMMYFUNCTION("""COMPUTED_VALUE"""),16.0)</f>
        <v>16</v>
      </c>
    </row>
    <row r="110">
      <c r="A110" s="1"/>
      <c r="B110" s="62" t="str">
        <f>IFERROR(__xludf.DUMMYFUNCTION("""COMPUTED_VALUE"""),"Sandy Weyant")</f>
        <v>Sandy Weyant</v>
      </c>
      <c r="C110" s="63">
        <f>IFERROR(__xludf.DUMMYFUNCTION("""COMPUTED_VALUE"""),186.0)</f>
        <v>186</v>
      </c>
      <c r="D110" s="64">
        <f>IFERROR(__xludf.DUMMYFUNCTION("""COMPUTED_VALUE"""),10.0)</f>
        <v>10</v>
      </c>
      <c r="E110" s="63">
        <f>IFERROR(__xludf.DUMMYFUNCTION("""COMPUTED_VALUE"""),1.0)</f>
        <v>1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IFERROR(__xludf.DUMMYFUNCTION("""COMPUTED_VALUE"""),3.0)</f>
        <v>3</v>
      </c>
      <c r="I110" s="65">
        <f>IFERROR(__xludf.DUMMYFUNCTION("""COMPUTED_VALUE"""),6.0)</f>
        <v>6</v>
      </c>
      <c r="J110" s="65">
        <f>IFERROR(__xludf.DUMMYFUNCTION("""COMPUTED_VALUE"""),2.0)</f>
        <v>2</v>
      </c>
      <c r="K110" s="65">
        <f>IFERROR(__xludf.DUMMYFUNCTION("""COMPUTED_VALUE"""),11.0)</f>
        <v>11</v>
      </c>
      <c r="L110" s="65">
        <f>IFERROR(__xludf.DUMMYFUNCTION("""COMPUTED_VALUE"""),1.0)</f>
        <v>1</v>
      </c>
      <c r="M110" s="65">
        <f>IFERROR(__xludf.DUMMYFUNCTION("""COMPUTED_VALUE"""),197.0)</f>
        <v>197</v>
      </c>
      <c r="N110" s="66">
        <f>IFERROR(__xludf.DUMMYFUNCTION("""COMPUTED_VALUE"""),11.0)</f>
        <v>11</v>
      </c>
    </row>
    <row r="111">
      <c r="A111" s="1"/>
      <c r="B111" s="62" t="str">
        <f>IFERROR(__xludf.DUMMYFUNCTION("""COMPUTED_VALUE"""),"Jimmy Awolesi")</f>
        <v>Jimmy Awolesi</v>
      </c>
      <c r="C111" s="63">
        <f>IFERROR(__xludf.DUMMYFUNCTION("""COMPUTED_VALUE"""),182.0)</f>
        <v>182</v>
      </c>
      <c r="D111" s="64">
        <f>IFERROR(__xludf.DUMMYFUNCTION("""COMPUTED_VALUE"""),12.0)</f>
        <v>12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IFERROR(__xludf.DUMMYFUNCTION("""COMPUTED_VALUE"""),3.0)</f>
        <v>3</v>
      </c>
      <c r="I111" s="65">
        <f>IFERROR(__xludf.DUMMYFUNCTION("""COMPUTED_VALUE"""),1.0)</f>
        <v>1</v>
      </c>
      <c r="J111" s="65">
        <f>IFERROR(__xludf.DUMMYFUNCTION("""COMPUTED_VALUE"""),6.0)</f>
        <v>6</v>
      </c>
      <c r="K111" s="65">
        <f>IFERROR(__xludf.DUMMYFUNCTION("""COMPUTED_VALUE"""),10.0)</f>
        <v>10</v>
      </c>
      <c r="L111" s="65">
        <f>IFERROR(__xludf.DUMMYFUNCTION("""COMPUTED_VALUE"""),1.0)</f>
        <v>1</v>
      </c>
      <c r="M111" s="65">
        <f>IFERROR(__xludf.DUMMYFUNCTION("""COMPUTED_VALUE"""),192.0)</f>
        <v>192</v>
      </c>
      <c r="N111" s="66">
        <f>IFERROR(__xludf.DUMMYFUNCTION("""COMPUTED_VALUE"""),13.0)</f>
        <v>13</v>
      </c>
    </row>
    <row r="112">
      <c r="A112" s="1"/>
      <c r="B112" s="67" t="str">
        <f>IFERROR(__xludf.DUMMYFUNCTION("""COMPUTED_VALUE"""),"Eric Tan")</f>
        <v>Eric Tan</v>
      </c>
      <c r="C112" s="68">
        <f>IFERROR(__xludf.DUMMYFUNCTION("""COMPUTED_VALUE"""),178.0)</f>
        <v>178</v>
      </c>
      <c r="D112" s="69">
        <f>IFERROR(__xludf.DUMMYFUNCTION("""COMPUTED_VALUE"""),16.0)</f>
        <v>16</v>
      </c>
      <c r="E112" s="68">
        <f>IFERROR(__xludf.DUMMYFUNCTION("""COMPUTED_VALUE"""),1.0)</f>
        <v>1</v>
      </c>
      <c r="F112" s="70">
        <f>IFERROR(__xludf.DUMMYFUNCTION("""COMPUTED_VALUE"""),7.0)</f>
        <v>7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IFERROR(__xludf.DUMMYFUNCTION("""COMPUTED_VALUE"""),2.0)</f>
        <v>2</v>
      </c>
      <c r="J112" s="70">
        <f>IFERROR(__xludf.DUMMYFUNCTION("""COMPUTED_VALUE"""),5.0)</f>
        <v>5</v>
      </c>
      <c r="K112" s="70">
        <f>IFERROR(__xludf.DUMMYFUNCTION("""COMPUTED_VALUE"""),13.0)</f>
        <v>13</v>
      </c>
      <c r="L112" s="70">
        <f>IFERROR(__xludf.DUMMYFUNCTION("""COMPUTED_VALUE"""),1.0)</f>
        <v>1</v>
      </c>
      <c r="M112" s="70">
        <f>IFERROR(__xludf.DUMMYFUNCTION("""COMPUTED_VALUE"""),191.0)</f>
        <v>191</v>
      </c>
      <c r="N112" s="71">
        <f>IFERROR(__xludf.DUMMYFUNCTION("""COMPUTED_VALUE"""),17.0)</f>
        <v>17</v>
      </c>
    </row>
    <row r="113">
      <c r="A113" s="1"/>
      <c r="B113" s="67" t="str">
        <f>IFERROR(__xludf.DUMMYFUNCTION("""COMPUTED_VALUE"""),"Vinaya Kajla")</f>
        <v>Vinaya Kajla</v>
      </c>
      <c r="C113" s="68">
        <f>IFERROR(__xludf.DUMMYFUNCTION("""COMPUTED_VALUE"""),177.0)</f>
        <v>177</v>
      </c>
      <c r="D113" s="69">
        <f>IFERROR(__xludf.DUMMYFUNCTION("""COMPUTED_VALUE"""),14.0)</f>
        <v>14</v>
      </c>
      <c r="E113" s="68">
        <f>IFERROR(__xludf.DUMMYFUNCTION("""COMPUTED_VALUE"""),1.0)</f>
        <v>1</v>
      </c>
      <c r="F113" s="70">
        <f>IFERROR(__xludf.DUMMYFUNCTION("""COMPUTED_VALUE"""),7.0)</f>
        <v>7</v>
      </c>
      <c r="G113" s="70">
        <f>IFERROR(__xludf.DUMMYFUNCTION("""COMPUTED_VALUE"""),0.0)</f>
        <v>0</v>
      </c>
      <c r="H113" s="70">
        <f>IFERROR(__xludf.DUMMYFUNCTION("""COMPUTED_VALUE"""),4.0)</f>
        <v>4</v>
      </c>
      <c r="I113" s="70">
        <f>IFERROR(__xludf.DUMMYFUNCTION("""COMPUTED_VALUE"""),2.0)</f>
        <v>2</v>
      </c>
      <c r="J113" s="70">
        <f>IFERROR(__xludf.DUMMYFUNCTION("""COMPUTED_VALUE"""),7.0)</f>
        <v>7</v>
      </c>
      <c r="K113" s="70">
        <f>IFERROR(__xludf.DUMMYFUNCTION("""COMPUTED_VALUE"""),13.0)</f>
        <v>13</v>
      </c>
      <c r="L113" s="70">
        <f>IFERROR(__xludf.DUMMYFUNCTION("""COMPUTED_VALUE"""),1.0)</f>
        <v>1</v>
      </c>
      <c r="M113" s="70">
        <f>IFERROR(__xludf.DUMMYFUNCTION("""COMPUTED_VALUE"""),190.0)</f>
        <v>190</v>
      </c>
      <c r="N113" s="71">
        <f>IFERROR(__xludf.DUMMYFUNCTION("""COMPUTED_VALUE"""),15.0)</f>
        <v>15</v>
      </c>
    </row>
    <row r="114">
      <c r="A114" s="1"/>
      <c r="B114" s="67" t="str">
        <f>IFERROR(__xludf.DUMMYFUNCTION("""COMPUTED_VALUE"""),"Elayaraja Thangaraj ")</f>
        <v>Elayaraja Thangaraj </v>
      </c>
      <c r="C114" s="68">
        <f>IFERROR(__xludf.DUMMYFUNCTION("""COMPUTED_VALUE"""),173.0)</f>
        <v>173</v>
      </c>
      <c r="D114" s="69">
        <f>IFERROR(__xludf.DUMMYFUNCTION("""COMPUTED_VALUE"""),12.0)</f>
        <v>12</v>
      </c>
      <c r="E114" s="68">
        <f>IFERROR(__xludf.DUMMYFUNCTION("""COMPUTED_VALUE"""),1.0)</f>
        <v>1</v>
      </c>
      <c r="F114" s="70">
        <f>IFERROR(__xludf.DUMMYFUNCTION("""COMPUTED_VALUE"""),7.0)</f>
        <v>7</v>
      </c>
      <c r="G114" s="70">
        <f>IFERROR(__xludf.DUMMYFUNCTION("""COMPUTED_VALUE"""),0.0)</f>
        <v>0</v>
      </c>
      <c r="H114" s="70">
        <f>IFERROR(__xludf.DUMMYFUNCTION("""COMPUTED_VALUE"""),4.0)</f>
        <v>4</v>
      </c>
      <c r="I114" s="70">
        <f>IFERROR(__xludf.DUMMYFUNCTION("""COMPUTED_VALUE"""),6.0)</f>
        <v>6</v>
      </c>
      <c r="J114" s="70">
        <f>IFERROR(__xludf.DUMMYFUNCTION("""COMPUTED_VALUE"""),5.0)</f>
        <v>5</v>
      </c>
      <c r="K114" s="70">
        <f>IFERROR(__xludf.DUMMYFUNCTION("""COMPUTED_VALUE"""),15.0)</f>
        <v>15</v>
      </c>
      <c r="L114" s="70">
        <f>IFERROR(__xludf.DUMMYFUNCTION("""COMPUTED_VALUE"""),1.0)</f>
        <v>1</v>
      </c>
      <c r="M114" s="70">
        <f>IFERROR(__xludf.DUMMYFUNCTION("""COMPUTED_VALUE"""),188.0)</f>
        <v>188</v>
      </c>
      <c r="N114" s="71">
        <f>IFERROR(__xludf.DUMMYFUNCTION("""COMPUTED_VALUE"""),13.0)</f>
        <v>13</v>
      </c>
    </row>
    <row r="115">
      <c r="A115" s="1"/>
      <c r="B115" s="67" t="str">
        <f>IFERROR(__xludf.DUMMYFUNCTION("""COMPUTED_VALUE"""),"Amit Patel")</f>
        <v>Amit Patel</v>
      </c>
      <c r="C115" s="68">
        <f>IFERROR(__xludf.DUMMYFUNCTION("""COMPUTED_VALUE"""),159.0)</f>
        <v>159</v>
      </c>
      <c r="D115" s="69">
        <f>IFERROR(__xludf.DUMMYFUNCTION("""COMPUTED_VALUE"""),2.0)</f>
        <v>2</v>
      </c>
      <c r="E115" s="68">
        <f>IFERROR(__xludf.DUMMYFUNCTION("""COMPUTED_VALUE"""),2.0)</f>
        <v>2</v>
      </c>
      <c r="F115" s="70">
        <f>IFERROR(__xludf.DUMMYFUNCTION("""COMPUTED_VALUE"""),7.0)</f>
        <v>7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IFERROR(__xludf.DUMMYFUNCTION("""COMPUTED_VALUE"""),6.0)</f>
        <v>6</v>
      </c>
      <c r="J115" s="70">
        <f>IFERROR(__xludf.DUMMYFUNCTION("""COMPUTED_VALUE"""),7.0)</f>
        <v>7</v>
      </c>
      <c r="K115" s="70">
        <f>IFERROR(__xludf.DUMMYFUNCTION("""COMPUTED_VALUE"""),19.0)</f>
        <v>19</v>
      </c>
      <c r="L115" s="70">
        <f>IFERROR(__xludf.DUMMYFUNCTION("""COMPUTED_VALUE"""),3.0)</f>
        <v>3</v>
      </c>
      <c r="M115" s="70">
        <f>IFERROR(__xludf.DUMMYFUNCTION("""COMPUTED_VALUE"""),178.0)</f>
        <v>178</v>
      </c>
      <c r="N115" s="71">
        <f>IFERROR(__xludf.DUMMYFUNCTION("""COMPUTED_VALUE"""),5.0)</f>
        <v>5</v>
      </c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0"")"),"Peter Cheng")</f>
        <v>Peter Cheng</v>
      </c>
      <c r="C136" s="63">
        <f>IFERROR(__xludf.DUMMYFUNCTION("""COMPUTED_VALUE"""),234.0)</f>
        <v>234</v>
      </c>
      <c r="D136" s="64">
        <f>IFERROR(__xludf.DUMMYFUNCTION("""COMPUTED_VALUE"""),23.0)</f>
        <v>23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IFERROR(__xludf.DUMMYFUNCTION("""COMPUTED_VALUE"""),243.0)</f>
        <v>243</v>
      </c>
      <c r="N136" s="66">
        <f>IFERROR(__xludf.DUMMYFUNCTION("""COMPUTED_VALUE"""),23.0)</f>
        <v>23</v>
      </c>
    </row>
    <row r="137">
      <c r="A137" s="1"/>
      <c r="B137" s="62" t="str">
        <f>IFERROR(__xludf.DUMMYFUNCTION("""COMPUTED_VALUE"""),"Tom Le")</f>
        <v>Tom Le</v>
      </c>
      <c r="C137" s="63">
        <f>IFERROR(__xludf.DUMMYFUNCTION("""COMPUTED_VALUE"""),207.0)</f>
        <v>207</v>
      </c>
      <c r="D137" s="64">
        <f>IFERROR(__xludf.DUMMYFUNCTION("""COMPUTED_VALUE"""),17.0)</f>
        <v>17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IFERROR(__xludf.DUMMYFUNCTION("""COMPUTED_VALUE"""),216.0)</f>
        <v>216</v>
      </c>
      <c r="N137" s="66">
        <f>IFERROR(__xludf.DUMMYFUNCTION("""COMPUTED_VALUE"""),17.0)</f>
        <v>17</v>
      </c>
    </row>
    <row r="138">
      <c r="A138" s="1"/>
      <c r="B138" s="62" t="str">
        <f>IFERROR(__xludf.DUMMYFUNCTION("""COMPUTED_VALUE"""),"Luis Hsu")</f>
        <v>Luis Hsu</v>
      </c>
      <c r="C138" s="63">
        <f>IFERROR(__xludf.DUMMYFUNCTION("""COMPUTED_VALUE"""),204.0)</f>
        <v>204</v>
      </c>
      <c r="D138" s="64">
        <f>IFERROR(__xludf.DUMMYFUNCTION("""COMPUTED_VALUE"""),17.0)</f>
        <v>17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IFERROR(__xludf.DUMMYFUNCTION("""COMPUTED_VALUE"""),213.0)</f>
        <v>213</v>
      </c>
      <c r="N138" s="66">
        <f>IFERROR(__xludf.DUMMYFUNCTION("""COMPUTED_VALUE"""),17.0)</f>
        <v>17</v>
      </c>
    </row>
    <row r="139">
      <c r="A139" s="1"/>
      <c r="B139" s="62" t="str">
        <f>IFERROR(__xludf.DUMMYFUNCTION("""COMPUTED_VALUE"""),"Eric Pan")</f>
        <v>Eric Pan</v>
      </c>
      <c r="C139" s="63">
        <f>IFERROR(__xludf.DUMMYFUNCTION("""COMPUTED_VALUE"""),203.0)</f>
        <v>203</v>
      </c>
      <c r="D139" s="64">
        <f>IFERROR(__xludf.DUMMYFUNCTION("""COMPUTED_VALUE"""),15.0)</f>
        <v>15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IFERROR(__xludf.DUMMYFUNCTION("""COMPUTED_VALUE"""),212.0)</f>
        <v>212</v>
      </c>
      <c r="N139" s="66">
        <f>IFERROR(__xludf.DUMMYFUNCTION("""COMPUTED_VALUE"""),15.0)</f>
        <v>15</v>
      </c>
    </row>
    <row r="140">
      <c r="A140" s="1"/>
      <c r="B140" s="62" t="str">
        <f>IFERROR(__xludf.DUMMYFUNCTION("""COMPUTED_VALUE"""),"Joe Luzzi")</f>
        <v>Joe Luzzi</v>
      </c>
      <c r="C140" s="63">
        <f>IFERROR(__xludf.DUMMYFUNCTION("""COMPUTED_VALUE"""),200.0)</f>
        <v>200</v>
      </c>
      <c r="D140" s="64">
        <f>IFERROR(__xludf.DUMMYFUNCTION("""COMPUTED_VALUE"""),15.0)</f>
        <v>15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IFERROR(__xludf.DUMMYFUNCTION("""COMPUTED_VALUE"""),209.0)</f>
        <v>209</v>
      </c>
      <c r="N140" s="66">
        <f>IFERROR(__xludf.DUMMYFUNCTION("""COMPUTED_VALUE"""),15.0)</f>
        <v>15</v>
      </c>
    </row>
    <row r="141">
      <c r="A141" s="1"/>
      <c r="B141" s="62" t="str">
        <f>IFERROR(__xludf.DUMMYFUNCTION("""COMPUTED_VALUE"""),"Mauricio Palacios")</f>
        <v>Mauricio Palacios</v>
      </c>
      <c r="C141" s="63">
        <f>IFERROR(__xludf.DUMMYFUNCTION("""COMPUTED_VALUE"""),198.0)</f>
        <v>198</v>
      </c>
      <c r="D141" s="64">
        <f>IFERROR(__xludf.DUMMYFUNCTION("""COMPUTED_VALUE"""),15.0)</f>
        <v>15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IFERROR(__xludf.DUMMYFUNCTION("""COMPUTED_VALUE"""),207.0)</f>
        <v>207</v>
      </c>
      <c r="N141" s="66">
        <f>IFERROR(__xludf.DUMMYFUNCTION("""COMPUTED_VALUE"""),15.0)</f>
        <v>15</v>
      </c>
    </row>
    <row r="142">
      <c r="A142" s="1"/>
      <c r="B142" s="62" t="str">
        <f>IFERROR(__xludf.DUMMYFUNCTION("""COMPUTED_VALUE"""),"Pulkit Mathur")</f>
        <v>Pulkit Mathur</v>
      </c>
      <c r="C142" s="63">
        <f>IFERROR(__xludf.DUMMYFUNCTION("""COMPUTED_VALUE"""),198.0)</f>
        <v>198</v>
      </c>
      <c r="D142" s="64">
        <f>IFERROR(__xludf.DUMMYFUNCTION("""COMPUTED_VALUE"""),15.0)</f>
        <v>15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IFERROR(__xludf.DUMMYFUNCTION("""COMPUTED_VALUE"""),207.0)</f>
        <v>207</v>
      </c>
      <c r="N142" s="66">
        <f>IFERROR(__xludf.DUMMYFUNCTION("""COMPUTED_VALUE"""),15.0)</f>
        <v>15</v>
      </c>
    </row>
    <row r="143">
      <c r="A143" s="1"/>
      <c r="B143" s="62" t="str">
        <f>IFERROR(__xludf.DUMMYFUNCTION("""COMPUTED_VALUE"""),"Trinath Goteti")</f>
        <v>Trinath Goteti</v>
      </c>
      <c r="C143" s="63">
        <f>IFERROR(__xludf.DUMMYFUNCTION("""COMPUTED_VALUE"""),198.0)</f>
        <v>198</v>
      </c>
      <c r="D143" s="64">
        <f>IFERROR(__xludf.DUMMYFUNCTION("""COMPUTED_VALUE"""),14.0)</f>
        <v>14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IFERROR(__xludf.DUMMYFUNCTION("""COMPUTED_VALUE"""),207.0)</f>
        <v>207</v>
      </c>
      <c r="N143" s="66">
        <f>IFERROR(__xludf.DUMMYFUNCTION("""COMPUTED_VALUE"""),14.0)</f>
        <v>14</v>
      </c>
    </row>
    <row r="144">
      <c r="A144" s="1"/>
      <c r="B144" s="62" t="str">
        <f>IFERROR(__xludf.DUMMYFUNCTION("""COMPUTED_VALUE"""),"Rajasekar Ramasamy")</f>
        <v>Rajasekar Ramasamy</v>
      </c>
      <c r="C144" s="63">
        <f>IFERROR(__xludf.DUMMYFUNCTION("""COMPUTED_VALUE"""),188.0)</f>
        <v>188</v>
      </c>
      <c r="D144" s="64">
        <f>IFERROR(__xludf.DUMMYFUNCTION("""COMPUTED_VALUE"""),13.0)</f>
        <v>13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IFERROR(__xludf.DUMMYFUNCTION("""COMPUTED_VALUE"""),197.0)</f>
        <v>197</v>
      </c>
      <c r="N144" s="66">
        <f>IFERROR(__xludf.DUMMYFUNCTION("""COMPUTED_VALUE"""),13.0)</f>
        <v>13</v>
      </c>
    </row>
    <row r="145">
      <c r="A145" s="1"/>
      <c r="B145" s="62" t="str">
        <f>IFERROR(__xludf.DUMMYFUNCTION("""COMPUTED_VALUE"""),"Kingsley Kuo")</f>
        <v>Kingsley Kuo</v>
      </c>
      <c r="C145" s="63">
        <f>IFERROR(__xludf.DUMMYFUNCTION("""COMPUTED_VALUE"""),188.0)</f>
        <v>188</v>
      </c>
      <c r="D145" s="64">
        <f>IFERROR(__xludf.DUMMYFUNCTION("""COMPUTED_VALUE"""),11.0)</f>
        <v>11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IFERROR(__xludf.DUMMYFUNCTION("""COMPUTED_VALUE"""),197.0)</f>
        <v>197</v>
      </c>
      <c r="N145" s="66">
        <f>IFERROR(__xludf.DUMMYFUNCTION("""COMPUTED_VALUE"""),11.0)</f>
        <v>11</v>
      </c>
    </row>
    <row r="146">
      <c r="A146" s="1"/>
      <c r="B146" s="62" t="str">
        <f>IFERROR(__xludf.DUMMYFUNCTION("""COMPUTED_VALUE"""),"Manish Anand")</f>
        <v>Manish Anand</v>
      </c>
      <c r="C146" s="63">
        <f>IFERROR(__xludf.DUMMYFUNCTION("""COMPUTED_VALUE"""),186.0)</f>
        <v>186</v>
      </c>
      <c r="D146" s="64">
        <f>IFERROR(__xludf.DUMMYFUNCTION("""COMPUTED_VALUE"""),10.0)</f>
        <v>10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IFERROR(__xludf.DUMMYFUNCTION("""COMPUTED_VALUE"""),195.0)</f>
        <v>195</v>
      </c>
      <c r="N146" s="66">
        <f>IFERROR(__xludf.DUMMYFUNCTION("""COMPUTED_VALUE"""),10.0)</f>
        <v>10</v>
      </c>
    </row>
    <row r="147">
      <c r="A147" s="1"/>
      <c r="B147" s="62" t="str">
        <f>IFERROR(__xludf.DUMMYFUNCTION("""COMPUTED_VALUE"""),"Matthew Huang")</f>
        <v>Matthew Huang</v>
      </c>
      <c r="C147" s="63">
        <f>IFERROR(__xludf.DUMMYFUNCTION("""COMPUTED_VALUE"""),186.0)</f>
        <v>186</v>
      </c>
      <c r="D147" s="64">
        <f>IFERROR(__xludf.DUMMYFUNCTION("""COMPUTED_VALUE"""),9.0)</f>
        <v>9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IFERROR(__xludf.DUMMYFUNCTION("""COMPUTED_VALUE"""),195.0)</f>
        <v>195</v>
      </c>
      <c r="N147" s="66">
        <f>IFERROR(__xludf.DUMMYFUNCTION("""COMPUTED_VALUE"""),9.0)</f>
        <v>9</v>
      </c>
    </row>
    <row r="148">
      <c r="A148" s="1"/>
      <c r="B148" s="62" t="str">
        <f>IFERROR(__xludf.DUMMYFUNCTION("""COMPUTED_VALUE"""),"Scott Li")</f>
        <v>Scott Li</v>
      </c>
      <c r="C148" s="63">
        <f>IFERROR(__xludf.DUMMYFUNCTION("""COMPUTED_VALUE"""),185.0)</f>
        <v>185</v>
      </c>
      <c r="D148" s="64">
        <f>IFERROR(__xludf.DUMMYFUNCTION("""COMPUTED_VALUE"""),14.0)</f>
        <v>14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IFERROR(__xludf.DUMMYFUNCTION("""COMPUTED_VALUE"""),194.0)</f>
        <v>194</v>
      </c>
      <c r="N148" s="66">
        <f>IFERROR(__xludf.DUMMYFUNCTION("""COMPUTED_VALUE"""),14.0)</f>
        <v>14</v>
      </c>
    </row>
    <row r="149">
      <c r="A149" s="1"/>
      <c r="B149" s="62" t="str">
        <f>IFERROR(__xludf.DUMMYFUNCTION("""COMPUTED_VALUE"""),"Kumar Palakeel")</f>
        <v>Kumar Palakeel</v>
      </c>
      <c r="C149" s="63">
        <f>IFERROR(__xludf.DUMMYFUNCTION("""COMPUTED_VALUE"""),184.0)</f>
        <v>184</v>
      </c>
      <c r="D149" s="64">
        <f>IFERROR(__xludf.DUMMYFUNCTION("""COMPUTED_VALUE"""),16.0)</f>
        <v>16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IFERROR(__xludf.DUMMYFUNCTION("""COMPUTED_VALUE"""),193.0)</f>
        <v>193</v>
      </c>
      <c r="N149" s="66">
        <f>IFERROR(__xludf.DUMMYFUNCTION("""COMPUTED_VALUE"""),16.0)</f>
        <v>16</v>
      </c>
    </row>
    <row r="150">
      <c r="A150" s="1"/>
      <c r="B150" s="62" t="str">
        <f>IFERROR(__xludf.DUMMYFUNCTION("""COMPUTED_VALUE"""),"Andrew Chin")</f>
        <v>Andrew Chin</v>
      </c>
      <c r="C150" s="63">
        <f>IFERROR(__xludf.DUMMYFUNCTION("""COMPUTED_VALUE"""),184.0)</f>
        <v>184</v>
      </c>
      <c r="D150" s="64">
        <f>IFERROR(__xludf.DUMMYFUNCTION("""COMPUTED_VALUE"""),10.0)</f>
        <v>10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IFERROR(__xludf.DUMMYFUNCTION("""COMPUTED_VALUE"""),193.0)</f>
        <v>193</v>
      </c>
      <c r="N150" s="66">
        <f>IFERROR(__xludf.DUMMYFUNCTION("""COMPUTED_VALUE"""),10.0)</f>
        <v>10</v>
      </c>
    </row>
    <row r="151">
      <c r="A151" s="1"/>
      <c r="B151" s="62" t="str">
        <f>IFERROR(__xludf.DUMMYFUNCTION("""COMPUTED_VALUE"""),"Balaji Alahari")</f>
        <v>Balaji Alahari</v>
      </c>
      <c r="C151" s="63">
        <f>IFERROR(__xludf.DUMMYFUNCTION("""COMPUTED_VALUE"""),183.0)</f>
        <v>183</v>
      </c>
      <c r="D151" s="64">
        <f>IFERROR(__xludf.DUMMYFUNCTION("""COMPUTED_VALUE"""),8.0)</f>
        <v>8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IFERROR(__xludf.DUMMYFUNCTION("""COMPUTED_VALUE"""),192.0)</f>
        <v>192</v>
      </c>
      <c r="N151" s="66">
        <f>IFERROR(__xludf.DUMMYFUNCTION("""COMPUTED_VALUE"""),8.0)</f>
        <v>8</v>
      </c>
    </row>
    <row r="152">
      <c r="A152" s="1"/>
      <c r="B152" s="62" t="str">
        <f>IFERROR(__xludf.DUMMYFUNCTION("""COMPUTED_VALUE"""),"Manuel Rivera")</f>
        <v>Manuel Rivera</v>
      </c>
      <c r="C152" s="63">
        <f>IFERROR(__xludf.DUMMYFUNCTION("""COMPUTED_VALUE"""),182.0)</f>
        <v>182</v>
      </c>
      <c r="D152" s="64">
        <f>IFERROR(__xludf.DUMMYFUNCTION("""COMPUTED_VALUE"""),15.0)</f>
        <v>15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IFERROR(__xludf.DUMMYFUNCTION("""COMPUTED_VALUE"""),191.0)</f>
        <v>191</v>
      </c>
      <c r="N152" s="66">
        <f>IFERROR(__xludf.DUMMYFUNCTION("""COMPUTED_VALUE"""),15.0)</f>
        <v>15</v>
      </c>
    </row>
    <row r="153">
      <c r="A153" s="1"/>
      <c r="B153" s="62" t="str">
        <f>IFERROR(__xludf.DUMMYFUNCTION("""COMPUTED_VALUE"""),"Vamsi Lolla ")</f>
        <v>Vamsi Lolla </v>
      </c>
      <c r="C153" s="63">
        <f>IFERROR(__xludf.DUMMYFUNCTION("""COMPUTED_VALUE"""),182.0)</f>
        <v>182</v>
      </c>
      <c r="D153" s="64">
        <f>IFERROR(__xludf.DUMMYFUNCTION("""COMPUTED_VALUE"""),8.0)</f>
        <v>8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IFERROR(__xludf.DUMMYFUNCTION("""COMPUTED_VALUE"""),191.0)</f>
        <v>191</v>
      </c>
      <c r="N153" s="66">
        <f>IFERROR(__xludf.DUMMYFUNCTION("""COMPUTED_VALUE"""),8.0)</f>
        <v>8</v>
      </c>
    </row>
    <row r="154">
      <c r="A154" s="1"/>
      <c r="B154" s="62" t="str">
        <f>IFERROR(__xludf.DUMMYFUNCTION("""COMPUTED_VALUE"""),"Naveen Raj")</f>
        <v>Naveen Raj</v>
      </c>
      <c r="C154" s="63">
        <f>IFERROR(__xludf.DUMMYFUNCTION("""COMPUTED_VALUE"""),181.0)</f>
        <v>181</v>
      </c>
      <c r="D154" s="64">
        <f>IFERROR(__xludf.DUMMYFUNCTION("""COMPUTED_VALUE"""),11.0)</f>
        <v>11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IFERROR(__xludf.DUMMYFUNCTION("""COMPUTED_VALUE"""),190.0)</f>
        <v>190</v>
      </c>
      <c r="N154" s="66">
        <f>IFERROR(__xludf.DUMMYFUNCTION("""COMPUTED_VALUE"""),11.0)</f>
        <v>11</v>
      </c>
    </row>
    <row r="155">
      <c r="A155" s="1"/>
      <c r="B155" s="62" t="str">
        <f>IFERROR(__xludf.DUMMYFUNCTION("""COMPUTED_VALUE"""),"Ramesh Bandaru")</f>
        <v>Ramesh Bandaru</v>
      </c>
      <c r="C155" s="63">
        <f>IFERROR(__xludf.DUMMYFUNCTION("""COMPUTED_VALUE"""),179.0)</f>
        <v>179</v>
      </c>
      <c r="D155" s="64">
        <f>IFERROR(__xludf.DUMMYFUNCTION("""COMPUTED_VALUE"""),9.0)</f>
        <v>9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IFERROR(__xludf.DUMMYFUNCTION("""COMPUTED_VALUE"""),188.0)</f>
        <v>188</v>
      </c>
      <c r="N155" s="66">
        <f>IFERROR(__xludf.DUMMYFUNCTION("""COMPUTED_VALUE"""),9.0)</f>
        <v>9</v>
      </c>
    </row>
    <row r="156">
      <c r="A156" s="1"/>
      <c r="B156" s="62" t="str">
        <f>IFERROR(__xludf.DUMMYFUNCTION("""COMPUTED_VALUE"""),"Nohely Mejia")</f>
        <v>Nohely Mejia</v>
      </c>
      <c r="C156" s="63">
        <f>IFERROR(__xludf.DUMMYFUNCTION("""COMPUTED_VALUE"""),177.0)</f>
        <v>177</v>
      </c>
      <c r="D156" s="64">
        <f>IFERROR(__xludf.DUMMYFUNCTION("""COMPUTED_VALUE"""),5.0)</f>
        <v>5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IFERROR(__xludf.DUMMYFUNCTION("""COMPUTED_VALUE"""),186.0)</f>
        <v>186</v>
      </c>
      <c r="N156" s="66">
        <f>IFERROR(__xludf.DUMMYFUNCTION("""COMPUTED_VALUE"""),5.0)</f>
        <v>5</v>
      </c>
    </row>
    <row r="157">
      <c r="A157" s="1"/>
      <c r="B157" s="62" t="str">
        <f>IFERROR(__xludf.DUMMYFUNCTION("""COMPUTED_VALUE"""),"Savay Lieu")</f>
        <v>Savay Lieu</v>
      </c>
      <c r="C157" s="63">
        <f>IFERROR(__xludf.DUMMYFUNCTION("""COMPUTED_VALUE"""),176.0)</f>
        <v>176</v>
      </c>
      <c r="D157" s="64">
        <f>IFERROR(__xludf.DUMMYFUNCTION("""COMPUTED_VALUE"""),5.0)</f>
        <v>5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IFERROR(__xludf.DUMMYFUNCTION("""COMPUTED_VALUE"""),185.0)</f>
        <v>185</v>
      </c>
      <c r="N157" s="66">
        <f>IFERROR(__xludf.DUMMYFUNCTION("""COMPUTED_VALUE"""),5.0)</f>
        <v>5</v>
      </c>
    </row>
    <row r="158">
      <c r="A158" s="1"/>
      <c r="B158" s="62" t="str">
        <f>IFERROR(__xludf.DUMMYFUNCTION("""COMPUTED_VALUE"""),"Vinot Kumar Nagappan")</f>
        <v>Vinot Kumar Nagappan</v>
      </c>
      <c r="C158" s="63">
        <f>IFERROR(__xludf.DUMMYFUNCTION("""COMPUTED_VALUE"""),175.0)</f>
        <v>175</v>
      </c>
      <c r="D158" s="64">
        <f>IFERROR(__xludf.DUMMYFUNCTION("""COMPUTED_VALUE"""),7.0)</f>
        <v>7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IFERROR(__xludf.DUMMYFUNCTION("""COMPUTED_VALUE"""),184.0)</f>
        <v>184</v>
      </c>
      <c r="N158" s="66">
        <f>IFERROR(__xludf.DUMMYFUNCTION("""COMPUTED_VALUE"""),7.0)</f>
        <v>7</v>
      </c>
    </row>
    <row r="159">
      <c r="A159" s="1"/>
      <c r="B159" s="62" t="str">
        <f>IFERROR(__xludf.DUMMYFUNCTION("""COMPUTED_VALUE"""),"Tony Wong")</f>
        <v>Tony Wong</v>
      </c>
      <c r="C159" s="63">
        <f>IFERROR(__xludf.DUMMYFUNCTION("""COMPUTED_VALUE"""),174.0)</f>
        <v>174</v>
      </c>
      <c r="D159" s="64">
        <f>IFERROR(__xludf.DUMMYFUNCTION("""COMPUTED_VALUE"""),10.0)</f>
        <v>10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IFERROR(__xludf.DUMMYFUNCTION("""COMPUTED_VALUE"""),183.0)</f>
        <v>183</v>
      </c>
      <c r="N159" s="66">
        <f>IFERROR(__xludf.DUMMYFUNCTION("""COMPUTED_VALUE"""),10.0)</f>
        <v>10</v>
      </c>
    </row>
    <row r="160">
      <c r="A160" s="1"/>
      <c r="B160" s="62" t="str">
        <f>IFERROR(__xludf.DUMMYFUNCTION("""COMPUTED_VALUE"""),"Sudhagar Subbaian")</f>
        <v>Sudhagar Subbaian</v>
      </c>
      <c r="C160" s="63">
        <f>IFERROR(__xludf.DUMMYFUNCTION("""COMPUTED_VALUE"""),171.0)</f>
        <v>171</v>
      </c>
      <c r="D160" s="64">
        <f>IFERROR(__xludf.DUMMYFUNCTION("""COMPUTED_VALUE"""),5.0)</f>
        <v>5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IFERROR(__xludf.DUMMYFUNCTION("""COMPUTED_VALUE"""),180.0)</f>
        <v>180</v>
      </c>
      <c r="N160" s="66">
        <f>IFERROR(__xludf.DUMMYFUNCTION("""COMPUTED_VALUE"""),5.0)</f>
        <v>5</v>
      </c>
    </row>
    <row r="161">
      <c r="A161" s="1"/>
      <c r="B161" s="62" t="str">
        <f>IFERROR(__xludf.DUMMYFUNCTION("""COMPUTED_VALUE"""),"Robert Chang")</f>
        <v>Robert Chang</v>
      </c>
      <c r="C161" s="63">
        <f>IFERROR(__xludf.DUMMYFUNCTION("""COMPUTED_VALUE"""),171.0)</f>
        <v>171</v>
      </c>
      <c r="D161" s="64">
        <f>IFERROR(__xludf.DUMMYFUNCTION("""COMPUTED_VALUE"""),4.0)</f>
        <v>4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IFERROR(__xludf.DUMMYFUNCTION("""COMPUTED_VALUE"""),180.0)</f>
        <v>180</v>
      </c>
      <c r="N161" s="66">
        <f>IFERROR(__xludf.DUMMYFUNCTION("""COMPUTED_VALUE"""),4.0)</f>
        <v>4</v>
      </c>
    </row>
    <row r="162">
      <c r="A162" s="1"/>
      <c r="B162" s="62" t="str">
        <f>IFERROR(__xludf.DUMMYFUNCTION("""COMPUTED_VALUE"""),"Alejandro Mejia")</f>
        <v>Alejandro Mejia</v>
      </c>
      <c r="C162" s="63">
        <f>IFERROR(__xludf.DUMMYFUNCTION("""COMPUTED_VALUE"""),169.0)</f>
        <v>169</v>
      </c>
      <c r="D162" s="64">
        <f>IFERROR(__xludf.DUMMYFUNCTION("""COMPUTED_VALUE"""),4.0)</f>
        <v>4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IFERROR(__xludf.DUMMYFUNCTION("""COMPUTED_VALUE"""),178.0)</f>
        <v>178</v>
      </c>
      <c r="N162" s="66">
        <f>IFERROR(__xludf.DUMMYFUNCTION("""COMPUTED_VALUE"""),4.0)</f>
        <v>4</v>
      </c>
    </row>
    <row r="163">
      <c r="A163" s="1"/>
      <c r="B163" s="62" t="str">
        <f>IFERROR(__xludf.DUMMYFUNCTION("""COMPUTED_VALUE"""),"Rosie Bonilla")</f>
        <v>Rosie Bonilla</v>
      </c>
      <c r="C163" s="63">
        <f>IFERROR(__xludf.DUMMYFUNCTION("""COMPUTED_VALUE"""),168.0)</f>
        <v>168</v>
      </c>
      <c r="D163" s="64">
        <f>IFERROR(__xludf.DUMMYFUNCTION("""COMPUTED_VALUE"""),2.0)</f>
        <v>2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IFERROR(__xludf.DUMMYFUNCTION("""COMPUTED_VALUE"""),177.0)</f>
        <v>177</v>
      </c>
      <c r="N163" s="66">
        <f>IFERROR(__xludf.DUMMYFUNCTION("""COMPUTED_VALUE"""),2.0)</f>
        <v>2</v>
      </c>
    </row>
    <row r="164">
      <c r="A164" s="1"/>
      <c r="B164" s="62" t="str">
        <f>IFERROR(__xludf.DUMMYFUNCTION("""COMPUTED_VALUE"""),"Sanjaye Elayattu")</f>
        <v>Sanjaye Elayattu</v>
      </c>
      <c r="C164" s="63">
        <f>IFERROR(__xludf.DUMMYFUNCTION("""COMPUTED_VALUE"""),165.0)</f>
        <v>165</v>
      </c>
      <c r="D164" s="64">
        <f>IFERROR(__xludf.DUMMYFUNCTION("""COMPUTED_VALUE"""),1.0)</f>
        <v>1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IFERROR(__xludf.DUMMYFUNCTION("""COMPUTED_VALUE"""),174.0)</f>
        <v>174</v>
      </c>
      <c r="N164" s="66">
        <f>IFERROR(__xludf.DUMMYFUNCTION("""COMPUTED_VALUE"""),1.0)</f>
        <v>1</v>
      </c>
    </row>
    <row r="165">
      <c r="A165" s="1"/>
      <c r="B165" s="62" t="str">
        <f>IFERROR(__xludf.DUMMYFUNCTION("""COMPUTED_VALUE"""),"Ash Nikravan")</f>
        <v>Ash Nikravan</v>
      </c>
      <c r="C165" s="63">
        <f>IFERROR(__xludf.DUMMYFUNCTION("""COMPUTED_VALUE"""),164.0)</f>
        <v>164</v>
      </c>
      <c r="D165" s="64">
        <f>IFERROR(__xludf.DUMMYFUNCTION("""COMPUTED_VALUE"""),5.0)</f>
        <v>5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IFERROR(__xludf.DUMMYFUNCTION("""COMPUTED_VALUE"""),173.0)</f>
        <v>173</v>
      </c>
      <c r="N165" s="66">
        <f>IFERROR(__xludf.DUMMYFUNCTION("""COMPUTED_VALUE"""),5.0)</f>
        <v>5</v>
      </c>
    </row>
    <row r="166">
      <c r="A166" s="1"/>
      <c r="B166" s="62" t="str">
        <f>IFERROR(__xludf.DUMMYFUNCTION("""COMPUTED_VALUE"""),"Troy Wong")</f>
        <v>Troy Wong</v>
      </c>
      <c r="C166" s="63">
        <f>IFERROR(__xludf.DUMMYFUNCTION("""COMPUTED_VALUE"""),163.0)</f>
        <v>163</v>
      </c>
      <c r="D166" s="64">
        <f>IFERROR(__xludf.DUMMYFUNCTION("""COMPUTED_VALUE"""),4.0)</f>
        <v>4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IFERROR(__xludf.DUMMYFUNCTION("""COMPUTED_VALUE"""),172.0)</f>
        <v>172</v>
      </c>
      <c r="N166" s="66">
        <f>IFERROR(__xludf.DUMMYFUNCTION("""COMPUTED_VALUE"""),4.0)</f>
        <v>4</v>
      </c>
    </row>
    <row r="167">
      <c r="A167" s="1"/>
      <c r="B167" s="62" t="str">
        <f>IFERROR(__xludf.DUMMYFUNCTION("""COMPUTED_VALUE"""),"Santosh Sundaresan ")</f>
        <v>Santosh Sundaresan </v>
      </c>
      <c r="C167" s="63">
        <f>IFERROR(__xludf.DUMMYFUNCTION("""COMPUTED_VALUE"""),162.0)</f>
        <v>162</v>
      </c>
      <c r="D167" s="64">
        <f>IFERROR(__xludf.DUMMYFUNCTION("""COMPUTED_VALUE"""),4.0)</f>
        <v>4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IFERROR(__xludf.DUMMYFUNCTION("""COMPUTED_VALUE"""),171.0)</f>
        <v>171</v>
      </c>
      <c r="N167" s="66">
        <f>IFERROR(__xludf.DUMMYFUNCTION("""COMPUTED_VALUE"""),4.0)</f>
        <v>4</v>
      </c>
    </row>
    <row r="168">
      <c r="A168" s="1"/>
      <c r="B168" s="62" t="str">
        <f>IFERROR(__xludf.DUMMYFUNCTION("""COMPUTED_VALUE"""),"Tony Lin")</f>
        <v>Tony Lin</v>
      </c>
      <c r="C168" s="63">
        <f>IFERROR(__xludf.DUMMYFUNCTION("""COMPUTED_VALUE"""),162.0)</f>
        <v>162</v>
      </c>
      <c r="D168" s="64">
        <f>IFERROR(__xludf.DUMMYFUNCTION("""COMPUTED_VALUE"""),3.0)</f>
        <v>3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IFERROR(__xludf.DUMMYFUNCTION("""COMPUTED_VALUE"""),171.0)</f>
        <v>171</v>
      </c>
      <c r="N168" s="66">
        <f>IFERROR(__xludf.DUMMYFUNCTION("""COMPUTED_VALUE"""),3.0)</f>
        <v>3</v>
      </c>
    </row>
    <row r="169">
      <c r="A169" s="1"/>
      <c r="B169" s="62" t="str">
        <f>IFERROR(__xludf.DUMMYFUNCTION("""COMPUTED_VALUE"""),"Chandrasekar Chinnathambi")</f>
        <v>Chandrasekar Chinnathambi</v>
      </c>
      <c r="C169" s="63">
        <f>IFERROR(__xludf.DUMMYFUNCTION("""COMPUTED_VALUE"""),160.0)</f>
        <v>160</v>
      </c>
      <c r="D169" s="64">
        <f>IFERROR(__xludf.DUMMYFUNCTION("""COMPUTED_VALUE"""),1.0)</f>
        <v>1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IFERROR(__xludf.DUMMYFUNCTION("""COMPUTED_VALUE"""),169.0)</f>
        <v>169</v>
      </c>
      <c r="N169" s="66">
        <f>IFERROR(__xludf.DUMMYFUNCTION("""COMPUTED_VALUE"""),1.0)</f>
        <v>1</v>
      </c>
    </row>
    <row r="170">
      <c r="A170" s="1"/>
      <c r="B170" s="62" t="str">
        <f>IFERROR(__xludf.DUMMYFUNCTION("""COMPUTED_VALUE"""),"Marcus Yovas")</f>
        <v>Marcus Yovas</v>
      </c>
      <c r="C170" s="63">
        <f>IFERROR(__xludf.DUMMYFUNCTION("""COMPUTED_VALUE"""),157.0)</f>
        <v>157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IFERROR(__xludf.DUMMYFUNCTION("""COMPUTED_VALUE"""),166.0)</f>
        <v>166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IFERROR(__xludf.DUMMYFUNCTION("""COMPUTED_VALUE"""),"Joyce Zhu")</f>
        <v>Joyce Zhu</v>
      </c>
      <c r="C171" s="63">
        <f>IFERROR(__xludf.DUMMYFUNCTION("""COMPUTED_VALUE"""),153.0)</f>
        <v>153</v>
      </c>
      <c r="D171" s="64">
        <f>IFERROR(__xludf.DUMMYFUNCTION("""COMPUTED_VALUE"""),5.0)</f>
        <v>5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IFERROR(__xludf.DUMMYFUNCTION("""COMPUTED_VALUE"""),162.0)</f>
        <v>162</v>
      </c>
      <c r="N171" s="66">
        <f>IFERROR(__xludf.DUMMYFUNCTION("""COMPUTED_VALUE"""),5.0)</f>
        <v>5</v>
      </c>
    </row>
    <row r="172">
      <c r="A172" s="1"/>
      <c r="B172" s="62" t="str">
        <f>IFERROR(__xludf.DUMMYFUNCTION("""COMPUTED_VALUE"""),"Vilas Janardhanan")</f>
        <v>Vilas Janardhanan</v>
      </c>
      <c r="C172" s="63">
        <f>IFERROR(__xludf.DUMMYFUNCTION("""COMPUTED_VALUE"""),153.0)</f>
        <v>153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IFERROR(__xludf.DUMMYFUNCTION("""COMPUTED_VALUE"""),162.0)</f>
        <v>162</v>
      </c>
      <c r="N172" s="66">
        <f>IFERROR(__xludf.DUMMYFUNCTION("""COMPUTED_VALUE"""),0.0)</f>
        <v>0</v>
      </c>
    </row>
    <row r="173">
      <c r="A173" s="1"/>
      <c r="B173" s="62" t="str">
        <f>IFERROR(__xludf.DUMMYFUNCTION("""COMPUTED_VALUE"""),"Coco Yan")</f>
        <v>Coco Yan</v>
      </c>
      <c r="C173" s="63">
        <f>IFERROR(__xludf.DUMMYFUNCTION("""COMPUTED_VALUE"""),153.0)</f>
        <v>153</v>
      </c>
      <c r="D173" s="64">
        <f>IFERROR(__xludf.DUMMYFUNCTION("""COMPUTED_VALUE"""),0.0)</f>
        <v>0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IFERROR(__xludf.DUMMYFUNCTION("""COMPUTED_VALUE"""),162.0)</f>
        <v>162</v>
      </c>
      <c r="N173" s="66">
        <f>IFERROR(__xludf.DUMMYFUNCTION("""COMPUTED_VALUE"""),0.0)</f>
        <v>0</v>
      </c>
    </row>
    <row r="174">
      <c r="A174" s="1"/>
      <c r="B174" s="62" t="str">
        <f>IFERROR(__xludf.DUMMYFUNCTION("""COMPUTED_VALUE"""),"Tiffany Yu")</f>
        <v>Tiffany Yu</v>
      </c>
      <c r="C174" s="63">
        <f>IFERROR(__xludf.DUMMYFUNCTION("""COMPUTED_VALUE"""),152.0)</f>
        <v>152</v>
      </c>
      <c r="D174" s="64">
        <f>IFERROR(__xludf.DUMMYFUNCTION("""COMPUTED_VALUE"""),2.0)</f>
        <v>2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IFERROR(__xludf.DUMMYFUNCTION("""COMPUTED_VALUE"""),161.0)</f>
        <v>161</v>
      </c>
      <c r="N174" s="66">
        <f>IFERROR(__xludf.DUMMYFUNCTION("""COMPUTED_VALUE"""),2.0)</f>
        <v>2</v>
      </c>
    </row>
    <row r="175">
      <c r="A175" s="1"/>
      <c r="B175" s="62" t="str">
        <f>IFERROR(__xludf.DUMMYFUNCTION("""COMPUTED_VALUE"""),"Sai Dilip Ponnaganti")</f>
        <v>Sai Dilip Ponnaganti</v>
      </c>
      <c r="C175" s="63">
        <f>IFERROR(__xludf.DUMMYFUNCTION("""COMPUTED_VALUE"""),144.0)</f>
        <v>144</v>
      </c>
      <c r="D175" s="64">
        <f>IFERROR(__xludf.DUMMYFUNCTION("""COMPUTED_VALUE"""),0.0)</f>
        <v>0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IFERROR(__xludf.DUMMYFUNCTION("""COMPUTED_VALUE"""),153.0)</f>
        <v>153</v>
      </c>
      <c r="N175" s="66">
        <f>IFERROR(__xludf.DUMMYFUNCTION("""COMPUTED_VALUE"""),0.0)</f>
        <v>0</v>
      </c>
    </row>
    <row r="176">
      <c r="A176" s="1"/>
      <c r="B176" s="62" t="str">
        <f>IFERROR(__xludf.DUMMYFUNCTION("""COMPUTED_VALUE"""),"Jose Ortiz")</f>
        <v>Jose Ortiz</v>
      </c>
      <c r="C176" s="63">
        <f>IFERROR(__xludf.DUMMYFUNCTION("""COMPUTED_VALUE"""),143.0)</f>
        <v>143</v>
      </c>
      <c r="D176" s="64">
        <f>IFERROR(__xludf.DUMMYFUNCTION("""COMPUTED_VALUE"""),2.0)</f>
        <v>2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IFERROR(__xludf.DUMMYFUNCTION("""COMPUTED_VALUE"""),152.0)</f>
        <v>152</v>
      </c>
      <c r="N176" s="66">
        <f>IFERROR(__xludf.DUMMYFUNCTION("""COMPUTED_VALUE"""),2.0)</f>
        <v>2</v>
      </c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45430.0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17.0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48</v>
      </c>
      <c r="C5" s="28">
        <v>225.0</v>
      </c>
      <c r="D5" s="29">
        <v>23.0</v>
      </c>
      <c r="E5" s="30">
        <v>3.0</v>
      </c>
      <c r="F5" s="31">
        <v>0.0</v>
      </c>
      <c r="G5" s="28">
        <v>9.0</v>
      </c>
      <c r="H5" s="31">
        <v>0.0</v>
      </c>
      <c r="I5" s="31">
        <v>0.0</v>
      </c>
      <c r="J5" s="31">
        <v>0.0</v>
      </c>
      <c r="K5" s="33">
        <v>9.0</v>
      </c>
      <c r="L5" s="31">
        <v>0.0</v>
      </c>
      <c r="M5" s="28">
        <f t="shared" ref="M5:N5" si="1">C5+K5</f>
        <v>234</v>
      </c>
      <c r="N5" s="29">
        <f t="shared" si="1"/>
        <v>23</v>
      </c>
      <c r="O5" s="35" t="s">
        <v>46</v>
      </c>
      <c r="P5" s="35" t="s">
        <v>46</v>
      </c>
      <c r="Q5" s="31">
        <f>if(G5=13,1,0)+VLOOKUP(B5,'051124'!B:Q,16,false)</f>
        <v>2</v>
      </c>
      <c r="R5" s="31"/>
      <c r="S5" s="31">
        <f>if(G5=9,1,0)+VLOOKUP(B5,'051124'!B:S,18,false)</f>
        <v>5</v>
      </c>
    </row>
    <row r="6">
      <c r="A6" s="26">
        <f t="shared" ref="A6:A69" si="3">A5+1</f>
        <v>2</v>
      </c>
      <c r="B6" s="27" t="s">
        <v>38</v>
      </c>
      <c r="C6" s="28">
        <v>220.0</v>
      </c>
      <c r="D6" s="29">
        <v>23.0</v>
      </c>
      <c r="E6" s="30">
        <v>1.0</v>
      </c>
      <c r="F6" s="31">
        <v>1.0</v>
      </c>
      <c r="G6" s="28">
        <v>0.0</v>
      </c>
      <c r="H6" s="31">
        <v>6.0</v>
      </c>
      <c r="I6" s="31">
        <v>6.0</v>
      </c>
      <c r="J6" s="31">
        <v>4.0</v>
      </c>
      <c r="K6" s="33">
        <v>16.0</v>
      </c>
      <c r="L6" s="31">
        <v>2.0</v>
      </c>
      <c r="M6" s="28">
        <f t="shared" ref="M6:N6" si="2">C6+K6</f>
        <v>236</v>
      </c>
      <c r="N6" s="29">
        <f t="shared" si="2"/>
        <v>25</v>
      </c>
      <c r="O6" s="35" t="s">
        <v>46</v>
      </c>
      <c r="P6" s="35" t="s">
        <v>46</v>
      </c>
      <c r="Q6" s="31">
        <f>if(G6=13,1,0)+VLOOKUP(B6,'051124'!B:Q,16,false)</f>
        <v>1</v>
      </c>
      <c r="R6" s="31"/>
      <c r="S6" s="31">
        <f>if(G6=9,1,0)+VLOOKUP(B6,'051124'!B:S,18,false)</f>
        <v>6</v>
      </c>
    </row>
    <row r="7">
      <c r="A7" s="26">
        <f t="shared" si="3"/>
        <v>3</v>
      </c>
      <c r="B7" s="39" t="s">
        <v>52</v>
      </c>
      <c r="C7" s="28">
        <v>210.0</v>
      </c>
      <c r="D7" s="29">
        <v>24.0</v>
      </c>
      <c r="E7" s="30">
        <v>1.0</v>
      </c>
      <c r="F7" s="31">
        <v>1.0</v>
      </c>
      <c r="G7" s="28">
        <v>0.0</v>
      </c>
      <c r="H7" s="31">
        <v>2.0</v>
      </c>
      <c r="I7" s="31">
        <v>6.0</v>
      </c>
      <c r="J7" s="31">
        <v>6.0</v>
      </c>
      <c r="K7" s="33">
        <v>14.0</v>
      </c>
      <c r="L7" s="31">
        <v>2.0</v>
      </c>
      <c r="M7" s="28">
        <f t="shared" ref="M7:N7" si="4">C7+K7</f>
        <v>224</v>
      </c>
      <c r="N7" s="29">
        <f t="shared" si="4"/>
        <v>26</v>
      </c>
      <c r="O7" s="35" t="s">
        <v>46</v>
      </c>
      <c r="P7" s="35" t="s">
        <v>46</v>
      </c>
      <c r="Q7" s="31">
        <f>if(G7=13,1,0)+VLOOKUP(B7,'051124'!B:Q,16,false)</f>
        <v>0</v>
      </c>
      <c r="R7" s="31"/>
      <c r="S7" s="31">
        <f>if(G7=9,1,0)+VLOOKUP(B7,'051124'!B:S,18,false)</f>
        <v>4</v>
      </c>
    </row>
    <row r="8">
      <c r="A8" s="26">
        <f t="shared" si="3"/>
        <v>4</v>
      </c>
      <c r="B8" s="27" t="s">
        <v>57</v>
      </c>
      <c r="C8" s="28">
        <v>205.0</v>
      </c>
      <c r="D8" s="29">
        <v>19.0</v>
      </c>
      <c r="E8" s="30">
        <v>3.0</v>
      </c>
      <c r="F8" s="31">
        <v>0.0</v>
      </c>
      <c r="G8" s="28">
        <v>9.0</v>
      </c>
      <c r="H8" s="31">
        <v>0.0</v>
      </c>
      <c r="I8" s="31">
        <v>0.0</v>
      </c>
      <c r="J8" s="31">
        <v>0.0</v>
      </c>
      <c r="K8" s="33">
        <v>9.0</v>
      </c>
      <c r="L8" s="31">
        <v>0.0</v>
      </c>
      <c r="M8" s="28">
        <f t="shared" ref="M8:N8" si="5">C8+K8</f>
        <v>214</v>
      </c>
      <c r="N8" s="29">
        <f t="shared" si="5"/>
        <v>19</v>
      </c>
      <c r="O8" s="35" t="s">
        <v>46</v>
      </c>
      <c r="P8" s="35" t="s">
        <v>46</v>
      </c>
      <c r="Q8" s="31">
        <f>if(G8=13,1,0)+VLOOKUP(B8,'051124'!B:Q,16,false)</f>
        <v>0</v>
      </c>
      <c r="R8" s="31"/>
      <c r="S8" s="31">
        <f>if(G8=9,1,0)+VLOOKUP(B8,'051124'!B:S,18,false)</f>
        <v>7</v>
      </c>
    </row>
    <row r="9">
      <c r="A9" s="26">
        <f t="shared" si="3"/>
        <v>5</v>
      </c>
      <c r="B9" s="27" t="s">
        <v>75</v>
      </c>
      <c r="C9" s="28">
        <v>202.0</v>
      </c>
      <c r="D9" s="29">
        <v>18.0</v>
      </c>
      <c r="E9" s="30">
        <v>3.0</v>
      </c>
      <c r="F9" s="31">
        <v>0.0</v>
      </c>
      <c r="G9" s="28">
        <v>9.0</v>
      </c>
      <c r="H9" s="31">
        <v>0.0</v>
      </c>
      <c r="I9" s="31">
        <v>0.0</v>
      </c>
      <c r="J9" s="31">
        <v>0.0</v>
      </c>
      <c r="K9" s="33">
        <v>9.0</v>
      </c>
      <c r="L9" s="31">
        <v>0.0</v>
      </c>
      <c r="M9" s="28">
        <f t="shared" ref="M9:N9" si="6">C9+K9</f>
        <v>211</v>
      </c>
      <c r="N9" s="29">
        <f t="shared" si="6"/>
        <v>18</v>
      </c>
      <c r="O9" s="35" t="s">
        <v>46</v>
      </c>
      <c r="P9" s="35" t="s">
        <v>46</v>
      </c>
      <c r="Q9" s="31">
        <f>if(G9=13,1,0)+VLOOKUP(B9,'051124'!B:Q,16,false)</f>
        <v>1</v>
      </c>
      <c r="R9" s="31"/>
      <c r="S9" s="31">
        <f>if(G9=9,1,0)+VLOOKUP(B9,'051124'!B:S,18,false)</f>
        <v>3</v>
      </c>
    </row>
    <row r="10">
      <c r="A10" s="26">
        <f t="shared" si="3"/>
        <v>6</v>
      </c>
      <c r="B10" s="27" t="s">
        <v>60</v>
      </c>
      <c r="C10" s="28">
        <v>201.0</v>
      </c>
      <c r="D10" s="29">
        <v>13.0</v>
      </c>
      <c r="E10" s="30">
        <v>3.0</v>
      </c>
      <c r="F10" s="31">
        <v>0.0</v>
      </c>
      <c r="G10" s="28">
        <v>9.0</v>
      </c>
      <c r="H10" s="31">
        <v>0.0</v>
      </c>
      <c r="I10" s="31">
        <v>0.0</v>
      </c>
      <c r="J10" s="31">
        <v>0.0</v>
      </c>
      <c r="K10" s="33">
        <v>9.0</v>
      </c>
      <c r="L10" s="31">
        <v>0.0</v>
      </c>
      <c r="M10" s="28">
        <f t="shared" ref="M10:N10" si="7">C10+K10</f>
        <v>210</v>
      </c>
      <c r="N10" s="29">
        <f t="shared" si="7"/>
        <v>13</v>
      </c>
      <c r="O10" s="35" t="s">
        <v>46</v>
      </c>
      <c r="P10" s="35" t="s">
        <v>46</v>
      </c>
      <c r="Q10" s="31">
        <f>if(G10=13,1,0)+VLOOKUP(B10,'051124'!B:Q,16,false)</f>
        <v>2</v>
      </c>
      <c r="R10" s="31"/>
      <c r="S10" s="31">
        <f>if(G10=9,1,0)+VLOOKUP(B10,'051124'!B:S,18,false)</f>
        <v>9</v>
      </c>
    </row>
    <row r="11">
      <c r="A11" s="26">
        <f t="shared" si="3"/>
        <v>7</v>
      </c>
      <c r="B11" s="27" t="s">
        <v>81</v>
      </c>
      <c r="C11" s="28">
        <v>198.0</v>
      </c>
      <c r="D11" s="29">
        <v>19.0</v>
      </c>
      <c r="E11" s="30">
        <v>1.0</v>
      </c>
      <c r="F11" s="31">
        <v>1.0</v>
      </c>
      <c r="G11" s="28">
        <v>0.0</v>
      </c>
      <c r="H11" s="31">
        <v>6.0</v>
      </c>
      <c r="I11" s="31">
        <v>2.0</v>
      </c>
      <c r="J11" s="31">
        <v>6.0</v>
      </c>
      <c r="K11" s="33">
        <v>14.0</v>
      </c>
      <c r="L11" s="31">
        <v>2.0</v>
      </c>
      <c r="M11" s="28">
        <f t="shared" ref="M11:N11" si="8">C11+K11</f>
        <v>212</v>
      </c>
      <c r="N11" s="29">
        <f t="shared" si="8"/>
        <v>21</v>
      </c>
      <c r="O11" s="35" t="s">
        <v>46</v>
      </c>
      <c r="P11" s="35" t="s">
        <v>46</v>
      </c>
      <c r="Q11" s="31">
        <f>if(G11=13,1,0)+VLOOKUP(B11,'051124'!B:Q,16,false)</f>
        <v>0</v>
      </c>
      <c r="R11" s="31"/>
      <c r="S11" s="31">
        <f>if(G11=9,1,0)+VLOOKUP(B11,'051124'!B:S,18,false)</f>
        <v>4</v>
      </c>
    </row>
    <row r="12">
      <c r="A12" s="26">
        <f t="shared" si="3"/>
        <v>8</v>
      </c>
      <c r="B12" s="27" t="s">
        <v>90</v>
      </c>
      <c r="C12" s="28">
        <v>198.0</v>
      </c>
      <c r="D12" s="29">
        <v>17.0</v>
      </c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f t="shared" ref="M12:N12" si="9">C12+K12</f>
        <v>207</v>
      </c>
      <c r="N12" s="29">
        <f t="shared" si="9"/>
        <v>17</v>
      </c>
      <c r="O12" s="35" t="s">
        <v>46</v>
      </c>
      <c r="P12" s="35" t="s">
        <v>46</v>
      </c>
      <c r="Q12" s="31">
        <f>if(G12=13,1,0)+VLOOKUP(B12,'051124'!B:Q,16,false)</f>
        <v>0</v>
      </c>
      <c r="R12" s="31"/>
      <c r="S12" s="31">
        <f>if(G12=9,1,0)+VLOOKUP(B12,'051124'!B:S,18,false)</f>
        <v>10</v>
      </c>
    </row>
    <row r="13">
      <c r="A13" s="26">
        <f t="shared" si="3"/>
        <v>9</v>
      </c>
      <c r="B13" s="27" t="s">
        <v>77</v>
      </c>
      <c r="C13" s="28">
        <v>198.0</v>
      </c>
      <c r="D13" s="29">
        <v>12.0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207</v>
      </c>
      <c r="N13" s="29">
        <f t="shared" si="10"/>
        <v>12</v>
      </c>
      <c r="O13" s="35" t="s">
        <v>46</v>
      </c>
      <c r="P13" s="35" t="s">
        <v>46</v>
      </c>
      <c r="Q13" s="31">
        <f>if(G13=13,1,0)+VLOOKUP(B13,'051124'!B:Q,16,false)</f>
        <v>2</v>
      </c>
      <c r="R13" s="31"/>
      <c r="S13" s="31">
        <f>if(G13=9,1,0)+VLOOKUP(B13,'051124'!B:S,18,false)</f>
        <v>6</v>
      </c>
    </row>
    <row r="14">
      <c r="A14" s="26">
        <f t="shared" si="3"/>
        <v>10</v>
      </c>
      <c r="B14" s="27" t="s">
        <v>61</v>
      </c>
      <c r="C14" s="28">
        <v>195.0</v>
      </c>
      <c r="D14" s="29">
        <v>17.0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204</v>
      </c>
      <c r="N14" s="29">
        <f t="shared" si="11"/>
        <v>17</v>
      </c>
      <c r="O14" s="35" t="s">
        <v>46</v>
      </c>
      <c r="P14" s="35" t="s">
        <v>46</v>
      </c>
      <c r="Q14" s="31">
        <f>if(G14=13,1,0)+VLOOKUP(B14,'051124'!B:Q,16,false)</f>
        <v>2</v>
      </c>
      <c r="R14" s="31"/>
      <c r="S14" s="31">
        <f>if(G14=9,1,0)+VLOOKUP(B14,'051124'!B:S,18,false)</f>
        <v>4</v>
      </c>
    </row>
    <row r="15">
      <c r="A15" s="26">
        <f t="shared" si="3"/>
        <v>11</v>
      </c>
      <c r="B15" s="39" t="s">
        <v>55</v>
      </c>
      <c r="C15" s="28">
        <v>195.0</v>
      </c>
      <c r="D15" s="29">
        <v>17.0</v>
      </c>
      <c r="E15" s="30">
        <v>3.0</v>
      </c>
      <c r="F15" s="31">
        <v>0.0</v>
      </c>
      <c r="G15" s="28">
        <v>9.0</v>
      </c>
      <c r="H15" s="31">
        <v>0.0</v>
      </c>
      <c r="I15" s="31">
        <v>0.0</v>
      </c>
      <c r="J15" s="31">
        <v>0.0</v>
      </c>
      <c r="K15" s="33">
        <v>9.0</v>
      </c>
      <c r="L15" s="31">
        <v>0.0</v>
      </c>
      <c r="M15" s="28">
        <f t="shared" ref="M15:N15" si="12">C15+K15</f>
        <v>204</v>
      </c>
      <c r="N15" s="29">
        <f t="shared" si="12"/>
        <v>17</v>
      </c>
      <c r="O15" s="35" t="s">
        <v>46</v>
      </c>
      <c r="P15" s="35" t="s">
        <v>46</v>
      </c>
      <c r="Q15" s="31">
        <f>if(G15=13,1,0)+VLOOKUP(B15,'051124'!B:Q,16,false)</f>
        <v>1</v>
      </c>
      <c r="R15" s="31"/>
      <c r="S15" s="31">
        <f>if(G15=9,1,0)+VLOOKUP(B15,'051124'!B:S,18,false)</f>
        <v>8</v>
      </c>
    </row>
    <row r="16">
      <c r="A16" s="26">
        <f t="shared" si="3"/>
        <v>12</v>
      </c>
      <c r="B16" s="39" t="s">
        <v>50</v>
      </c>
      <c r="C16" s="28">
        <v>194.0</v>
      </c>
      <c r="D16" s="29">
        <v>18.0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203</v>
      </c>
      <c r="N16" s="29">
        <f t="shared" si="13"/>
        <v>18</v>
      </c>
      <c r="O16" s="35" t="s">
        <v>46</v>
      </c>
      <c r="P16" s="35" t="s">
        <v>46</v>
      </c>
      <c r="Q16" s="31">
        <f>if(G16=13,1,0)+VLOOKUP(B16,'051124'!B:Q,16,false)</f>
        <v>0</v>
      </c>
      <c r="R16" s="31"/>
      <c r="S16" s="31">
        <f>if(G16=9,1,0)+VLOOKUP(B16,'051124'!B:S,18,false)</f>
        <v>10</v>
      </c>
    </row>
    <row r="17">
      <c r="A17" s="26">
        <f t="shared" si="3"/>
        <v>13</v>
      </c>
      <c r="B17" s="27" t="s">
        <v>82</v>
      </c>
      <c r="C17" s="28">
        <v>194.0</v>
      </c>
      <c r="D17" s="29">
        <v>15.0</v>
      </c>
      <c r="E17" s="30">
        <v>3.0</v>
      </c>
      <c r="F17" s="31">
        <v>0.0</v>
      </c>
      <c r="G17" s="28">
        <v>9.0</v>
      </c>
      <c r="H17" s="31">
        <v>0.0</v>
      </c>
      <c r="I17" s="31">
        <v>0.0</v>
      </c>
      <c r="J17" s="31">
        <v>0.0</v>
      </c>
      <c r="K17" s="33">
        <v>9.0</v>
      </c>
      <c r="L17" s="31">
        <v>0.0</v>
      </c>
      <c r="M17" s="28">
        <f t="shared" ref="M17:N17" si="14">C17+K17</f>
        <v>203</v>
      </c>
      <c r="N17" s="29">
        <f t="shared" si="14"/>
        <v>15</v>
      </c>
      <c r="O17" s="35" t="s">
        <v>46</v>
      </c>
      <c r="P17" s="35" t="s">
        <v>46</v>
      </c>
      <c r="Q17" s="31">
        <f>if(G17=13,1,0)+VLOOKUP(B17,'051124'!B:Q,16,false)</f>
        <v>1</v>
      </c>
      <c r="R17" s="31"/>
      <c r="S17" s="31">
        <f>if(G17=9,1,0)+VLOOKUP(B17,'051124'!B:S,18,false)</f>
        <v>10</v>
      </c>
    </row>
    <row r="18">
      <c r="A18" s="26">
        <f t="shared" si="3"/>
        <v>14</v>
      </c>
      <c r="B18" s="27" t="s">
        <v>96</v>
      </c>
      <c r="C18" s="28">
        <v>190.0</v>
      </c>
      <c r="D18" s="29">
        <v>15.0</v>
      </c>
      <c r="E18" s="30">
        <v>1.0</v>
      </c>
      <c r="F18" s="31">
        <v>1.0</v>
      </c>
      <c r="G18" s="28">
        <v>0.0</v>
      </c>
      <c r="H18" s="31">
        <v>2.0</v>
      </c>
      <c r="I18" s="31">
        <v>2.0</v>
      </c>
      <c r="J18" s="31">
        <v>4.0</v>
      </c>
      <c r="K18" s="33">
        <v>8.0</v>
      </c>
      <c r="L18" s="31">
        <v>0.0</v>
      </c>
      <c r="M18" s="28">
        <f t="shared" ref="M18:N18" si="15">C18+K18</f>
        <v>198</v>
      </c>
      <c r="N18" s="29">
        <f t="shared" si="15"/>
        <v>15</v>
      </c>
      <c r="O18" s="35" t="s">
        <v>46</v>
      </c>
      <c r="P18" s="35" t="s">
        <v>46</v>
      </c>
      <c r="Q18" s="31">
        <f>if(G18=13,1,0)+VLOOKUP(B18,'051124'!B:Q,16,false)</f>
        <v>1</v>
      </c>
      <c r="R18" s="31"/>
      <c r="S18" s="31">
        <f>if(G18=9,1,0)+VLOOKUP(B18,'051124'!B:S,18,false)</f>
        <v>3</v>
      </c>
    </row>
    <row r="19">
      <c r="A19" s="26">
        <f t="shared" si="3"/>
        <v>15</v>
      </c>
      <c r="B19" s="27" t="s">
        <v>102</v>
      </c>
      <c r="C19" s="28">
        <v>190.0</v>
      </c>
      <c r="D19" s="29">
        <v>13.0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199</v>
      </c>
      <c r="N19" s="29">
        <f t="shared" si="16"/>
        <v>13</v>
      </c>
      <c r="O19" s="35" t="s">
        <v>46</v>
      </c>
      <c r="P19" s="35" t="s">
        <v>46</v>
      </c>
      <c r="Q19" s="31">
        <f>if(G19=13,1,0)+VLOOKUP(B19,'051124'!B:Q,16,false)</f>
        <v>0</v>
      </c>
      <c r="R19" s="31"/>
      <c r="S19" s="31">
        <f>if(G19=9,1,0)+VLOOKUP(B19,'051124'!B:S,18,false)</f>
        <v>11</v>
      </c>
    </row>
    <row r="20">
      <c r="A20" s="26">
        <f t="shared" si="3"/>
        <v>16</v>
      </c>
      <c r="B20" s="27" t="s">
        <v>65</v>
      </c>
      <c r="C20" s="28">
        <v>189.0</v>
      </c>
      <c r="D20" s="29">
        <v>15.0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198</v>
      </c>
      <c r="N20" s="29">
        <f t="shared" si="17"/>
        <v>15</v>
      </c>
      <c r="O20" s="35" t="s">
        <v>46</v>
      </c>
      <c r="P20" s="35" t="s">
        <v>46</v>
      </c>
      <c r="Q20" s="31">
        <f>if(G20=13,1,0)+VLOOKUP(B20,'051124'!B:Q,16,false)</f>
        <v>0</v>
      </c>
      <c r="R20" s="31"/>
      <c r="S20" s="31">
        <f>if(G20=9,1,0)+VLOOKUP(B20,'051124'!B:S,18,false)</f>
        <v>12</v>
      </c>
    </row>
    <row r="21">
      <c r="A21" s="26">
        <f t="shared" si="3"/>
        <v>17</v>
      </c>
      <c r="B21" s="39" t="s">
        <v>103</v>
      </c>
      <c r="C21" s="28">
        <v>189.0</v>
      </c>
      <c r="D21" s="29">
        <v>13.0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198</v>
      </c>
      <c r="N21" s="29">
        <f t="shared" si="18"/>
        <v>13</v>
      </c>
      <c r="O21" s="35" t="s">
        <v>46</v>
      </c>
      <c r="P21" s="35" t="s">
        <v>46</v>
      </c>
      <c r="Q21" s="31">
        <f>if(G21=13,1,0)+VLOOKUP(B21,'051124'!B:Q,16,false)</f>
        <v>1</v>
      </c>
      <c r="R21" s="31"/>
      <c r="S21" s="31">
        <f>if(G21=9,1,0)+VLOOKUP(B21,'051124'!B:S,18,false)</f>
        <v>9</v>
      </c>
    </row>
    <row r="22">
      <c r="A22" s="26">
        <f t="shared" si="3"/>
        <v>18</v>
      </c>
      <c r="B22" s="27" t="s">
        <v>56</v>
      </c>
      <c r="C22" s="28">
        <v>188.0</v>
      </c>
      <c r="D22" s="29">
        <v>14.0</v>
      </c>
      <c r="E22" s="30">
        <v>1.0</v>
      </c>
      <c r="F22" s="31">
        <v>2.0</v>
      </c>
      <c r="G22" s="28">
        <v>0.0</v>
      </c>
      <c r="H22" s="31">
        <v>6.0</v>
      </c>
      <c r="I22" s="31">
        <v>7.0</v>
      </c>
      <c r="J22" s="31">
        <v>7.0</v>
      </c>
      <c r="K22" s="33">
        <v>20.0</v>
      </c>
      <c r="L22" s="31">
        <v>3.0</v>
      </c>
      <c r="M22" s="28">
        <f t="shared" ref="M22:N22" si="19">C22+K22</f>
        <v>208</v>
      </c>
      <c r="N22" s="29">
        <f t="shared" si="19"/>
        <v>17</v>
      </c>
      <c r="O22" s="35" t="s">
        <v>46</v>
      </c>
      <c r="P22" s="35" t="s">
        <v>46</v>
      </c>
      <c r="Q22" s="31">
        <f>if(G22=13,1,0)+VLOOKUP(B22,'051124'!B:Q,16,false)</f>
        <v>0</v>
      </c>
      <c r="R22" s="31"/>
      <c r="S22" s="31">
        <f>if(G22=9,1,0)+VLOOKUP(B22,'051124'!B:S,18,false)</f>
        <v>11</v>
      </c>
    </row>
    <row r="23">
      <c r="A23" s="26">
        <f t="shared" si="3"/>
        <v>19</v>
      </c>
      <c r="B23" s="27" t="s">
        <v>63</v>
      </c>
      <c r="C23" s="28">
        <v>187.0</v>
      </c>
      <c r="D23" s="29">
        <v>15.0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196</v>
      </c>
      <c r="N23" s="29">
        <f t="shared" si="20"/>
        <v>15</v>
      </c>
      <c r="O23" s="35" t="s">
        <v>46</v>
      </c>
      <c r="P23" s="35" t="s">
        <v>46</v>
      </c>
      <c r="Q23" s="31">
        <f>if(G23=13,1,0)+VLOOKUP(B23,'051124'!B:Q,16,false)</f>
        <v>2</v>
      </c>
      <c r="R23" s="31"/>
      <c r="S23" s="31">
        <f>if(G23=9,1,0)+VLOOKUP(B23,'051124'!B:S,18,false)</f>
        <v>2</v>
      </c>
    </row>
    <row r="24">
      <c r="A24" s="26">
        <f t="shared" si="3"/>
        <v>20</v>
      </c>
      <c r="B24" s="54" t="s">
        <v>59</v>
      </c>
      <c r="C24" s="28">
        <v>186.0</v>
      </c>
      <c r="D24" s="29">
        <v>16.0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195</v>
      </c>
      <c r="N24" s="29">
        <f t="shared" si="21"/>
        <v>16</v>
      </c>
      <c r="O24" s="35" t="s">
        <v>46</v>
      </c>
      <c r="P24" s="35" t="s">
        <v>46</v>
      </c>
      <c r="Q24" s="31">
        <f>if(G24=13,1,0)+VLOOKUP(B24,'051124'!B:Q,16,false)</f>
        <v>1</v>
      </c>
      <c r="R24" s="31"/>
      <c r="S24" s="31">
        <f>if(G24=9,1,0)+VLOOKUP(B24,'051124'!B:S,18,false)</f>
        <v>6</v>
      </c>
    </row>
    <row r="25">
      <c r="A25" s="26">
        <f t="shared" si="3"/>
        <v>21</v>
      </c>
      <c r="B25" s="39" t="s">
        <v>86</v>
      </c>
      <c r="C25" s="28">
        <v>184.0</v>
      </c>
      <c r="D25" s="29">
        <v>18.0</v>
      </c>
      <c r="E25" s="30">
        <v>2.0</v>
      </c>
      <c r="F25" s="31">
        <v>2.0</v>
      </c>
      <c r="G25" s="28">
        <v>0.0</v>
      </c>
      <c r="H25" s="31">
        <v>6.0</v>
      </c>
      <c r="I25" s="31">
        <v>6.0</v>
      </c>
      <c r="J25" s="31">
        <v>5.0</v>
      </c>
      <c r="K25" s="33">
        <v>17.0</v>
      </c>
      <c r="L25" s="31">
        <v>1.0</v>
      </c>
      <c r="M25" s="28">
        <f t="shared" ref="M25:N25" si="22">C25+K25</f>
        <v>201</v>
      </c>
      <c r="N25" s="29">
        <f t="shared" si="22"/>
        <v>19</v>
      </c>
      <c r="O25" s="35" t="s">
        <v>46</v>
      </c>
      <c r="P25" s="35" t="s">
        <v>46</v>
      </c>
      <c r="Q25" s="31">
        <f>if(G25=13,1,0)+VLOOKUP(B25,'051124'!B:Q,16,false)</f>
        <v>1</v>
      </c>
      <c r="R25" s="31"/>
      <c r="S25" s="31">
        <f>if(G25=9,1,0)+VLOOKUP(B25,'051124'!B:S,18,false)</f>
        <v>4</v>
      </c>
    </row>
    <row r="26">
      <c r="A26" s="26">
        <f t="shared" si="3"/>
        <v>22</v>
      </c>
      <c r="B26" s="27" t="s">
        <v>84</v>
      </c>
      <c r="C26" s="28">
        <v>184.0</v>
      </c>
      <c r="D26" s="29">
        <v>14.0</v>
      </c>
      <c r="E26" s="30">
        <v>2.0</v>
      </c>
      <c r="F26" s="31">
        <v>2.0</v>
      </c>
      <c r="G26" s="28">
        <v>0.0</v>
      </c>
      <c r="H26" s="31">
        <v>3.0</v>
      </c>
      <c r="I26" s="31">
        <v>6.0</v>
      </c>
      <c r="J26" s="31">
        <v>7.0</v>
      </c>
      <c r="K26" s="33">
        <v>16.0</v>
      </c>
      <c r="L26" s="31">
        <v>1.0</v>
      </c>
      <c r="M26" s="28">
        <f t="shared" ref="M26:N26" si="23">C26+K26</f>
        <v>200</v>
      </c>
      <c r="N26" s="29">
        <f t="shared" si="23"/>
        <v>15</v>
      </c>
      <c r="O26" s="35" t="s">
        <v>46</v>
      </c>
      <c r="P26" s="35" t="s">
        <v>46</v>
      </c>
      <c r="Q26" s="31">
        <f>if(G26=13,1,0)+VLOOKUP(B26,'051124'!B:Q,16,false)</f>
        <v>2</v>
      </c>
      <c r="R26" s="31"/>
      <c r="S26" s="31">
        <f>if(G26=9,1,0)+VLOOKUP(B26,'051124'!B:S,18,false)</f>
        <v>0</v>
      </c>
    </row>
    <row r="27">
      <c r="A27" s="26">
        <f t="shared" si="3"/>
        <v>23</v>
      </c>
      <c r="B27" s="54" t="s">
        <v>95</v>
      </c>
      <c r="C27" s="28">
        <v>180.0</v>
      </c>
      <c r="D27" s="29">
        <v>16.0</v>
      </c>
      <c r="E27" s="30">
        <v>2.0</v>
      </c>
      <c r="F27" s="31">
        <v>2.0</v>
      </c>
      <c r="G27" s="28">
        <v>0.0</v>
      </c>
      <c r="H27" s="31">
        <v>3.0</v>
      </c>
      <c r="I27" s="31">
        <v>7.0</v>
      </c>
      <c r="J27" s="31">
        <v>5.0</v>
      </c>
      <c r="K27" s="33">
        <v>15.0</v>
      </c>
      <c r="L27" s="31">
        <v>1.0</v>
      </c>
      <c r="M27" s="28">
        <f t="shared" ref="M27:N27" si="24">C27+K27</f>
        <v>195</v>
      </c>
      <c r="N27" s="29">
        <f t="shared" si="24"/>
        <v>17</v>
      </c>
      <c r="O27" s="35" t="s">
        <v>46</v>
      </c>
      <c r="P27" s="35" t="s">
        <v>46</v>
      </c>
      <c r="Q27" s="31">
        <f>if(G27=13,1,0)+VLOOKUP(B27,'051124'!B:Q,16,false)</f>
        <v>0</v>
      </c>
      <c r="R27" s="31"/>
      <c r="S27" s="31">
        <f>if(G27=9,1,0)+VLOOKUP(B27,'051124'!B:S,18,false)</f>
        <v>4</v>
      </c>
    </row>
    <row r="28">
      <c r="A28" s="26">
        <f t="shared" si="3"/>
        <v>24</v>
      </c>
      <c r="B28" s="27" t="s">
        <v>68</v>
      </c>
      <c r="C28" s="28">
        <v>180.0</v>
      </c>
      <c r="D28" s="29">
        <v>11.0</v>
      </c>
      <c r="E28" s="30">
        <v>2.0</v>
      </c>
      <c r="F28" s="31">
        <v>3.0</v>
      </c>
      <c r="G28" s="28">
        <v>0.0</v>
      </c>
      <c r="H28" s="31">
        <v>6.0</v>
      </c>
      <c r="I28" s="31">
        <v>6.0</v>
      </c>
      <c r="J28" s="31">
        <v>6.0</v>
      </c>
      <c r="K28" s="33">
        <v>18.0</v>
      </c>
      <c r="L28" s="31">
        <v>3.0</v>
      </c>
      <c r="M28" s="28">
        <f t="shared" ref="M28:N28" si="25">C28+K28</f>
        <v>198</v>
      </c>
      <c r="N28" s="29">
        <f t="shared" si="25"/>
        <v>14</v>
      </c>
      <c r="O28" s="35" t="s">
        <v>46</v>
      </c>
      <c r="P28" s="35" t="s">
        <v>46</v>
      </c>
      <c r="Q28" s="31">
        <f>if(G28=13,1,0)+VLOOKUP(B28,'051124'!B:Q,16,false)</f>
        <v>2</v>
      </c>
      <c r="R28" s="31"/>
      <c r="S28" s="31">
        <f>if(G28=9,1,0)+VLOOKUP(B28,'051124'!B:S,18,false)</f>
        <v>9</v>
      </c>
    </row>
    <row r="29">
      <c r="A29" s="26">
        <f t="shared" si="3"/>
        <v>25</v>
      </c>
      <c r="B29" s="27" t="s">
        <v>79</v>
      </c>
      <c r="C29" s="28">
        <v>179.0</v>
      </c>
      <c r="D29" s="29">
        <v>13.0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188</v>
      </c>
      <c r="N29" s="29">
        <f t="shared" si="26"/>
        <v>13</v>
      </c>
      <c r="O29" s="35" t="s">
        <v>46</v>
      </c>
      <c r="P29" s="35" t="s">
        <v>46</v>
      </c>
      <c r="Q29" s="31">
        <f>if(G29=13,1,0)+VLOOKUP(B29,'051124'!B:Q,16,false)</f>
        <v>0</v>
      </c>
      <c r="R29" s="31"/>
      <c r="S29" s="31">
        <f>if(G29=9,1,0)+VLOOKUP(B29,'051124'!B:S,18,false)</f>
        <v>8</v>
      </c>
    </row>
    <row r="30">
      <c r="A30" s="26">
        <f t="shared" si="3"/>
        <v>26</v>
      </c>
      <c r="B30" s="39" t="s">
        <v>71</v>
      </c>
      <c r="C30" s="28">
        <v>179.0</v>
      </c>
      <c r="D30" s="29">
        <v>11.0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188</v>
      </c>
      <c r="N30" s="29">
        <f t="shared" si="27"/>
        <v>11</v>
      </c>
      <c r="O30" s="35" t="s">
        <v>46</v>
      </c>
      <c r="P30" s="35" t="s">
        <v>46</v>
      </c>
      <c r="Q30" s="31">
        <f>if(G30=13,1,0)+VLOOKUP(B30,'051124'!B:Q,16,false)</f>
        <v>0</v>
      </c>
      <c r="R30" s="31"/>
      <c r="S30" s="31">
        <f>if(G30=9,1,0)+VLOOKUP(B30,'051124'!B:S,18,false)</f>
        <v>11</v>
      </c>
    </row>
    <row r="31">
      <c r="A31" s="26">
        <f t="shared" si="3"/>
        <v>27</v>
      </c>
      <c r="B31" s="27" t="s">
        <v>78</v>
      </c>
      <c r="C31" s="28">
        <v>178.0</v>
      </c>
      <c r="D31" s="29">
        <v>15.0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187</v>
      </c>
      <c r="N31" s="29">
        <f t="shared" si="28"/>
        <v>15</v>
      </c>
      <c r="O31" s="35" t="s">
        <v>46</v>
      </c>
      <c r="P31" s="35" t="s">
        <v>46</v>
      </c>
      <c r="Q31" s="31">
        <f>if(G31=13,1,0)+VLOOKUP(B31,'051124'!B:Q,16,false)</f>
        <v>0</v>
      </c>
      <c r="R31" s="31"/>
      <c r="S31" s="31">
        <f>if(G31=9,1,0)+VLOOKUP(B31,'051124'!B:S,18,false)</f>
        <v>6</v>
      </c>
    </row>
    <row r="32">
      <c r="A32" s="26">
        <f t="shared" si="3"/>
        <v>28</v>
      </c>
      <c r="B32" s="27" t="s">
        <v>107</v>
      </c>
      <c r="C32" s="28">
        <v>177.0</v>
      </c>
      <c r="D32" s="29">
        <v>9.0</v>
      </c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f t="shared" ref="M32:N32" si="29">C32+K32</f>
        <v>186</v>
      </c>
      <c r="N32" s="29">
        <f t="shared" si="29"/>
        <v>9</v>
      </c>
      <c r="O32" s="35" t="s">
        <v>46</v>
      </c>
      <c r="P32" s="35" t="s">
        <v>46</v>
      </c>
      <c r="Q32" s="31">
        <f>if(G32=13,1,0)+VLOOKUP(B32,'051124'!B:Q,16,false)</f>
        <v>2</v>
      </c>
      <c r="R32" s="31"/>
      <c r="S32" s="31">
        <f>if(G32=9,1,0)+VLOOKUP(B32,'051124'!B:S,18,false)</f>
        <v>10</v>
      </c>
    </row>
    <row r="33">
      <c r="A33" s="26">
        <f t="shared" si="3"/>
        <v>29</v>
      </c>
      <c r="B33" s="54" t="s">
        <v>73</v>
      </c>
      <c r="C33" s="28">
        <v>176.0</v>
      </c>
      <c r="D33" s="29">
        <v>14.0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185</v>
      </c>
      <c r="N33" s="29">
        <f t="shared" si="30"/>
        <v>14</v>
      </c>
      <c r="O33" s="35" t="s">
        <v>46</v>
      </c>
      <c r="P33" s="35" t="s">
        <v>46</v>
      </c>
      <c r="Q33" s="31">
        <f>if(G33=13,1,0)+VLOOKUP(B33,'051124'!B:Q,16,false)</f>
        <v>0</v>
      </c>
      <c r="R33" s="31"/>
      <c r="S33" s="31">
        <f>if(G33=9,1,0)+VLOOKUP(B33,'051124'!B:S,18,false)</f>
        <v>3</v>
      </c>
    </row>
    <row r="34">
      <c r="A34" s="26">
        <f t="shared" si="3"/>
        <v>30</v>
      </c>
      <c r="B34" s="39" t="s">
        <v>111</v>
      </c>
      <c r="C34" s="28">
        <v>175.0</v>
      </c>
      <c r="D34" s="29">
        <v>10.0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184</v>
      </c>
      <c r="N34" s="29">
        <f t="shared" si="31"/>
        <v>10</v>
      </c>
      <c r="O34" s="35" t="s">
        <v>46</v>
      </c>
      <c r="P34" s="35" t="s">
        <v>46</v>
      </c>
      <c r="Q34" s="31">
        <f>if(G34=13,1,0)+VLOOKUP(B34,'051124'!B:Q,16,false)</f>
        <v>0</v>
      </c>
      <c r="R34" s="31"/>
      <c r="S34" s="31">
        <f>if(G34=9,1,0)+VLOOKUP(B34,'051124'!B:S,18,false)</f>
        <v>12</v>
      </c>
    </row>
    <row r="35">
      <c r="A35" s="26">
        <f t="shared" si="3"/>
        <v>31</v>
      </c>
      <c r="B35" s="27" t="s">
        <v>98</v>
      </c>
      <c r="C35" s="28">
        <v>174.0</v>
      </c>
      <c r="D35" s="29">
        <v>8.0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183</v>
      </c>
      <c r="N35" s="29">
        <f t="shared" si="32"/>
        <v>8</v>
      </c>
      <c r="O35" s="35" t="s">
        <v>46</v>
      </c>
      <c r="P35" s="35" t="s">
        <v>46</v>
      </c>
      <c r="Q35" s="31">
        <f>if(G35=13,1,0)+VLOOKUP(B35,'051124'!B:Q,16,false)</f>
        <v>1</v>
      </c>
      <c r="R35" s="31"/>
      <c r="S35" s="31">
        <f>if(G35=9,1,0)+VLOOKUP(B35,'051124'!B:S,18,false)</f>
        <v>12</v>
      </c>
    </row>
    <row r="36">
      <c r="A36" s="26">
        <f t="shared" si="3"/>
        <v>32</v>
      </c>
      <c r="B36" s="27" t="s">
        <v>76</v>
      </c>
      <c r="C36" s="28">
        <v>173.0</v>
      </c>
      <c r="D36" s="29">
        <v>8.0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182</v>
      </c>
      <c r="N36" s="29">
        <f t="shared" si="33"/>
        <v>8</v>
      </c>
      <c r="O36" s="35" t="s">
        <v>46</v>
      </c>
      <c r="P36" s="35" t="s">
        <v>46</v>
      </c>
      <c r="Q36" s="31">
        <f>if(G36=13,1,0)+VLOOKUP(B36,'051124'!B:Q,16,false)</f>
        <v>1</v>
      </c>
      <c r="R36" s="31"/>
      <c r="S36" s="31">
        <f>if(G36=9,1,0)+VLOOKUP(B36,'051124'!B:S,18,false)</f>
        <v>9</v>
      </c>
    </row>
    <row r="37">
      <c r="A37" s="26">
        <f t="shared" si="3"/>
        <v>33</v>
      </c>
      <c r="B37" s="27" t="s">
        <v>66</v>
      </c>
      <c r="C37" s="28">
        <v>172.0</v>
      </c>
      <c r="D37" s="29">
        <v>11.0</v>
      </c>
      <c r="E37" s="30">
        <v>3.0</v>
      </c>
      <c r="F37" s="31">
        <v>0.0</v>
      </c>
      <c r="G37" s="28">
        <v>9.0</v>
      </c>
      <c r="H37" s="31">
        <v>0.0</v>
      </c>
      <c r="I37" s="31">
        <v>0.0</v>
      </c>
      <c r="J37" s="31">
        <v>0.0</v>
      </c>
      <c r="K37" s="33">
        <v>9.0</v>
      </c>
      <c r="L37" s="31">
        <v>0.0</v>
      </c>
      <c r="M37" s="28">
        <f t="shared" ref="M37:N37" si="34">C37+K37</f>
        <v>181</v>
      </c>
      <c r="N37" s="29">
        <f t="shared" si="34"/>
        <v>11</v>
      </c>
      <c r="O37" s="35" t="s">
        <v>46</v>
      </c>
      <c r="P37" s="35" t="s">
        <v>46</v>
      </c>
      <c r="Q37" s="31">
        <f>if(G37=13,1,0)+VLOOKUP(B37,'051124'!B:Q,16,false)</f>
        <v>1</v>
      </c>
      <c r="R37" s="31"/>
      <c r="S37" s="31">
        <f>if(G37=9,1,0)+VLOOKUP(B37,'051124'!B:S,18,false)</f>
        <v>4</v>
      </c>
    </row>
    <row r="38">
      <c r="A38" s="26">
        <f t="shared" si="3"/>
        <v>34</v>
      </c>
      <c r="B38" s="27" t="s">
        <v>83</v>
      </c>
      <c r="C38" s="28">
        <v>171.0</v>
      </c>
      <c r="D38" s="29">
        <v>14.0</v>
      </c>
      <c r="E38" s="30">
        <v>1.0</v>
      </c>
      <c r="F38" s="31">
        <v>3.0</v>
      </c>
      <c r="G38" s="28">
        <v>0.0</v>
      </c>
      <c r="H38" s="31">
        <v>4.0</v>
      </c>
      <c r="I38" s="31">
        <v>1.0</v>
      </c>
      <c r="J38" s="31">
        <v>6.0</v>
      </c>
      <c r="K38" s="33">
        <v>11.0</v>
      </c>
      <c r="L38" s="31">
        <v>1.0</v>
      </c>
      <c r="M38" s="28">
        <f t="shared" ref="M38:N38" si="35">C38+K38</f>
        <v>182</v>
      </c>
      <c r="N38" s="29">
        <f t="shared" si="35"/>
        <v>15</v>
      </c>
      <c r="O38" s="35" t="s">
        <v>46</v>
      </c>
      <c r="P38" s="35" t="s">
        <v>46</v>
      </c>
      <c r="Q38" s="31">
        <f>if(G38=13,1,0)+VLOOKUP(B38,'051124'!B:Q,16,false)</f>
        <v>1</v>
      </c>
      <c r="R38" s="31"/>
      <c r="S38" s="31">
        <f>if(G38=9,1,0)+VLOOKUP(B38,'051124'!B:S,18,false)</f>
        <v>4</v>
      </c>
    </row>
    <row r="39">
      <c r="A39" s="26">
        <f t="shared" si="3"/>
        <v>35</v>
      </c>
      <c r="B39" s="54" t="s">
        <v>47</v>
      </c>
      <c r="C39" s="28">
        <v>170.0</v>
      </c>
      <c r="D39" s="29">
        <v>13.0</v>
      </c>
      <c r="E39" s="30">
        <v>1.0</v>
      </c>
      <c r="F39" s="31">
        <v>3.0</v>
      </c>
      <c r="G39" s="28">
        <v>0.0</v>
      </c>
      <c r="H39" s="31">
        <v>6.0</v>
      </c>
      <c r="I39" s="31">
        <v>1.0</v>
      </c>
      <c r="J39" s="31">
        <v>0.0</v>
      </c>
      <c r="K39" s="33">
        <v>7.0</v>
      </c>
      <c r="L39" s="31">
        <v>1.0</v>
      </c>
      <c r="M39" s="28">
        <f t="shared" ref="M39:N39" si="36">C39+K39</f>
        <v>177</v>
      </c>
      <c r="N39" s="29">
        <f t="shared" si="36"/>
        <v>14</v>
      </c>
      <c r="O39" s="35" t="s">
        <v>46</v>
      </c>
      <c r="P39" s="35" t="s">
        <v>46</v>
      </c>
      <c r="Q39" s="31">
        <f>if(G39=13,1,0)+VLOOKUP(B39,'051124'!B:Q,16,false)</f>
        <v>0</v>
      </c>
      <c r="R39" s="31"/>
      <c r="S39" s="31">
        <f>if(G39=9,1,0)+VLOOKUP(B39,'051124'!B:S,18,false)</f>
        <v>1</v>
      </c>
    </row>
    <row r="40">
      <c r="A40" s="26">
        <f t="shared" si="3"/>
        <v>36</v>
      </c>
      <c r="B40" s="54" t="s">
        <v>100</v>
      </c>
      <c r="C40" s="28">
        <v>170.0</v>
      </c>
      <c r="D40" s="29">
        <v>9.0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179</v>
      </c>
      <c r="N40" s="29">
        <f t="shared" si="37"/>
        <v>9</v>
      </c>
      <c r="O40" s="35" t="s">
        <v>46</v>
      </c>
      <c r="P40" s="35" t="s">
        <v>46</v>
      </c>
      <c r="Q40" s="31">
        <f>if(G40=13,1,0)+VLOOKUP(B40,'051124'!B:Q,16,false)</f>
        <v>1</v>
      </c>
      <c r="R40" s="31"/>
      <c r="S40" s="31">
        <f>if(G40=9,1,0)+VLOOKUP(B40,'051124'!B:S,18,false)</f>
        <v>10</v>
      </c>
    </row>
    <row r="41">
      <c r="A41" s="26">
        <f t="shared" si="3"/>
        <v>37</v>
      </c>
      <c r="B41" s="54" t="s">
        <v>94</v>
      </c>
      <c r="C41" s="28">
        <v>168.0</v>
      </c>
      <c r="D41" s="29">
        <v>15.0</v>
      </c>
      <c r="E41" s="30">
        <v>1.0</v>
      </c>
      <c r="F41" s="31">
        <v>3.0</v>
      </c>
      <c r="G41" s="28">
        <v>0.0</v>
      </c>
      <c r="H41" s="31">
        <v>4.0</v>
      </c>
      <c r="I41" s="31">
        <v>6.0</v>
      </c>
      <c r="J41" s="31">
        <v>0.0</v>
      </c>
      <c r="K41" s="33">
        <v>10.0</v>
      </c>
      <c r="L41" s="31">
        <v>1.0</v>
      </c>
      <c r="M41" s="28">
        <f t="shared" ref="M41:N41" si="38">C41+K41</f>
        <v>178</v>
      </c>
      <c r="N41" s="29">
        <f t="shared" si="38"/>
        <v>16</v>
      </c>
      <c r="O41" s="35" t="s">
        <v>46</v>
      </c>
      <c r="P41" s="35" t="s">
        <v>46</v>
      </c>
      <c r="Q41" s="31">
        <f>if(G41=13,1,0)+VLOOKUP(B41,'051124'!B:Q,16,false)</f>
        <v>0</v>
      </c>
      <c r="R41" s="31"/>
      <c r="S41" s="31">
        <f>if(G41=9,1,0)+VLOOKUP(B41,'051124'!B:S,18,false)</f>
        <v>1</v>
      </c>
    </row>
    <row r="42">
      <c r="A42" s="26">
        <f t="shared" si="3"/>
        <v>38</v>
      </c>
      <c r="B42" s="54" t="s">
        <v>89</v>
      </c>
      <c r="C42" s="28">
        <v>168.0</v>
      </c>
      <c r="D42" s="29">
        <v>13.0</v>
      </c>
      <c r="E42" s="30">
        <v>2.0</v>
      </c>
      <c r="F42" s="31">
        <v>5.0</v>
      </c>
      <c r="G42" s="28">
        <v>0.0</v>
      </c>
      <c r="H42" s="31">
        <v>6.0</v>
      </c>
      <c r="I42" s="31">
        <v>6.0</v>
      </c>
      <c r="J42" s="31">
        <v>7.0</v>
      </c>
      <c r="K42" s="33">
        <v>19.0</v>
      </c>
      <c r="L42" s="31">
        <v>2.0</v>
      </c>
      <c r="M42" s="28">
        <f t="shared" ref="M42:N42" si="39">C42+K42</f>
        <v>187</v>
      </c>
      <c r="N42" s="29">
        <f t="shared" si="39"/>
        <v>15</v>
      </c>
      <c r="O42" s="35" t="s">
        <v>46</v>
      </c>
      <c r="P42" s="35" t="s">
        <v>46</v>
      </c>
      <c r="Q42" s="31">
        <f>if(G42=13,1,0)+VLOOKUP(B42,'051124'!B:Q,16,false)</f>
        <v>0</v>
      </c>
      <c r="R42" s="31"/>
      <c r="S42" s="31">
        <f>if(G42=9,1,0)+VLOOKUP(B42,'051124'!B:S,18,false)</f>
        <v>5</v>
      </c>
    </row>
    <row r="43">
      <c r="A43" s="26">
        <f t="shared" si="3"/>
        <v>39</v>
      </c>
      <c r="B43" s="27" t="s">
        <v>42</v>
      </c>
      <c r="C43" s="28">
        <v>168.0</v>
      </c>
      <c r="D43" s="29">
        <v>12.0</v>
      </c>
      <c r="E43" s="30">
        <v>2.0</v>
      </c>
      <c r="F43" s="31">
        <v>5.0</v>
      </c>
      <c r="G43" s="28">
        <v>0.0</v>
      </c>
      <c r="H43" s="31">
        <v>3.0</v>
      </c>
      <c r="I43" s="31">
        <v>6.0</v>
      </c>
      <c r="J43" s="31">
        <v>5.0</v>
      </c>
      <c r="K43" s="33">
        <v>14.0</v>
      </c>
      <c r="L43" s="31">
        <v>0.0</v>
      </c>
      <c r="M43" s="28">
        <f t="shared" ref="M43:N43" si="40">C43+K43</f>
        <v>182</v>
      </c>
      <c r="N43" s="29">
        <f t="shared" si="40"/>
        <v>12</v>
      </c>
      <c r="O43" s="35" t="s">
        <v>46</v>
      </c>
      <c r="P43" s="35" t="s">
        <v>46</v>
      </c>
      <c r="Q43" s="31">
        <f>if(G43=13,1,0)+VLOOKUP(B43,'051124'!B:Q,16,false)</f>
        <v>0</v>
      </c>
      <c r="R43" s="31"/>
      <c r="S43" s="31">
        <f>if(G43=9,1,0)+VLOOKUP(B43,'051124'!B:S,18,false)</f>
        <v>5</v>
      </c>
    </row>
    <row r="44">
      <c r="A44" s="26">
        <f t="shared" si="3"/>
        <v>40</v>
      </c>
      <c r="B44" s="39" t="s">
        <v>106</v>
      </c>
      <c r="C44" s="28">
        <v>168.0</v>
      </c>
      <c r="D44" s="29">
        <v>8.0</v>
      </c>
      <c r="E44" s="30">
        <v>1.0</v>
      </c>
      <c r="F44" s="31">
        <v>5.0</v>
      </c>
      <c r="G44" s="28">
        <v>0.0</v>
      </c>
      <c r="H44" s="31">
        <v>6.0</v>
      </c>
      <c r="I44" s="31">
        <v>7.0</v>
      </c>
      <c r="J44" s="31">
        <v>5.0</v>
      </c>
      <c r="K44" s="33">
        <v>18.0</v>
      </c>
      <c r="L44" s="31">
        <v>2.0</v>
      </c>
      <c r="M44" s="28">
        <f t="shared" ref="M44:N44" si="41">C44+K44</f>
        <v>186</v>
      </c>
      <c r="N44" s="29">
        <f t="shared" si="41"/>
        <v>10</v>
      </c>
      <c r="O44" s="35" t="s">
        <v>46</v>
      </c>
      <c r="P44" s="35" t="s">
        <v>46</v>
      </c>
      <c r="Q44" s="31">
        <f>if(G44=13,1,0)+VLOOKUP(B44,'051124'!B:Q,16,false)</f>
        <v>0</v>
      </c>
      <c r="R44" s="31"/>
      <c r="S44" s="31">
        <f>if(G44=9,1,0)+VLOOKUP(B44,'051124'!B:S,18,false)</f>
        <v>10</v>
      </c>
    </row>
    <row r="45">
      <c r="A45" s="26">
        <f t="shared" si="3"/>
        <v>41</v>
      </c>
      <c r="B45" s="27" t="s">
        <v>109</v>
      </c>
      <c r="C45" s="28">
        <v>168.0</v>
      </c>
      <c r="D45" s="29">
        <v>5.0</v>
      </c>
      <c r="E45" s="30">
        <v>3.0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177</v>
      </c>
      <c r="N45" s="29">
        <f t="shared" si="42"/>
        <v>5</v>
      </c>
      <c r="O45" s="35" t="s">
        <v>46</v>
      </c>
      <c r="P45" s="35" t="s">
        <v>46</v>
      </c>
      <c r="Q45" s="31">
        <f>if(G45=13,1,0)+VLOOKUP(B45,'051124'!B:Q,16,false)</f>
        <v>2</v>
      </c>
      <c r="R45" s="31"/>
      <c r="S45" s="31">
        <f>if(G45=9,1,0)+VLOOKUP(B45,'051124'!B:S,18,false)</f>
        <v>11</v>
      </c>
    </row>
    <row r="46">
      <c r="A46" s="26">
        <f t="shared" si="3"/>
        <v>42</v>
      </c>
      <c r="B46" s="54" t="s">
        <v>108</v>
      </c>
      <c r="C46" s="28">
        <v>167.0</v>
      </c>
      <c r="D46" s="29">
        <v>14.0</v>
      </c>
      <c r="E46" s="30">
        <v>1.0</v>
      </c>
      <c r="F46" s="31">
        <v>5.0</v>
      </c>
      <c r="G46" s="28">
        <v>0.0</v>
      </c>
      <c r="H46" s="31">
        <v>3.0</v>
      </c>
      <c r="I46" s="31">
        <v>7.0</v>
      </c>
      <c r="J46" s="31">
        <v>7.0</v>
      </c>
      <c r="K46" s="33">
        <v>17.0</v>
      </c>
      <c r="L46" s="31">
        <v>2.0</v>
      </c>
      <c r="M46" s="28">
        <f t="shared" ref="M46:N46" si="43">C46+K46</f>
        <v>184</v>
      </c>
      <c r="N46" s="29">
        <f t="shared" si="43"/>
        <v>16</v>
      </c>
      <c r="O46" s="35" t="s">
        <v>46</v>
      </c>
      <c r="P46" s="35" t="s">
        <v>46</v>
      </c>
      <c r="Q46" s="31">
        <f>if(G46=13,1,0)+VLOOKUP(B46,'051124'!B:Q,16,false)</f>
        <v>0</v>
      </c>
      <c r="R46" s="31"/>
      <c r="S46" s="31">
        <f>if(G46=9,1,0)+VLOOKUP(B46,'051124'!B:S,18,false)</f>
        <v>2</v>
      </c>
    </row>
    <row r="47">
      <c r="A47" s="26">
        <f t="shared" si="3"/>
        <v>43</v>
      </c>
      <c r="B47" s="27" t="s">
        <v>110</v>
      </c>
      <c r="C47" s="28">
        <v>167.0</v>
      </c>
      <c r="D47" s="29">
        <v>7.0</v>
      </c>
      <c r="E47" s="30">
        <v>1.0</v>
      </c>
      <c r="F47" s="31">
        <v>6.0</v>
      </c>
      <c r="G47" s="28">
        <v>0.0</v>
      </c>
      <c r="H47" s="31">
        <v>6.0</v>
      </c>
      <c r="I47" s="31">
        <v>6.0</v>
      </c>
      <c r="J47" s="31">
        <v>7.0</v>
      </c>
      <c r="K47" s="33">
        <v>19.0</v>
      </c>
      <c r="L47" s="31">
        <v>3.0</v>
      </c>
      <c r="M47" s="28">
        <f t="shared" ref="M47:N47" si="44">C47+K47</f>
        <v>186</v>
      </c>
      <c r="N47" s="29">
        <f t="shared" si="44"/>
        <v>10</v>
      </c>
      <c r="O47" s="35" t="s">
        <v>46</v>
      </c>
      <c r="P47" s="35" t="s">
        <v>46</v>
      </c>
      <c r="Q47" s="31">
        <f>if(G47=13,1,0)+VLOOKUP(B47,'051124'!B:Q,16,false)</f>
        <v>1</v>
      </c>
      <c r="R47" s="31"/>
      <c r="S47" s="31">
        <f>if(G47=9,1,0)+VLOOKUP(B47,'051124'!B:S,18,false)</f>
        <v>10</v>
      </c>
    </row>
    <row r="48">
      <c r="A48" s="26">
        <f t="shared" si="3"/>
        <v>44</v>
      </c>
      <c r="B48" s="27" t="s">
        <v>113</v>
      </c>
      <c r="C48" s="28">
        <v>167.0</v>
      </c>
      <c r="D48" s="29">
        <v>5.0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176</v>
      </c>
      <c r="N48" s="29">
        <f t="shared" si="45"/>
        <v>5</v>
      </c>
      <c r="O48" s="35" t="s">
        <v>46</v>
      </c>
      <c r="P48" s="35" t="s">
        <v>46</v>
      </c>
      <c r="Q48" s="31">
        <f>if(G48=13,1,0)+VLOOKUP(B48,'051124'!B:Q,16,false)</f>
        <v>1</v>
      </c>
      <c r="R48" s="31"/>
      <c r="S48" s="31">
        <f>if(G48=9,1,0)+VLOOKUP(B48,'051124'!B:S,18,false)</f>
        <v>14</v>
      </c>
    </row>
    <row r="49">
      <c r="A49" s="26">
        <f t="shared" si="3"/>
        <v>45</v>
      </c>
      <c r="B49" s="27" t="s">
        <v>112</v>
      </c>
      <c r="C49" s="28">
        <v>166.0</v>
      </c>
      <c r="D49" s="29">
        <v>7.0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175</v>
      </c>
      <c r="N49" s="29">
        <f t="shared" si="46"/>
        <v>7</v>
      </c>
      <c r="O49" s="35" t="s">
        <v>46</v>
      </c>
      <c r="P49" s="35" t="s">
        <v>46</v>
      </c>
      <c r="Q49" s="31">
        <f>if(G49=13,1,0)+VLOOKUP(B49,'051124'!B:Q,16,false)</f>
        <v>0</v>
      </c>
      <c r="R49" s="31"/>
      <c r="S49" s="31">
        <f>if(G49=9,1,0)+VLOOKUP(B49,'051124'!B:S,18,false)</f>
        <v>13</v>
      </c>
    </row>
    <row r="50">
      <c r="A50" s="26">
        <f t="shared" si="3"/>
        <v>46</v>
      </c>
      <c r="B50" s="39" t="s">
        <v>105</v>
      </c>
      <c r="C50" s="28">
        <v>162.0</v>
      </c>
      <c r="D50" s="29">
        <v>11.0</v>
      </c>
      <c r="E50" s="30">
        <v>1.0</v>
      </c>
      <c r="F50" s="31">
        <v>6.0</v>
      </c>
      <c r="G50" s="28">
        <v>0.0</v>
      </c>
      <c r="H50" s="31">
        <v>0.0</v>
      </c>
      <c r="I50" s="31">
        <v>6.0</v>
      </c>
      <c r="J50" s="31">
        <v>5.0</v>
      </c>
      <c r="K50" s="33">
        <v>11.0</v>
      </c>
      <c r="L50" s="31">
        <v>1.0</v>
      </c>
      <c r="M50" s="28">
        <f t="shared" ref="M50:N50" si="47">C50+K50</f>
        <v>173</v>
      </c>
      <c r="N50" s="29">
        <f t="shared" si="47"/>
        <v>12</v>
      </c>
      <c r="O50" s="35" t="s">
        <v>46</v>
      </c>
      <c r="P50" s="35" t="s">
        <v>46</v>
      </c>
      <c r="Q50" s="31">
        <f>if(G50=13,1,0)+VLOOKUP(B50,'051124'!B:Q,16,false)</f>
        <v>0</v>
      </c>
      <c r="R50" s="31"/>
      <c r="S50" s="31">
        <f>if(G50=9,1,0)+VLOOKUP(B50,'051124'!B:S,18,false)</f>
        <v>6</v>
      </c>
    </row>
    <row r="51">
      <c r="A51" s="26">
        <f t="shared" si="3"/>
        <v>47</v>
      </c>
      <c r="B51" s="75" t="s">
        <v>45</v>
      </c>
      <c r="C51" s="28">
        <v>162.0</v>
      </c>
      <c r="D51" s="29">
        <v>9.0</v>
      </c>
      <c r="E51" s="30">
        <v>2.0</v>
      </c>
      <c r="F51" s="31">
        <v>6.0</v>
      </c>
      <c r="G51" s="28">
        <v>0.0</v>
      </c>
      <c r="H51" s="31">
        <v>6.0</v>
      </c>
      <c r="I51" s="31">
        <v>1.0</v>
      </c>
      <c r="J51" s="31">
        <v>5.0</v>
      </c>
      <c r="K51" s="33">
        <v>12.0</v>
      </c>
      <c r="L51" s="31">
        <v>1.0</v>
      </c>
      <c r="M51" s="28">
        <f t="shared" ref="M51:N51" si="48">C51+K51</f>
        <v>174</v>
      </c>
      <c r="N51" s="29">
        <f t="shared" si="48"/>
        <v>10</v>
      </c>
      <c r="O51" s="35" t="s">
        <v>46</v>
      </c>
      <c r="P51" s="35" t="s">
        <v>46</v>
      </c>
      <c r="Q51" s="31">
        <f>if(G51=13,1,0)+VLOOKUP(B51,'051124'!B:Q,16,false)</f>
        <v>1</v>
      </c>
      <c r="R51" s="31"/>
      <c r="S51" s="31">
        <f>if(G51=9,1,0)+VLOOKUP(B51,'051124'!B:S,18,false)</f>
        <v>6</v>
      </c>
    </row>
    <row r="52">
      <c r="A52" s="26">
        <f t="shared" si="3"/>
        <v>48</v>
      </c>
      <c r="B52" s="54" t="s">
        <v>116</v>
      </c>
      <c r="C52" s="28">
        <v>162.0</v>
      </c>
      <c r="D52" s="29">
        <v>5.0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171</v>
      </c>
      <c r="N52" s="29">
        <f t="shared" si="49"/>
        <v>5</v>
      </c>
      <c r="O52" s="35" t="s">
        <v>46</v>
      </c>
      <c r="P52" s="35" t="s">
        <v>46</v>
      </c>
      <c r="Q52" s="31">
        <f>if(G52=13,1,0)+VLOOKUP(B52,'051124'!B:Q,16,false)</f>
        <v>0</v>
      </c>
      <c r="R52" s="31"/>
      <c r="S52" s="31">
        <f>if(G52=9,1,0)+VLOOKUP(B52,'051124'!B:S,18,false)</f>
        <v>13</v>
      </c>
    </row>
    <row r="53">
      <c r="A53" s="26">
        <f t="shared" si="3"/>
        <v>49</v>
      </c>
      <c r="B53" s="27" t="s">
        <v>117</v>
      </c>
      <c r="C53" s="28">
        <v>162.0</v>
      </c>
      <c r="D53" s="29">
        <v>4.0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171</v>
      </c>
      <c r="N53" s="29">
        <f t="shared" si="50"/>
        <v>4</v>
      </c>
      <c r="O53" s="35" t="s">
        <v>46</v>
      </c>
      <c r="P53" s="35" t="s">
        <v>46</v>
      </c>
      <c r="Q53" s="31">
        <f>if(G53=13,1,0)+VLOOKUP(B53,'051124'!B:Q,16,false)</f>
        <v>2</v>
      </c>
      <c r="R53" s="31"/>
      <c r="S53" s="31">
        <f>if(G53=9,1,0)+VLOOKUP(B53,'051124'!B:S,18,false)</f>
        <v>13</v>
      </c>
    </row>
    <row r="54">
      <c r="A54" s="26">
        <f t="shared" si="3"/>
        <v>50</v>
      </c>
      <c r="B54" s="27" t="s">
        <v>39</v>
      </c>
      <c r="C54" s="28">
        <v>160.0</v>
      </c>
      <c r="D54" s="29">
        <v>4.0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169</v>
      </c>
      <c r="N54" s="29">
        <f t="shared" si="51"/>
        <v>4</v>
      </c>
      <c r="O54" s="35" t="s">
        <v>46</v>
      </c>
      <c r="P54" s="35" t="s">
        <v>46</v>
      </c>
      <c r="Q54" s="31">
        <f>if(G54=13,1,0)+VLOOKUP(B54,'051124'!B:Q,16,false)</f>
        <v>0</v>
      </c>
      <c r="R54" s="31"/>
      <c r="S54" s="31">
        <f>if(G54=9,1,0)+VLOOKUP(B54,'051124'!B:S,18,false)</f>
        <v>15</v>
      </c>
    </row>
    <row r="55">
      <c r="A55" s="26">
        <f t="shared" si="3"/>
        <v>51</v>
      </c>
      <c r="B55" s="27" t="s">
        <v>118</v>
      </c>
      <c r="C55" s="28">
        <v>159.0</v>
      </c>
      <c r="D55" s="29">
        <v>2.0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168</v>
      </c>
      <c r="N55" s="29">
        <f t="shared" si="52"/>
        <v>2</v>
      </c>
      <c r="O55" s="35" t="s">
        <v>46</v>
      </c>
      <c r="P55" s="35" t="s">
        <v>46</v>
      </c>
      <c r="Q55" s="31">
        <f>if(G55=13,1,0)+VLOOKUP(B55,'051124'!B:Q,16,false)</f>
        <v>2</v>
      </c>
      <c r="R55" s="31"/>
      <c r="S55" s="31">
        <f>if(G55=9,1,0)+VLOOKUP(B55,'051124'!B:S,18,false)</f>
        <v>14</v>
      </c>
    </row>
    <row r="56">
      <c r="A56" s="26">
        <f t="shared" si="3"/>
        <v>52</v>
      </c>
      <c r="B56" s="27" t="s">
        <v>114</v>
      </c>
      <c r="C56" s="28">
        <v>156.0</v>
      </c>
      <c r="D56" s="29">
        <v>1.0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165</v>
      </c>
      <c r="N56" s="29">
        <f t="shared" si="53"/>
        <v>1</v>
      </c>
      <c r="O56" s="35" t="s">
        <v>46</v>
      </c>
      <c r="P56" s="35" t="s">
        <v>46</v>
      </c>
      <c r="Q56" s="31">
        <f>if(G56=13,1,0)+VLOOKUP(B56,'051124'!B:Q,16,false)</f>
        <v>1</v>
      </c>
      <c r="R56" s="31"/>
      <c r="S56" s="31">
        <f>if(G56=9,1,0)+VLOOKUP(B56,'051124'!B:S,18,false)</f>
        <v>15</v>
      </c>
    </row>
    <row r="57">
      <c r="A57" s="26">
        <f t="shared" si="3"/>
        <v>53</v>
      </c>
      <c r="B57" s="54" t="s">
        <v>54</v>
      </c>
      <c r="C57" s="28">
        <v>155.0</v>
      </c>
      <c r="D57" s="29">
        <v>5.0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164</v>
      </c>
      <c r="N57" s="29">
        <f t="shared" si="54"/>
        <v>5</v>
      </c>
      <c r="O57" s="35" t="s">
        <v>46</v>
      </c>
      <c r="P57" s="35" t="s">
        <v>46</v>
      </c>
      <c r="Q57" s="31">
        <f>if(G57=13,1,0)+VLOOKUP(B57,'051124'!B:Q,16,false)</f>
        <v>1</v>
      </c>
      <c r="R57" s="31"/>
      <c r="S57" s="31">
        <f>if(G57=9,1,0)+VLOOKUP(B57,'051124'!B:S,18,false)</f>
        <v>11</v>
      </c>
    </row>
    <row r="58">
      <c r="A58" s="26">
        <f t="shared" si="3"/>
        <v>54</v>
      </c>
      <c r="B58" s="39" t="s">
        <v>119</v>
      </c>
      <c r="C58" s="28">
        <v>154.0</v>
      </c>
      <c r="D58" s="29">
        <v>4.0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163</v>
      </c>
      <c r="N58" s="29">
        <f t="shared" si="55"/>
        <v>4</v>
      </c>
      <c r="O58" s="35" t="s">
        <v>46</v>
      </c>
      <c r="P58" s="35" t="s">
        <v>46</v>
      </c>
      <c r="Q58" s="31">
        <f>if(G58=13,1,0)+VLOOKUP(B58,'051124'!B:Q,16,false)</f>
        <v>0</v>
      </c>
      <c r="R58" s="31"/>
      <c r="S58" s="31">
        <f>if(G58=9,1,0)+VLOOKUP(B58,'051124'!B:S,18,false)</f>
        <v>15</v>
      </c>
    </row>
    <row r="59">
      <c r="A59" s="26">
        <f t="shared" si="3"/>
        <v>55</v>
      </c>
      <c r="B59" s="27" t="s">
        <v>120</v>
      </c>
      <c r="C59" s="28">
        <v>153.0</v>
      </c>
      <c r="D59" s="29">
        <v>4.0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162</v>
      </c>
      <c r="N59" s="29">
        <f t="shared" si="56"/>
        <v>4</v>
      </c>
      <c r="O59" s="35" t="s">
        <v>46</v>
      </c>
      <c r="P59" s="35" t="s">
        <v>46</v>
      </c>
      <c r="Q59" s="31">
        <f>if(G59=13,1,0)+VLOOKUP(B59,'051124'!B:Q,16,false)</f>
        <v>1</v>
      </c>
      <c r="R59" s="31"/>
      <c r="S59" s="31">
        <f>if(G59=9,1,0)+VLOOKUP(B59,'051124'!B:S,18,false)</f>
        <v>14</v>
      </c>
    </row>
    <row r="60">
      <c r="A60" s="26">
        <f t="shared" si="3"/>
        <v>56</v>
      </c>
      <c r="B60" s="39" t="s">
        <v>121</v>
      </c>
      <c r="C60" s="28">
        <v>153.0</v>
      </c>
      <c r="D60" s="29">
        <v>3.0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162</v>
      </c>
      <c r="N60" s="29">
        <f t="shared" si="57"/>
        <v>3</v>
      </c>
      <c r="O60" s="35" t="s">
        <v>46</v>
      </c>
      <c r="P60" s="35" t="s">
        <v>46</v>
      </c>
      <c r="Q60" s="31">
        <f>if(G60=13,1,0)+VLOOKUP(B60,'051124'!B:Q,16,false)</f>
        <v>0</v>
      </c>
      <c r="R60" s="31"/>
      <c r="S60" s="31">
        <f>if(G60=9,1,0)+VLOOKUP(B60,'051124'!B:S,18,false)</f>
        <v>15</v>
      </c>
    </row>
    <row r="61">
      <c r="A61" s="26">
        <f t="shared" si="3"/>
        <v>57</v>
      </c>
      <c r="B61" s="54" t="s">
        <v>122</v>
      </c>
      <c r="C61" s="28">
        <v>151.0</v>
      </c>
      <c r="D61" s="29">
        <v>1.0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160</v>
      </c>
      <c r="N61" s="29">
        <f t="shared" si="58"/>
        <v>1</v>
      </c>
      <c r="O61" s="35" t="s">
        <v>46</v>
      </c>
      <c r="P61" s="35" t="s">
        <v>46</v>
      </c>
      <c r="Q61" s="31">
        <f>if(G61=13,1,0)+VLOOKUP(B61,'051124'!B:Q,16,false)</f>
        <v>0</v>
      </c>
      <c r="R61" s="31"/>
      <c r="S61" s="31">
        <f>if(G61=9,1,0)+VLOOKUP(B61,'051124'!B:S,18,false)</f>
        <v>16</v>
      </c>
    </row>
    <row r="62">
      <c r="A62" s="26">
        <f t="shared" si="3"/>
        <v>58</v>
      </c>
      <c r="B62" s="27" t="s">
        <v>115</v>
      </c>
      <c r="C62" s="28">
        <v>150.0</v>
      </c>
      <c r="D62" s="29">
        <v>2.0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159</v>
      </c>
      <c r="N62" s="29">
        <f t="shared" si="59"/>
        <v>2</v>
      </c>
      <c r="O62" s="35" t="s">
        <v>46</v>
      </c>
      <c r="P62" s="35" t="s">
        <v>46</v>
      </c>
      <c r="Q62" s="31">
        <f>if(G62=13,1,0)+VLOOKUP(B62,'051124'!B:Q,16,false)</f>
        <v>0</v>
      </c>
      <c r="R62" s="31"/>
      <c r="S62" s="31">
        <f>if(G62=9,1,0)+VLOOKUP(B62,'051124'!B:S,18,false)</f>
        <v>16</v>
      </c>
    </row>
    <row r="63">
      <c r="A63" s="26">
        <f t="shared" si="3"/>
        <v>59</v>
      </c>
      <c r="B63" s="54" t="s">
        <v>123</v>
      </c>
      <c r="C63" s="28">
        <v>148.0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157</v>
      </c>
      <c r="N63" s="29">
        <f t="shared" si="60"/>
        <v>2</v>
      </c>
      <c r="O63" s="35" t="s">
        <v>46</v>
      </c>
      <c r="P63" s="35" t="s">
        <v>46</v>
      </c>
      <c r="Q63" s="31">
        <f>if(G63=13,1,0)+VLOOKUP(B63,'051124'!B:Q,16,false)</f>
        <v>1</v>
      </c>
      <c r="R63" s="31"/>
      <c r="S63" s="31">
        <f>if(G63=9,1,0)+VLOOKUP(B63,'051124'!B:S,18,false)</f>
        <v>15</v>
      </c>
    </row>
    <row r="64">
      <c r="A64" s="26">
        <f t="shared" si="3"/>
        <v>60</v>
      </c>
      <c r="B64" s="39" t="s">
        <v>97</v>
      </c>
      <c r="C64" s="28">
        <v>145.0</v>
      </c>
      <c r="D64" s="29">
        <v>4.0</v>
      </c>
      <c r="E64" s="30">
        <v>1.0</v>
      </c>
      <c r="F64" s="31">
        <v>6.0</v>
      </c>
      <c r="G64" s="28">
        <v>0.0</v>
      </c>
      <c r="H64" s="31">
        <v>0.0</v>
      </c>
      <c r="I64" s="31">
        <v>1.0</v>
      </c>
      <c r="J64" s="31">
        <v>7.0</v>
      </c>
      <c r="K64" s="33">
        <v>8.0</v>
      </c>
      <c r="L64" s="31">
        <v>1.0</v>
      </c>
      <c r="M64" s="28">
        <f t="shared" ref="M64:N64" si="61">C64+K64</f>
        <v>153</v>
      </c>
      <c r="N64" s="29">
        <f t="shared" si="61"/>
        <v>5</v>
      </c>
      <c r="O64" s="35" t="s">
        <v>46</v>
      </c>
      <c r="P64" s="35" t="s">
        <v>46</v>
      </c>
      <c r="Q64" s="31">
        <f>if(G64=13,1,0)+VLOOKUP(B64,'051124'!B:Q,16,false)</f>
        <v>0</v>
      </c>
      <c r="R64" s="31"/>
      <c r="S64" s="31">
        <f>if(G64=9,1,0)+VLOOKUP(B64,'051124'!B:S,18,false)</f>
        <v>6</v>
      </c>
    </row>
    <row r="65">
      <c r="A65" s="26">
        <f t="shared" si="3"/>
        <v>61</v>
      </c>
      <c r="B65" s="39" t="s">
        <v>124</v>
      </c>
      <c r="C65" s="28">
        <v>144.0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153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if(G65=13,1,0)+VLOOKUP(B65,'051124'!B:Q,16,false)</f>
        <v>0</v>
      </c>
      <c r="R65" s="31"/>
      <c r="S65" s="31">
        <f>if(G65=9,1,0)+VLOOKUP(B65,'051124'!B:S,18,false)</f>
        <v>17</v>
      </c>
    </row>
    <row r="66">
      <c r="A66" s="26">
        <f t="shared" si="3"/>
        <v>62</v>
      </c>
      <c r="B66" s="39" t="s">
        <v>125</v>
      </c>
      <c r="C66" s="28">
        <v>144.0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153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if(G66=13,1,0)+VLOOKUP(B66,'051124'!B:Q,16,false)</f>
        <v>0</v>
      </c>
      <c r="R66" s="31"/>
      <c r="S66" s="31">
        <f>if(G66=9,1,0)+VLOOKUP(B66,'051124'!B:S,18,false)</f>
        <v>16</v>
      </c>
    </row>
    <row r="67">
      <c r="A67" s="26">
        <f t="shared" si="3"/>
        <v>63</v>
      </c>
      <c r="B67" s="39" t="s">
        <v>126</v>
      </c>
      <c r="C67" s="28">
        <v>143.0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152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if(G67=13,1,0)+VLOOKUP(B67,'051124'!B:Q,16,false)</f>
        <v>0</v>
      </c>
      <c r="R67" s="31"/>
      <c r="S67" s="31">
        <f>if(G67=9,1,0)+VLOOKUP(B67,'051124'!B:S,18,false)</f>
        <v>15</v>
      </c>
    </row>
    <row r="68">
      <c r="A68" s="26">
        <f t="shared" si="3"/>
        <v>64</v>
      </c>
      <c r="B68" s="27" t="s">
        <v>74</v>
      </c>
      <c r="C68" s="28">
        <v>135.0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144</v>
      </c>
      <c r="N68" s="29">
        <f t="shared" si="65"/>
        <v>0</v>
      </c>
      <c r="O68" s="35" t="s">
        <v>46</v>
      </c>
      <c r="P68" s="35" t="s">
        <v>46</v>
      </c>
      <c r="Q68" s="31">
        <f>if(G68=13,1,0)+VLOOKUP(B68,'051124'!B:Q,16,false)</f>
        <v>0</v>
      </c>
      <c r="R68" s="31"/>
      <c r="S68" s="31">
        <f>if(G68=9,1,0)+VLOOKUP(B68,'051124'!B:S,18,false)</f>
        <v>17</v>
      </c>
    </row>
    <row r="69">
      <c r="A69" s="26">
        <f t="shared" si="3"/>
        <v>65</v>
      </c>
      <c r="B69" s="39" t="s">
        <v>127</v>
      </c>
      <c r="C69" s="28">
        <v>134.0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143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if(G69=13,1,0)+VLOOKUP(B69,'051124'!B:Q,16,false)</f>
        <v>0</v>
      </c>
      <c r="R69" s="31"/>
      <c r="S69" s="31">
        <f>if(G69=9,1,0)+VLOOKUP(B69,'051124'!B:S,18,false)</f>
        <v>15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desc"",0)"),"Susanta Mishra")</f>
        <v>Susanta Mishra</v>
      </c>
      <c r="C79" s="60">
        <f>IFERROR(__xludf.DUMMYFUNCTION("""COMPUTED_VALUE"""),20.0)</f>
        <v>20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IFERROR(__xludf.DUMMYFUNCTION("""COMPUTED_VALUE"""),"Manish Anand")</f>
        <v>Manish Anand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IFERROR(__xludf.DUMMYFUNCTION("""COMPUTED_VALUE"""),"Vishnu Amarnath")</f>
        <v>Vishnu Amarnath</v>
      </c>
      <c r="C81" s="60">
        <f>IFERROR(__xludf.DUMMYFUNCTION("""COMPUTED_VALUE"""),19.0)</f>
        <v>19</v>
      </c>
      <c r="D81" s="60">
        <f>IFERROR(__xludf.DUMMYFUNCTION("""COMPUTED_VALUE"""),2.0)</f>
        <v>2</v>
      </c>
      <c r="E81" s="1"/>
    </row>
    <row r="82">
      <c r="A82" s="1"/>
      <c r="B82" s="39" t="str">
        <f>IFERROR(__xludf.DUMMYFUNCTION("""COMPUTED_VALUE"""),"Trinath Goteti")</f>
        <v>Trinath Goteti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IFERROR(__xludf.DUMMYFUNCTION("""COMPUTED_VALUE"""),"Sandy Weyant")</f>
        <v>Sandy Weyant</v>
      </c>
      <c r="C83" s="60">
        <f>IFERROR(__xludf.DUMMYFUNCTION("""COMPUTED_VALUE"""),18.0)</f>
        <v>18</v>
      </c>
      <c r="D83" s="60">
        <f>IFERROR(__xludf.DUMMYFUNCTION("""COMPUTED_VALUE"""),2.0)</f>
        <v>2</v>
      </c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1"")"),"Adrian Tay")</f>
        <v>Adrian Tay</v>
      </c>
      <c r="C92" s="63">
        <f>IFERROR(__xludf.DUMMYFUNCTION("""COMPUTED_VALUE"""),220.0)</f>
        <v>220</v>
      </c>
      <c r="D92" s="64">
        <f>IFERROR(__xludf.DUMMYFUNCTION("""COMPUTED_VALUE"""),23.0)</f>
        <v>23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IFERROR(__xludf.DUMMYFUNCTION("""COMPUTED_VALUE"""),4.0)</f>
        <v>4</v>
      </c>
      <c r="K92" s="65">
        <f>IFERROR(__xludf.DUMMYFUNCTION("""COMPUTED_VALUE"""),16.0)</f>
        <v>16</v>
      </c>
      <c r="L92" s="65">
        <f>IFERROR(__xludf.DUMMYFUNCTION("""COMPUTED_VALUE"""),2.0)</f>
        <v>2</v>
      </c>
      <c r="M92" s="65">
        <f>IFERROR(__xludf.DUMMYFUNCTION("""COMPUTED_VALUE"""),236.0)</f>
        <v>236</v>
      </c>
      <c r="N92" s="66">
        <f>IFERROR(__xludf.DUMMYFUNCTION("""COMPUTED_VALUE"""),25.0)</f>
        <v>25</v>
      </c>
    </row>
    <row r="93">
      <c r="A93" s="1"/>
      <c r="B93" s="62" t="str">
        <f>IFERROR(__xludf.DUMMYFUNCTION("""COMPUTED_VALUE"""),"Suleman Alidina")</f>
        <v>Suleman Alidina</v>
      </c>
      <c r="C93" s="63">
        <f>IFERROR(__xludf.DUMMYFUNCTION("""COMPUTED_VALUE"""),210.0)</f>
        <v>210</v>
      </c>
      <c r="D93" s="64">
        <f>IFERROR(__xludf.DUMMYFUNCTION("""COMPUTED_VALUE"""),24.0)</f>
        <v>24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IFERROR(__xludf.DUMMYFUNCTION("""COMPUTED_VALUE"""),2.0)</f>
        <v>2</v>
      </c>
      <c r="I93" s="65">
        <f>IFERROR(__xludf.DUMMYFUNCTION("""COMPUTED_VALUE"""),6.0)</f>
        <v>6</v>
      </c>
      <c r="J93" s="65">
        <f>IFERROR(__xludf.DUMMYFUNCTION("""COMPUTED_VALUE"""),6.0)</f>
        <v>6</v>
      </c>
      <c r="K93" s="65">
        <f>IFERROR(__xludf.DUMMYFUNCTION("""COMPUTED_VALUE"""),14.0)</f>
        <v>14</v>
      </c>
      <c r="L93" s="65">
        <f>IFERROR(__xludf.DUMMYFUNCTION("""COMPUTED_VALUE"""),2.0)</f>
        <v>2</v>
      </c>
      <c r="M93" s="65">
        <f>IFERROR(__xludf.DUMMYFUNCTION("""COMPUTED_VALUE"""),224.0)</f>
        <v>224</v>
      </c>
      <c r="N93" s="66">
        <f>IFERROR(__xludf.DUMMYFUNCTION("""COMPUTED_VALUE"""),26.0)</f>
        <v>26</v>
      </c>
    </row>
    <row r="94">
      <c r="A94" s="1"/>
      <c r="B94" s="62" t="str">
        <f>IFERROR(__xludf.DUMMYFUNCTION("""COMPUTED_VALUE"""),"Pavan Akkimsetty")</f>
        <v>Pavan Akkimsetty</v>
      </c>
      <c r="C94" s="63">
        <f>IFERROR(__xludf.DUMMYFUNCTION("""COMPUTED_VALUE"""),198.0)</f>
        <v>198</v>
      </c>
      <c r="D94" s="64">
        <f>IFERROR(__xludf.DUMMYFUNCTION("""COMPUTED_VALUE"""),19.0)</f>
        <v>19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IFERROR(__xludf.DUMMYFUNCTION("""COMPUTED_VALUE"""),2.0)</f>
        <v>2</v>
      </c>
      <c r="J94" s="65">
        <f>IFERROR(__xludf.DUMMYFUNCTION("""COMPUTED_VALUE"""),6.0)</f>
        <v>6</v>
      </c>
      <c r="K94" s="65">
        <f>IFERROR(__xludf.DUMMYFUNCTION("""COMPUTED_VALUE"""),14.0)</f>
        <v>14</v>
      </c>
      <c r="L94" s="65">
        <f>IFERROR(__xludf.DUMMYFUNCTION("""COMPUTED_VALUE"""),2.0)</f>
        <v>2</v>
      </c>
      <c r="M94" s="65">
        <f>IFERROR(__xludf.DUMMYFUNCTION("""COMPUTED_VALUE"""),212.0)</f>
        <v>212</v>
      </c>
      <c r="N94" s="66">
        <f>IFERROR(__xludf.DUMMYFUNCTION("""COMPUTED_VALUE"""),21.0)</f>
        <v>21</v>
      </c>
    </row>
    <row r="95">
      <c r="A95" s="1"/>
      <c r="B95" s="62" t="str">
        <f>IFERROR(__xludf.DUMMYFUNCTION("""COMPUTED_VALUE"""),"Mauricio Palacios")</f>
        <v>Mauricio Palacios</v>
      </c>
      <c r="C95" s="63">
        <f>IFERROR(__xludf.DUMMYFUNCTION("""COMPUTED_VALUE"""),190.0)</f>
        <v>190</v>
      </c>
      <c r="D95" s="64">
        <f>IFERROR(__xludf.DUMMYFUNCTION("""COMPUTED_VALUE"""),15.0)</f>
        <v>15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IFERROR(__xludf.DUMMYFUNCTION("""COMPUTED_VALUE"""),2.0)</f>
        <v>2</v>
      </c>
      <c r="I95" s="65">
        <f>IFERROR(__xludf.DUMMYFUNCTION("""COMPUTED_VALUE"""),2.0)</f>
        <v>2</v>
      </c>
      <c r="J95" s="65">
        <f>IFERROR(__xludf.DUMMYFUNCTION("""COMPUTED_VALUE"""),4.0)</f>
        <v>4</v>
      </c>
      <c r="K95" s="65">
        <f>IFERROR(__xludf.DUMMYFUNCTION("""COMPUTED_VALUE"""),8.0)</f>
        <v>8</v>
      </c>
      <c r="L95" s="65">
        <f>IFERROR(__xludf.DUMMYFUNCTION("""COMPUTED_VALUE"""),0.0)</f>
        <v>0</v>
      </c>
      <c r="M95" s="65">
        <f>IFERROR(__xludf.DUMMYFUNCTION("""COMPUTED_VALUE"""),198.0)</f>
        <v>198</v>
      </c>
      <c r="N95" s="66">
        <f>IFERROR(__xludf.DUMMYFUNCTION("""COMPUTED_VALUE"""),15.0)</f>
        <v>15</v>
      </c>
    </row>
    <row r="96">
      <c r="A96" s="1"/>
      <c r="B96" s="67" t="str">
        <f>IFERROR(__xludf.DUMMYFUNCTION("""COMPUTED_VALUE"""),"Susanta Mishra")</f>
        <v>Susanta Mishra</v>
      </c>
      <c r="C96" s="68">
        <f>IFERROR(__xludf.DUMMYFUNCTION("""COMPUTED_VALUE"""),188.0)</f>
        <v>188</v>
      </c>
      <c r="D96" s="69">
        <f>IFERROR(__xludf.DUMMYFUNCTION("""COMPUTED_VALUE"""),14.0)</f>
        <v>14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IFERROR(__xludf.DUMMYFUNCTION("""COMPUTED_VALUE"""),7.0)</f>
        <v>7</v>
      </c>
      <c r="J96" s="70">
        <f>IFERROR(__xludf.DUMMYFUNCTION("""COMPUTED_VALUE"""),7.0)</f>
        <v>7</v>
      </c>
      <c r="K96" s="70">
        <f>IFERROR(__xludf.DUMMYFUNCTION("""COMPUTED_VALUE"""),20.0)</f>
        <v>20</v>
      </c>
      <c r="L96" s="70">
        <f>IFERROR(__xludf.DUMMYFUNCTION("""COMPUTED_VALUE"""),3.0)</f>
        <v>3</v>
      </c>
      <c r="M96" s="70">
        <f>IFERROR(__xludf.DUMMYFUNCTION("""COMPUTED_VALUE"""),208.0)</f>
        <v>208</v>
      </c>
      <c r="N96" s="71">
        <f>IFERROR(__xludf.DUMMYFUNCTION("""COMPUTED_VALUE"""),17.0)</f>
        <v>17</v>
      </c>
    </row>
    <row r="97">
      <c r="A97" s="1"/>
      <c r="B97" s="67" t="str">
        <f>IFERROR(__xludf.DUMMYFUNCTION("""COMPUTED_VALUE"""),"Chinna Ponnaganti")</f>
        <v>Chinna Ponnaganti</v>
      </c>
      <c r="C97" s="68">
        <f>IFERROR(__xludf.DUMMYFUNCTION("""COMPUTED_VALUE"""),184.0)</f>
        <v>184</v>
      </c>
      <c r="D97" s="69">
        <f>IFERROR(__xludf.DUMMYFUNCTION("""COMPUTED_VALUE"""),18.0)</f>
        <v>18</v>
      </c>
      <c r="E97" s="68">
        <f>IFERROR(__xludf.DUMMYFUNCTION("""COMPUTED_VALUE"""),2.0)</f>
        <v>2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IFERROR(__xludf.DUMMYFUNCTION("""COMPUTED_VALUE"""),6.0)</f>
        <v>6</v>
      </c>
      <c r="J97" s="70">
        <f>IFERROR(__xludf.DUMMYFUNCTION("""COMPUTED_VALUE"""),5.0)</f>
        <v>5</v>
      </c>
      <c r="K97" s="70">
        <f>IFERROR(__xludf.DUMMYFUNCTION("""COMPUTED_VALUE"""),17.0)</f>
        <v>17</v>
      </c>
      <c r="L97" s="70">
        <f>IFERROR(__xludf.DUMMYFUNCTION("""COMPUTED_VALUE"""),1.0)</f>
        <v>1</v>
      </c>
      <c r="M97" s="70">
        <f>IFERROR(__xludf.DUMMYFUNCTION("""COMPUTED_VALUE"""),201.0)</f>
        <v>201</v>
      </c>
      <c r="N97" s="71">
        <f>IFERROR(__xludf.DUMMYFUNCTION("""COMPUTED_VALUE"""),19.0)</f>
        <v>19</v>
      </c>
    </row>
    <row r="98">
      <c r="A98" s="1"/>
      <c r="B98" s="67" t="str">
        <f>IFERROR(__xludf.DUMMYFUNCTION("""COMPUTED_VALUE"""),"Joe Luzzi")</f>
        <v>Joe Luzzi</v>
      </c>
      <c r="C98" s="68">
        <f>IFERROR(__xludf.DUMMYFUNCTION("""COMPUTED_VALUE"""),184.0)</f>
        <v>184</v>
      </c>
      <c r="D98" s="69">
        <f>IFERROR(__xludf.DUMMYFUNCTION("""COMPUTED_VALUE"""),14.0)</f>
        <v>14</v>
      </c>
      <c r="E98" s="68">
        <f>IFERROR(__xludf.DUMMYFUNCTION("""COMPUTED_VALUE"""),2.0)</f>
        <v>2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IFERROR(__xludf.DUMMYFUNCTION("""COMPUTED_VALUE"""),3.0)</f>
        <v>3</v>
      </c>
      <c r="I98" s="70">
        <f>IFERROR(__xludf.DUMMYFUNCTION("""COMPUTED_VALUE"""),6.0)</f>
        <v>6</v>
      </c>
      <c r="J98" s="70">
        <f>IFERROR(__xludf.DUMMYFUNCTION("""COMPUTED_VALUE"""),7.0)</f>
        <v>7</v>
      </c>
      <c r="K98" s="70">
        <f>IFERROR(__xludf.DUMMYFUNCTION("""COMPUTED_VALUE"""),16.0)</f>
        <v>16</v>
      </c>
      <c r="L98" s="70">
        <f>IFERROR(__xludf.DUMMYFUNCTION("""COMPUTED_VALUE"""),1.0)</f>
        <v>1</v>
      </c>
      <c r="M98" s="70">
        <f>IFERROR(__xludf.DUMMYFUNCTION("""COMPUTED_VALUE"""),200.0)</f>
        <v>200</v>
      </c>
      <c r="N98" s="71">
        <f>IFERROR(__xludf.DUMMYFUNCTION("""COMPUTED_VALUE"""),15.0)</f>
        <v>15</v>
      </c>
    </row>
    <row r="99">
      <c r="A99" s="1"/>
      <c r="B99" s="67" t="str">
        <f>IFERROR(__xludf.DUMMYFUNCTION("""COMPUTED_VALUE"""),"Andrew Wen")</f>
        <v>Andrew Wen</v>
      </c>
      <c r="C99" s="68">
        <f>IFERROR(__xludf.DUMMYFUNCTION("""COMPUTED_VALUE"""),180.0)</f>
        <v>180</v>
      </c>
      <c r="D99" s="69">
        <f>IFERROR(__xludf.DUMMYFUNCTION("""COMPUTED_VALUE"""),16.0)</f>
        <v>16</v>
      </c>
      <c r="E99" s="68">
        <f>IFERROR(__xludf.DUMMYFUNCTION("""COMPUTED_VALUE"""),2.0)</f>
        <v>2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IFERROR(__xludf.DUMMYFUNCTION("""COMPUTED_VALUE"""),3.0)</f>
        <v>3</v>
      </c>
      <c r="I99" s="70">
        <f>IFERROR(__xludf.DUMMYFUNCTION("""COMPUTED_VALUE"""),7.0)</f>
        <v>7</v>
      </c>
      <c r="J99" s="70">
        <f>IFERROR(__xludf.DUMMYFUNCTION("""COMPUTED_VALUE"""),5.0)</f>
        <v>5</v>
      </c>
      <c r="K99" s="70">
        <f>IFERROR(__xludf.DUMMYFUNCTION("""COMPUTED_VALUE"""),15.0)</f>
        <v>15</v>
      </c>
      <c r="L99" s="70">
        <f>IFERROR(__xludf.DUMMYFUNCTION("""COMPUTED_VALUE"""),1.0)</f>
        <v>1</v>
      </c>
      <c r="M99" s="70">
        <f>IFERROR(__xludf.DUMMYFUNCTION("""COMPUTED_VALUE"""),195.0)</f>
        <v>195</v>
      </c>
      <c r="N99" s="71">
        <f>IFERROR(__xludf.DUMMYFUNCTION("""COMPUTED_VALUE"""),17.0)</f>
        <v>17</v>
      </c>
    </row>
    <row r="100">
      <c r="A100" s="1"/>
      <c r="B100" s="67" t="str">
        <f>IFERROR(__xludf.DUMMYFUNCTION("""COMPUTED_VALUE"""),"Trinath Goteti")</f>
        <v>Trinath Goteti</v>
      </c>
      <c r="C100" s="63">
        <f>IFERROR(__xludf.DUMMYFUNCTION("""COMPUTED_VALUE"""),180.0)</f>
        <v>180</v>
      </c>
      <c r="D100" s="64">
        <f>IFERROR(__xludf.DUMMYFUNCTION("""COMPUTED_VALUE"""),11.0)</f>
        <v>11</v>
      </c>
      <c r="E100" s="63">
        <f>IFERROR(__xludf.DUMMYFUNCTION("""COMPUTED_VALUE"""),2.0)</f>
        <v>2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IFERROR(__xludf.DUMMYFUNCTION("""COMPUTED_VALUE"""),6.0)</f>
        <v>6</v>
      </c>
      <c r="J100" s="65">
        <f>IFERROR(__xludf.DUMMYFUNCTION("""COMPUTED_VALUE"""),6.0)</f>
        <v>6</v>
      </c>
      <c r="K100" s="65">
        <f>IFERROR(__xludf.DUMMYFUNCTION("""COMPUTED_VALUE"""),18.0)</f>
        <v>18</v>
      </c>
      <c r="L100" s="65">
        <f>IFERROR(__xludf.DUMMYFUNCTION("""COMPUTED_VALUE"""),3.0)</f>
        <v>3</v>
      </c>
      <c r="M100" s="65">
        <f>IFERROR(__xludf.DUMMYFUNCTION("""COMPUTED_VALUE"""),198.0)</f>
        <v>198</v>
      </c>
      <c r="N100" s="66">
        <f>IFERROR(__xludf.DUMMYFUNCTION("""COMPUTED_VALUE"""),14.0)</f>
        <v>14</v>
      </c>
    </row>
    <row r="101">
      <c r="A101" s="1"/>
      <c r="B101" s="67" t="str">
        <f>IFERROR(__xludf.DUMMYFUNCTION("""COMPUTED_VALUE"""),"Manuel Rivera")</f>
        <v>Manuel Rivera</v>
      </c>
      <c r="C101" s="63">
        <f>IFERROR(__xludf.DUMMYFUNCTION("""COMPUTED_VALUE"""),171.0)</f>
        <v>171</v>
      </c>
      <c r="D101" s="64">
        <f>IFERROR(__xludf.DUMMYFUNCTION("""COMPUTED_VALUE"""),14.0)</f>
        <v>14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IFERROR(__xludf.DUMMYFUNCTION("""COMPUTED_VALUE"""),4.0)</f>
        <v>4</v>
      </c>
      <c r="I101" s="65">
        <f>IFERROR(__xludf.DUMMYFUNCTION("""COMPUTED_VALUE"""),1.0)</f>
        <v>1</v>
      </c>
      <c r="J101" s="65">
        <f>IFERROR(__xludf.DUMMYFUNCTION("""COMPUTED_VALUE"""),6.0)</f>
        <v>6</v>
      </c>
      <c r="K101" s="65">
        <f>IFERROR(__xludf.DUMMYFUNCTION("""COMPUTED_VALUE"""),11.0)</f>
        <v>11</v>
      </c>
      <c r="L101" s="65">
        <f>IFERROR(__xludf.DUMMYFUNCTION("""COMPUTED_VALUE"""),1.0)</f>
        <v>1</v>
      </c>
      <c r="M101" s="65">
        <f>IFERROR(__xludf.DUMMYFUNCTION("""COMPUTED_VALUE"""),182.0)</f>
        <v>182</v>
      </c>
      <c r="N101" s="66">
        <f>IFERROR(__xludf.DUMMYFUNCTION("""COMPUTED_VALUE"""),15.0)</f>
        <v>15</v>
      </c>
    </row>
    <row r="102">
      <c r="A102" s="1"/>
      <c r="B102" s="62" t="str">
        <f>IFERROR(__xludf.DUMMYFUNCTION("""COMPUTED_VALUE"""),"Vinaya Kajla")</f>
        <v>Vinaya Kajla</v>
      </c>
      <c r="C102" s="63">
        <f>IFERROR(__xludf.DUMMYFUNCTION("""COMPUTED_VALUE"""),170.0)</f>
        <v>170</v>
      </c>
      <c r="D102" s="64">
        <f>IFERROR(__xludf.DUMMYFUNCTION("""COMPUTED_VALUE"""),13.0)</f>
        <v>13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IFERROR(__xludf.DUMMYFUNCTION("""COMPUTED_VALUE"""),1.0)</f>
        <v>1</v>
      </c>
      <c r="J102" s="65">
        <f>IFERROR(__xludf.DUMMYFUNCTION("""COMPUTED_VALUE"""),0.0)</f>
        <v>0</v>
      </c>
      <c r="K102" s="65">
        <f>IFERROR(__xludf.DUMMYFUNCTION("""COMPUTED_VALUE"""),7.0)</f>
        <v>7</v>
      </c>
      <c r="L102" s="65">
        <f>IFERROR(__xludf.DUMMYFUNCTION("""COMPUTED_VALUE"""),1.0)</f>
        <v>1</v>
      </c>
      <c r="M102" s="65">
        <f>IFERROR(__xludf.DUMMYFUNCTION("""COMPUTED_VALUE"""),177.0)</f>
        <v>177</v>
      </c>
      <c r="N102" s="66">
        <f>IFERROR(__xludf.DUMMYFUNCTION("""COMPUTED_VALUE"""),14.0)</f>
        <v>14</v>
      </c>
    </row>
    <row r="103">
      <c r="A103" s="1"/>
      <c r="B103" s="62" t="str">
        <f>IFERROR(__xludf.DUMMYFUNCTION("""COMPUTED_VALUE"""),"Eric Tan")</f>
        <v>Eric Tan</v>
      </c>
      <c r="C103" s="63">
        <f>IFERROR(__xludf.DUMMYFUNCTION("""COMPUTED_VALUE"""),168.0)</f>
        <v>168</v>
      </c>
      <c r="D103" s="64">
        <f>IFERROR(__xludf.DUMMYFUNCTION("""COMPUTED_VALUE"""),15.0)</f>
        <v>15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IFERROR(__xludf.DUMMYFUNCTION("""COMPUTED_VALUE"""),4.0)</f>
        <v>4</v>
      </c>
      <c r="I103" s="65">
        <f>IFERROR(__xludf.DUMMYFUNCTION("""COMPUTED_VALUE"""),6.0)</f>
        <v>6</v>
      </c>
      <c r="J103" s="65">
        <f>IFERROR(__xludf.DUMMYFUNCTION("""COMPUTED_VALUE"""),0.0)</f>
        <v>0</v>
      </c>
      <c r="K103" s="65">
        <f>IFERROR(__xludf.DUMMYFUNCTION("""COMPUTED_VALUE"""),10.0)</f>
        <v>10</v>
      </c>
      <c r="L103" s="65">
        <f>IFERROR(__xludf.DUMMYFUNCTION("""COMPUTED_VALUE"""),1.0)</f>
        <v>1</v>
      </c>
      <c r="M103" s="65">
        <f>IFERROR(__xludf.DUMMYFUNCTION("""COMPUTED_VALUE"""),178.0)</f>
        <v>178</v>
      </c>
      <c r="N103" s="66">
        <f>IFERROR(__xludf.DUMMYFUNCTION("""COMPUTED_VALUE"""),16.0)</f>
        <v>16</v>
      </c>
    </row>
    <row r="104">
      <c r="A104" s="1"/>
      <c r="B104" s="67" t="str">
        <f>IFERROR(__xludf.DUMMYFUNCTION("""COMPUTED_VALUE"""),"Vishnu Amarnath")</f>
        <v>Vishnu Amarnath</v>
      </c>
      <c r="C104" s="68">
        <f>IFERROR(__xludf.DUMMYFUNCTION("""COMPUTED_VALUE"""),168.0)</f>
        <v>168</v>
      </c>
      <c r="D104" s="69">
        <f>IFERROR(__xludf.DUMMYFUNCTION("""COMPUTED_VALUE"""),13.0)</f>
        <v>13</v>
      </c>
      <c r="E104" s="68">
        <f>IFERROR(__xludf.DUMMYFUNCTION("""COMPUTED_VALUE"""),2.0)</f>
        <v>2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IFERROR(__xludf.DUMMYFUNCTION("""COMPUTED_VALUE"""),6.0)</f>
        <v>6</v>
      </c>
      <c r="J104" s="70">
        <f>IFERROR(__xludf.DUMMYFUNCTION("""COMPUTED_VALUE"""),7.0)</f>
        <v>7</v>
      </c>
      <c r="K104" s="70">
        <f>IFERROR(__xludf.DUMMYFUNCTION("""COMPUTED_VALUE"""),19.0)</f>
        <v>19</v>
      </c>
      <c r="L104" s="70">
        <f>IFERROR(__xludf.DUMMYFUNCTION("""COMPUTED_VALUE"""),2.0)</f>
        <v>2</v>
      </c>
      <c r="M104" s="70">
        <f>IFERROR(__xludf.DUMMYFUNCTION("""COMPUTED_VALUE"""),187.0)</f>
        <v>187</v>
      </c>
      <c r="N104" s="71">
        <f>IFERROR(__xludf.DUMMYFUNCTION("""COMPUTED_VALUE"""),15.0)</f>
        <v>15</v>
      </c>
    </row>
    <row r="105">
      <c r="A105" s="1"/>
      <c r="B105" s="67" t="str">
        <f>IFERROR(__xludf.DUMMYFUNCTION("""COMPUTED_VALUE"""),"Jimmy Awolesi")</f>
        <v>Jimmy Awolesi</v>
      </c>
      <c r="C105" s="68">
        <f>IFERROR(__xludf.DUMMYFUNCTION("""COMPUTED_VALUE"""),168.0)</f>
        <v>168</v>
      </c>
      <c r="D105" s="69">
        <f>IFERROR(__xludf.DUMMYFUNCTION("""COMPUTED_VALUE"""),12.0)</f>
        <v>12</v>
      </c>
      <c r="E105" s="68">
        <f>IFERROR(__xludf.DUMMYFUNCTION("""COMPUTED_VALUE"""),2.0)</f>
        <v>2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IFERROR(__xludf.DUMMYFUNCTION("""COMPUTED_VALUE"""),3.0)</f>
        <v>3</v>
      </c>
      <c r="I105" s="70">
        <f>IFERROR(__xludf.DUMMYFUNCTION("""COMPUTED_VALUE"""),6.0)</f>
        <v>6</v>
      </c>
      <c r="J105" s="70">
        <f>IFERROR(__xludf.DUMMYFUNCTION("""COMPUTED_VALUE"""),5.0)</f>
        <v>5</v>
      </c>
      <c r="K105" s="70">
        <f>IFERROR(__xludf.DUMMYFUNCTION("""COMPUTED_VALUE"""),14.0)</f>
        <v>14</v>
      </c>
      <c r="L105" s="70">
        <f>IFERROR(__xludf.DUMMYFUNCTION("""COMPUTED_VALUE"""),0.0)</f>
        <v>0</v>
      </c>
      <c r="M105" s="70">
        <f>IFERROR(__xludf.DUMMYFUNCTION("""COMPUTED_VALUE"""),182.0)</f>
        <v>182</v>
      </c>
      <c r="N105" s="71">
        <f>IFERROR(__xludf.DUMMYFUNCTION("""COMPUTED_VALUE"""),12.0)</f>
        <v>12</v>
      </c>
    </row>
    <row r="106">
      <c r="A106" s="1"/>
      <c r="B106" s="67" t="str">
        <f>IFERROR(__xludf.DUMMYFUNCTION("""COMPUTED_VALUE"""),"Sandy Weyant")</f>
        <v>Sandy Weyant</v>
      </c>
      <c r="C106" s="68">
        <f>IFERROR(__xludf.DUMMYFUNCTION("""COMPUTED_VALUE"""),168.0)</f>
        <v>168</v>
      </c>
      <c r="D106" s="69">
        <f>IFERROR(__xludf.DUMMYFUNCTION("""COMPUTED_VALUE"""),8.0)</f>
        <v>8</v>
      </c>
      <c r="E106" s="68">
        <f>IFERROR(__xludf.DUMMYFUNCTION("""COMPUTED_VALUE"""),1.0)</f>
        <v>1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IFERROR(__xludf.DUMMYFUNCTION("""COMPUTED_VALUE"""),7.0)</f>
        <v>7</v>
      </c>
      <c r="J106" s="70">
        <f>IFERROR(__xludf.DUMMYFUNCTION("""COMPUTED_VALUE"""),5.0)</f>
        <v>5</v>
      </c>
      <c r="K106" s="70">
        <f>IFERROR(__xludf.DUMMYFUNCTION("""COMPUTED_VALUE"""),18.0)</f>
        <v>18</v>
      </c>
      <c r="L106" s="70">
        <f>IFERROR(__xludf.DUMMYFUNCTION("""COMPUTED_VALUE"""),2.0)</f>
        <v>2</v>
      </c>
      <c r="M106" s="70">
        <f>IFERROR(__xludf.DUMMYFUNCTION("""COMPUTED_VALUE"""),186.0)</f>
        <v>186</v>
      </c>
      <c r="N106" s="71">
        <f>IFERROR(__xludf.DUMMYFUNCTION("""COMPUTED_VALUE"""),10.0)</f>
        <v>10</v>
      </c>
    </row>
    <row r="107">
      <c r="A107" s="1"/>
      <c r="B107" s="67" t="str">
        <f>IFERROR(__xludf.DUMMYFUNCTION("""COMPUTED_VALUE"""),"Kumar Palakeel")</f>
        <v>Kumar Palakeel</v>
      </c>
      <c r="C107" s="68">
        <f>IFERROR(__xludf.DUMMYFUNCTION("""COMPUTED_VALUE"""),167.0)</f>
        <v>167</v>
      </c>
      <c r="D107" s="69">
        <f>IFERROR(__xludf.DUMMYFUNCTION("""COMPUTED_VALUE"""),14.0)</f>
        <v>14</v>
      </c>
      <c r="E107" s="68">
        <f>IFERROR(__xludf.DUMMYFUNCTION("""COMPUTED_VALUE"""),1.0)</f>
        <v>1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IFERROR(__xludf.DUMMYFUNCTION("""COMPUTED_VALUE"""),3.0)</f>
        <v>3</v>
      </c>
      <c r="I107" s="70">
        <f>IFERROR(__xludf.DUMMYFUNCTION("""COMPUTED_VALUE"""),7.0)</f>
        <v>7</v>
      </c>
      <c r="J107" s="70">
        <f>IFERROR(__xludf.DUMMYFUNCTION("""COMPUTED_VALUE"""),7.0)</f>
        <v>7</v>
      </c>
      <c r="K107" s="70">
        <f>IFERROR(__xludf.DUMMYFUNCTION("""COMPUTED_VALUE"""),17.0)</f>
        <v>17</v>
      </c>
      <c r="L107" s="70">
        <f>IFERROR(__xludf.DUMMYFUNCTION("""COMPUTED_VALUE"""),2.0)</f>
        <v>2</v>
      </c>
      <c r="M107" s="70">
        <f>IFERROR(__xludf.DUMMYFUNCTION("""COMPUTED_VALUE"""),184.0)</f>
        <v>184</v>
      </c>
      <c r="N107" s="71">
        <f>IFERROR(__xludf.DUMMYFUNCTION("""COMPUTED_VALUE"""),16.0)</f>
        <v>16</v>
      </c>
    </row>
    <row r="108">
      <c r="A108" s="1"/>
      <c r="B108" s="62" t="str">
        <f>IFERROR(__xludf.DUMMYFUNCTION("""COMPUTED_VALUE"""),"Manish Anand")</f>
        <v>Manish Anand</v>
      </c>
      <c r="C108" s="63">
        <f>IFERROR(__xludf.DUMMYFUNCTION("""COMPUTED_VALUE"""),167.0)</f>
        <v>167</v>
      </c>
      <c r="D108" s="64">
        <f>IFERROR(__xludf.DUMMYFUNCTION("""COMPUTED_VALUE"""),7.0)</f>
        <v>7</v>
      </c>
      <c r="E108" s="63">
        <f>IFERROR(__xludf.DUMMYFUNCTION("""COMPUTED_VALUE"""),1.0)</f>
        <v>1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IFERROR(__xludf.DUMMYFUNCTION("""COMPUTED_VALUE"""),6.0)</f>
        <v>6</v>
      </c>
      <c r="J108" s="65">
        <f>IFERROR(__xludf.DUMMYFUNCTION("""COMPUTED_VALUE"""),7.0)</f>
        <v>7</v>
      </c>
      <c r="K108" s="65">
        <f>IFERROR(__xludf.DUMMYFUNCTION("""COMPUTED_VALUE"""),19.0)</f>
        <v>19</v>
      </c>
      <c r="L108" s="65">
        <f>IFERROR(__xludf.DUMMYFUNCTION("""COMPUTED_VALUE"""),3.0)</f>
        <v>3</v>
      </c>
      <c r="M108" s="65">
        <f>IFERROR(__xludf.DUMMYFUNCTION("""COMPUTED_VALUE"""),186.0)</f>
        <v>186</v>
      </c>
      <c r="N108" s="66">
        <f>IFERROR(__xludf.DUMMYFUNCTION("""COMPUTED_VALUE"""),10.0)</f>
        <v>10</v>
      </c>
    </row>
    <row r="109">
      <c r="A109" s="1"/>
      <c r="B109" s="62" t="str">
        <f>IFERROR(__xludf.DUMMYFUNCTION("""COMPUTED_VALUE"""),"Elayaraja Thangaraj ")</f>
        <v>Elayaraja Thangaraj </v>
      </c>
      <c r="C109" s="63">
        <f>IFERROR(__xludf.DUMMYFUNCTION("""COMPUTED_VALUE"""),162.0)</f>
        <v>162</v>
      </c>
      <c r="D109" s="64">
        <f>IFERROR(__xludf.DUMMYFUNCTION("""COMPUTED_VALUE"""),11.0)</f>
        <v>11</v>
      </c>
      <c r="E109" s="63">
        <f>IFERROR(__xludf.DUMMYFUNCTION("""COMPUTED_VALUE"""),1.0)</f>
        <v>1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IFERROR(__xludf.DUMMYFUNCTION("""COMPUTED_VALUE"""),0.0)</f>
        <v>0</v>
      </c>
      <c r="I109" s="65">
        <f>IFERROR(__xludf.DUMMYFUNCTION("""COMPUTED_VALUE"""),6.0)</f>
        <v>6</v>
      </c>
      <c r="J109" s="65">
        <f>IFERROR(__xludf.DUMMYFUNCTION("""COMPUTED_VALUE"""),5.0)</f>
        <v>5</v>
      </c>
      <c r="K109" s="65">
        <f>IFERROR(__xludf.DUMMYFUNCTION("""COMPUTED_VALUE"""),11.0)</f>
        <v>11</v>
      </c>
      <c r="L109" s="65">
        <f>IFERROR(__xludf.DUMMYFUNCTION("""COMPUTED_VALUE"""),1.0)</f>
        <v>1</v>
      </c>
      <c r="M109" s="65">
        <f>IFERROR(__xludf.DUMMYFUNCTION("""COMPUTED_VALUE"""),173.0)</f>
        <v>173</v>
      </c>
      <c r="N109" s="66">
        <f>IFERROR(__xludf.DUMMYFUNCTION("""COMPUTED_VALUE"""),12.0)</f>
        <v>12</v>
      </c>
    </row>
    <row r="110">
      <c r="A110" s="1"/>
      <c r="B110" s="62" t="str">
        <f>IFERROR(__xludf.DUMMYFUNCTION("""COMPUTED_VALUE"""),"Tony Wong")</f>
        <v>Tony Wong</v>
      </c>
      <c r="C110" s="63">
        <f>IFERROR(__xludf.DUMMYFUNCTION("""COMPUTED_VALUE"""),162.0)</f>
        <v>162</v>
      </c>
      <c r="D110" s="64">
        <f>IFERROR(__xludf.DUMMYFUNCTION("""COMPUTED_VALUE"""),9.0)</f>
        <v>9</v>
      </c>
      <c r="E110" s="63">
        <f>IFERROR(__xludf.DUMMYFUNCTION("""COMPUTED_VALUE"""),2.0)</f>
        <v>2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IFERROR(__xludf.DUMMYFUNCTION("""COMPUTED_VALUE"""),1.0)</f>
        <v>1</v>
      </c>
      <c r="J110" s="65">
        <f>IFERROR(__xludf.DUMMYFUNCTION("""COMPUTED_VALUE"""),5.0)</f>
        <v>5</v>
      </c>
      <c r="K110" s="65">
        <f>IFERROR(__xludf.DUMMYFUNCTION("""COMPUTED_VALUE"""),12.0)</f>
        <v>12</v>
      </c>
      <c r="L110" s="65">
        <f>IFERROR(__xludf.DUMMYFUNCTION("""COMPUTED_VALUE"""),1.0)</f>
        <v>1</v>
      </c>
      <c r="M110" s="65">
        <f>IFERROR(__xludf.DUMMYFUNCTION("""COMPUTED_VALUE"""),174.0)</f>
        <v>174</v>
      </c>
      <c r="N110" s="66">
        <f>IFERROR(__xludf.DUMMYFUNCTION("""COMPUTED_VALUE"""),10.0)</f>
        <v>10</v>
      </c>
    </row>
    <row r="111">
      <c r="A111" s="1"/>
      <c r="B111" s="62" t="str">
        <f>IFERROR(__xludf.DUMMYFUNCTION("""COMPUTED_VALUE"""),"Joyce Zhu")</f>
        <v>Joyce Zhu</v>
      </c>
      <c r="C111" s="63">
        <f>IFERROR(__xludf.DUMMYFUNCTION("""COMPUTED_VALUE"""),145.0)</f>
        <v>145</v>
      </c>
      <c r="D111" s="64">
        <f>IFERROR(__xludf.DUMMYFUNCTION("""COMPUTED_VALUE"""),4.0)</f>
        <v>4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IFERROR(__xludf.DUMMYFUNCTION("""COMPUTED_VALUE"""),0.0)</f>
        <v>0</v>
      </c>
      <c r="I111" s="65">
        <f>IFERROR(__xludf.DUMMYFUNCTION("""COMPUTED_VALUE"""),1.0)</f>
        <v>1</v>
      </c>
      <c r="J111" s="65">
        <f>IFERROR(__xludf.DUMMYFUNCTION("""COMPUTED_VALUE"""),7.0)</f>
        <v>7</v>
      </c>
      <c r="K111" s="65">
        <f>IFERROR(__xludf.DUMMYFUNCTION("""COMPUTED_VALUE"""),8.0)</f>
        <v>8</v>
      </c>
      <c r="L111" s="65">
        <f>IFERROR(__xludf.DUMMYFUNCTION("""COMPUTED_VALUE"""),1.0)</f>
        <v>1</v>
      </c>
      <c r="M111" s="65">
        <f>IFERROR(__xludf.DUMMYFUNCTION("""COMPUTED_VALUE"""),153.0)</f>
        <v>153</v>
      </c>
      <c r="N111" s="66">
        <f>IFERROR(__xludf.DUMMYFUNCTION("""COMPUTED_VALUE"""),5.0)</f>
        <v>5</v>
      </c>
    </row>
    <row r="112">
      <c r="A112" s="1"/>
      <c r="B112" s="67"/>
      <c r="C112" s="72"/>
      <c r="D112" s="72"/>
      <c r="E112" s="72"/>
      <c r="F112" s="67"/>
      <c r="G112" s="67"/>
      <c r="H112" s="67"/>
      <c r="I112" s="67"/>
      <c r="J112" s="67"/>
      <c r="K112" s="67"/>
      <c r="L112" s="67"/>
      <c r="M112" s="67"/>
      <c r="N112" s="67"/>
    </row>
    <row r="113">
      <c r="A113" s="1"/>
      <c r="B113" s="67"/>
      <c r="C113" s="72"/>
      <c r="D113" s="72"/>
      <c r="E113" s="72"/>
      <c r="F113" s="67"/>
      <c r="G113" s="67"/>
      <c r="H113" s="67"/>
      <c r="I113" s="67"/>
      <c r="J113" s="67"/>
      <c r="K113" s="67"/>
      <c r="L113" s="67"/>
      <c r="M113" s="67"/>
      <c r="N113" s="67"/>
    </row>
    <row r="114">
      <c r="A114" s="1"/>
      <c r="B114" s="67"/>
      <c r="C114" s="72"/>
      <c r="D114" s="72"/>
      <c r="E114" s="72"/>
      <c r="F114" s="67"/>
      <c r="G114" s="67"/>
      <c r="H114" s="67"/>
      <c r="I114" s="67"/>
      <c r="J114" s="67"/>
      <c r="K114" s="67"/>
      <c r="L114" s="67"/>
      <c r="M114" s="67"/>
      <c r="N114" s="67"/>
    </row>
    <row r="115">
      <c r="A115" s="1"/>
      <c r="B115" s="67"/>
      <c r="C115" s="72"/>
      <c r="D115" s="72"/>
      <c r="E115" s="72"/>
      <c r="F115" s="67"/>
      <c r="G115" s="67"/>
      <c r="H115" s="67"/>
      <c r="I115" s="67"/>
      <c r="J115" s="67"/>
      <c r="K115" s="67"/>
      <c r="L115" s="67"/>
      <c r="M115" s="67"/>
      <c r="N115" s="67"/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0"")"),"Peter Cheng")</f>
        <v>Peter Cheng</v>
      </c>
      <c r="C136" s="63">
        <f>IFERROR(__xludf.DUMMYFUNCTION("""COMPUTED_VALUE"""),225.0)</f>
        <v>225</v>
      </c>
      <c r="D136" s="64">
        <f>IFERROR(__xludf.DUMMYFUNCTION("""COMPUTED_VALUE"""),23.0)</f>
        <v>23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IFERROR(__xludf.DUMMYFUNCTION("""COMPUTED_VALUE"""),234.0)</f>
        <v>234</v>
      </c>
      <c r="N136" s="66">
        <f>IFERROR(__xludf.DUMMYFUNCTION("""COMPUTED_VALUE"""),23.0)</f>
        <v>23</v>
      </c>
    </row>
    <row r="137">
      <c r="A137" s="1"/>
      <c r="B137" s="62" t="str">
        <f>IFERROR(__xludf.DUMMYFUNCTION("""COMPUTED_VALUE"""),"Peter Homsey")</f>
        <v>Peter Homsey</v>
      </c>
      <c r="C137" s="63">
        <f>IFERROR(__xludf.DUMMYFUNCTION("""COMPUTED_VALUE"""),205.0)</f>
        <v>205</v>
      </c>
      <c r="D137" s="64">
        <f>IFERROR(__xludf.DUMMYFUNCTION("""COMPUTED_VALUE"""),19.0)</f>
        <v>19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IFERROR(__xludf.DUMMYFUNCTION("""COMPUTED_VALUE"""),214.0)</f>
        <v>214</v>
      </c>
      <c r="N137" s="66">
        <f>IFERROR(__xludf.DUMMYFUNCTION("""COMPUTED_VALUE"""),19.0)</f>
        <v>19</v>
      </c>
    </row>
    <row r="138">
      <c r="A138" s="1"/>
      <c r="B138" s="62" t="str">
        <f>IFERROR(__xludf.DUMMYFUNCTION("""COMPUTED_VALUE"""),"Jonathan Phan")</f>
        <v>Jonathan Phan</v>
      </c>
      <c r="C138" s="63">
        <f>IFERROR(__xludf.DUMMYFUNCTION("""COMPUTED_VALUE"""),202.0)</f>
        <v>202</v>
      </c>
      <c r="D138" s="64">
        <f>IFERROR(__xludf.DUMMYFUNCTION("""COMPUTED_VALUE"""),18.0)</f>
        <v>18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IFERROR(__xludf.DUMMYFUNCTION("""COMPUTED_VALUE"""),211.0)</f>
        <v>211</v>
      </c>
      <c r="N138" s="66">
        <f>IFERROR(__xludf.DUMMYFUNCTION("""COMPUTED_VALUE"""),18.0)</f>
        <v>18</v>
      </c>
    </row>
    <row r="139">
      <c r="A139" s="1"/>
      <c r="B139" s="62" t="str">
        <f>IFERROR(__xludf.DUMMYFUNCTION("""COMPUTED_VALUE"""),"Lam Bui")</f>
        <v>Lam Bui</v>
      </c>
      <c r="C139" s="63">
        <f>IFERROR(__xludf.DUMMYFUNCTION("""COMPUTED_VALUE"""),201.0)</f>
        <v>201</v>
      </c>
      <c r="D139" s="64">
        <f>IFERROR(__xludf.DUMMYFUNCTION("""COMPUTED_VALUE"""),13.0)</f>
        <v>13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IFERROR(__xludf.DUMMYFUNCTION("""COMPUTED_VALUE"""),210.0)</f>
        <v>210</v>
      </c>
      <c r="N139" s="66">
        <f>IFERROR(__xludf.DUMMYFUNCTION("""COMPUTED_VALUE"""),13.0)</f>
        <v>13</v>
      </c>
    </row>
    <row r="140">
      <c r="A140" s="1"/>
      <c r="B140" s="62" t="str">
        <f>IFERROR(__xludf.DUMMYFUNCTION("""COMPUTED_VALUE"""),"Tom Le")</f>
        <v>Tom Le</v>
      </c>
      <c r="C140" s="63">
        <f>IFERROR(__xludf.DUMMYFUNCTION("""COMPUTED_VALUE"""),198.0)</f>
        <v>198</v>
      </c>
      <c r="D140" s="64">
        <f>IFERROR(__xludf.DUMMYFUNCTION("""COMPUTED_VALUE"""),17.0)</f>
        <v>17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IFERROR(__xludf.DUMMYFUNCTION("""COMPUTED_VALUE"""),207.0)</f>
        <v>207</v>
      </c>
      <c r="N140" s="66">
        <f>IFERROR(__xludf.DUMMYFUNCTION("""COMPUTED_VALUE"""),17.0)</f>
        <v>17</v>
      </c>
    </row>
    <row r="141">
      <c r="A141" s="1"/>
      <c r="B141" s="62" t="str">
        <f>IFERROR(__xludf.DUMMYFUNCTION("""COMPUTED_VALUE"""),"Sean Chang")</f>
        <v>Sean Chang</v>
      </c>
      <c r="C141" s="63">
        <f>IFERROR(__xludf.DUMMYFUNCTION("""COMPUTED_VALUE"""),198.0)</f>
        <v>198</v>
      </c>
      <c r="D141" s="64">
        <f>IFERROR(__xludf.DUMMYFUNCTION("""COMPUTED_VALUE"""),12.0)</f>
        <v>12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IFERROR(__xludf.DUMMYFUNCTION("""COMPUTED_VALUE"""),207.0)</f>
        <v>207</v>
      </c>
      <c r="N141" s="66">
        <f>IFERROR(__xludf.DUMMYFUNCTION("""COMPUTED_VALUE"""),12.0)</f>
        <v>12</v>
      </c>
    </row>
    <row r="142">
      <c r="A142" s="1"/>
      <c r="B142" s="62" t="str">
        <f>IFERROR(__xludf.DUMMYFUNCTION("""COMPUTED_VALUE"""),"David Shin")</f>
        <v>David Shin</v>
      </c>
      <c r="C142" s="63">
        <f>IFERROR(__xludf.DUMMYFUNCTION("""COMPUTED_VALUE"""),195.0)</f>
        <v>195</v>
      </c>
      <c r="D142" s="64">
        <f>IFERROR(__xludf.DUMMYFUNCTION("""COMPUTED_VALUE"""),17.0)</f>
        <v>17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IFERROR(__xludf.DUMMYFUNCTION("""COMPUTED_VALUE"""),204.0)</f>
        <v>204</v>
      </c>
      <c r="N142" s="66">
        <f>IFERROR(__xludf.DUMMYFUNCTION("""COMPUTED_VALUE"""),17.0)</f>
        <v>17</v>
      </c>
    </row>
    <row r="143">
      <c r="A143" s="1"/>
      <c r="B143" s="62" t="str">
        <f>IFERROR(__xludf.DUMMYFUNCTION("""COMPUTED_VALUE"""),"Luis Hsu")</f>
        <v>Luis Hsu</v>
      </c>
      <c r="C143" s="63">
        <f>IFERROR(__xludf.DUMMYFUNCTION("""COMPUTED_VALUE"""),195.0)</f>
        <v>195</v>
      </c>
      <c r="D143" s="64">
        <f>IFERROR(__xludf.DUMMYFUNCTION("""COMPUTED_VALUE"""),17.0)</f>
        <v>17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IFERROR(__xludf.DUMMYFUNCTION("""COMPUTED_VALUE"""),204.0)</f>
        <v>204</v>
      </c>
      <c r="N143" s="66">
        <f>IFERROR(__xludf.DUMMYFUNCTION("""COMPUTED_VALUE"""),17.0)</f>
        <v>17</v>
      </c>
    </row>
    <row r="144">
      <c r="A144" s="1"/>
      <c r="B144" s="62" t="str">
        <f>IFERROR(__xludf.DUMMYFUNCTION("""COMPUTED_VALUE"""),"Christopher Li")</f>
        <v>Christopher Li</v>
      </c>
      <c r="C144" s="63">
        <f>IFERROR(__xludf.DUMMYFUNCTION("""COMPUTED_VALUE"""),194.0)</f>
        <v>194</v>
      </c>
      <c r="D144" s="64">
        <f>IFERROR(__xludf.DUMMYFUNCTION("""COMPUTED_VALUE"""),18.0)</f>
        <v>18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IFERROR(__xludf.DUMMYFUNCTION("""COMPUTED_VALUE"""),203.0)</f>
        <v>203</v>
      </c>
      <c r="N144" s="66">
        <f>IFERROR(__xludf.DUMMYFUNCTION("""COMPUTED_VALUE"""),18.0)</f>
        <v>18</v>
      </c>
    </row>
    <row r="145">
      <c r="A145" s="1"/>
      <c r="B145" s="62" t="str">
        <f>IFERROR(__xludf.DUMMYFUNCTION("""COMPUTED_VALUE"""),"Eric Pan")</f>
        <v>Eric Pan</v>
      </c>
      <c r="C145" s="63">
        <f>IFERROR(__xludf.DUMMYFUNCTION("""COMPUTED_VALUE"""),194.0)</f>
        <v>194</v>
      </c>
      <c r="D145" s="64">
        <f>IFERROR(__xludf.DUMMYFUNCTION("""COMPUTED_VALUE"""),15.0)</f>
        <v>15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IFERROR(__xludf.DUMMYFUNCTION("""COMPUTED_VALUE"""),203.0)</f>
        <v>203</v>
      </c>
      <c r="N145" s="66">
        <f>IFERROR(__xludf.DUMMYFUNCTION("""COMPUTED_VALUE"""),15.0)</f>
        <v>15</v>
      </c>
    </row>
    <row r="146">
      <c r="A146" s="1"/>
      <c r="B146" s="62" t="str">
        <f>IFERROR(__xludf.DUMMYFUNCTION("""COMPUTED_VALUE"""),"Oscar Bonilla")</f>
        <v>Oscar Bonilla</v>
      </c>
      <c r="C146" s="63">
        <f>IFERROR(__xludf.DUMMYFUNCTION("""COMPUTED_VALUE"""),190.0)</f>
        <v>190</v>
      </c>
      <c r="D146" s="64">
        <f>IFERROR(__xludf.DUMMYFUNCTION("""COMPUTED_VALUE"""),13.0)</f>
        <v>13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IFERROR(__xludf.DUMMYFUNCTION("""COMPUTED_VALUE"""),199.0)</f>
        <v>199</v>
      </c>
      <c r="N146" s="66">
        <f>IFERROR(__xludf.DUMMYFUNCTION("""COMPUTED_VALUE"""),13.0)</f>
        <v>13</v>
      </c>
    </row>
    <row r="147">
      <c r="A147" s="1"/>
      <c r="B147" s="62" t="str">
        <f>IFERROR(__xludf.DUMMYFUNCTION("""COMPUTED_VALUE"""),"Pulkit Mathur")</f>
        <v>Pulkit Mathur</v>
      </c>
      <c r="C147" s="63">
        <f>IFERROR(__xludf.DUMMYFUNCTION("""COMPUTED_VALUE"""),189.0)</f>
        <v>189</v>
      </c>
      <c r="D147" s="64">
        <f>IFERROR(__xludf.DUMMYFUNCTION("""COMPUTED_VALUE"""),15.0)</f>
        <v>15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IFERROR(__xludf.DUMMYFUNCTION("""COMPUTED_VALUE"""),198.0)</f>
        <v>198</v>
      </c>
      <c r="N147" s="66">
        <f>IFERROR(__xludf.DUMMYFUNCTION("""COMPUTED_VALUE"""),15.0)</f>
        <v>15</v>
      </c>
    </row>
    <row r="148">
      <c r="A148" s="1"/>
      <c r="B148" s="62" t="str">
        <f>IFERROR(__xludf.DUMMYFUNCTION("""COMPUTED_VALUE"""),"Lloyd Sagar")</f>
        <v>Lloyd Sagar</v>
      </c>
      <c r="C148" s="63">
        <f>IFERROR(__xludf.DUMMYFUNCTION("""COMPUTED_VALUE"""),189.0)</f>
        <v>189</v>
      </c>
      <c r="D148" s="64">
        <f>IFERROR(__xludf.DUMMYFUNCTION("""COMPUTED_VALUE"""),13.0)</f>
        <v>13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IFERROR(__xludf.DUMMYFUNCTION("""COMPUTED_VALUE"""),198.0)</f>
        <v>198</v>
      </c>
      <c r="N148" s="66">
        <f>IFERROR(__xludf.DUMMYFUNCTION("""COMPUTED_VALUE"""),13.0)</f>
        <v>13</v>
      </c>
    </row>
    <row r="149">
      <c r="A149" s="1"/>
      <c r="B149" s="62" t="str">
        <f>IFERROR(__xludf.DUMMYFUNCTION("""COMPUTED_VALUE"""),"Ted Shen")</f>
        <v>Ted Shen</v>
      </c>
      <c r="C149" s="63">
        <f>IFERROR(__xludf.DUMMYFUNCTION("""COMPUTED_VALUE"""),187.0)</f>
        <v>187</v>
      </c>
      <c r="D149" s="64">
        <f>IFERROR(__xludf.DUMMYFUNCTION("""COMPUTED_VALUE"""),15.0)</f>
        <v>15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IFERROR(__xludf.DUMMYFUNCTION("""COMPUTED_VALUE"""),196.0)</f>
        <v>196</v>
      </c>
      <c r="N149" s="66">
        <f>IFERROR(__xludf.DUMMYFUNCTION("""COMPUTED_VALUE"""),15.0)</f>
        <v>15</v>
      </c>
    </row>
    <row r="150">
      <c r="A150" s="1"/>
      <c r="B150" s="62" t="str">
        <f>IFERROR(__xludf.DUMMYFUNCTION("""COMPUTED_VALUE"""),"David Tam")</f>
        <v>David Tam</v>
      </c>
      <c r="C150" s="63">
        <f>IFERROR(__xludf.DUMMYFUNCTION("""COMPUTED_VALUE"""),186.0)</f>
        <v>186</v>
      </c>
      <c r="D150" s="64">
        <f>IFERROR(__xludf.DUMMYFUNCTION("""COMPUTED_VALUE"""),16.0)</f>
        <v>16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IFERROR(__xludf.DUMMYFUNCTION("""COMPUTED_VALUE"""),195.0)</f>
        <v>195</v>
      </c>
      <c r="N150" s="66">
        <f>IFERROR(__xludf.DUMMYFUNCTION("""COMPUTED_VALUE"""),16.0)</f>
        <v>16</v>
      </c>
    </row>
    <row r="151">
      <c r="A151" s="1"/>
      <c r="B151" s="62" t="str">
        <f>IFERROR(__xludf.DUMMYFUNCTION("""COMPUTED_VALUE"""),"Rajasekar Ramasamy")</f>
        <v>Rajasekar Ramasamy</v>
      </c>
      <c r="C151" s="63">
        <f>IFERROR(__xludf.DUMMYFUNCTION("""COMPUTED_VALUE"""),179.0)</f>
        <v>179</v>
      </c>
      <c r="D151" s="64">
        <f>IFERROR(__xludf.DUMMYFUNCTION("""COMPUTED_VALUE"""),13.0)</f>
        <v>13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IFERROR(__xludf.DUMMYFUNCTION("""COMPUTED_VALUE"""),188.0)</f>
        <v>188</v>
      </c>
      <c r="N151" s="66">
        <f>IFERROR(__xludf.DUMMYFUNCTION("""COMPUTED_VALUE"""),13.0)</f>
        <v>13</v>
      </c>
    </row>
    <row r="152">
      <c r="A152" s="1"/>
      <c r="B152" s="62" t="str">
        <f>IFERROR(__xludf.DUMMYFUNCTION("""COMPUTED_VALUE"""),"Kingsley Kuo")</f>
        <v>Kingsley Kuo</v>
      </c>
      <c r="C152" s="63">
        <f>IFERROR(__xludf.DUMMYFUNCTION("""COMPUTED_VALUE"""),179.0)</f>
        <v>179</v>
      </c>
      <c r="D152" s="64">
        <f>IFERROR(__xludf.DUMMYFUNCTION("""COMPUTED_VALUE"""),11.0)</f>
        <v>11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IFERROR(__xludf.DUMMYFUNCTION("""COMPUTED_VALUE"""),188.0)</f>
        <v>188</v>
      </c>
      <c r="N152" s="66">
        <f>IFERROR(__xludf.DUMMYFUNCTION("""COMPUTED_VALUE"""),11.0)</f>
        <v>11</v>
      </c>
    </row>
    <row r="153">
      <c r="A153" s="1"/>
      <c r="B153" s="62" t="str">
        <f>IFERROR(__xludf.DUMMYFUNCTION("""COMPUTED_VALUE"""),"Erik Hoeckmann")</f>
        <v>Erik Hoeckmann</v>
      </c>
      <c r="C153" s="63">
        <f>IFERROR(__xludf.DUMMYFUNCTION("""COMPUTED_VALUE"""),178.0)</f>
        <v>178</v>
      </c>
      <c r="D153" s="64">
        <f>IFERROR(__xludf.DUMMYFUNCTION("""COMPUTED_VALUE"""),15.0)</f>
        <v>15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IFERROR(__xludf.DUMMYFUNCTION("""COMPUTED_VALUE"""),187.0)</f>
        <v>187</v>
      </c>
      <c r="N153" s="66">
        <f>IFERROR(__xludf.DUMMYFUNCTION("""COMPUTED_VALUE"""),15.0)</f>
        <v>15</v>
      </c>
    </row>
    <row r="154">
      <c r="A154" s="1"/>
      <c r="B154" s="62" t="str">
        <f>IFERROR(__xludf.DUMMYFUNCTION("""COMPUTED_VALUE"""),"Matthew Huang")</f>
        <v>Matthew Huang</v>
      </c>
      <c r="C154" s="63">
        <f>IFERROR(__xludf.DUMMYFUNCTION("""COMPUTED_VALUE"""),177.0)</f>
        <v>177</v>
      </c>
      <c r="D154" s="64">
        <f>IFERROR(__xludf.DUMMYFUNCTION("""COMPUTED_VALUE"""),9.0)</f>
        <v>9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IFERROR(__xludf.DUMMYFUNCTION("""COMPUTED_VALUE"""),186.0)</f>
        <v>186</v>
      </c>
      <c r="N154" s="66">
        <f>IFERROR(__xludf.DUMMYFUNCTION("""COMPUTED_VALUE"""),9.0)</f>
        <v>9</v>
      </c>
    </row>
    <row r="155">
      <c r="A155" s="1"/>
      <c r="B155" s="62" t="str">
        <f>IFERROR(__xludf.DUMMYFUNCTION("""COMPUTED_VALUE"""),"Scott Li")</f>
        <v>Scott Li</v>
      </c>
      <c r="C155" s="63">
        <f>IFERROR(__xludf.DUMMYFUNCTION("""COMPUTED_VALUE"""),176.0)</f>
        <v>176</v>
      </c>
      <c r="D155" s="64">
        <f>IFERROR(__xludf.DUMMYFUNCTION("""COMPUTED_VALUE"""),14.0)</f>
        <v>14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IFERROR(__xludf.DUMMYFUNCTION("""COMPUTED_VALUE"""),185.0)</f>
        <v>185</v>
      </c>
      <c r="N155" s="66">
        <f>IFERROR(__xludf.DUMMYFUNCTION("""COMPUTED_VALUE"""),14.0)</f>
        <v>14</v>
      </c>
    </row>
    <row r="156">
      <c r="A156" s="1"/>
      <c r="B156" s="62" t="str">
        <f>IFERROR(__xludf.DUMMYFUNCTION("""COMPUTED_VALUE"""),"Andrew Chin")</f>
        <v>Andrew Chin</v>
      </c>
      <c r="C156" s="63">
        <f>IFERROR(__xludf.DUMMYFUNCTION("""COMPUTED_VALUE"""),175.0)</f>
        <v>175</v>
      </c>
      <c r="D156" s="64">
        <f>IFERROR(__xludf.DUMMYFUNCTION("""COMPUTED_VALUE"""),10.0)</f>
        <v>10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IFERROR(__xludf.DUMMYFUNCTION("""COMPUTED_VALUE"""),184.0)</f>
        <v>184</v>
      </c>
      <c r="N156" s="66">
        <f>IFERROR(__xludf.DUMMYFUNCTION("""COMPUTED_VALUE"""),10.0)</f>
        <v>10</v>
      </c>
    </row>
    <row r="157">
      <c r="A157" s="1"/>
      <c r="B157" s="62" t="str">
        <f>IFERROR(__xludf.DUMMYFUNCTION("""COMPUTED_VALUE"""),"Balaji Alahari")</f>
        <v>Balaji Alahari</v>
      </c>
      <c r="C157" s="63">
        <f>IFERROR(__xludf.DUMMYFUNCTION("""COMPUTED_VALUE"""),174.0)</f>
        <v>174</v>
      </c>
      <c r="D157" s="64">
        <f>IFERROR(__xludf.DUMMYFUNCTION("""COMPUTED_VALUE"""),8.0)</f>
        <v>8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IFERROR(__xludf.DUMMYFUNCTION("""COMPUTED_VALUE"""),183.0)</f>
        <v>183</v>
      </c>
      <c r="N157" s="66">
        <f>IFERROR(__xludf.DUMMYFUNCTION("""COMPUTED_VALUE"""),8.0)</f>
        <v>8</v>
      </c>
    </row>
    <row r="158">
      <c r="A158" s="1"/>
      <c r="B158" s="62" t="str">
        <f>IFERROR(__xludf.DUMMYFUNCTION("""COMPUTED_VALUE"""),"Vamsi Lolla ")</f>
        <v>Vamsi Lolla </v>
      </c>
      <c r="C158" s="63">
        <f>IFERROR(__xludf.DUMMYFUNCTION("""COMPUTED_VALUE"""),173.0)</f>
        <v>173</v>
      </c>
      <c r="D158" s="64">
        <f>IFERROR(__xludf.DUMMYFUNCTION("""COMPUTED_VALUE"""),8.0)</f>
        <v>8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IFERROR(__xludf.DUMMYFUNCTION("""COMPUTED_VALUE"""),182.0)</f>
        <v>182</v>
      </c>
      <c r="N158" s="66">
        <f>IFERROR(__xludf.DUMMYFUNCTION("""COMPUTED_VALUE"""),8.0)</f>
        <v>8</v>
      </c>
    </row>
    <row r="159">
      <c r="A159" s="1"/>
      <c r="B159" s="62" t="str">
        <f>IFERROR(__xludf.DUMMYFUNCTION("""COMPUTED_VALUE"""),"Naveen Raj")</f>
        <v>Naveen Raj</v>
      </c>
      <c r="C159" s="63">
        <f>IFERROR(__xludf.DUMMYFUNCTION("""COMPUTED_VALUE"""),172.0)</f>
        <v>172</v>
      </c>
      <c r="D159" s="64">
        <f>IFERROR(__xludf.DUMMYFUNCTION("""COMPUTED_VALUE"""),11.0)</f>
        <v>11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IFERROR(__xludf.DUMMYFUNCTION("""COMPUTED_VALUE"""),181.0)</f>
        <v>181</v>
      </c>
      <c r="N159" s="66">
        <f>IFERROR(__xludf.DUMMYFUNCTION("""COMPUTED_VALUE"""),11.0)</f>
        <v>11</v>
      </c>
    </row>
    <row r="160">
      <c r="A160" s="1"/>
      <c r="B160" s="62" t="str">
        <f>IFERROR(__xludf.DUMMYFUNCTION("""COMPUTED_VALUE"""),"Ramesh Bandaru")</f>
        <v>Ramesh Bandaru</v>
      </c>
      <c r="C160" s="63">
        <f>IFERROR(__xludf.DUMMYFUNCTION("""COMPUTED_VALUE"""),170.0)</f>
        <v>170</v>
      </c>
      <c r="D160" s="64">
        <f>IFERROR(__xludf.DUMMYFUNCTION("""COMPUTED_VALUE"""),9.0)</f>
        <v>9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IFERROR(__xludf.DUMMYFUNCTION("""COMPUTED_VALUE"""),179.0)</f>
        <v>179</v>
      </c>
      <c r="N160" s="66">
        <f>IFERROR(__xludf.DUMMYFUNCTION("""COMPUTED_VALUE"""),9.0)</f>
        <v>9</v>
      </c>
    </row>
    <row r="161">
      <c r="A161" s="1"/>
      <c r="B161" s="62" t="str">
        <f>IFERROR(__xludf.DUMMYFUNCTION("""COMPUTED_VALUE"""),"Nohely Mejia")</f>
        <v>Nohely Mejia</v>
      </c>
      <c r="C161" s="63">
        <f>IFERROR(__xludf.DUMMYFUNCTION("""COMPUTED_VALUE"""),168.0)</f>
        <v>168</v>
      </c>
      <c r="D161" s="64">
        <f>IFERROR(__xludf.DUMMYFUNCTION("""COMPUTED_VALUE"""),5.0)</f>
        <v>5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IFERROR(__xludf.DUMMYFUNCTION("""COMPUTED_VALUE"""),177.0)</f>
        <v>177</v>
      </c>
      <c r="N161" s="66">
        <f>IFERROR(__xludf.DUMMYFUNCTION("""COMPUTED_VALUE"""),5.0)</f>
        <v>5</v>
      </c>
    </row>
    <row r="162">
      <c r="A162" s="1"/>
      <c r="B162" s="62" t="str">
        <f>IFERROR(__xludf.DUMMYFUNCTION("""COMPUTED_VALUE"""),"Savay Lieu")</f>
        <v>Savay Lieu</v>
      </c>
      <c r="C162" s="63">
        <f>IFERROR(__xludf.DUMMYFUNCTION("""COMPUTED_VALUE"""),167.0)</f>
        <v>167</v>
      </c>
      <c r="D162" s="64">
        <f>IFERROR(__xludf.DUMMYFUNCTION("""COMPUTED_VALUE"""),5.0)</f>
        <v>5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IFERROR(__xludf.DUMMYFUNCTION("""COMPUTED_VALUE"""),176.0)</f>
        <v>176</v>
      </c>
      <c r="N162" s="66">
        <f>IFERROR(__xludf.DUMMYFUNCTION("""COMPUTED_VALUE"""),5.0)</f>
        <v>5</v>
      </c>
    </row>
    <row r="163">
      <c r="A163" s="1"/>
      <c r="B163" s="62" t="str">
        <f>IFERROR(__xludf.DUMMYFUNCTION("""COMPUTED_VALUE"""),"Vinot Kumar Nagappan")</f>
        <v>Vinot Kumar Nagappan</v>
      </c>
      <c r="C163" s="63">
        <f>IFERROR(__xludf.DUMMYFUNCTION("""COMPUTED_VALUE"""),166.0)</f>
        <v>166</v>
      </c>
      <c r="D163" s="64">
        <f>IFERROR(__xludf.DUMMYFUNCTION("""COMPUTED_VALUE"""),7.0)</f>
        <v>7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IFERROR(__xludf.DUMMYFUNCTION("""COMPUTED_VALUE"""),175.0)</f>
        <v>175</v>
      </c>
      <c r="N163" s="66">
        <f>IFERROR(__xludf.DUMMYFUNCTION("""COMPUTED_VALUE"""),7.0)</f>
        <v>7</v>
      </c>
    </row>
    <row r="164">
      <c r="A164" s="1"/>
      <c r="B164" s="62" t="str">
        <f>IFERROR(__xludf.DUMMYFUNCTION("""COMPUTED_VALUE"""),"Sudhagar Subbaian")</f>
        <v>Sudhagar Subbaian</v>
      </c>
      <c r="C164" s="63">
        <f>IFERROR(__xludf.DUMMYFUNCTION("""COMPUTED_VALUE"""),162.0)</f>
        <v>162</v>
      </c>
      <c r="D164" s="64">
        <f>IFERROR(__xludf.DUMMYFUNCTION("""COMPUTED_VALUE"""),5.0)</f>
        <v>5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IFERROR(__xludf.DUMMYFUNCTION("""COMPUTED_VALUE"""),171.0)</f>
        <v>171</v>
      </c>
      <c r="N164" s="66">
        <f>IFERROR(__xludf.DUMMYFUNCTION("""COMPUTED_VALUE"""),5.0)</f>
        <v>5</v>
      </c>
    </row>
    <row r="165">
      <c r="A165" s="1"/>
      <c r="B165" s="62" t="str">
        <f>IFERROR(__xludf.DUMMYFUNCTION("""COMPUTED_VALUE"""),"Robert Chang")</f>
        <v>Robert Chang</v>
      </c>
      <c r="C165" s="63">
        <f>IFERROR(__xludf.DUMMYFUNCTION("""COMPUTED_VALUE"""),162.0)</f>
        <v>162</v>
      </c>
      <c r="D165" s="64">
        <f>IFERROR(__xludf.DUMMYFUNCTION("""COMPUTED_VALUE"""),4.0)</f>
        <v>4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IFERROR(__xludf.DUMMYFUNCTION("""COMPUTED_VALUE"""),171.0)</f>
        <v>171</v>
      </c>
      <c r="N165" s="66">
        <f>IFERROR(__xludf.DUMMYFUNCTION("""COMPUTED_VALUE"""),4.0)</f>
        <v>4</v>
      </c>
    </row>
    <row r="166">
      <c r="A166" s="1"/>
      <c r="B166" s="62" t="str">
        <f>IFERROR(__xludf.DUMMYFUNCTION("""COMPUTED_VALUE"""),"Alejandro Mejia")</f>
        <v>Alejandro Mejia</v>
      </c>
      <c r="C166" s="63">
        <f>IFERROR(__xludf.DUMMYFUNCTION("""COMPUTED_VALUE"""),160.0)</f>
        <v>160</v>
      </c>
      <c r="D166" s="64">
        <f>IFERROR(__xludf.DUMMYFUNCTION("""COMPUTED_VALUE"""),4.0)</f>
        <v>4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IFERROR(__xludf.DUMMYFUNCTION("""COMPUTED_VALUE"""),169.0)</f>
        <v>169</v>
      </c>
      <c r="N166" s="66">
        <f>IFERROR(__xludf.DUMMYFUNCTION("""COMPUTED_VALUE"""),4.0)</f>
        <v>4</v>
      </c>
    </row>
    <row r="167">
      <c r="A167" s="1"/>
      <c r="B167" s="62" t="str">
        <f>IFERROR(__xludf.DUMMYFUNCTION("""COMPUTED_VALUE"""),"Rosie Bonilla")</f>
        <v>Rosie Bonilla</v>
      </c>
      <c r="C167" s="63">
        <f>IFERROR(__xludf.DUMMYFUNCTION("""COMPUTED_VALUE"""),159.0)</f>
        <v>159</v>
      </c>
      <c r="D167" s="64">
        <f>IFERROR(__xludf.DUMMYFUNCTION("""COMPUTED_VALUE"""),2.0)</f>
        <v>2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IFERROR(__xludf.DUMMYFUNCTION("""COMPUTED_VALUE"""),168.0)</f>
        <v>168</v>
      </c>
      <c r="N167" s="66">
        <f>IFERROR(__xludf.DUMMYFUNCTION("""COMPUTED_VALUE"""),2.0)</f>
        <v>2</v>
      </c>
    </row>
    <row r="168">
      <c r="A168" s="1"/>
      <c r="B168" s="62" t="str">
        <f>IFERROR(__xludf.DUMMYFUNCTION("""COMPUTED_VALUE"""),"Sanjaye Elayattu")</f>
        <v>Sanjaye Elayattu</v>
      </c>
      <c r="C168" s="63">
        <f>IFERROR(__xludf.DUMMYFUNCTION("""COMPUTED_VALUE"""),156.0)</f>
        <v>156</v>
      </c>
      <c r="D168" s="64">
        <f>IFERROR(__xludf.DUMMYFUNCTION("""COMPUTED_VALUE"""),1.0)</f>
        <v>1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IFERROR(__xludf.DUMMYFUNCTION("""COMPUTED_VALUE"""),165.0)</f>
        <v>165</v>
      </c>
      <c r="N168" s="66">
        <f>IFERROR(__xludf.DUMMYFUNCTION("""COMPUTED_VALUE"""),1.0)</f>
        <v>1</v>
      </c>
    </row>
    <row r="169">
      <c r="A169" s="1"/>
      <c r="B169" s="62" t="str">
        <f>IFERROR(__xludf.DUMMYFUNCTION("""COMPUTED_VALUE"""),"Ash Nikravan")</f>
        <v>Ash Nikravan</v>
      </c>
      <c r="C169" s="63">
        <f>IFERROR(__xludf.DUMMYFUNCTION("""COMPUTED_VALUE"""),155.0)</f>
        <v>155</v>
      </c>
      <c r="D169" s="64">
        <f>IFERROR(__xludf.DUMMYFUNCTION("""COMPUTED_VALUE"""),5.0)</f>
        <v>5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IFERROR(__xludf.DUMMYFUNCTION("""COMPUTED_VALUE"""),164.0)</f>
        <v>164</v>
      </c>
      <c r="N169" s="66">
        <f>IFERROR(__xludf.DUMMYFUNCTION("""COMPUTED_VALUE"""),5.0)</f>
        <v>5</v>
      </c>
    </row>
    <row r="170">
      <c r="A170" s="1"/>
      <c r="B170" s="62" t="str">
        <f>IFERROR(__xludf.DUMMYFUNCTION("""COMPUTED_VALUE"""),"Troy Wong")</f>
        <v>Troy Wong</v>
      </c>
      <c r="C170" s="63">
        <f>IFERROR(__xludf.DUMMYFUNCTION("""COMPUTED_VALUE"""),154.0)</f>
        <v>154</v>
      </c>
      <c r="D170" s="64">
        <f>IFERROR(__xludf.DUMMYFUNCTION("""COMPUTED_VALUE"""),4.0)</f>
        <v>4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IFERROR(__xludf.DUMMYFUNCTION("""COMPUTED_VALUE"""),163.0)</f>
        <v>163</v>
      </c>
      <c r="N170" s="66">
        <f>IFERROR(__xludf.DUMMYFUNCTION("""COMPUTED_VALUE"""),4.0)</f>
        <v>4</v>
      </c>
    </row>
    <row r="171">
      <c r="A171" s="1"/>
      <c r="B171" s="62" t="str">
        <f>IFERROR(__xludf.DUMMYFUNCTION("""COMPUTED_VALUE"""),"Santosh Sundaresan ")</f>
        <v>Santosh Sundaresan </v>
      </c>
      <c r="C171" s="63">
        <f>IFERROR(__xludf.DUMMYFUNCTION("""COMPUTED_VALUE"""),153.0)</f>
        <v>153</v>
      </c>
      <c r="D171" s="64">
        <f>IFERROR(__xludf.DUMMYFUNCTION("""COMPUTED_VALUE"""),4.0)</f>
        <v>4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IFERROR(__xludf.DUMMYFUNCTION("""COMPUTED_VALUE"""),162.0)</f>
        <v>162</v>
      </c>
      <c r="N171" s="66">
        <f>IFERROR(__xludf.DUMMYFUNCTION("""COMPUTED_VALUE"""),4.0)</f>
        <v>4</v>
      </c>
    </row>
    <row r="172">
      <c r="A172" s="1"/>
      <c r="B172" s="62" t="str">
        <f>IFERROR(__xludf.DUMMYFUNCTION("""COMPUTED_VALUE"""),"Tony Lin")</f>
        <v>Tony Lin</v>
      </c>
      <c r="C172" s="63">
        <f>IFERROR(__xludf.DUMMYFUNCTION("""COMPUTED_VALUE"""),153.0)</f>
        <v>153</v>
      </c>
      <c r="D172" s="64">
        <f>IFERROR(__xludf.DUMMYFUNCTION("""COMPUTED_VALUE"""),3.0)</f>
        <v>3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IFERROR(__xludf.DUMMYFUNCTION("""COMPUTED_VALUE"""),162.0)</f>
        <v>162</v>
      </c>
      <c r="N172" s="66">
        <f>IFERROR(__xludf.DUMMYFUNCTION("""COMPUTED_VALUE"""),3.0)</f>
        <v>3</v>
      </c>
    </row>
    <row r="173">
      <c r="A173" s="1"/>
      <c r="B173" s="62" t="str">
        <f>IFERROR(__xludf.DUMMYFUNCTION("""COMPUTED_VALUE"""),"Chandrasekar Chinnathambi")</f>
        <v>Chandrasekar Chinnathambi</v>
      </c>
      <c r="C173" s="63">
        <f>IFERROR(__xludf.DUMMYFUNCTION("""COMPUTED_VALUE"""),151.0)</f>
        <v>151</v>
      </c>
      <c r="D173" s="64">
        <f>IFERROR(__xludf.DUMMYFUNCTION("""COMPUTED_VALUE"""),1.0)</f>
        <v>1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IFERROR(__xludf.DUMMYFUNCTION("""COMPUTED_VALUE"""),160.0)</f>
        <v>160</v>
      </c>
      <c r="N173" s="66">
        <f>IFERROR(__xludf.DUMMYFUNCTION("""COMPUTED_VALUE"""),1.0)</f>
        <v>1</v>
      </c>
    </row>
    <row r="174">
      <c r="A174" s="1"/>
      <c r="B174" s="62" t="str">
        <f>IFERROR(__xludf.DUMMYFUNCTION("""COMPUTED_VALUE"""),"Amit Patel")</f>
        <v>Amit Patel</v>
      </c>
      <c r="C174" s="63">
        <f>IFERROR(__xludf.DUMMYFUNCTION("""COMPUTED_VALUE"""),150.0)</f>
        <v>150</v>
      </c>
      <c r="D174" s="64">
        <f>IFERROR(__xludf.DUMMYFUNCTION("""COMPUTED_VALUE"""),2.0)</f>
        <v>2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IFERROR(__xludf.DUMMYFUNCTION("""COMPUTED_VALUE"""),159.0)</f>
        <v>159</v>
      </c>
      <c r="N174" s="66">
        <f>IFERROR(__xludf.DUMMYFUNCTION("""COMPUTED_VALUE"""),2.0)</f>
        <v>2</v>
      </c>
    </row>
    <row r="175">
      <c r="A175" s="1"/>
      <c r="B175" s="62" t="str">
        <f>IFERROR(__xludf.DUMMYFUNCTION("""COMPUTED_VALUE"""),"Marcus Yovas")</f>
        <v>Marcus Yovas</v>
      </c>
      <c r="C175" s="63">
        <f>IFERROR(__xludf.DUMMYFUNCTION("""COMPUTED_VALUE"""),148.0)</f>
        <v>148</v>
      </c>
      <c r="D175" s="64">
        <f>IFERROR(__xludf.DUMMYFUNCTION("""COMPUTED_VALUE"""),2.0)</f>
        <v>2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IFERROR(__xludf.DUMMYFUNCTION("""COMPUTED_VALUE"""),157.0)</f>
        <v>157</v>
      </c>
      <c r="N175" s="66">
        <f>IFERROR(__xludf.DUMMYFUNCTION("""COMPUTED_VALUE"""),2.0)</f>
        <v>2</v>
      </c>
    </row>
    <row r="176">
      <c r="A176" s="1"/>
      <c r="B176" s="62" t="str">
        <f>IFERROR(__xludf.DUMMYFUNCTION("""COMPUTED_VALUE"""),"Vilas Janardhanan")</f>
        <v>Vilas Janardhanan</v>
      </c>
      <c r="C176" s="63">
        <f>IFERROR(__xludf.DUMMYFUNCTION("""COMPUTED_VALUE"""),144.0)</f>
        <v>144</v>
      </c>
      <c r="D176" s="64">
        <f>IFERROR(__xludf.DUMMYFUNCTION("""COMPUTED_VALUE"""),0.0)</f>
        <v>0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IFERROR(__xludf.DUMMYFUNCTION("""COMPUTED_VALUE"""),153.0)</f>
        <v>153</v>
      </c>
      <c r="N176" s="66">
        <f>IFERROR(__xludf.DUMMYFUNCTION("""COMPUTED_VALUE"""),0.0)</f>
        <v>0</v>
      </c>
    </row>
    <row r="177">
      <c r="A177" s="1"/>
      <c r="B177" s="62" t="str">
        <f>IFERROR(__xludf.DUMMYFUNCTION("""COMPUTED_VALUE"""),"Coco Yan")</f>
        <v>Coco Yan</v>
      </c>
      <c r="C177" s="63">
        <f>IFERROR(__xludf.DUMMYFUNCTION("""COMPUTED_VALUE"""),144.0)</f>
        <v>144</v>
      </c>
      <c r="D177" s="64">
        <f>IFERROR(__xludf.DUMMYFUNCTION("""COMPUTED_VALUE"""),0.0)</f>
        <v>0</v>
      </c>
      <c r="E177" s="63">
        <f>IFERROR(__xludf.DUMMYFUNCTION("""COMPUTED_VALUE"""),3.0)</f>
        <v>3</v>
      </c>
      <c r="F177" s="65">
        <f>IFERROR(__xludf.DUMMYFUNCTION("""COMPUTED_VALUE"""),0.0)</f>
        <v>0</v>
      </c>
      <c r="G177" s="65">
        <f>IFERROR(__xludf.DUMMYFUNCTION("""COMPUTED_VALUE"""),9.0)</f>
        <v>9</v>
      </c>
      <c r="H177" s="65">
        <f>IFERROR(__xludf.DUMMYFUNCTION("""COMPUTED_VALUE"""),0.0)</f>
        <v>0</v>
      </c>
      <c r="I177" s="65">
        <f>IFERROR(__xludf.DUMMYFUNCTION("""COMPUTED_VALUE"""),0.0)</f>
        <v>0</v>
      </c>
      <c r="J177" s="65">
        <f>IFERROR(__xludf.DUMMYFUNCTION("""COMPUTED_VALUE"""),0.0)</f>
        <v>0</v>
      </c>
      <c r="K177" s="65">
        <f>IFERROR(__xludf.DUMMYFUNCTION("""COMPUTED_VALUE"""),9.0)</f>
        <v>9</v>
      </c>
      <c r="L177" s="65">
        <f>IFERROR(__xludf.DUMMYFUNCTION("""COMPUTED_VALUE"""),0.0)</f>
        <v>0</v>
      </c>
      <c r="M177" s="65">
        <f>IFERROR(__xludf.DUMMYFUNCTION("""COMPUTED_VALUE"""),153.0)</f>
        <v>153</v>
      </c>
      <c r="N177" s="66">
        <f>IFERROR(__xludf.DUMMYFUNCTION("""COMPUTED_VALUE"""),0.0)</f>
        <v>0</v>
      </c>
    </row>
    <row r="178">
      <c r="A178" s="1"/>
      <c r="B178" s="62" t="str">
        <f>IFERROR(__xludf.DUMMYFUNCTION("""COMPUTED_VALUE"""),"Tiffany Yu")</f>
        <v>Tiffany Yu</v>
      </c>
      <c r="C178" s="63">
        <f>IFERROR(__xludf.DUMMYFUNCTION("""COMPUTED_VALUE"""),143.0)</f>
        <v>143</v>
      </c>
      <c r="D178" s="64">
        <f>IFERROR(__xludf.DUMMYFUNCTION("""COMPUTED_VALUE"""),2.0)</f>
        <v>2</v>
      </c>
      <c r="E178" s="63">
        <f>IFERROR(__xludf.DUMMYFUNCTION("""COMPUTED_VALUE"""),3.0)</f>
        <v>3</v>
      </c>
      <c r="F178" s="65">
        <f>IFERROR(__xludf.DUMMYFUNCTION("""COMPUTED_VALUE"""),0.0)</f>
        <v>0</v>
      </c>
      <c r="G178" s="65">
        <f>IFERROR(__xludf.DUMMYFUNCTION("""COMPUTED_VALUE"""),9.0)</f>
        <v>9</v>
      </c>
      <c r="H178" s="65">
        <f>IFERROR(__xludf.DUMMYFUNCTION("""COMPUTED_VALUE"""),0.0)</f>
        <v>0</v>
      </c>
      <c r="I178" s="65">
        <f>IFERROR(__xludf.DUMMYFUNCTION("""COMPUTED_VALUE"""),0.0)</f>
        <v>0</v>
      </c>
      <c r="J178" s="65">
        <f>IFERROR(__xludf.DUMMYFUNCTION("""COMPUTED_VALUE"""),0.0)</f>
        <v>0</v>
      </c>
      <c r="K178" s="65">
        <f>IFERROR(__xludf.DUMMYFUNCTION("""COMPUTED_VALUE"""),9.0)</f>
        <v>9</v>
      </c>
      <c r="L178" s="65">
        <f>IFERROR(__xludf.DUMMYFUNCTION("""COMPUTED_VALUE"""),0.0)</f>
        <v>0</v>
      </c>
      <c r="M178" s="65">
        <f>IFERROR(__xludf.DUMMYFUNCTION("""COMPUTED_VALUE"""),152.0)</f>
        <v>152</v>
      </c>
      <c r="N178" s="66">
        <f>IFERROR(__xludf.DUMMYFUNCTION("""COMPUTED_VALUE"""),2.0)</f>
        <v>2</v>
      </c>
    </row>
    <row r="179">
      <c r="A179" s="1"/>
      <c r="B179" s="62" t="str">
        <f>IFERROR(__xludf.DUMMYFUNCTION("""COMPUTED_VALUE"""),"Sai Dilip Ponnaganti")</f>
        <v>Sai Dilip Ponnaganti</v>
      </c>
      <c r="C179" s="63">
        <f>IFERROR(__xludf.DUMMYFUNCTION("""COMPUTED_VALUE"""),135.0)</f>
        <v>135</v>
      </c>
      <c r="D179" s="64">
        <f>IFERROR(__xludf.DUMMYFUNCTION("""COMPUTED_VALUE"""),0.0)</f>
        <v>0</v>
      </c>
      <c r="E179" s="63">
        <f>IFERROR(__xludf.DUMMYFUNCTION("""COMPUTED_VALUE"""),3.0)</f>
        <v>3</v>
      </c>
      <c r="F179" s="65">
        <f>IFERROR(__xludf.DUMMYFUNCTION("""COMPUTED_VALUE"""),0.0)</f>
        <v>0</v>
      </c>
      <c r="G179" s="65">
        <f>IFERROR(__xludf.DUMMYFUNCTION("""COMPUTED_VALUE"""),9.0)</f>
        <v>9</v>
      </c>
      <c r="H179" s="65">
        <f>IFERROR(__xludf.DUMMYFUNCTION("""COMPUTED_VALUE"""),0.0)</f>
        <v>0</v>
      </c>
      <c r="I179" s="65">
        <f>IFERROR(__xludf.DUMMYFUNCTION("""COMPUTED_VALUE"""),0.0)</f>
        <v>0</v>
      </c>
      <c r="J179" s="65">
        <f>IFERROR(__xludf.DUMMYFUNCTION("""COMPUTED_VALUE"""),0.0)</f>
        <v>0</v>
      </c>
      <c r="K179" s="65">
        <f>IFERROR(__xludf.DUMMYFUNCTION("""COMPUTED_VALUE"""),9.0)</f>
        <v>9</v>
      </c>
      <c r="L179" s="65">
        <f>IFERROR(__xludf.DUMMYFUNCTION("""COMPUTED_VALUE"""),0.0)</f>
        <v>0</v>
      </c>
      <c r="M179" s="65">
        <f>IFERROR(__xludf.DUMMYFUNCTION("""COMPUTED_VALUE"""),144.0)</f>
        <v>144</v>
      </c>
      <c r="N179" s="66">
        <f>IFERROR(__xludf.DUMMYFUNCTION("""COMPUTED_VALUE"""),0.0)</f>
        <v>0</v>
      </c>
    </row>
    <row r="180">
      <c r="A180" s="1"/>
      <c r="B180" s="62" t="str">
        <f>IFERROR(__xludf.DUMMYFUNCTION("""COMPUTED_VALUE"""),"Jose Ortiz")</f>
        <v>Jose Ortiz</v>
      </c>
      <c r="C180" s="63">
        <f>IFERROR(__xludf.DUMMYFUNCTION("""COMPUTED_VALUE"""),134.0)</f>
        <v>134</v>
      </c>
      <c r="D180" s="64">
        <f>IFERROR(__xludf.DUMMYFUNCTION("""COMPUTED_VALUE"""),2.0)</f>
        <v>2</v>
      </c>
      <c r="E180" s="63">
        <f>IFERROR(__xludf.DUMMYFUNCTION("""COMPUTED_VALUE"""),3.0)</f>
        <v>3</v>
      </c>
      <c r="F180" s="65">
        <f>IFERROR(__xludf.DUMMYFUNCTION("""COMPUTED_VALUE"""),0.0)</f>
        <v>0</v>
      </c>
      <c r="G180" s="65">
        <f>IFERROR(__xludf.DUMMYFUNCTION("""COMPUTED_VALUE"""),9.0)</f>
        <v>9</v>
      </c>
      <c r="H180" s="65">
        <f>IFERROR(__xludf.DUMMYFUNCTION("""COMPUTED_VALUE"""),0.0)</f>
        <v>0</v>
      </c>
      <c r="I180" s="65">
        <f>IFERROR(__xludf.DUMMYFUNCTION("""COMPUTED_VALUE"""),0.0)</f>
        <v>0</v>
      </c>
      <c r="J180" s="65">
        <f>IFERROR(__xludf.DUMMYFUNCTION("""COMPUTED_VALUE"""),0.0)</f>
        <v>0</v>
      </c>
      <c r="K180" s="65">
        <f>IFERROR(__xludf.DUMMYFUNCTION("""COMPUTED_VALUE"""),9.0)</f>
        <v>9</v>
      </c>
      <c r="L180" s="65">
        <f>IFERROR(__xludf.DUMMYFUNCTION("""COMPUTED_VALUE"""),0.0)</f>
        <v>0</v>
      </c>
      <c r="M180" s="65">
        <f>IFERROR(__xludf.DUMMYFUNCTION("""COMPUTED_VALUE"""),143.0)</f>
        <v>143</v>
      </c>
      <c r="N180" s="66">
        <f>IFERROR(__xludf.DUMMYFUNCTION("""COMPUTED_VALUE"""),2.0)</f>
        <v>2</v>
      </c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45423.0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16.0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48</v>
      </c>
      <c r="C5" s="28">
        <v>212.0</v>
      </c>
      <c r="D5" s="29">
        <v>21.0</v>
      </c>
      <c r="E5" s="30">
        <v>1.0</v>
      </c>
      <c r="F5" s="31">
        <v>1.0</v>
      </c>
      <c r="G5" s="28">
        <v>0.0</v>
      </c>
      <c r="H5" s="31">
        <v>0.0</v>
      </c>
      <c r="I5" s="31">
        <v>6.0</v>
      </c>
      <c r="J5" s="31">
        <v>7.0</v>
      </c>
      <c r="K5" s="33">
        <v>13.0</v>
      </c>
      <c r="L5" s="31">
        <v>2.0</v>
      </c>
      <c r="M5" s="28">
        <f t="shared" ref="M5:N5" si="1">C5+K5</f>
        <v>225</v>
      </c>
      <c r="N5" s="29">
        <f t="shared" si="1"/>
        <v>23</v>
      </c>
      <c r="O5" s="35" t="s">
        <v>46</v>
      </c>
      <c r="P5" s="35" t="s">
        <v>46</v>
      </c>
      <c r="Q5" s="31">
        <f>if(G5=13,1,0)+VLOOKUP(B5,'050424'!B:Q,16,false)</f>
        <v>2</v>
      </c>
      <c r="R5" s="31"/>
      <c r="S5" s="31">
        <f>if(G5=9,1,0)+VLOOKUP(B5,'050424'!B:S,18,false)</f>
        <v>4</v>
      </c>
    </row>
    <row r="6">
      <c r="A6" s="26">
        <f t="shared" ref="A6:A69" si="3">A5+1</f>
        <v>2</v>
      </c>
      <c r="B6" s="27" t="s">
        <v>38</v>
      </c>
      <c r="C6" s="28">
        <v>203.0</v>
      </c>
      <c r="D6" s="29">
        <v>21.0</v>
      </c>
      <c r="E6" s="30">
        <v>1.0</v>
      </c>
      <c r="F6" s="31">
        <v>1.0</v>
      </c>
      <c r="G6" s="28">
        <v>0.0</v>
      </c>
      <c r="H6" s="31">
        <v>6.0</v>
      </c>
      <c r="I6" s="31">
        <v>6.0</v>
      </c>
      <c r="J6" s="31">
        <v>5.0</v>
      </c>
      <c r="K6" s="33">
        <v>17.0</v>
      </c>
      <c r="L6" s="31">
        <v>2.0</v>
      </c>
      <c r="M6" s="28">
        <f t="shared" ref="M6:N6" si="2">C6+K6</f>
        <v>220</v>
      </c>
      <c r="N6" s="29">
        <f t="shared" si="2"/>
        <v>23</v>
      </c>
      <c r="O6" s="35" t="s">
        <v>46</v>
      </c>
      <c r="P6" s="35" t="s">
        <v>46</v>
      </c>
      <c r="Q6" s="31">
        <f>if(G6=13,1,0)+VLOOKUP(B6,'050424'!B:Q,16,false)</f>
        <v>1</v>
      </c>
      <c r="R6" s="31"/>
      <c r="S6" s="31">
        <f>if(G6=9,1,0)+VLOOKUP(B6,'050424'!B:S,18,false)</f>
        <v>6</v>
      </c>
    </row>
    <row r="7">
      <c r="A7" s="26">
        <f t="shared" si="3"/>
        <v>3</v>
      </c>
      <c r="B7" s="39" t="s">
        <v>52</v>
      </c>
      <c r="C7" s="28">
        <v>197.0</v>
      </c>
      <c r="D7" s="29">
        <v>22.0</v>
      </c>
      <c r="E7" s="30">
        <v>1.0</v>
      </c>
      <c r="F7" s="31">
        <v>1.0</v>
      </c>
      <c r="G7" s="28">
        <v>0.0</v>
      </c>
      <c r="H7" s="31">
        <v>6.0</v>
      </c>
      <c r="I7" s="31">
        <v>0.0</v>
      </c>
      <c r="J7" s="31">
        <v>7.0</v>
      </c>
      <c r="K7" s="33">
        <v>13.0</v>
      </c>
      <c r="L7" s="31">
        <v>2.0</v>
      </c>
      <c r="M7" s="28">
        <f t="shared" ref="M7:N7" si="4">C7+K7</f>
        <v>210</v>
      </c>
      <c r="N7" s="29">
        <f t="shared" si="4"/>
        <v>24</v>
      </c>
      <c r="O7" s="35" t="s">
        <v>46</v>
      </c>
      <c r="P7" s="35" t="s">
        <v>46</v>
      </c>
      <c r="Q7" s="31">
        <f>if(G7=13,1,0)+VLOOKUP(B7,'050424'!B:Q,16,false)</f>
        <v>0</v>
      </c>
      <c r="R7" s="31"/>
      <c r="S7" s="31">
        <f>if(G7=9,1,0)+VLOOKUP(B7,'050424'!B:S,18,false)</f>
        <v>4</v>
      </c>
    </row>
    <row r="8">
      <c r="A8" s="26">
        <f t="shared" si="3"/>
        <v>4</v>
      </c>
      <c r="B8" s="27" t="s">
        <v>61</v>
      </c>
      <c r="C8" s="28">
        <v>190.0</v>
      </c>
      <c r="D8" s="29">
        <v>17.0</v>
      </c>
      <c r="E8" s="30">
        <v>2.0</v>
      </c>
      <c r="F8" s="31">
        <v>1.0</v>
      </c>
      <c r="G8" s="28">
        <v>0.0</v>
      </c>
      <c r="H8" s="31">
        <v>0.0</v>
      </c>
      <c r="I8" s="31">
        <v>0.0</v>
      </c>
      <c r="J8" s="31">
        <v>5.0</v>
      </c>
      <c r="K8" s="33">
        <v>5.0</v>
      </c>
      <c r="L8" s="31">
        <v>0.0</v>
      </c>
      <c r="M8" s="28">
        <f t="shared" ref="M8:N8" si="5">C8+K8</f>
        <v>195</v>
      </c>
      <c r="N8" s="29">
        <f t="shared" si="5"/>
        <v>17</v>
      </c>
      <c r="O8" s="35" t="s">
        <v>46</v>
      </c>
      <c r="P8" s="35" t="s">
        <v>46</v>
      </c>
      <c r="Q8" s="31">
        <f>if(G8=13,1,0)+VLOOKUP(B8,'050424'!B:Q,16,false)</f>
        <v>2</v>
      </c>
      <c r="R8" s="31"/>
      <c r="S8" s="31">
        <f>if(G8=9,1,0)+VLOOKUP(B8,'050424'!B:S,18,false)</f>
        <v>3</v>
      </c>
    </row>
    <row r="9">
      <c r="A9" s="26">
        <f t="shared" si="3"/>
        <v>5</v>
      </c>
      <c r="B9" s="27" t="s">
        <v>75</v>
      </c>
      <c r="C9" s="28">
        <v>190.0</v>
      </c>
      <c r="D9" s="29">
        <v>16.0</v>
      </c>
      <c r="E9" s="30">
        <v>1.0</v>
      </c>
      <c r="F9" s="31">
        <v>2.0</v>
      </c>
      <c r="G9" s="28">
        <v>0.0</v>
      </c>
      <c r="H9" s="31">
        <v>6.0</v>
      </c>
      <c r="I9" s="31">
        <v>6.0</v>
      </c>
      <c r="J9" s="31">
        <v>0.0</v>
      </c>
      <c r="K9" s="33">
        <v>12.0</v>
      </c>
      <c r="L9" s="31">
        <v>2.0</v>
      </c>
      <c r="M9" s="28">
        <f t="shared" ref="M9:N9" si="6">C9+K9</f>
        <v>202</v>
      </c>
      <c r="N9" s="29">
        <f t="shared" si="6"/>
        <v>18</v>
      </c>
      <c r="O9" s="35" t="s">
        <v>46</v>
      </c>
      <c r="P9" s="35" t="s">
        <v>46</v>
      </c>
      <c r="Q9" s="31">
        <f>if(G9=13,1,0)+VLOOKUP(B9,'050424'!B:Q,16,false)</f>
        <v>1</v>
      </c>
      <c r="R9" s="31"/>
      <c r="S9" s="31">
        <f>if(G9=9,1,0)+VLOOKUP(B9,'050424'!B:S,18,false)</f>
        <v>2</v>
      </c>
    </row>
    <row r="10">
      <c r="A10" s="26">
        <f t="shared" si="3"/>
        <v>6</v>
      </c>
      <c r="B10" s="27" t="s">
        <v>57</v>
      </c>
      <c r="C10" s="28">
        <v>189.0</v>
      </c>
      <c r="D10" s="29">
        <v>17.0</v>
      </c>
      <c r="E10" s="30">
        <v>1.0</v>
      </c>
      <c r="F10" s="31">
        <v>2.0</v>
      </c>
      <c r="G10" s="28">
        <v>0.0</v>
      </c>
      <c r="H10" s="31">
        <v>6.0</v>
      </c>
      <c r="I10" s="31">
        <v>4.0</v>
      </c>
      <c r="J10" s="31">
        <v>6.0</v>
      </c>
      <c r="K10" s="33">
        <v>16.0</v>
      </c>
      <c r="L10" s="31">
        <v>2.0</v>
      </c>
      <c r="M10" s="28">
        <f t="shared" ref="M10:N10" si="7">C10+K10</f>
        <v>205</v>
      </c>
      <c r="N10" s="29">
        <f t="shared" si="7"/>
        <v>19</v>
      </c>
      <c r="O10" s="35" t="s">
        <v>46</v>
      </c>
      <c r="P10" s="35" t="s">
        <v>46</v>
      </c>
      <c r="Q10" s="31">
        <f>if(G10=13,1,0)+VLOOKUP(B10,'050424'!B:Q,16,false)</f>
        <v>0</v>
      </c>
      <c r="R10" s="31"/>
      <c r="S10" s="31">
        <f>if(G10=9,1,0)+VLOOKUP(B10,'050424'!B:S,18,false)</f>
        <v>6</v>
      </c>
    </row>
    <row r="11">
      <c r="A11" s="26">
        <f t="shared" si="3"/>
        <v>7</v>
      </c>
      <c r="B11" s="39" t="s">
        <v>55</v>
      </c>
      <c r="C11" s="28">
        <v>186.0</v>
      </c>
      <c r="D11" s="29">
        <v>17.0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195</v>
      </c>
      <c r="N11" s="29">
        <f t="shared" si="8"/>
        <v>17</v>
      </c>
      <c r="O11" s="35" t="s">
        <v>46</v>
      </c>
      <c r="P11" s="35" t="s">
        <v>46</v>
      </c>
      <c r="Q11" s="31">
        <f>if(G11=13,1,0)+VLOOKUP(B11,'050424'!B:Q,16,false)</f>
        <v>1</v>
      </c>
      <c r="R11" s="31"/>
      <c r="S11" s="31">
        <f>if(G11=9,1,0)+VLOOKUP(B11,'050424'!B:S,18,false)</f>
        <v>7</v>
      </c>
    </row>
    <row r="12">
      <c r="A12" s="26">
        <f t="shared" si="3"/>
        <v>8</v>
      </c>
      <c r="B12" s="39" t="s">
        <v>50</v>
      </c>
      <c r="C12" s="28">
        <v>185.0</v>
      </c>
      <c r="D12" s="29">
        <v>18.0</v>
      </c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f t="shared" ref="M12:N12" si="9">C12+K12</f>
        <v>194</v>
      </c>
      <c r="N12" s="29">
        <f t="shared" si="9"/>
        <v>18</v>
      </c>
      <c r="O12" s="35" t="s">
        <v>46</v>
      </c>
      <c r="P12" s="35" t="s">
        <v>46</v>
      </c>
      <c r="Q12" s="31">
        <f>if(G12=13,1,0)+VLOOKUP(B12,'050424'!B:Q,16,false)</f>
        <v>0</v>
      </c>
      <c r="R12" s="31"/>
      <c r="S12" s="31">
        <f>if(G12=9,1,0)+VLOOKUP(B12,'050424'!B:S,18,false)</f>
        <v>9</v>
      </c>
    </row>
    <row r="13">
      <c r="A13" s="26">
        <f t="shared" si="3"/>
        <v>9</v>
      </c>
      <c r="B13" s="27" t="s">
        <v>81</v>
      </c>
      <c r="C13" s="28">
        <v>185.0</v>
      </c>
      <c r="D13" s="29">
        <v>17.0</v>
      </c>
      <c r="E13" s="30">
        <v>1.0</v>
      </c>
      <c r="F13" s="31">
        <v>2.0</v>
      </c>
      <c r="G13" s="28">
        <v>0.0</v>
      </c>
      <c r="H13" s="31">
        <v>1.0</v>
      </c>
      <c r="I13" s="31">
        <v>6.0</v>
      </c>
      <c r="J13" s="31">
        <v>6.0</v>
      </c>
      <c r="K13" s="33">
        <v>13.0</v>
      </c>
      <c r="L13" s="31">
        <v>2.0</v>
      </c>
      <c r="M13" s="28">
        <f t="shared" ref="M13:N13" si="10">C13+K13</f>
        <v>198</v>
      </c>
      <c r="N13" s="29">
        <f t="shared" si="10"/>
        <v>19</v>
      </c>
      <c r="O13" s="35" t="s">
        <v>46</v>
      </c>
      <c r="P13" s="35" t="s">
        <v>46</v>
      </c>
      <c r="Q13" s="31">
        <f>if(G13=13,1,0)+VLOOKUP(B13,'050424'!B:Q,16,false)</f>
        <v>0</v>
      </c>
      <c r="R13" s="31"/>
      <c r="S13" s="31">
        <f>if(G13=9,1,0)+VLOOKUP(B13,'050424'!B:S,18,false)</f>
        <v>4</v>
      </c>
    </row>
    <row r="14">
      <c r="A14" s="26">
        <f t="shared" si="3"/>
        <v>10</v>
      </c>
      <c r="B14" s="27" t="s">
        <v>82</v>
      </c>
      <c r="C14" s="28">
        <v>185.0</v>
      </c>
      <c r="D14" s="29">
        <v>15.0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194</v>
      </c>
      <c r="N14" s="29">
        <f t="shared" si="11"/>
        <v>15</v>
      </c>
      <c r="O14" s="35" t="s">
        <v>46</v>
      </c>
      <c r="P14" s="35" t="s">
        <v>46</v>
      </c>
      <c r="Q14" s="31">
        <f>if(G14=13,1,0)+VLOOKUP(B14,'050424'!B:Q,16,false)</f>
        <v>1</v>
      </c>
      <c r="R14" s="31"/>
      <c r="S14" s="31">
        <f>if(G14=9,1,0)+VLOOKUP(B14,'050424'!B:S,18,false)</f>
        <v>9</v>
      </c>
    </row>
    <row r="15">
      <c r="A15" s="26">
        <f t="shared" si="3"/>
        <v>11</v>
      </c>
      <c r="B15" s="39" t="s">
        <v>103</v>
      </c>
      <c r="C15" s="28">
        <v>184.0</v>
      </c>
      <c r="D15" s="29">
        <v>13.0</v>
      </c>
      <c r="E15" s="30">
        <v>1.0</v>
      </c>
      <c r="F15" s="31">
        <v>2.0</v>
      </c>
      <c r="G15" s="28">
        <v>0.0</v>
      </c>
      <c r="H15" s="31">
        <v>1.0</v>
      </c>
      <c r="I15" s="31">
        <v>4.0</v>
      </c>
      <c r="J15" s="31">
        <v>0.0</v>
      </c>
      <c r="K15" s="33">
        <v>5.0</v>
      </c>
      <c r="L15" s="31">
        <v>0.0</v>
      </c>
      <c r="M15" s="28">
        <f t="shared" ref="M15:N15" si="12">C15+K15</f>
        <v>189</v>
      </c>
      <c r="N15" s="29">
        <f t="shared" si="12"/>
        <v>13</v>
      </c>
      <c r="O15" s="35" t="s">
        <v>46</v>
      </c>
      <c r="P15" s="35" t="s">
        <v>46</v>
      </c>
      <c r="Q15" s="31">
        <f>if(G15=13,1,0)+VLOOKUP(B15,'050424'!B:Q,16,false)</f>
        <v>1</v>
      </c>
      <c r="R15" s="31"/>
      <c r="S15" s="31">
        <f>if(G15=9,1,0)+VLOOKUP(B15,'050424'!B:S,18,false)</f>
        <v>8</v>
      </c>
    </row>
    <row r="16">
      <c r="A16" s="26">
        <f t="shared" si="3"/>
        <v>12</v>
      </c>
      <c r="B16" s="27" t="s">
        <v>60</v>
      </c>
      <c r="C16" s="28">
        <v>184.0</v>
      </c>
      <c r="D16" s="29">
        <v>11.0</v>
      </c>
      <c r="E16" s="30">
        <v>2.0</v>
      </c>
      <c r="F16" s="31">
        <v>3.0</v>
      </c>
      <c r="G16" s="28">
        <v>0.0</v>
      </c>
      <c r="H16" s="31">
        <v>6.0</v>
      </c>
      <c r="I16" s="31">
        <v>5.0</v>
      </c>
      <c r="J16" s="31">
        <v>6.0</v>
      </c>
      <c r="K16" s="33">
        <v>17.0</v>
      </c>
      <c r="L16" s="31">
        <v>2.0</v>
      </c>
      <c r="M16" s="28">
        <f t="shared" ref="M16:N16" si="13">C16+K16</f>
        <v>201</v>
      </c>
      <c r="N16" s="29">
        <f t="shared" si="13"/>
        <v>13</v>
      </c>
      <c r="O16" s="35" t="s">
        <v>46</v>
      </c>
      <c r="P16" s="35" t="s">
        <v>46</v>
      </c>
      <c r="Q16" s="31">
        <f>if(G16=13,1,0)+VLOOKUP(B16,'050424'!B:Q,16,false)</f>
        <v>2</v>
      </c>
      <c r="R16" s="31"/>
      <c r="S16" s="31">
        <f>if(G16=9,1,0)+VLOOKUP(B16,'050424'!B:S,18,false)</f>
        <v>8</v>
      </c>
    </row>
    <row r="17">
      <c r="A17" s="26">
        <f t="shared" si="3"/>
        <v>13</v>
      </c>
      <c r="B17" s="27" t="s">
        <v>77</v>
      </c>
      <c r="C17" s="28">
        <v>184.0</v>
      </c>
      <c r="D17" s="29">
        <v>10.0</v>
      </c>
      <c r="E17" s="30">
        <v>1.0</v>
      </c>
      <c r="F17" s="31">
        <v>3.0</v>
      </c>
      <c r="G17" s="28">
        <v>0.0</v>
      </c>
      <c r="H17" s="31">
        <v>1.0</v>
      </c>
      <c r="I17" s="31">
        <v>7.0</v>
      </c>
      <c r="J17" s="31">
        <v>6.0</v>
      </c>
      <c r="K17" s="33">
        <v>14.0</v>
      </c>
      <c r="L17" s="31">
        <v>2.0</v>
      </c>
      <c r="M17" s="28">
        <f t="shared" ref="M17:N17" si="14">C17+K17</f>
        <v>198</v>
      </c>
      <c r="N17" s="29">
        <f t="shared" si="14"/>
        <v>12</v>
      </c>
      <c r="O17" s="35" t="s">
        <v>46</v>
      </c>
      <c r="P17" s="35" t="s">
        <v>46</v>
      </c>
      <c r="Q17" s="31">
        <f>if(G17=13,1,0)+VLOOKUP(B17,'050424'!B:Q,16,false)</f>
        <v>2</v>
      </c>
      <c r="R17" s="31"/>
      <c r="S17" s="31">
        <f>if(G17=9,1,0)+VLOOKUP(B17,'050424'!B:S,18,false)</f>
        <v>5</v>
      </c>
    </row>
    <row r="18">
      <c r="A18" s="26">
        <f t="shared" si="3"/>
        <v>14</v>
      </c>
      <c r="B18" s="27" t="s">
        <v>90</v>
      </c>
      <c r="C18" s="28">
        <v>183.0</v>
      </c>
      <c r="D18" s="29">
        <v>15.0</v>
      </c>
      <c r="E18" s="30">
        <v>1.0</v>
      </c>
      <c r="F18" s="31">
        <v>3.0</v>
      </c>
      <c r="G18" s="28">
        <v>0.0</v>
      </c>
      <c r="H18" s="31">
        <v>6.0</v>
      </c>
      <c r="I18" s="31">
        <v>7.0</v>
      </c>
      <c r="J18" s="31">
        <v>2.0</v>
      </c>
      <c r="K18" s="33">
        <v>15.0</v>
      </c>
      <c r="L18" s="31">
        <v>2.0</v>
      </c>
      <c r="M18" s="28">
        <f t="shared" ref="M18:N18" si="15">C18+K18</f>
        <v>198</v>
      </c>
      <c r="N18" s="29">
        <f t="shared" si="15"/>
        <v>17</v>
      </c>
      <c r="O18" s="35" t="s">
        <v>46</v>
      </c>
      <c r="P18" s="35" t="s">
        <v>46</v>
      </c>
      <c r="Q18" s="31">
        <f>if(G18=13,1,0)+VLOOKUP(B18,'050424'!B:Q,16,false)</f>
        <v>0</v>
      </c>
      <c r="R18" s="31"/>
      <c r="S18" s="31">
        <f>if(G18=9,1,0)+VLOOKUP(B18,'050424'!B:S,18,false)</f>
        <v>9</v>
      </c>
    </row>
    <row r="19">
      <c r="A19" s="26">
        <f t="shared" si="3"/>
        <v>15</v>
      </c>
      <c r="B19" s="27" t="s">
        <v>65</v>
      </c>
      <c r="C19" s="28">
        <v>180.0</v>
      </c>
      <c r="D19" s="29">
        <v>15.0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189</v>
      </c>
      <c r="N19" s="29">
        <f t="shared" si="16"/>
        <v>15</v>
      </c>
      <c r="O19" s="35" t="s">
        <v>46</v>
      </c>
      <c r="P19" s="35" t="s">
        <v>46</v>
      </c>
      <c r="Q19" s="31">
        <f>if(G19=13,1,0)+VLOOKUP(B19,'050424'!B:Q,16,false)</f>
        <v>0</v>
      </c>
      <c r="R19" s="31"/>
      <c r="S19" s="31">
        <f>if(G19=9,1,0)+VLOOKUP(B19,'050424'!B:S,18,false)</f>
        <v>11</v>
      </c>
    </row>
    <row r="20">
      <c r="A20" s="26">
        <f t="shared" si="3"/>
        <v>16</v>
      </c>
      <c r="B20" s="27" t="s">
        <v>63</v>
      </c>
      <c r="C20" s="28">
        <v>178.0</v>
      </c>
      <c r="D20" s="29">
        <v>15.0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187</v>
      </c>
      <c r="N20" s="29">
        <f t="shared" si="17"/>
        <v>15</v>
      </c>
      <c r="O20" s="35" t="s">
        <v>46</v>
      </c>
      <c r="P20" s="35" t="s">
        <v>46</v>
      </c>
      <c r="Q20" s="31">
        <f>if(G20=13,1,0)+VLOOKUP(B20,'050424'!B:Q,16,false)</f>
        <v>2</v>
      </c>
      <c r="R20" s="31"/>
      <c r="S20" s="31">
        <f>if(G20=9,1,0)+VLOOKUP(B20,'050424'!B:S,18,false)</f>
        <v>1</v>
      </c>
    </row>
    <row r="21">
      <c r="A21" s="26">
        <f t="shared" si="3"/>
        <v>17</v>
      </c>
      <c r="B21" s="27" t="s">
        <v>84</v>
      </c>
      <c r="C21" s="28">
        <v>176.0</v>
      </c>
      <c r="D21" s="29">
        <v>14.0</v>
      </c>
      <c r="E21" s="30">
        <v>2.0</v>
      </c>
      <c r="F21" s="31">
        <v>3.0</v>
      </c>
      <c r="G21" s="28">
        <v>0.0</v>
      </c>
      <c r="H21" s="31">
        <v>1.0</v>
      </c>
      <c r="I21" s="31">
        <v>5.0</v>
      </c>
      <c r="J21" s="31">
        <v>2.0</v>
      </c>
      <c r="K21" s="33">
        <v>8.0</v>
      </c>
      <c r="L21" s="31">
        <v>0.0</v>
      </c>
      <c r="M21" s="28">
        <f t="shared" ref="M21:N21" si="18">C21+K21</f>
        <v>184</v>
      </c>
      <c r="N21" s="29">
        <f t="shared" si="18"/>
        <v>14</v>
      </c>
      <c r="O21" s="35" t="s">
        <v>46</v>
      </c>
      <c r="P21" s="35" t="s">
        <v>46</v>
      </c>
      <c r="Q21" s="31">
        <f>if(G21=13,1,0)+VLOOKUP(B21,'050424'!B:Q,16,false)</f>
        <v>2</v>
      </c>
      <c r="R21" s="31"/>
      <c r="S21" s="31">
        <f>if(G21=9,1,0)+VLOOKUP(B21,'050424'!B:S,18,false)</f>
        <v>0</v>
      </c>
    </row>
    <row r="22">
      <c r="A22" s="26">
        <f t="shared" si="3"/>
        <v>18</v>
      </c>
      <c r="B22" s="27" t="s">
        <v>96</v>
      </c>
      <c r="C22" s="28">
        <v>176.0</v>
      </c>
      <c r="D22" s="29">
        <v>14.0</v>
      </c>
      <c r="E22" s="30">
        <v>2.0</v>
      </c>
      <c r="F22" s="31">
        <v>4.0</v>
      </c>
      <c r="G22" s="28">
        <v>0.0</v>
      </c>
      <c r="H22" s="31">
        <v>7.0</v>
      </c>
      <c r="I22" s="31">
        <v>3.0</v>
      </c>
      <c r="J22" s="31">
        <v>4.0</v>
      </c>
      <c r="K22" s="33">
        <v>14.0</v>
      </c>
      <c r="L22" s="31">
        <v>1.0</v>
      </c>
      <c r="M22" s="28">
        <f t="shared" ref="M22:N22" si="19">C22+K22</f>
        <v>190</v>
      </c>
      <c r="N22" s="29">
        <f t="shared" si="19"/>
        <v>15</v>
      </c>
      <c r="O22" s="35" t="s">
        <v>46</v>
      </c>
      <c r="P22" s="35" t="s">
        <v>46</v>
      </c>
      <c r="Q22" s="31">
        <f>if(G22=13,1,0)+VLOOKUP(B22,'050424'!B:Q,16,false)</f>
        <v>1</v>
      </c>
      <c r="R22" s="31"/>
      <c r="S22" s="31">
        <f>if(G22=9,1,0)+VLOOKUP(B22,'050424'!B:S,18,false)</f>
        <v>3</v>
      </c>
    </row>
    <row r="23">
      <c r="A23" s="26">
        <f t="shared" si="3"/>
        <v>19</v>
      </c>
      <c r="B23" s="54" t="s">
        <v>95</v>
      </c>
      <c r="C23" s="28">
        <v>171.0</v>
      </c>
      <c r="D23" s="29">
        <v>16.0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180</v>
      </c>
      <c r="N23" s="29">
        <f t="shared" si="20"/>
        <v>16</v>
      </c>
      <c r="O23" s="35" t="s">
        <v>46</v>
      </c>
      <c r="P23" s="35" t="s">
        <v>46</v>
      </c>
      <c r="Q23" s="31">
        <f>if(G23=13,1,0)+VLOOKUP(B23,'050424'!B:Q,16,false)</f>
        <v>0</v>
      </c>
      <c r="R23" s="31"/>
      <c r="S23" s="31">
        <f>if(G23=9,1,0)+VLOOKUP(B23,'050424'!B:S,18,false)</f>
        <v>4</v>
      </c>
    </row>
    <row r="24">
      <c r="A24" s="26">
        <f t="shared" si="3"/>
        <v>20</v>
      </c>
      <c r="B24" s="54" t="s">
        <v>59</v>
      </c>
      <c r="C24" s="28">
        <v>171.0</v>
      </c>
      <c r="D24" s="29">
        <v>15.0</v>
      </c>
      <c r="E24" s="30">
        <v>1.0</v>
      </c>
      <c r="F24" s="31">
        <v>4.0</v>
      </c>
      <c r="G24" s="28">
        <v>0.0</v>
      </c>
      <c r="H24" s="31">
        <v>5.0</v>
      </c>
      <c r="I24" s="31">
        <v>6.0</v>
      </c>
      <c r="J24" s="31">
        <v>4.0</v>
      </c>
      <c r="K24" s="33">
        <v>15.0</v>
      </c>
      <c r="L24" s="31">
        <v>1.0</v>
      </c>
      <c r="M24" s="28">
        <f t="shared" ref="M24:N24" si="21">C24+K24</f>
        <v>186</v>
      </c>
      <c r="N24" s="29">
        <f t="shared" si="21"/>
        <v>16</v>
      </c>
      <c r="O24" s="35" t="s">
        <v>46</v>
      </c>
      <c r="P24" s="35" t="s">
        <v>46</v>
      </c>
      <c r="Q24" s="31">
        <f>if(G24=13,1,0)+VLOOKUP(B24,'050424'!B:Q,16,false)</f>
        <v>1</v>
      </c>
      <c r="R24" s="31"/>
      <c r="S24" s="31">
        <f>if(G24=9,1,0)+VLOOKUP(B24,'050424'!B:S,18,false)</f>
        <v>5</v>
      </c>
    </row>
    <row r="25">
      <c r="A25" s="26">
        <f t="shared" si="3"/>
        <v>21</v>
      </c>
      <c r="B25" s="27" t="s">
        <v>102</v>
      </c>
      <c r="C25" s="28">
        <v>171.0</v>
      </c>
      <c r="D25" s="29">
        <v>10.0</v>
      </c>
      <c r="E25" s="30">
        <v>1.0</v>
      </c>
      <c r="F25" s="31">
        <v>4.0</v>
      </c>
      <c r="G25" s="28">
        <v>0.0</v>
      </c>
      <c r="H25" s="31">
        <v>7.0</v>
      </c>
      <c r="I25" s="31">
        <v>6.0</v>
      </c>
      <c r="J25" s="31">
        <v>6.0</v>
      </c>
      <c r="K25" s="33">
        <v>19.0</v>
      </c>
      <c r="L25" s="31">
        <v>3.0</v>
      </c>
      <c r="M25" s="28">
        <f t="shared" ref="M25:N25" si="22">C25+K25</f>
        <v>190</v>
      </c>
      <c r="N25" s="29">
        <f t="shared" si="22"/>
        <v>13</v>
      </c>
      <c r="O25" s="35" t="s">
        <v>46</v>
      </c>
      <c r="P25" s="35" t="s">
        <v>46</v>
      </c>
      <c r="Q25" s="31">
        <f>if(G25=13,1,0)+VLOOKUP(B25,'050424'!B:Q,16,false)</f>
        <v>0</v>
      </c>
      <c r="R25" s="31"/>
      <c r="S25" s="31">
        <f>if(G25=9,1,0)+VLOOKUP(B25,'050424'!B:S,18,false)</f>
        <v>10</v>
      </c>
    </row>
    <row r="26">
      <c r="A26" s="26">
        <f t="shared" si="3"/>
        <v>22</v>
      </c>
      <c r="B26" s="39" t="s">
        <v>86</v>
      </c>
      <c r="C26" s="28">
        <v>170.0</v>
      </c>
      <c r="D26" s="29">
        <v>17.0</v>
      </c>
      <c r="E26" s="30">
        <v>2.0</v>
      </c>
      <c r="F26" s="31">
        <v>4.0</v>
      </c>
      <c r="G26" s="28">
        <v>0.0</v>
      </c>
      <c r="H26" s="31">
        <v>5.0</v>
      </c>
      <c r="I26" s="31">
        <v>3.0</v>
      </c>
      <c r="J26" s="31">
        <v>6.0</v>
      </c>
      <c r="K26" s="33">
        <v>14.0</v>
      </c>
      <c r="L26" s="31">
        <v>1.0</v>
      </c>
      <c r="M26" s="28">
        <f t="shared" ref="M26:N26" si="23">C26+K26</f>
        <v>184</v>
      </c>
      <c r="N26" s="29">
        <f t="shared" si="23"/>
        <v>18</v>
      </c>
      <c r="O26" s="35" t="s">
        <v>46</v>
      </c>
      <c r="P26" s="35" t="s">
        <v>46</v>
      </c>
      <c r="Q26" s="31">
        <f>if(G26=13,1,0)+VLOOKUP(B26,'050424'!B:Q,16,false)</f>
        <v>1</v>
      </c>
      <c r="R26" s="31"/>
      <c r="S26" s="31">
        <f>if(G26=9,1,0)+VLOOKUP(B26,'050424'!B:S,18,false)</f>
        <v>4</v>
      </c>
    </row>
    <row r="27">
      <c r="A27" s="26">
        <f t="shared" si="3"/>
        <v>23</v>
      </c>
      <c r="B27" s="27" t="s">
        <v>79</v>
      </c>
      <c r="C27" s="28">
        <v>170.0</v>
      </c>
      <c r="D27" s="29">
        <v>13.0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179</v>
      </c>
      <c r="N27" s="29">
        <f t="shared" si="24"/>
        <v>13</v>
      </c>
      <c r="O27" s="35" t="s">
        <v>46</v>
      </c>
      <c r="P27" s="35" t="s">
        <v>46</v>
      </c>
      <c r="Q27" s="31">
        <f>if(G27=13,1,0)+VLOOKUP(B27,'050424'!B:Q,16,false)</f>
        <v>0</v>
      </c>
      <c r="R27" s="31"/>
      <c r="S27" s="31">
        <f>if(G27=9,1,0)+VLOOKUP(B27,'050424'!B:S,18,false)</f>
        <v>7</v>
      </c>
    </row>
    <row r="28">
      <c r="A28" s="26">
        <f t="shared" si="3"/>
        <v>24</v>
      </c>
      <c r="B28" s="39" t="s">
        <v>71</v>
      </c>
      <c r="C28" s="28">
        <v>170.0</v>
      </c>
      <c r="D28" s="29">
        <v>11.0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179</v>
      </c>
      <c r="N28" s="29">
        <f t="shared" si="25"/>
        <v>11</v>
      </c>
      <c r="O28" s="35" t="s">
        <v>46</v>
      </c>
      <c r="P28" s="35" t="s">
        <v>46</v>
      </c>
      <c r="Q28" s="31">
        <f>if(G28=13,1,0)+VLOOKUP(B28,'050424'!B:Q,16,false)</f>
        <v>0</v>
      </c>
      <c r="R28" s="31"/>
      <c r="S28" s="31">
        <f>if(G28=9,1,0)+VLOOKUP(B28,'050424'!B:S,18,false)</f>
        <v>10</v>
      </c>
    </row>
    <row r="29">
      <c r="A29" s="26">
        <f t="shared" si="3"/>
        <v>25</v>
      </c>
      <c r="B29" s="27" t="s">
        <v>56</v>
      </c>
      <c r="C29" s="28">
        <v>170.0</v>
      </c>
      <c r="D29" s="29">
        <v>11.0</v>
      </c>
      <c r="E29" s="30">
        <v>1.0</v>
      </c>
      <c r="F29" s="31">
        <v>5.0</v>
      </c>
      <c r="G29" s="28">
        <v>0.0</v>
      </c>
      <c r="H29" s="31">
        <v>6.0</v>
      </c>
      <c r="I29" s="31">
        <v>6.0</v>
      </c>
      <c r="J29" s="31">
        <v>6.0</v>
      </c>
      <c r="K29" s="33">
        <v>18.0</v>
      </c>
      <c r="L29" s="31">
        <v>3.0</v>
      </c>
      <c r="M29" s="28">
        <f t="shared" ref="M29:N29" si="26">C29+K29</f>
        <v>188</v>
      </c>
      <c r="N29" s="29">
        <f t="shared" si="26"/>
        <v>14</v>
      </c>
      <c r="O29" s="35" t="s">
        <v>46</v>
      </c>
      <c r="P29" s="35" t="s">
        <v>46</v>
      </c>
      <c r="Q29" s="31">
        <f>if(G29=13,1,0)+VLOOKUP(B29,'050424'!B:Q,16,false)</f>
        <v>0</v>
      </c>
      <c r="R29" s="31"/>
      <c r="S29" s="31">
        <f>if(G29=9,1,0)+VLOOKUP(B29,'050424'!B:S,18,false)</f>
        <v>11</v>
      </c>
    </row>
    <row r="30">
      <c r="A30" s="26">
        <f t="shared" si="3"/>
        <v>26</v>
      </c>
      <c r="B30" s="27" t="s">
        <v>107</v>
      </c>
      <c r="C30" s="28">
        <v>168.0</v>
      </c>
      <c r="D30" s="29">
        <v>9.0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177</v>
      </c>
      <c r="N30" s="29">
        <f t="shared" si="27"/>
        <v>9</v>
      </c>
      <c r="O30" s="35" t="s">
        <v>46</v>
      </c>
      <c r="P30" s="35" t="s">
        <v>46</v>
      </c>
      <c r="Q30" s="31">
        <f>if(G30=13,1,0)+VLOOKUP(B30,'050424'!B:Q,16,false)</f>
        <v>2</v>
      </c>
      <c r="R30" s="31"/>
      <c r="S30" s="31">
        <f>if(G30=9,1,0)+VLOOKUP(B30,'050424'!B:S,18,false)</f>
        <v>9</v>
      </c>
    </row>
    <row r="31">
      <c r="A31" s="26">
        <f t="shared" si="3"/>
        <v>27</v>
      </c>
      <c r="B31" s="27" t="s">
        <v>78</v>
      </c>
      <c r="C31" s="28">
        <v>167.0</v>
      </c>
      <c r="D31" s="29">
        <v>14.0</v>
      </c>
      <c r="E31" s="30">
        <v>1.0</v>
      </c>
      <c r="F31" s="31">
        <v>5.0</v>
      </c>
      <c r="G31" s="28">
        <v>0.0</v>
      </c>
      <c r="H31" s="31">
        <v>2.0</v>
      </c>
      <c r="I31" s="31">
        <v>6.0</v>
      </c>
      <c r="J31" s="31">
        <v>3.0</v>
      </c>
      <c r="K31" s="33">
        <v>11.0</v>
      </c>
      <c r="L31" s="31">
        <v>1.0</v>
      </c>
      <c r="M31" s="28">
        <f t="shared" ref="M31:N31" si="28">C31+K31</f>
        <v>178</v>
      </c>
      <c r="N31" s="29">
        <f t="shared" si="28"/>
        <v>15</v>
      </c>
      <c r="O31" s="35" t="s">
        <v>46</v>
      </c>
      <c r="P31" s="35" t="s">
        <v>46</v>
      </c>
      <c r="Q31" s="31">
        <f>if(G31=13,1,0)+VLOOKUP(B31,'050424'!B:Q,16,false)</f>
        <v>0</v>
      </c>
      <c r="R31" s="31"/>
      <c r="S31" s="31">
        <f>if(G31=9,1,0)+VLOOKUP(B31,'050424'!B:S,18,false)</f>
        <v>5</v>
      </c>
    </row>
    <row r="32">
      <c r="A32" s="26">
        <f t="shared" si="3"/>
        <v>28</v>
      </c>
      <c r="B32" s="54" t="s">
        <v>73</v>
      </c>
      <c r="C32" s="28">
        <v>167.0</v>
      </c>
      <c r="D32" s="29">
        <v>14.0</v>
      </c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f t="shared" ref="M32:N32" si="29">C32+K32</f>
        <v>176</v>
      </c>
      <c r="N32" s="29">
        <f t="shared" si="29"/>
        <v>14</v>
      </c>
      <c r="O32" s="35" t="s">
        <v>46</v>
      </c>
      <c r="P32" s="35" t="s">
        <v>46</v>
      </c>
      <c r="Q32" s="31">
        <f>if(G32=13,1,0)+VLOOKUP(B32,'050424'!B:Q,16,false)</f>
        <v>0</v>
      </c>
      <c r="R32" s="31"/>
      <c r="S32" s="31">
        <f>if(G32=9,1,0)+VLOOKUP(B32,'050424'!B:S,18,false)</f>
        <v>2</v>
      </c>
    </row>
    <row r="33">
      <c r="A33" s="26">
        <f t="shared" si="3"/>
        <v>29</v>
      </c>
      <c r="B33" s="39" t="s">
        <v>111</v>
      </c>
      <c r="C33" s="28">
        <v>166.0</v>
      </c>
      <c r="D33" s="29">
        <v>10.0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175</v>
      </c>
      <c r="N33" s="29">
        <f t="shared" si="30"/>
        <v>10</v>
      </c>
      <c r="O33" s="35" t="s">
        <v>46</v>
      </c>
      <c r="P33" s="35" t="s">
        <v>46</v>
      </c>
      <c r="Q33" s="31">
        <f>if(G33=13,1,0)+VLOOKUP(B33,'050424'!B:Q,16,false)</f>
        <v>0</v>
      </c>
      <c r="R33" s="31"/>
      <c r="S33" s="31">
        <f>if(G33=9,1,0)+VLOOKUP(B33,'050424'!B:S,18,false)</f>
        <v>11</v>
      </c>
    </row>
    <row r="34">
      <c r="A34" s="26">
        <f t="shared" si="3"/>
        <v>30</v>
      </c>
      <c r="B34" s="27" t="s">
        <v>98</v>
      </c>
      <c r="C34" s="28">
        <v>165.0</v>
      </c>
      <c r="D34" s="29">
        <v>8.0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174</v>
      </c>
      <c r="N34" s="29">
        <f t="shared" si="31"/>
        <v>8</v>
      </c>
      <c r="O34" s="35" t="s">
        <v>46</v>
      </c>
      <c r="P34" s="35" t="s">
        <v>46</v>
      </c>
      <c r="Q34" s="31">
        <f>if(G34=13,1,0)+VLOOKUP(B34,'050424'!B:Q,16,false)</f>
        <v>1</v>
      </c>
      <c r="R34" s="31"/>
      <c r="S34" s="31">
        <f>if(G34=9,1,0)+VLOOKUP(B34,'050424'!B:S,18,false)</f>
        <v>11</v>
      </c>
    </row>
    <row r="35">
      <c r="A35" s="26">
        <f t="shared" si="3"/>
        <v>31</v>
      </c>
      <c r="B35" s="27" t="s">
        <v>76</v>
      </c>
      <c r="C35" s="28">
        <v>164.0</v>
      </c>
      <c r="D35" s="29">
        <v>8.0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173</v>
      </c>
      <c r="N35" s="29">
        <f t="shared" si="32"/>
        <v>8</v>
      </c>
      <c r="O35" s="35" t="s">
        <v>46</v>
      </c>
      <c r="P35" s="35" t="s">
        <v>46</v>
      </c>
      <c r="Q35" s="31">
        <f>if(G35=13,1,0)+VLOOKUP(B35,'050424'!B:Q,16,false)</f>
        <v>1</v>
      </c>
      <c r="R35" s="31"/>
      <c r="S35" s="31">
        <f>if(G35=9,1,0)+VLOOKUP(B35,'050424'!B:S,18,false)</f>
        <v>8</v>
      </c>
    </row>
    <row r="36">
      <c r="A36" s="26">
        <f t="shared" si="3"/>
        <v>32</v>
      </c>
      <c r="B36" s="27" t="s">
        <v>83</v>
      </c>
      <c r="C36" s="28">
        <v>162.0</v>
      </c>
      <c r="D36" s="29">
        <v>13.0</v>
      </c>
      <c r="E36" s="30">
        <v>2.0</v>
      </c>
      <c r="F36" s="31">
        <v>5.0</v>
      </c>
      <c r="G36" s="28">
        <v>0.0</v>
      </c>
      <c r="H36" s="31">
        <v>6.0</v>
      </c>
      <c r="I36" s="31">
        <v>0.0</v>
      </c>
      <c r="J36" s="31">
        <v>3.0</v>
      </c>
      <c r="K36" s="33">
        <v>9.0</v>
      </c>
      <c r="L36" s="31">
        <v>1.0</v>
      </c>
      <c r="M36" s="28">
        <f t="shared" ref="M36:N36" si="33">C36+K36</f>
        <v>171</v>
      </c>
      <c r="N36" s="29">
        <f t="shared" si="33"/>
        <v>14</v>
      </c>
      <c r="O36" s="35" t="s">
        <v>46</v>
      </c>
      <c r="P36" s="35" t="s">
        <v>46</v>
      </c>
      <c r="Q36" s="31">
        <f>if(G36=13,1,0)+VLOOKUP(B36,'050424'!B:Q,16,false)</f>
        <v>1</v>
      </c>
      <c r="R36" s="31"/>
      <c r="S36" s="31">
        <f>if(G36=9,1,0)+VLOOKUP(B36,'050424'!B:S,18,false)</f>
        <v>4</v>
      </c>
    </row>
    <row r="37">
      <c r="A37" s="26">
        <f t="shared" si="3"/>
        <v>33</v>
      </c>
      <c r="B37" s="54" t="s">
        <v>47</v>
      </c>
      <c r="C37" s="28">
        <v>162.0</v>
      </c>
      <c r="D37" s="29">
        <v>12.0</v>
      </c>
      <c r="E37" s="30">
        <v>1.0</v>
      </c>
      <c r="F37" s="31">
        <v>5.0</v>
      </c>
      <c r="G37" s="28">
        <v>0.0</v>
      </c>
      <c r="H37" s="31">
        <v>2.0</v>
      </c>
      <c r="I37" s="31">
        <v>0.0</v>
      </c>
      <c r="J37" s="31">
        <v>6.0</v>
      </c>
      <c r="K37" s="33">
        <v>8.0</v>
      </c>
      <c r="L37" s="31">
        <v>1.0</v>
      </c>
      <c r="M37" s="28">
        <f t="shared" ref="M37:N37" si="34">C37+K37</f>
        <v>170</v>
      </c>
      <c r="N37" s="29">
        <f t="shared" si="34"/>
        <v>13</v>
      </c>
      <c r="O37" s="35" t="s">
        <v>46</v>
      </c>
      <c r="P37" s="35" t="s">
        <v>46</v>
      </c>
      <c r="Q37" s="31">
        <f>if(G37=13,1,0)+VLOOKUP(B37,'050424'!B:Q,16,false)</f>
        <v>0</v>
      </c>
      <c r="R37" s="31"/>
      <c r="S37" s="31">
        <f>if(G37=9,1,0)+VLOOKUP(B37,'050424'!B:S,18,false)</f>
        <v>1</v>
      </c>
    </row>
    <row r="38">
      <c r="A38" s="26">
        <f t="shared" si="3"/>
        <v>34</v>
      </c>
      <c r="B38" s="27" t="s">
        <v>66</v>
      </c>
      <c r="C38" s="28">
        <v>162.0</v>
      </c>
      <c r="D38" s="29">
        <v>10.0</v>
      </c>
      <c r="E38" s="30">
        <v>2.0</v>
      </c>
      <c r="F38" s="31">
        <v>6.0</v>
      </c>
      <c r="G38" s="28">
        <v>0.0</v>
      </c>
      <c r="H38" s="31">
        <v>2.0</v>
      </c>
      <c r="I38" s="31">
        <v>2.0</v>
      </c>
      <c r="J38" s="31">
        <v>6.0</v>
      </c>
      <c r="K38" s="33">
        <v>10.0</v>
      </c>
      <c r="L38" s="31">
        <v>1.0</v>
      </c>
      <c r="M38" s="28">
        <f t="shared" ref="M38:N38" si="35">C38+K38</f>
        <v>172</v>
      </c>
      <c r="N38" s="29">
        <f t="shared" si="35"/>
        <v>11</v>
      </c>
      <c r="O38" s="35" t="s">
        <v>46</v>
      </c>
      <c r="P38" s="35" t="s">
        <v>46</v>
      </c>
      <c r="Q38" s="31">
        <f>if(G38=13,1,0)+VLOOKUP(B38,'050424'!B:Q,16,false)</f>
        <v>1</v>
      </c>
      <c r="R38" s="31"/>
      <c r="S38" s="31">
        <f>if(G38=9,1,0)+VLOOKUP(B38,'050424'!B:S,18,false)</f>
        <v>3</v>
      </c>
    </row>
    <row r="39">
      <c r="A39" s="26">
        <f t="shared" si="3"/>
        <v>35</v>
      </c>
      <c r="B39" s="27" t="s">
        <v>68</v>
      </c>
      <c r="C39" s="28">
        <v>162.0</v>
      </c>
      <c r="D39" s="29">
        <v>8.0</v>
      </c>
      <c r="E39" s="30">
        <v>2.0</v>
      </c>
      <c r="F39" s="31">
        <v>6.0</v>
      </c>
      <c r="G39" s="28">
        <v>0.0</v>
      </c>
      <c r="H39" s="31">
        <v>6.0</v>
      </c>
      <c r="I39" s="31">
        <v>6.0</v>
      </c>
      <c r="J39" s="31">
        <v>6.0</v>
      </c>
      <c r="K39" s="33">
        <v>18.0</v>
      </c>
      <c r="L39" s="31">
        <v>3.0</v>
      </c>
      <c r="M39" s="28">
        <f t="shared" ref="M39:N39" si="36">C39+K39</f>
        <v>180</v>
      </c>
      <c r="N39" s="29">
        <f t="shared" si="36"/>
        <v>11</v>
      </c>
      <c r="O39" s="35" t="s">
        <v>46</v>
      </c>
      <c r="P39" s="35" t="s">
        <v>46</v>
      </c>
      <c r="Q39" s="31">
        <f>if(G39=13,1,0)+VLOOKUP(B39,'050424'!B:Q,16,false)</f>
        <v>2</v>
      </c>
      <c r="R39" s="31"/>
      <c r="S39" s="31">
        <f>if(G39=9,1,0)+VLOOKUP(B39,'050424'!B:S,18,false)</f>
        <v>9</v>
      </c>
    </row>
    <row r="40">
      <c r="A40" s="26">
        <f t="shared" si="3"/>
        <v>36</v>
      </c>
      <c r="B40" s="54" t="s">
        <v>100</v>
      </c>
      <c r="C40" s="28">
        <v>161.0</v>
      </c>
      <c r="D40" s="29">
        <v>9.0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170</v>
      </c>
      <c r="N40" s="29">
        <f t="shared" si="37"/>
        <v>9</v>
      </c>
      <c r="O40" s="35" t="s">
        <v>46</v>
      </c>
      <c r="P40" s="35" t="s">
        <v>46</v>
      </c>
      <c r="Q40" s="31">
        <f>if(G40=13,1,0)+VLOOKUP(B40,'050424'!B:Q,16,false)</f>
        <v>1</v>
      </c>
      <c r="R40" s="31"/>
      <c r="S40" s="31">
        <f>if(G40=9,1,0)+VLOOKUP(B40,'050424'!B:S,18,false)</f>
        <v>9</v>
      </c>
    </row>
    <row r="41">
      <c r="A41" s="26">
        <f t="shared" si="3"/>
        <v>37</v>
      </c>
      <c r="B41" s="54" t="s">
        <v>89</v>
      </c>
      <c r="C41" s="28">
        <v>159.0</v>
      </c>
      <c r="D41" s="29">
        <v>13.0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168</v>
      </c>
      <c r="N41" s="29">
        <f t="shared" si="38"/>
        <v>13</v>
      </c>
      <c r="O41" s="35" t="s">
        <v>46</v>
      </c>
      <c r="P41" s="35" t="s">
        <v>46</v>
      </c>
      <c r="Q41" s="31">
        <f>if(G41=13,1,0)+VLOOKUP(B41,'050424'!B:Q,16,false)</f>
        <v>0</v>
      </c>
      <c r="R41" s="31"/>
      <c r="S41" s="31">
        <f>if(G41=9,1,0)+VLOOKUP(B41,'050424'!B:S,18,false)</f>
        <v>5</v>
      </c>
    </row>
    <row r="42">
      <c r="A42" s="26">
        <f t="shared" si="3"/>
        <v>38</v>
      </c>
      <c r="B42" s="39" t="s">
        <v>106</v>
      </c>
      <c r="C42" s="28">
        <v>159.0</v>
      </c>
      <c r="D42" s="29">
        <v>8.0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168</v>
      </c>
      <c r="N42" s="29">
        <f t="shared" si="39"/>
        <v>8</v>
      </c>
      <c r="O42" s="35" t="s">
        <v>46</v>
      </c>
      <c r="P42" s="35" t="s">
        <v>46</v>
      </c>
      <c r="Q42" s="31">
        <f>if(G42=13,1,0)+VLOOKUP(B42,'050424'!B:Q,16,false)</f>
        <v>0</v>
      </c>
      <c r="R42" s="31"/>
      <c r="S42" s="31">
        <f>if(G42=9,1,0)+VLOOKUP(B42,'050424'!B:S,18,false)</f>
        <v>10</v>
      </c>
    </row>
    <row r="43">
      <c r="A43" s="26">
        <f t="shared" si="3"/>
        <v>39</v>
      </c>
      <c r="B43" s="54" t="s">
        <v>94</v>
      </c>
      <c r="C43" s="28">
        <v>158.0</v>
      </c>
      <c r="D43" s="29">
        <v>14.0</v>
      </c>
      <c r="E43" s="30">
        <v>1.0</v>
      </c>
      <c r="F43" s="31">
        <v>6.0</v>
      </c>
      <c r="G43" s="28">
        <v>0.0</v>
      </c>
      <c r="H43" s="31">
        <v>6.0</v>
      </c>
      <c r="I43" s="31">
        <v>2.0</v>
      </c>
      <c r="J43" s="31">
        <v>2.0</v>
      </c>
      <c r="K43" s="33">
        <v>10.0</v>
      </c>
      <c r="L43" s="31">
        <v>1.0</v>
      </c>
      <c r="M43" s="28">
        <f t="shared" ref="M43:N43" si="40">C43+K43</f>
        <v>168</v>
      </c>
      <c r="N43" s="29">
        <f t="shared" si="40"/>
        <v>15</v>
      </c>
      <c r="O43" s="35" t="s">
        <v>46</v>
      </c>
      <c r="P43" s="35" t="s">
        <v>46</v>
      </c>
      <c r="Q43" s="31">
        <f>if(G43=13,1,0)+VLOOKUP(B43,'050424'!B:Q,16,false)</f>
        <v>0</v>
      </c>
      <c r="R43" s="31"/>
      <c r="S43" s="31">
        <f>if(G43=9,1,0)+VLOOKUP(B43,'050424'!B:S,18,false)</f>
        <v>1</v>
      </c>
    </row>
    <row r="44">
      <c r="A44" s="26">
        <f t="shared" si="3"/>
        <v>40</v>
      </c>
      <c r="B44" s="27" t="s">
        <v>110</v>
      </c>
      <c r="C44" s="28">
        <v>158.0</v>
      </c>
      <c r="D44" s="29">
        <v>7.0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167</v>
      </c>
      <c r="N44" s="29">
        <f t="shared" si="41"/>
        <v>7</v>
      </c>
      <c r="O44" s="35" t="s">
        <v>46</v>
      </c>
      <c r="P44" s="35" t="s">
        <v>46</v>
      </c>
      <c r="Q44" s="31">
        <f>if(G44=13,1,0)+VLOOKUP(B44,'050424'!B:Q,16,false)</f>
        <v>1</v>
      </c>
      <c r="R44" s="31"/>
      <c r="S44" s="31">
        <f>if(G44=9,1,0)+VLOOKUP(B44,'050424'!B:S,18,false)</f>
        <v>10</v>
      </c>
    </row>
    <row r="45">
      <c r="A45" s="26">
        <f t="shared" si="3"/>
        <v>41</v>
      </c>
      <c r="B45" s="27" t="s">
        <v>113</v>
      </c>
      <c r="C45" s="28">
        <v>158.0</v>
      </c>
      <c r="D45" s="29">
        <v>5.0</v>
      </c>
      <c r="E45" s="30">
        <v>3.0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167</v>
      </c>
      <c r="N45" s="29">
        <f t="shared" si="42"/>
        <v>5</v>
      </c>
      <c r="O45" s="35" t="s">
        <v>46</v>
      </c>
      <c r="P45" s="35" t="s">
        <v>46</v>
      </c>
      <c r="Q45" s="31">
        <f>if(G45=13,1,0)+VLOOKUP(B45,'050424'!B:Q,16,false)</f>
        <v>1</v>
      </c>
      <c r="R45" s="31"/>
      <c r="S45" s="31">
        <f>if(G45=9,1,0)+VLOOKUP(B45,'050424'!B:S,18,false)</f>
        <v>13</v>
      </c>
    </row>
    <row r="46">
      <c r="A46" s="26">
        <f t="shared" si="3"/>
        <v>42</v>
      </c>
      <c r="B46" s="54" t="s">
        <v>108</v>
      </c>
      <c r="C46" s="28">
        <v>157.0</v>
      </c>
      <c r="D46" s="29">
        <v>13.0</v>
      </c>
      <c r="E46" s="30">
        <v>1.0</v>
      </c>
      <c r="F46" s="31">
        <v>6.0</v>
      </c>
      <c r="G46" s="28">
        <v>0.0</v>
      </c>
      <c r="H46" s="31">
        <v>2.0</v>
      </c>
      <c r="I46" s="31">
        <v>6.0</v>
      </c>
      <c r="J46" s="31">
        <v>2.0</v>
      </c>
      <c r="K46" s="33">
        <v>10.0</v>
      </c>
      <c r="L46" s="31">
        <v>1.0</v>
      </c>
      <c r="M46" s="28">
        <f t="shared" ref="M46:N46" si="43">C46+K46</f>
        <v>167</v>
      </c>
      <c r="N46" s="29">
        <f t="shared" si="43"/>
        <v>14</v>
      </c>
      <c r="O46" s="35" t="s">
        <v>46</v>
      </c>
      <c r="P46" s="35" t="s">
        <v>46</v>
      </c>
      <c r="Q46" s="31">
        <f>if(G46=13,1,0)+VLOOKUP(B46,'050424'!B:Q,16,false)</f>
        <v>0</v>
      </c>
      <c r="R46" s="31"/>
      <c r="S46" s="31">
        <f>if(G46=9,1,0)+VLOOKUP(B46,'050424'!B:S,18,false)</f>
        <v>2</v>
      </c>
    </row>
    <row r="47">
      <c r="A47" s="26">
        <f t="shared" si="3"/>
        <v>43</v>
      </c>
      <c r="B47" s="27" t="s">
        <v>112</v>
      </c>
      <c r="C47" s="28">
        <v>157.0</v>
      </c>
      <c r="D47" s="29">
        <v>7.0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166</v>
      </c>
      <c r="N47" s="29">
        <f t="shared" si="44"/>
        <v>7</v>
      </c>
      <c r="O47" s="35" t="s">
        <v>46</v>
      </c>
      <c r="P47" s="35" t="s">
        <v>46</v>
      </c>
      <c r="Q47" s="31">
        <f>if(G47=13,1,0)+VLOOKUP(B47,'050424'!B:Q,16,false)</f>
        <v>0</v>
      </c>
      <c r="R47" s="31"/>
      <c r="S47" s="31">
        <f>if(G47=9,1,0)+VLOOKUP(B47,'050424'!B:S,18,false)</f>
        <v>12</v>
      </c>
    </row>
    <row r="48">
      <c r="A48" s="26">
        <f t="shared" si="3"/>
        <v>44</v>
      </c>
      <c r="B48" s="27" t="s">
        <v>42</v>
      </c>
      <c r="C48" s="28">
        <v>156.0</v>
      </c>
      <c r="D48" s="29">
        <v>10.0</v>
      </c>
      <c r="E48" s="30">
        <v>1.0</v>
      </c>
      <c r="F48" s="31">
        <v>7.0</v>
      </c>
      <c r="G48" s="28">
        <v>0.0</v>
      </c>
      <c r="H48" s="31">
        <v>6.0</v>
      </c>
      <c r="I48" s="31">
        <v>6.0</v>
      </c>
      <c r="J48" s="31">
        <v>0.0</v>
      </c>
      <c r="K48" s="33">
        <v>12.0</v>
      </c>
      <c r="L48" s="31">
        <v>2.0</v>
      </c>
      <c r="M48" s="28">
        <f t="shared" ref="M48:N48" si="45">C48+K48</f>
        <v>168</v>
      </c>
      <c r="N48" s="29">
        <f t="shared" si="45"/>
        <v>12</v>
      </c>
      <c r="O48" s="35" t="s">
        <v>46</v>
      </c>
      <c r="P48" s="35" t="s">
        <v>46</v>
      </c>
      <c r="Q48" s="31">
        <f>if(G48=13,1,0)+VLOOKUP(B48,'050424'!B:Q,16,false)</f>
        <v>0</v>
      </c>
      <c r="R48" s="31"/>
      <c r="S48" s="31">
        <f>if(G48=9,1,0)+VLOOKUP(B48,'050424'!B:S,18,false)</f>
        <v>5</v>
      </c>
    </row>
    <row r="49">
      <c r="A49" s="26">
        <f t="shared" si="3"/>
        <v>45</v>
      </c>
      <c r="B49" s="39" t="s">
        <v>45</v>
      </c>
      <c r="C49" s="28">
        <v>156.0</v>
      </c>
      <c r="D49" s="29">
        <v>9.0</v>
      </c>
      <c r="E49" s="30">
        <v>2.0</v>
      </c>
      <c r="F49" s="31">
        <v>7.0</v>
      </c>
      <c r="G49" s="28">
        <v>0.0</v>
      </c>
      <c r="H49" s="31">
        <v>3.0</v>
      </c>
      <c r="I49" s="31">
        <v>3.0</v>
      </c>
      <c r="J49" s="31">
        <v>0.0</v>
      </c>
      <c r="K49" s="33">
        <v>6.0</v>
      </c>
      <c r="L49" s="31">
        <v>0.0</v>
      </c>
      <c r="M49" s="28">
        <f t="shared" ref="M49:N49" si="46">C49+K49</f>
        <v>162</v>
      </c>
      <c r="N49" s="29">
        <f t="shared" si="46"/>
        <v>9</v>
      </c>
      <c r="O49" s="35" t="s">
        <v>46</v>
      </c>
      <c r="P49" s="35" t="s">
        <v>46</v>
      </c>
      <c r="Q49" s="31">
        <f>if(G49=13,1,0)+VLOOKUP(B49,'050424'!B:Q,16,false)</f>
        <v>1</v>
      </c>
      <c r="R49" s="31"/>
      <c r="S49" s="31">
        <f>if(G49=9,1,0)+VLOOKUP(B49,'050424'!B:S,18,false)</f>
        <v>6</v>
      </c>
    </row>
    <row r="50">
      <c r="A50" s="26">
        <f t="shared" si="3"/>
        <v>46</v>
      </c>
      <c r="B50" s="39" t="s">
        <v>105</v>
      </c>
      <c r="C50" s="28">
        <v>153.0</v>
      </c>
      <c r="D50" s="29">
        <v>11.0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162</v>
      </c>
      <c r="N50" s="29">
        <f t="shared" si="47"/>
        <v>11</v>
      </c>
      <c r="O50" s="35" t="s">
        <v>46</v>
      </c>
      <c r="P50" s="35" t="s">
        <v>46</v>
      </c>
      <c r="Q50" s="31">
        <f>if(G50=13,1,0)+VLOOKUP(B50,'050424'!B:Q,16,false)</f>
        <v>0</v>
      </c>
      <c r="R50" s="31"/>
      <c r="S50" s="31">
        <f>if(G50=9,1,0)+VLOOKUP(B50,'050424'!B:S,18,false)</f>
        <v>6</v>
      </c>
    </row>
    <row r="51">
      <c r="A51" s="26">
        <f t="shared" si="3"/>
        <v>47</v>
      </c>
      <c r="B51" s="76" t="s">
        <v>116</v>
      </c>
      <c r="C51" s="28">
        <v>153.0</v>
      </c>
      <c r="D51" s="29">
        <v>5.0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162</v>
      </c>
      <c r="N51" s="29">
        <f t="shared" si="48"/>
        <v>5</v>
      </c>
      <c r="O51" s="35" t="s">
        <v>46</v>
      </c>
      <c r="P51" s="35" t="s">
        <v>46</v>
      </c>
      <c r="Q51" s="31">
        <f>if(G51=13,1,0)+VLOOKUP(B51,'050424'!B:Q,16,false)</f>
        <v>0</v>
      </c>
      <c r="R51" s="31"/>
      <c r="S51" s="31">
        <f>if(G51=9,1,0)+VLOOKUP(B51,'050424'!B:S,18,false)</f>
        <v>12</v>
      </c>
    </row>
    <row r="52">
      <c r="A52" s="26">
        <f t="shared" si="3"/>
        <v>48</v>
      </c>
      <c r="B52" s="27" t="s">
        <v>117</v>
      </c>
      <c r="C52" s="28">
        <v>153.0</v>
      </c>
      <c r="D52" s="29">
        <v>4.0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162</v>
      </c>
      <c r="N52" s="29">
        <f t="shared" si="49"/>
        <v>4</v>
      </c>
      <c r="O52" s="35" t="s">
        <v>46</v>
      </c>
      <c r="P52" s="35" t="s">
        <v>46</v>
      </c>
      <c r="Q52" s="31">
        <f>if(G52=13,1,0)+VLOOKUP(B52,'050424'!B:Q,16,false)</f>
        <v>2</v>
      </c>
      <c r="R52" s="31"/>
      <c r="S52" s="31">
        <f>if(G52=9,1,0)+VLOOKUP(B52,'050424'!B:S,18,false)</f>
        <v>12</v>
      </c>
    </row>
    <row r="53">
      <c r="A53" s="26">
        <f t="shared" si="3"/>
        <v>49</v>
      </c>
      <c r="B53" s="27" t="s">
        <v>109</v>
      </c>
      <c r="C53" s="28">
        <v>153.0</v>
      </c>
      <c r="D53" s="29">
        <v>3.0</v>
      </c>
      <c r="E53" s="30">
        <v>2.0</v>
      </c>
      <c r="F53" s="31">
        <v>7.0</v>
      </c>
      <c r="G53" s="28">
        <v>0.0</v>
      </c>
      <c r="H53" s="31">
        <v>3.0</v>
      </c>
      <c r="I53" s="31">
        <v>6.0</v>
      </c>
      <c r="J53" s="31">
        <v>6.0</v>
      </c>
      <c r="K53" s="33">
        <v>15.0</v>
      </c>
      <c r="L53" s="31">
        <v>2.0</v>
      </c>
      <c r="M53" s="28">
        <f t="shared" ref="M53:N53" si="50">C53+K53</f>
        <v>168</v>
      </c>
      <c r="N53" s="29">
        <f t="shared" si="50"/>
        <v>5</v>
      </c>
      <c r="O53" s="35" t="s">
        <v>46</v>
      </c>
      <c r="P53" s="35" t="s">
        <v>46</v>
      </c>
      <c r="Q53" s="31">
        <f>if(G53=13,1,0)+VLOOKUP(B53,'050424'!B:Q,16,false)</f>
        <v>2</v>
      </c>
      <c r="R53" s="31"/>
      <c r="S53" s="31">
        <f>if(G53=9,1,0)+VLOOKUP(B53,'050424'!B:S,18,false)</f>
        <v>10</v>
      </c>
    </row>
    <row r="54">
      <c r="A54" s="26">
        <f t="shared" si="3"/>
        <v>50</v>
      </c>
      <c r="B54" s="27" t="s">
        <v>39</v>
      </c>
      <c r="C54" s="28">
        <v>151.0</v>
      </c>
      <c r="D54" s="29">
        <v>4.0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160</v>
      </c>
      <c r="N54" s="29">
        <f t="shared" si="51"/>
        <v>4</v>
      </c>
      <c r="O54" s="35" t="s">
        <v>46</v>
      </c>
      <c r="P54" s="35" t="s">
        <v>46</v>
      </c>
      <c r="Q54" s="31">
        <f>if(G54=13,1,0)+VLOOKUP(B54,'050424'!B:Q,16,false)</f>
        <v>0</v>
      </c>
      <c r="R54" s="31"/>
      <c r="S54" s="31">
        <f>if(G54=9,1,0)+VLOOKUP(B54,'050424'!B:S,18,false)</f>
        <v>14</v>
      </c>
    </row>
    <row r="55">
      <c r="A55" s="26">
        <f t="shared" si="3"/>
        <v>51</v>
      </c>
      <c r="B55" s="27" t="s">
        <v>118</v>
      </c>
      <c r="C55" s="28">
        <v>150.0</v>
      </c>
      <c r="D55" s="29">
        <v>2.0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159</v>
      </c>
      <c r="N55" s="29">
        <f t="shared" si="52"/>
        <v>2</v>
      </c>
      <c r="O55" s="35" t="s">
        <v>46</v>
      </c>
      <c r="P55" s="35" t="s">
        <v>46</v>
      </c>
      <c r="Q55" s="31">
        <f>if(G55=13,1,0)+VLOOKUP(B55,'050424'!B:Q,16,false)</f>
        <v>2</v>
      </c>
      <c r="R55" s="31"/>
      <c r="S55" s="31">
        <f>if(G55=9,1,0)+VLOOKUP(B55,'050424'!B:S,18,false)</f>
        <v>13</v>
      </c>
    </row>
    <row r="56">
      <c r="A56" s="26">
        <f t="shared" si="3"/>
        <v>52</v>
      </c>
      <c r="B56" s="27" t="s">
        <v>114</v>
      </c>
      <c r="C56" s="28">
        <v>147.0</v>
      </c>
      <c r="D56" s="29">
        <v>1.0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156</v>
      </c>
      <c r="N56" s="29">
        <f t="shared" si="53"/>
        <v>1</v>
      </c>
      <c r="O56" s="35" t="s">
        <v>46</v>
      </c>
      <c r="P56" s="35" t="s">
        <v>46</v>
      </c>
      <c r="Q56" s="31">
        <f>if(G56=13,1,0)+VLOOKUP(B56,'050424'!B:Q,16,false)</f>
        <v>1</v>
      </c>
      <c r="R56" s="31"/>
      <c r="S56" s="31">
        <f>if(G56=9,1,0)+VLOOKUP(B56,'050424'!B:S,18,false)</f>
        <v>14</v>
      </c>
    </row>
    <row r="57">
      <c r="A57" s="26">
        <f t="shared" si="3"/>
        <v>53</v>
      </c>
      <c r="B57" s="54" t="s">
        <v>54</v>
      </c>
      <c r="C57" s="28">
        <v>146.0</v>
      </c>
      <c r="D57" s="29">
        <v>5.0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155</v>
      </c>
      <c r="N57" s="29">
        <f t="shared" si="54"/>
        <v>5</v>
      </c>
      <c r="O57" s="35" t="s">
        <v>46</v>
      </c>
      <c r="P57" s="35" t="s">
        <v>46</v>
      </c>
      <c r="Q57" s="31">
        <f>if(G57=13,1,0)+VLOOKUP(B57,'050424'!B:Q,16,false)</f>
        <v>1</v>
      </c>
      <c r="R57" s="31"/>
      <c r="S57" s="31">
        <f>if(G57=9,1,0)+VLOOKUP(B57,'050424'!B:S,18,false)</f>
        <v>10</v>
      </c>
    </row>
    <row r="58">
      <c r="A58" s="26">
        <f t="shared" si="3"/>
        <v>54</v>
      </c>
      <c r="B58" s="39" t="s">
        <v>119</v>
      </c>
      <c r="C58" s="28">
        <v>145.0</v>
      </c>
      <c r="D58" s="29">
        <v>4.0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154</v>
      </c>
      <c r="N58" s="29">
        <f t="shared" si="55"/>
        <v>4</v>
      </c>
      <c r="O58" s="35" t="s">
        <v>46</v>
      </c>
      <c r="P58" s="35" t="s">
        <v>46</v>
      </c>
      <c r="Q58" s="31">
        <f>if(G58=13,1,0)+VLOOKUP(B58,'050424'!B:Q,16,false)</f>
        <v>0</v>
      </c>
      <c r="R58" s="31"/>
      <c r="S58" s="31">
        <f>if(G58=9,1,0)+VLOOKUP(B58,'050424'!B:S,18,false)</f>
        <v>14</v>
      </c>
    </row>
    <row r="59">
      <c r="A59" s="26">
        <f t="shared" si="3"/>
        <v>55</v>
      </c>
      <c r="B59" s="39" t="s">
        <v>121</v>
      </c>
      <c r="C59" s="28">
        <v>144.0</v>
      </c>
      <c r="D59" s="29">
        <v>3.0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153</v>
      </c>
      <c r="N59" s="29">
        <f t="shared" si="56"/>
        <v>3</v>
      </c>
      <c r="O59" s="35" t="s">
        <v>46</v>
      </c>
      <c r="P59" s="35" t="s">
        <v>46</v>
      </c>
      <c r="Q59" s="31">
        <f>if(G59=13,1,0)+VLOOKUP(B59,'050424'!B:Q,16,false)</f>
        <v>0</v>
      </c>
      <c r="R59" s="31"/>
      <c r="S59" s="31">
        <f>if(G59=9,1,0)+VLOOKUP(B59,'050424'!B:S,18,false)</f>
        <v>14</v>
      </c>
    </row>
    <row r="60">
      <c r="A60" s="26">
        <f t="shared" si="3"/>
        <v>56</v>
      </c>
      <c r="B60" s="54" t="s">
        <v>122</v>
      </c>
      <c r="C60" s="28">
        <v>142.0</v>
      </c>
      <c r="D60" s="29">
        <v>1.0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151</v>
      </c>
      <c r="N60" s="29">
        <f t="shared" si="57"/>
        <v>1</v>
      </c>
      <c r="O60" s="35" t="s">
        <v>46</v>
      </c>
      <c r="P60" s="35" t="s">
        <v>46</v>
      </c>
      <c r="Q60" s="31">
        <f>if(G60=13,1,0)+VLOOKUP(B60,'050424'!B:Q,16,false)</f>
        <v>0</v>
      </c>
      <c r="R60" s="31"/>
      <c r="S60" s="31">
        <f>if(G60=9,1,0)+VLOOKUP(B60,'050424'!B:S,18,false)</f>
        <v>15</v>
      </c>
    </row>
    <row r="61">
      <c r="A61" s="26">
        <f t="shared" si="3"/>
        <v>57</v>
      </c>
      <c r="B61" s="27" t="s">
        <v>115</v>
      </c>
      <c r="C61" s="28">
        <v>141.0</v>
      </c>
      <c r="D61" s="29">
        <v>2.0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150</v>
      </c>
      <c r="N61" s="29">
        <f t="shared" si="58"/>
        <v>2</v>
      </c>
      <c r="O61" s="35" t="s">
        <v>46</v>
      </c>
      <c r="P61" s="35" t="s">
        <v>46</v>
      </c>
      <c r="Q61" s="31">
        <f>if(G61=13,1,0)+VLOOKUP(B61,'050424'!B:Q,16,false)</f>
        <v>0</v>
      </c>
      <c r="R61" s="31"/>
      <c r="S61" s="31">
        <f>if(G61=9,1,0)+VLOOKUP(B61,'050424'!B:S,18,false)</f>
        <v>15</v>
      </c>
    </row>
    <row r="62">
      <c r="A62" s="26">
        <f t="shared" si="3"/>
        <v>58</v>
      </c>
      <c r="B62" s="54" t="s">
        <v>123</v>
      </c>
      <c r="C62" s="28">
        <v>139.0</v>
      </c>
      <c r="D62" s="29">
        <v>2.0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148</v>
      </c>
      <c r="N62" s="29">
        <f t="shared" si="59"/>
        <v>2</v>
      </c>
      <c r="O62" s="35" t="s">
        <v>46</v>
      </c>
      <c r="P62" s="35" t="s">
        <v>46</v>
      </c>
      <c r="Q62" s="31">
        <f>if(G62=13,1,0)+VLOOKUP(B62,'050424'!B:Q,16,false)</f>
        <v>1</v>
      </c>
      <c r="R62" s="31"/>
      <c r="S62" s="31">
        <f>if(G62=9,1,0)+VLOOKUP(B62,'050424'!B:S,18,false)</f>
        <v>14</v>
      </c>
    </row>
    <row r="63">
      <c r="A63" s="26">
        <f t="shared" si="3"/>
        <v>59</v>
      </c>
      <c r="B63" s="27" t="s">
        <v>120</v>
      </c>
      <c r="C63" s="28">
        <v>138.0</v>
      </c>
      <c r="D63" s="29">
        <v>2.0</v>
      </c>
      <c r="E63" s="30">
        <v>2.0</v>
      </c>
      <c r="F63" s="31">
        <v>7.0</v>
      </c>
      <c r="G63" s="28">
        <v>0.0</v>
      </c>
      <c r="H63" s="31">
        <v>6.0</v>
      </c>
      <c r="I63" s="31">
        <v>3.0</v>
      </c>
      <c r="J63" s="31">
        <v>6.0</v>
      </c>
      <c r="K63" s="33">
        <v>15.0</v>
      </c>
      <c r="L63" s="31">
        <v>2.0</v>
      </c>
      <c r="M63" s="28">
        <f t="shared" ref="M63:N63" si="60">C63+K63</f>
        <v>153</v>
      </c>
      <c r="N63" s="29">
        <f t="shared" si="60"/>
        <v>4</v>
      </c>
      <c r="O63" s="35" t="s">
        <v>46</v>
      </c>
      <c r="P63" s="35" t="s">
        <v>46</v>
      </c>
      <c r="Q63" s="31">
        <f>if(G63=13,1,0)+VLOOKUP(B63,'050424'!B:Q,16,false)</f>
        <v>1</v>
      </c>
      <c r="R63" s="31"/>
      <c r="S63" s="31">
        <f>if(G63=9,1,0)+VLOOKUP(B63,'050424'!B:S,18,false)</f>
        <v>13</v>
      </c>
    </row>
    <row r="64">
      <c r="A64" s="26">
        <f t="shared" si="3"/>
        <v>60</v>
      </c>
      <c r="B64" s="39" t="s">
        <v>97</v>
      </c>
      <c r="C64" s="28">
        <v>136.0</v>
      </c>
      <c r="D64" s="29">
        <v>4.0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145</v>
      </c>
      <c r="N64" s="29">
        <f t="shared" si="61"/>
        <v>4</v>
      </c>
      <c r="O64" s="35" t="s">
        <v>46</v>
      </c>
      <c r="P64" s="35" t="s">
        <v>46</v>
      </c>
      <c r="Q64" s="31">
        <f>if(G64=13,1,0)+VLOOKUP(B64,'050424'!B:Q,16,false)</f>
        <v>0</v>
      </c>
      <c r="R64" s="31"/>
      <c r="S64" s="31">
        <f>if(G64=9,1,0)+VLOOKUP(B64,'050424'!B:S,18,false)</f>
        <v>6</v>
      </c>
    </row>
    <row r="65">
      <c r="A65" s="26">
        <f t="shared" si="3"/>
        <v>61</v>
      </c>
      <c r="B65" s="39" t="s">
        <v>124</v>
      </c>
      <c r="C65" s="28">
        <v>135.0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144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if(G65=13,1,0)+VLOOKUP(B65,'050424'!B:Q,16,false)</f>
        <v>0</v>
      </c>
      <c r="R65" s="31"/>
      <c r="S65" s="31">
        <f>if(G65=9,1,0)+VLOOKUP(B65,'050424'!B:S,18,false)</f>
        <v>16</v>
      </c>
    </row>
    <row r="66">
      <c r="A66" s="26">
        <f t="shared" si="3"/>
        <v>62</v>
      </c>
      <c r="B66" s="39" t="s">
        <v>125</v>
      </c>
      <c r="C66" s="28">
        <v>135.0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144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if(G66=13,1,0)+VLOOKUP(B66,'050424'!B:Q,16,false)</f>
        <v>0</v>
      </c>
      <c r="R66" s="31"/>
      <c r="S66" s="31">
        <f>if(G66=9,1,0)+VLOOKUP(B66,'050424'!B:S,18,false)</f>
        <v>15</v>
      </c>
    </row>
    <row r="67">
      <c r="A67" s="26">
        <f t="shared" si="3"/>
        <v>63</v>
      </c>
      <c r="B67" s="39" t="s">
        <v>126</v>
      </c>
      <c r="C67" s="28">
        <v>134.0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143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if(G67=13,1,0)+VLOOKUP(B67,'050424'!B:Q,16,false)</f>
        <v>0</v>
      </c>
      <c r="R67" s="31"/>
      <c r="S67" s="31">
        <f>if(G67=9,1,0)+VLOOKUP(B67,'050424'!B:S,18,false)</f>
        <v>14</v>
      </c>
    </row>
    <row r="68">
      <c r="A68" s="26">
        <f t="shared" si="3"/>
        <v>64</v>
      </c>
      <c r="B68" s="27" t="s">
        <v>74</v>
      </c>
      <c r="C68" s="28">
        <v>126.0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135</v>
      </c>
      <c r="N68" s="29">
        <f t="shared" si="65"/>
        <v>0</v>
      </c>
      <c r="O68" s="35" t="s">
        <v>46</v>
      </c>
      <c r="P68" s="35" t="s">
        <v>46</v>
      </c>
      <c r="Q68" s="31">
        <f>if(G68=13,1,0)+VLOOKUP(B68,'050424'!B:Q,16,false)</f>
        <v>0</v>
      </c>
      <c r="R68" s="31"/>
      <c r="S68" s="31">
        <f>if(G68=9,1,0)+VLOOKUP(B68,'050424'!B:S,18,false)</f>
        <v>16</v>
      </c>
    </row>
    <row r="69">
      <c r="A69" s="26">
        <f t="shared" si="3"/>
        <v>65</v>
      </c>
      <c r="B69" s="39" t="s">
        <v>127</v>
      </c>
      <c r="C69" s="28">
        <v>125.0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134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if(G69=13,1,0)+VLOOKUP(B69,'050424'!B:Q,16,false)</f>
        <v>0</v>
      </c>
      <c r="R69" s="31"/>
      <c r="S69" s="31">
        <f>if(G69=9,1,0)+VLOOKUP(B69,'050424'!B:S,18,false)</f>
        <v>14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desc"",0)"),"Oscar Bonilla")</f>
        <v>Oscar Bonilla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IFERROR(__xludf.DUMMYFUNCTION("""COMPUTED_VALUE"""),"Susanta Mishra")</f>
        <v>Susanta Mishra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IFERROR(__xludf.DUMMYFUNCTION("""COMPUTED_VALUE"""),"Trinath Goteti")</f>
        <v>Trinath Goteti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/>
      <c r="C82" s="39"/>
      <c r="D82" s="39"/>
      <c r="E82" s="1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1"")"),"Peter Cheng")</f>
        <v>Peter Cheng</v>
      </c>
      <c r="C92" s="63">
        <f>IFERROR(__xludf.DUMMYFUNCTION("""COMPUTED_VALUE"""),212.0)</f>
        <v>212</v>
      </c>
      <c r="D92" s="64">
        <f>IFERROR(__xludf.DUMMYFUNCTION("""COMPUTED_VALUE"""),21.0)</f>
        <v>21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IFERROR(__xludf.DUMMYFUNCTION("""COMPUTED_VALUE"""),0.0)</f>
        <v>0</v>
      </c>
      <c r="I92" s="65">
        <f>IFERROR(__xludf.DUMMYFUNCTION("""COMPUTED_VALUE"""),6.0)</f>
        <v>6</v>
      </c>
      <c r="J92" s="65">
        <f>IFERROR(__xludf.DUMMYFUNCTION("""COMPUTED_VALUE"""),7.0)</f>
        <v>7</v>
      </c>
      <c r="K92" s="65">
        <f>IFERROR(__xludf.DUMMYFUNCTION("""COMPUTED_VALUE"""),13.0)</f>
        <v>13</v>
      </c>
      <c r="L92" s="65">
        <f>IFERROR(__xludf.DUMMYFUNCTION("""COMPUTED_VALUE"""),2.0)</f>
        <v>2</v>
      </c>
      <c r="M92" s="65">
        <f>IFERROR(__xludf.DUMMYFUNCTION("""COMPUTED_VALUE"""),225.0)</f>
        <v>225</v>
      </c>
      <c r="N92" s="66">
        <f>IFERROR(__xludf.DUMMYFUNCTION("""COMPUTED_VALUE"""),23.0)</f>
        <v>23</v>
      </c>
    </row>
    <row r="93">
      <c r="A93" s="1"/>
      <c r="B93" s="62" t="str">
        <f>IFERROR(__xludf.DUMMYFUNCTION("""COMPUTED_VALUE"""),"Adrian Tay")</f>
        <v>Adrian Tay</v>
      </c>
      <c r="C93" s="63">
        <f>IFERROR(__xludf.DUMMYFUNCTION("""COMPUTED_VALUE"""),203.0)</f>
        <v>203</v>
      </c>
      <c r="D93" s="64">
        <f>IFERROR(__xludf.DUMMYFUNCTION("""COMPUTED_VALUE"""),21.0)</f>
        <v>21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IFERROR(__xludf.DUMMYFUNCTION("""COMPUTED_VALUE"""),6.0)</f>
        <v>6</v>
      </c>
      <c r="I93" s="65">
        <f>IFERROR(__xludf.DUMMYFUNCTION("""COMPUTED_VALUE"""),6.0)</f>
        <v>6</v>
      </c>
      <c r="J93" s="65">
        <f>IFERROR(__xludf.DUMMYFUNCTION("""COMPUTED_VALUE"""),5.0)</f>
        <v>5</v>
      </c>
      <c r="K93" s="65">
        <f>IFERROR(__xludf.DUMMYFUNCTION("""COMPUTED_VALUE"""),17.0)</f>
        <v>17</v>
      </c>
      <c r="L93" s="65">
        <f>IFERROR(__xludf.DUMMYFUNCTION("""COMPUTED_VALUE"""),2.0)</f>
        <v>2</v>
      </c>
      <c r="M93" s="65">
        <f>IFERROR(__xludf.DUMMYFUNCTION("""COMPUTED_VALUE"""),220.0)</f>
        <v>220</v>
      </c>
      <c r="N93" s="66">
        <f>IFERROR(__xludf.DUMMYFUNCTION("""COMPUTED_VALUE"""),23.0)</f>
        <v>23</v>
      </c>
    </row>
    <row r="94">
      <c r="A94" s="1"/>
      <c r="B94" s="62" t="str">
        <f>IFERROR(__xludf.DUMMYFUNCTION("""COMPUTED_VALUE"""),"Suleman Alidina")</f>
        <v>Suleman Alidina</v>
      </c>
      <c r="C94" s="63">
        <f>IFERROR(__xludf.DUMMYFUNCTION("""COMPUTED_VALUE"""),197.0)</f>
        <v>197</v>
      </c>
      <c r="D94" s="64">
        <f>IFERROR(__xludf.DUMMYFUNCTION("""COMPUTED_VALUE"""),22.0)</f>
        <v>22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IFERROR(__xludf.DUMMYFUNCTION("""COMPUTED_VALUE"""),0.0)</f>
        <v>0</v>
      </c>
      <c r="J94" s="65">
        <f>IFERROR(__xludf.DUMMYFUNCTION("""COMPUTED_VALUE"""),7.0)</f>
        <v>7</v>
      </c>
      <c r="K94" s="65">
        <f>IFERROR(__xludf.DUMMYFUNCTION("""COMPUTED_VALUE"""),13.0)</f>
        <v>13</v>
      </c>
      <c r="L94" s="65">
        <f>IFERROR(__xludf.DUMMYFUNCTION("""COMPUTED_VALUE"""),2.0)</f>
        <v>2</v>
      </c>
      <c r="M94" s="65">
        <f>IFERROR(__xludf.DUMMYFUNCTION("""COMPUTED_VALUE"""),210.0)</f>
        <v>210</v>
      </c>
      <c r="N94" s="66">
        <f>IFERROR(__xludf.DUMMYFUNCTION("""COMPUTED_VALUE"""),24.0)</f>
        <v>24</v>
      </c>
    </row>
    <row r="95">
      <c r="A95" s="1"/>
      <c r="B95" s="62" t="str">
        <f>IFERROR(__xludf.DUMMYFUNCTION("""COMPUTED_VALUE"""),"David Shin")</f>
        <v>David Shin</v>
      </c>
      <c r="C95" s="63">
        <f>IFERROR(__xludf.DUMMYFUNCTION("""COMPUTED_VALUE"""),190.0)</f>
        <v>190</v>
      </c>
      <c r="D95" s="64">
        <f>IFERROR(__xludf.DUMMYFUNCTION("""COMPUTED_VALUE"""),17.0)</f>
        <v>17</v>
      </c>
      <c r="E95" s="63">
        <f>IFERROR(__xludf.DUMMYFUNCTION("""COMPUTED_VALUE"""),2.0)</f>
        <v>2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IFERROR(__xludf.DUMMYFUNCTION("""COMPUTED_VALUE"""),0.0)</f>
        <v>0</v>
      </c>
      <c r="I95" s="65">
        <f>IFERROR(__xludf.DUMMYFUNCTION("""COMPUTED_VALUE"""),0.0)</f>
        <v>0</v>
      </c>
      <c r="J95" s="65">
        <f>IFERROR(__xludf.DUMMYFUNCTION("""COMPUTED_VALUE"""),5.0)</f>
        <v>5</v>
      </c>
      <c r="K95" s="65">
        <f>IFERROR(__xludf.DUMMYFUNCTION("""COMPUTED_VALUE"""),5.0)</f>
        <v>5</v>
      </c>
      <c r="L95" s="65">
        <f>IFERROR(__xludf.DUMMYFUNCTION("""COMPUTED_VALUE"""),0.0)</f>
        <v>0</v>
      </c>
      <c r="M95" s="65">
        <f>IFERROR(__xludf.DUMMYFUNCTION("""COMPUTED_VALUE"""),195.0)</f>
        <v>195</v>
      </c>
      <c r="N95" s="66">
        <f>IFERROR(__xludf.DUMMYFUNCTION("""COMPUTED_VALUE"""),17.0)</f>
        <v>17</v>
      </c>
    </row>
    <row r="96">
      <c r="A96" s="1"/>
      <c r="B96" s="67" t="str">
        <f>IFERROR(__xludf.DUMMYFUNCTION("""COMPUTED_VALUE"""),"Jonathan Phan")</f>
        <v>Jonathan Phan</v>
      </c>
      <c r="C96" s="68">
        <f>IFERROR(__xludf.DUMMYFUNCTION("""COMPUTED_VALUE"""),190.0)</f>
        <v>190</v>
      </c>
      <c r="D96" s="69">
        <f>IFERROR(__xludf.DUMMYFUNCTION("""COMPUTED_VALUE"""),16.0)</f>
        <v>16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IFERROR(__xludf.DUMMYFUNCTION("""COMPUTED_VALUE"""),0.0)</f>
        <v>0</v>
      </c>
      <c r="K96" s="70">
        <f>IFERROR(__xludf.DUMMYFUNCTION("""COMPUTED_VALUE"""),12.0)</f>
        <v>12</v>
      </c>
      <c r="L96" s="70">
        <f>IFERROR(__xludf.DUMMYFUNCTION("""COMPUTED_VALUE"""),2.0)</f>
        <v>2</v>
      </c>
      <c r="M96" s="70">
        <f>IFERROR(__xludf.DUMMYFUNCTION("""COMPUTED_VALUE"""),202.0)</f>
        <v>202</v>
      </c>
      <c r="N96" s="71">
        <f>IFERROR(__xludf.DUMMYFUNCTION("""COMPUTED_VALUE"""),18.0)</f>
        <v>18</v>
      </c>
    </row>
    <row r="97">
      <c r="A97" s="1"/>
      <c r="B97" s="67" t="str">
        <f>IFERROR(__xludf.DUMMYFUNCTION("""COMPUTED_VALUE"""),"Peter Homsey")</f>
        <v>Peter Homsey</v>
      </c>
      <c r="C97" s="68">
        <f>IFERROR(__xludf.DUMMYFUNCTION("""COMPUTED_VALUE"""),189.0)</f>
        <v>189</v>
      </c>
      <c r="D97" s="69">
        <f>IFERROR(__xludf.DUMMYFUNCTION("""COMPUTED_VALUE"""),17.0)</f>
        <v>17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IFERROR(__xludf.DUMMYFUNCTION("""COMPUTED_VALUE"""),4.0)</f>
        <v>4</v>
      </c>
      <c r="J97" s="70">
        <f>IFERROR(__xludf.DUMMYFUNCTION("""COMPUTED_VALUE"""),6.0)</f>
        <v>6</v>
      </c>
      <c r="K97" s="70">
        <f>IFERROR(__xludf.DUMMYFUNCTION("""COMPUTED_VALUE"""),16.0)</f>
        <v>16</v>
      </c>
      <c r="L97" s="70">
        <f>IFERROR(__xludf.DUMMYFUNCTION("""COMPUTED_VALUE"""),2.0)</f>
        <v>2</v>
      </c>
      <c r="M97" s="70">
        <f>IFERROR(__xludf.DUMMYFUNCTION("""COMPUTED_VALUE"""),205.0)</f>
        <v>205</v>
      </c>
      <c r="N97" s="71">
        <f>IFERROR(__xludf.DUMMYFUNCTION("""COMPUTED_VALUE"""),19.0)</f>
        <v>19</v>
      </c>
    </row>
    <row r="98">
      <c r="A98" s="1"/>
      <c r="B98" s="67" t="str">
        <f>IFERROR(__xludf.DUMMYFUNCTION("""COMPUTED_VALUE"""),"Pavan Akkimsetty")</f>
        <v>Pavan Akkimsetty</v>
      </c>
      <c r="C98" s="68">
        <f>IFERROR(__xludf.DUMMYFUNCTION("""COMPUTED_VALUE"""),185.0)</f>
        <v>185</v>
      </c>
      <c r="D98" s="69">
        <f>IFERROR(__xludf.DUMMYFUNCTION("""COMPUTED_VALUE"""),17.0)</f>
        <v>17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IFERROR(__xludf.DUMMYFUNCTION("""COMPUTED_VALUE"""),1.0)</f>
        <v>1</v>
      </c>
      <c r="I98" s="70">
        <f>IFERROR(__xludf.DUMMYFUNCTION("""COMPUTED_VALUE"""),6.0)</f>
        <v>6</v>
      </c>
      <c r="J98" s="70">
        <f>IFERROR(__xludf.DUMMYFUNCTION("""COMPUTED_VALUE"""),6.0)</f>
        <v>6</v>
      </c>
      <c r="K98" s="70">
        <f>IFERROR(__xludf.DUMMYFUNCTION("""COMPUTED_VALUE"""),13.0)</f>
        <v>13</v>
      </c>
      <c r="L98" s="70">
        <f>IFERROR(__xludf.DUMMYFUNCTION("""COMPUTED_VALUE"""),2.0)</f>
        <v>2</v>
      </c>
      <c r="M98" s="70">
        <f>IFERROR(__xludf.DUMMYFUNCTION("""COMPUTED_VALUE"""),198.0)</f>
        <v>198</v>
      </c>
      <c r="N98" s="71">
        <f>IFERROR(__xludf.DUMMYFUNCTION("""COMPUTED_VALUE"""),19.0)</f>
        <v>19</v>
      </c>
    </row>
    <row r="99">
      <c r="A99" s="1"/>
      <c r="B99" s="67" t="str">
        <f>IFERROR(__xludf.DUMMYFUNCTION("""COMPUTED_VALUE"""),"Lloyd Sagar")</f>
        <v>Lloyd Sagar</v>
      </c>
      <c r="C99" s="68">
        <f>IFERROR(__xludf.DUMMYFUNCTION("""COMPUTED_VALUE"""),184.0)</f>
        <v>184</v>
      </c>
      <c r="D99" s="69">
        <f>IFERROR(__xludf.DUMMYFUNCTION("""COMPUTED_VALUE"""),13.0)</f>
        <v>13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IFERROR(__xludf.DUMMYFUNCTION("""COMPUTED_VALUE"""),1.0)</f>
        <v>1</v>
      </c>
      <c r="I99" s="70">
        <f>IFERROR(__xludf.DUMMYFUNCTION("""COMPUTED_VALUE"""),4.0)</f>
        <v>4</v>
      </c>
      <c r="J99" s="70">
        <f>IFERROR(__xludf.DUMMYFUNCTION("""COMPUTED_VALUE"""),0.0)</f>
        <v>0</v>
      </c>
      <c r="K99" s="70">
        <f>IFERROR(__xludf.DUMMYFUNCTION("""COMPUTED_VALUE"""),5.0)</f>
        <v>5</v>
      </c>
      <c r="L99" s="70">
        <f>IFERROR(__xludf.DUMMYFUNCTION("""COMPUTED_VALUE"""),0.0)</f>
        <v>0</v>
      </c>
      <c r="M99" s="70">
        <f>IFERROR(__xludf.DUMMYFUNCTION("""COMPUTED_VALUE"""),189.0)</f>
        <v>189</v>
      </c>
      <c r="N99" s="71">
        <f>IFERROR(__xludf.DUMMYFUNCTION("""COMPUTED_VALUE"""),13.0)</f>
        <v>13</v>
      </c>
    </row>
    <row r="100">
      <c r="A100" s="1"/>
      <c r="B100" s="67" t="str">
        <f>IFERROR(__xludf.DUMMYFUNCTION("""COMPUTED_VALUE"""),"Lam Bui")</f>
        <v>Lam Bui</v>
      </c>
      <c r="C100" s="63">
        <f>IFERROR(__xludf.DUMMYFUNCTION("""COMPUTED_VALUE"""),184.0)</f>
        <v>184</v>
      </c>
      <c r="D100" s="64">
        <f>IFERROR(__xludf.DUMMYFUNCTION("""COMPUTED_VALUE"""),11.0)</f>
        <v>11</v>
      </c>
      <c r="E100" s="63">
        <f>IFERROR(__xludf.DUMMYFUNCTION("""COMPUTED_VALUE"""),2.0)</f>
        <v>2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IFERROR(__xludf.DUMMYFUNCTION("""COMPUTED_VALUE"""),5.0)</f>
        <v>5</v>
      </c>
      <c r="J100" s="65">
        <f>IFERROR(__xludf.DUMMYFUNCTION("""COMPUTED_VALUE"""),6.0)</f>
        <v>6</v>
      </c>
      <c r="K100" s="65">
        <f>IFERROR(__xludf.DUMMYFUNCTION("""COMPUTED_VALUE"""),17.0)</f>
        <v>17</v>
      </c>
      <c r="L100" s="65">
        <f>IFERROR(__xludf.DUMMYFUNCTION("""COMPUTED_VALUE"""),2.0)</f>
        <v>2</v>
      </c>
      <c r="M100" s="65">
        <f>IFERROR(__xludf.DUMMYFUNCTION("""COMPUTED_VALUE"""),201.0)</f>
        <v>201</v>
      </c>
      <c r="N100" s="66">
        <f>IFERROR(__xludf.DUMMYFUNCTION("""COMPUTED_VALUE"""),13.0)</f>
        <v>13</v>
      </c>
    </row>
    <row r="101">
      <c r="A101" s="1"/>
      <c r="B101" s="67" t="str">
        <f>IFERROR(__xludf.DUMMYFUNCTION("""COMPUTED_VALUE"""),"Sean Chang")</f>
        <v>Sean Chang</v>
      </c>
      <c r="C101" s="63">
        <f>IFERROR(__xludf.DUMMYFUNCTION("""COMPUTED_VALUE"""),184.0)</f>
        <v>184</v>
      </c>
      <c r="D101" s="64">
        <f>IFERROR(__xludf.DUMMYFUNCTION("""COMPUTED_VALUE"""),10.0)</f>
        <v>10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IFERROR(__xludf.DUMMYFUNCTION("""COMPUTED_VALUE"""),1.0)</f>
        <v>1</v>
      </c>
      <c r="I101" s="65">
        <f>IFERROR(__xludf.DUMMYFUNCTION("""COMPUTED_VALUE"""),7.0)</f>
        <v>7</v>
      </c>
      <c r="J101" s="65">
        <f>IFERROR(__xludf.DUMMYFUNCTION("""COMPUTED_VALUE"""),6.0)</f>
        <v>6</v>
      </c>
      <c r="K101" s="65">
        <f>IFERROR(__xludf.DUMMYFUNCTION("""COMPUTED_VALUE"""),14.0)</f>
        <v>14</v>
      </c>
      <c r="L101" s="65">
        <f>IFERROR(__xludf.DUMMYFUNCTION("""COMPUTED_VALUE"""),2.0)</f>
        <v>2</v>
      </c>
      <c r="M101" s="65">
        <f>IFERROR(__xludf.DUMMYFUNCTION("""COMPUTED_VALUE"""),198.0)</f>
        <v>198</v>
      </c>
      <c r="N101" s="66">
        <f>IFERROR(__xludf.DUMMYFUNCTION("""COMPUTED_VALUE"""),12.0)</f>
        <v>12</v>
      </c>
    </row>
    <row r="102">
      <c r="A102" s="1"/>
      <c r="B102" s="62" t="str">
        <f>IFERROR(__xludf.DUMMYFUNCTION("""COMPUTED_VALUE"""),"Tom Le")</f>
        <v>Tom Le</v>
      </c>
      <c r="C102" s="63">
        <f>IFERROR(__xludf.DUMMYFUNCTION("""COMPUTED_VALUE"""),183.0)</f>
        <v>183</v>
      </c>
      <c r="D102" s="64">
        <f>IFERROR(__xludf.DUMMYFUNCTION("""COMPUTED_VALUE"""),15.0)</f>
        <v>15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IFERROR(__xludf.DUMMYFUNCTION("""COMPUTED_VALUE"""),7.0)</f>
        <v>7</v>
      </c>
      <c r="J102" s="65">
        <f>IFERROR(__xludf.DUMMYFUNCTION("""COMPUTED_VALUE"""),2.0)</f>
        <v>2</v>
      </c>
      <c r="K102" s="65">
        <f>IFERROR(__xludf.DUMMYFUNCTION("""COMPUTED_VALUE"""),15.0)</f>
        <v>15</v>
      </c>
      <c r="L102" s="65">
        <f>IFERROR(__xludf.DUMMYFUNCTION("""COMPUTED_VALUE"""),2.0)</f>
        <v>2</v>
      </c>
      <c r="M102" s="65">
        <f>IFERROR(__xludf.DUMMYFUNCTION("""COMPUTED_VALUE"""),198.0)</f>
        <v>198</v>
      </c>
      <c r="N102" s="66">
        <f>IFERROR(__xludf.DUMMYFUNCTION("""COMPUTED_VALUE"""),17.0)</f>
        <v>17</v>
      </c>
    </row>
    <row r="103">
      <c r="A103" s="1"/>
      <c r="B103" s="62" t="str">
        <f>IFERROR(__xludf.DUMMYFUNCTION("""COMPUTED_VALUE"""),"Joe Luzzi")</f>
        <v>Joe Luzzi</v>
      </c>
      <c r="C103" s="63">
        <f>IFERROR(__xludf.DUMMYFUNCTION("""COMPUTED_VALUE"""),176.0)</f>
        <v>176</v>
      </c>
      <c r="D103" s="64">
        <f>IFERROR(__xludf.DUMMYFUNCTION("""COMPUTED_VALUE"""),14.0)</f>
        <v>14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IFERROR(__xludf.DUMMYFUNCTION("""COMPUTED_VALUE"""),1.0)</f>
        <v>1</v>
      </c>
      <c r="I103" s="65">
        <f>IFERROR(__xludf.DUMMYFUNCTION("""COMPUTED_VALUE"""),5.0)</f>
        <v>5</v>
      </c>
      <c r="J103" s="65">
        <f>IFERROR(__xludf.DUMMYFUNCTION("""COMPUTED_VALUE"""),2.0)</f>
        <v>2</v>
      </c>
      <c r="K103" s="65">
        <f>IFERROR(__xludf.DUMMYFUNCTION("""COMPUTED_VALUE"""),8.0)</f>
        <v>8</v>
      </c>
      <c r="L103" s="65">
        <f>IFERROR(__xludf.DUMMYFUNCTION("""COMPUTED_VALUE"""),0.0)</f>
        <v>0</v>
      </c>
      <c r="M103" s="65">
        <f>IFERROR(__xludf.DUMMYFUNCTION("""COMPUTED_VALUE"""),184.0)</f>
        <v>184</v>
      </c>
      <c r="N103" s="66">
        <f>IFERROR(__xludf.DUMMYFUNCTION("""COMPUTED_VALUE"""),14.0)</f>
        <v>14</v>
      </c>
    </row>
    <row r="104">
      <c r="A104" s="1"/>
      <c r="B104" s="67" t="str">
        <f>IFERROR(__xludf.DUMMYFUNCTION("""COMPUTED_VALUE"""),"Mauricio Palacios")</f>
        <v>Mauricio Palacios</v>
      </c>
      <c r="C104" s="68">
        <f>IFERROR(__xludf.DUMMYFUNCTION("""COMPUTED_VALUE"""),176.0)</f>
        <v>176</v>
      </c>
      <c r="D104" s="69">
        <f>IFERROR(__xludf.DUMMYFUNCTION("""COMPUTED_VALUE"""),14.0)</f>
        <v>14</v>
      </c>
      <c r="E104" s="68">
        <f>IFERROR(__xludf.DUMMYFUNCTION("""COMPUTED_VALUE"""),2.0)</f>
        <v>2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IFERROR(__xludf.DUMMYFUNCTION("""COMPUTED_VALUE"""),7.0)</f>
        <v>7</v>
      </c>
      <c r="I104" s="70">
        <f>IFERROR(__xludf.DUMMYFUNCTION("""COMPUTED_VALUE"""),3.0)</f>
        <v>3</v>
      </c>
      <c r="J104" s="70">
        <f>IFERROR(__xludf.DUMMYFUNCTION("""COMPUTED_VALUE"""),4.0)</f>
        <v>4</v>
      </c>
      <c r="K104" s="70">
        <f>IFERROR(__xludf.DUMMYFUNCTION("""COMPUTED_VALUE"""),14.0)</f>
        <v>14</v>
      </c>
      <c r="L104" s="70">
        <f>IFERROR(__xludf.DUMMYFUNCTION("""COMPUTED_VALUE"""),1.0)</f>
        <v>1</v>
      </c>
      <c r="M104" s="70">
        <f>IFERROR(__xludf.DUMMYFUNCTION("""COMPUTED_VALUE"""),190.0)</f>
        <v>190</v>
      </c>
      <c r="N104" s="71">
        <f>IFERROR(__xludf.DUMMYFUNCTION("""COMPUTED_VALUE"""),15.0)</f>
        <v>15</v>
      </c>
    </row>
    <row r="105">
      <c r="A105" s="1"/>
      <c r="B105" s="67" t="str">
        <f>IFERROR(__xludf.DUMMYFUNCTION("""COMPUTED_VALUE"""),"David Tam")</f>
        <v>David Tam</v>
      </c>
      <c r="C105" s="68">
        <f>IFERROR(__xludf.DUMMYFUNCTION("""COMPUTED_VALUE"""),171.0)</f>
        <v>171</v>
      </c>
      <c r="D105" s="69">
        <f>IFERROR(__xludf.DUMMYFUNCTION("""COMPUTED_VALUE"""),15.0)</f>
        <v>15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IFERROR(__xludf.DUMMYFUNCTION("""COMPUTED_VALUE"""),5.0)</f>
        <v>5</v>
      </c>
      <c r="I105" s="70">
        <f>IFERROR(__xludf.DUMMYFUNCTION("""COMPUTED_VALUE"""),6.0)</f>
        <v>6</v>
      </c>
      <c r="J105" s="70">
        <f>IFERROR(__xludf.DUMMYFUNCTION("""COMPUTED_VALUE"""),4.0)</f>
        <v>4</v>
      </c>
      <c r="K105" s="70">
        <f>IFERROR(__xludf.DUMMYFUNCTION("""COMPUTED_VALUE"""),15.0)</f>
        <v>15</v>
      </c>
      <c r="L105" s="70">
        <f>IFERROR(__xludf.DUMMYFUNCTION("""COMPUTED_VALUE"""),1.0)</f>
        <v>1</v>
      </c>
      <c r="M105" s="70">
        <f>IFERROR(__xludf.DUMMYFUNCTION("""COMPUTED_VALUE"""),186.0)</f>
        <v>186</v>
      </c>
      <c r="N105" s="71">
        <f>IFERROR(__xludf.DUMMYFUNCTION("""COMPUTED_VALUE"""),16.0)</f>
        <v>16</v>
      </c>
    </row>
    <row r="106">
      <c r="A106" s="1"/>
      <c r="B106" s="67" t="str">
        <f>IFERROR(__xludf.DUMMYFUNCTION("""COMPUTED_VALUE"""),"Oscar Bonilla")</f>
        <v>Oscar Bonilla</v>
      </c>
      <c r="C106" s="68">
        <f>IFERROR(__xludf.DUMMYFUNCTION("""COMPUTED_VALUE"""),171.0)</f>
        <v>171</v>
      </c>
      <c r="D106" s="69">
        <f>IFERROR(__xludf.DUMMYFUNCTION("""COMPUTED_VALUE"""),10.0)</f>
        <v>10</v>
      </c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IFERROR(__xludf.DUMMYFUNCTION("""COMPUTED_VALUE"""),7.0)</f>
        <v>7</v>
      </c>
      <c r="I106" s="70">
        <f>IFERROR(__xludf.DUMMYFUNCTION("""COMPUTED_VALUE"""),6.0)</f>
        <v>6</v>
      </c>
      <c r="J106" s="70">
        <f>IFERROR(__xludf.DUMMYFUNCTION("""COMPUTED_VALUE"""),6.0)</f>
        <v>6</v>
      </c>
      <c r="K106" s="70">
        <f>IFERROR(__xludf.DUMMYFUNCTION("""COMPUTED_VALUE"""),19.0)</f>
        <v>19</v>
      </c>
      <c r="L106" s="70">
        <f>IFERROR(__xludf.DUMMYFUNCTION("""COMPUTED_VALUE"""),3.0)</f>
        <v>3</v>
      </c>
      <c r="M106" s="70">
        <f>IFERROR(__xludf.DUMMYFUNCTION("""COMPUTED_VALUE"""),190.0)</f>
        <v>190</v>
      </c>
      <c r="N106" s="71">
        <f>IFERROR(__xludf.DUMMYFUNCTION("""COMPUTED_VALUE"""),13.0)</f>
        <v>13</v>
      </c>
    </row>
    <row r="107">
      <c r="A107" s="1"/>
      <c r="B107" s="67" t="str">
        <f>IFERROR(__xludf.DUMMYFUNCTION("""COMPUTED_VALUE"""),"Chinna Ponnaganti")</f>
        <v>Chinna Ponnaganti</v>
      </c>
      <c r="C107" s="68">
        <f>IFERROR(__xludf.DUMMYFUNCTION("""COMPUTED_VALUE"""),170.0)</f>
        <v>170</v>
      </c>
      <c r="D107" s="69">
        <f>IFERROR(__xludf.DUMMYFUNCTION("""COMPUTED_VALUE"""),17.0)</f>
        <v>17</v>
      </c>
      <c r="E107" s="68">
        <f>IFERROR(__xludf.DUMMYFUNCTION("""COMPUTED_VALUE"""),2.0)</f>
        <v>2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IFERROR(__xludf.DUMMYFUNCTION("""COMPUTED_VALUE"""),5.0)</f>
        <v>5</v>
      </c>
      <c r="I107" s="70">
        <f>IFERROR(__xludf.DUMMYFUNCTION("""COMPUTED_VALUE"""),3.0)</f>
        <v>3</v>
      </c>
      <c r="J107" s="70">
        <f>IFERROR(__xludf.DUMMYFUNCTION("""COMPUTED_VALUE"""),6.0)</f>
        <v>6</v>
      </c>
      <c r="K107" s="70">
        <f>IFERROR(__xludf.DUMMYFUNCTION("""COMPUTED_VALUE"""),14.0)</f>
        <v>14</v>
      </c>
      <c r="L107" s="70">
        <f>IFERROR(__xludf.DUMMYFUNCTION("""COMPUTED_VALUE"""),1.0)</f>
        <v>1</v>
      </c>
      <c r="M107" s="70">
        <f>IFERROR(__xludf.DUMMYFUNCTION("""COMPUTED_VALUE"""),184.0)</f>
        <v>184</v>
      </c>
      <c r="N107" s="71">
        <f>IFERROR(__xludf.DUMMYFUNCTION("""COMPUTED_VALUE"""),18.0)</f>
        <v>18</v>
      </c>
    </row>
    <row r="108">
      <c r="A108" s="1"/>
      <c r="B108" s="62" t="str">
        <f>IFERROR(__xludf.DUMMYFUNCTION("""COMPUTED_VALUE"""),"Susanta Mishra")</f>
        <v>Susanta Mishra</v>
      </c>
      <c r="C108" s="63">
        <f>IFERROR(__xludf.DUMMYFUNCTION("""COMPUTED_VALUE"""),170.0)</f>
        <v>170</v>
      </c>
      <c r="D108" s="64">
        <f>IFERROR(__xludf.DUMMYFUNCTION("""COMPUTED_VALUE"""),11.0)</f>
        <v>11</v>
      </c>
      <c r="E108" s="63">
        <f>IFERROR(__xludf.DUMMYFUNCTION("""COMPUTED_VALUE"""),1.0)</f>
        <v>1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IFERROR(__xludf.DUMMYFUNCTION("""COMPUTED_VALUE"""),6.0)</f>
        <v>6</v>
      </c>
      <c r="J108" s="65">
        <f>IFERROR(__xludf.DUMMYFUNCTION("""COMPUTED_VALUE"""),6.0)</f>
        <v>6</v>
      </c>
      <c r="K108" s="65">
        <f>IFERROR(__xludf.DUMMYFUNCTION("""COMPUTED_VALUE"""),18.0)</f>
        <v>18</v>
      </c>
      <c r="L108" s="65">
        <f>IFERROR(__xludf.DUMMYFUNCTION("""COMPUTED_VALUE"""),3.0)</f>
        <v>3</v>
      </c>
      <c r="M108" s="65">
        <f>IFERROR(__xludf.DUMMYFUNCTION("""COMPUTED_VALUE"""),188.0)</f>
        <v>188</v>
      </c>
      <c r="N108" s="66">
        <f>IFERROR(__xludf.DUMMYFUNCTION("""COMPUTED_VALUE"""),14.0)</f>
        <v>14</v>
      </c>
    </row>
    <row r="109">
      <c r="A109" s="1"/>
      <c r="B109" s="62" t="str">
        <f>IFERROR(__xludf.DUMMYFUNCTION("""COMPUTED_VALUE"""),"Erik Hoeckmann")</f>
        <v>Erik Hoeckmann</v>
      </c>
      <c r="C109" s="63">
        <f>IFERROR(__xludf.DUMMYFUNCTION("""COMPUTED_VALUE"""),167.0)</f>
        <v>167</v>
      </c>
      <c r="D109" s="64">
        <f>IFERROR(__xludf.DUMMYFUNCTION("""COMPUTED_VALUE"""),14.0)</f>
        <v>14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IFERROR(__xludf.DUMMYFUNCTION("""COMPUTED_VALUE"""),2.0)</f>
        <v>2</v>
      </c>
      <c r="I109" s="65">
        <f>IFERROR(__xludf.DUMMYFUNCTION("""COMPUTED_VALUE"""),6.0)</f>
        <v>6</v>
      </c>
      <c r="J109" s="65">
        <f>IFERROR(__xludf.DUMMYFUNCTION("""COMPUTED_VALUE"""),3.0)</f>
        <v>3</v>
      </c>
      <c r="K109" s="65">
        <f>IFERROR(__xludf.DUMMYFUNCTION("""COMPUTED_VALUE"""),11.0)</f>
        <v>11</v>
      </c>
      <c r="L109" s="65">
        <f>IFERROR(__xludf.DUMMYFUNCTION("""COMPUTED_VALUE"""),1.0)</f>
        <v>1</v>
      </c>
      <c r="M109" s="65">
        <f>IFERROR(__xludf.DUMMYFUNCTION("""COMPUTED_VALUE"""),178.0)</f>
        <v>178</v>
      </c>
      <c r="N109" s="66">
        <f>IFERROR(__xludf.DUMMYFUNCTION("""COMPUTED_VALUE"""),15.0)</f>
        <v>15</v>
      </c>
    </row>
    <row r="110">
      <c r="A110" s="1"/>
      <c r="B110" s="62" t="str">
        <f>IFERROR(__xludf.DUMMYFUNCTION("""COMPUTED_VALUE"""),"Manuel Rivera")</f>
        <v>Manuel Rivera</v>
      </c>
      <c r="C110" s="63">
        <f>IFERROR(__xludf.DUMMYFUNCTION("""COMPUTED_VALUE"""),162.0)</f>
        <v>162</v>
      </c>
      <c r="D110" s="64">
        <f>IFERROR(__xludf.DUMMYFUNCTION("""COMPUTED_VALUE"""),13.0)</f>
        <v>13</v>
      </c>
      <c r="E110" s="63">
        <f>IFERROR(__xludf.DUMMYFUNCTION("""COMPUTED_VALUE"""),2.0)</f>
        <v>2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IFERROR(__xludf.DUMMYFUNCTION("""COMPUTED_VALUE"""),0.0)</f>
        <v>0</v>
      </c>
      <c r="J110" s="65">
        <f>IFERROR(__xludf.DUMMYFUNCTION("""COMPUTED_VALUE"""),3.0)</f>
        <v>3</v>
      </c>
      <c r="K110" s="65">
        <f>IFERROR(__xludf.DUMMYFUNCTION("""COMPUTED_VALUE"""),9.0)</f>
        <v>9</v>
      </c>
      <c r="L110" s="65">
        <f>IFERROR(__xludf.DUMMYFUNCTION("""COMPUTED_VALUE"""),1.0)</f>
        <v>1</v>
      </c>
      <c r="M110" s="65">
        <f>IFERROR(__xludf.DUMMYFUNCTION("""COMPUTED_VALUE"""),171.0)</f>
        <v>171</v>
      </c>
      <c r="N110" s="66">
        <f>IFERROR(__xludf.DUMMYFUNCTION("""COMPUTED_VALUE"""),14.0)</f>
        <v>14</v>
      </c>
    </row>
    <row r="111">
      <c r="A111" s="1"/>
      <c r="B111" s="62" t="str">
        <f>IFERROR(__xludf.DUMMYFUNCTION("""COMPUTED_VALUE"""),"Vinaya Kajla")</f>
        <v>Vinaya Kajla</v>
      </c>
      <c r="C111" s="63">
        <f>IFERROR(__xludf.DUMMYFUNCTION("""COMPUTED_VALUE"""),162.0)</f>
        <v>162</v>
      </c>
      <c r="D111" s="64">
        <f>IFERROR(__xludf.DUMMYFUNCTION("""COMPUTED_VALUE"""),12.0)</f>
        <v>12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IFERROR(__xludf.DUMMYFUNCTION("""COMPUTED_VALUE"""),2.0)</f>
        <v>2</v>
      </c>
      <c r="I111" s="65">
        <f>IFERROR(__xludf.DUMMYFUNCTION("""COMPUTED_VALUE"""),0.0)</f>
        <v>0</v>
      </c>
      <c r="J111" s="65">
        <f>IFERROR(__xludf.DUMMYFUNCTION("""COMPUTED_VALUE"""),6.0)</f>
        <v>6</v>
      </c>
      <c r="K111" s="65">
        <f>IFERROR(__xludf.DUMMYFUNCTION("""COMPUTED_VALUE"""),8.0)</f>
        <v>8</v>
      </c>
      <c r="L111" s="65">
        <f>IFERROR(__xludf.DUMMYFUNCTION("""COMPUTED_VALUE"""),1.0)</f>
        <v>1</v>
      </c>
      <c r="M111" s="65">
        <f>IFERROR(__xludf.DUMMYFUNCTION("""COMPUTED_VALUE"""),170.0)</f>
        <v>170</v>
      </c>
      <c r="N111" s="66">
        <f>IFERROR(__xludf.DUMMYFUNCTION("""COMPUTED_VALUE"""),13.0)</f>
        <v>13</v>
      </c>
    </row>
    <row r="112">
      <c r="A112" s="1"/>
      <c r="B112" s="67" t="str">
        <f>IFERROR(__xludf.DUMMYFUNCTION("""COMPUTED_VALUE"""),"Naveen Raj")</f>
        <v>Naveen Raj</v>
      </c>
      <c r="C112" s="68">
        <f>IFERROR(__xludf.DUMMYFUNCTION("""COMPUTED_VALUE"""),162.0)</f>
        <v>162</v>
      </c>
      <c r="D112" s="69">
        <f>IFERROR(__xludf.DUMMYFUNCTION("""COMPUTED_VALUE"""),10.0)</f>
        <v>10</v>
      </c>
      <c r="E112" s="68">
        <f>IFERROR(__xludf.DUMMYFUNCTION("""COMPUTED_VALUE"""),2.0)</f>
        <v>2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IFERROR(__xludf.DUMMYFUNCTION("""COMPUTED_VALUE"""),2.0)</f>
        <v>2</v>
      </c>
      <c r="I112" s="70">
        <f>IFERROR(__xludf.DUMMYFUNCTION("""COMPUTED_VALUE"""),2.0)</f>
        <v>2</v>
      </c>
      <c r="J112" s="70">
        <f>IFERROR(__xludf.DUMMYFUNCTION("""COMPUTED_VALUE"""),6.0)</f>
        <v>6</v>
      </c>
      <c r="K112" s="70">
        <f>IFERROR(__xludf.DUMMYFUNCTION("""COMPUTED_VALUE"""),10.0)</f>
        <v>10</v>
      </c>
      <c r="L112" s="70">
        <f>IFERROR(__xludf.DUMMYFUNCTION("""COMPUTED_VALUE"""),1.0)</f>
        <v>1</v>
      </c>
      <c r="M112" s="70">
        <f>IFERROR(__xludf.DUMMYFUNCTION("""COMPUTED_VALUE"""),172.0)</f>
        <v>172</v>
      </c>
      <c r="N112" s="71">
        <f>IFERROR(__xludf.DUMMYFUNCTION("""COMPUTED_VALUE"""),11.0)</f>
        <v>11</v>
      </c>
    </row>
    <row r="113">
      <c r="A113" s="1"/>
      <c r="B113" s="67" t="str">
        <f>IFERROR(__xludf.DUMMYFUNCTION("""COMPUTED_VALUE"""),"Trinath Goteti")</f>
        <v>Trinath Goteti</v>
      </c>
      <c r="C113" s="68">
        <f>IFERROR(__xludf.DUMMYFUNCTION("""COMPUTED_VALUE"""),162.0)</f>
        <v>162</v>
      </c>
      <c r="D113" s="69">
        <f>IFERROR(__xludf.DUMMYFUNCTION("""COMPUTED_VALUE"""),8.0)</f>
        <v>8</v>
      </c>
      <c r="E113" s="68">
        <f>IFERROR(__xludf.DUMMYFUNCTION("""COMPUTED_VALUE"""),2.0)</f>
        <v>2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IFERROR(__xludf.DUMMYFUNCTION("""COMPUTED_VALUE"""),6.0)</f>
        <v>6</v>
      </c>
      <c r="J113" s="70">
        <f>IFERROR(__xludf.DUMMYFUNCTION("""COMPUTED_VALUE"""),6.0)</f>
        <v>6</v>
      </c>
      <c r="K113" s="70">
        <f>IFERROR(__xludf.DUMMYFUNCTION("""COMPUTED_VALUE"""),18.0)</f>
        <v>18</v>
      </c>
      <c r="L113" s="70">
        <f>IFERROR(__xludf.DUMMYFUNCTION("""COMPUTED_VALUE"""),3.0)</f>
        <v>3</v>
      </c>
      <c r="M113" s="70">
        <f>IFERROR(__xludf.DUMMYFUNCTION("""COMPUTED_VALUE"""),180.0)</f>
        <v>180</v>
      </c>
      <c r="N113" s="71">
        <f>IFERROR(__xludf.DUMMYFUNCTION("""COMPUTED_VALUE"""),11.0)</f>
        <v>11</v>
      </c>
    </row>
    <row r="114">
      <c r="A114" s="1"/>
      <c r="B114" s="67" t="str">
        <f>IFERROR(__xludf.DUMMYFUNCTION("""COMPUTED_VALUE"""),"Eric Tan")</f>
        <v>Eric Tan</v>
      </c>
      <c r="C114" s="68">
        <f>IFERROR(__xludf.DUMMYFUNCTION("""COMPUTED_VALUE"""),158.0)</f>
        <v>158</v>
      </c>
      <c r="D114" s="69">
        <f>IFERROR(__xludf.DUMMYFUNCTION("""COMPUTED_VALUE"""),14.0)</f>
        <v>14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IFERROR(__xludf.DUMMYFUNCTION("""COMPUTED_VALUE"""),6.0)</f>
        <v>6</v>
      </c>
      <c r="I114" s="70">
        <f>IFERROR(__xludf.DUMMYFUNCTION("""COMPUTED_VALUE"""),2.0)</f>
        <v>2</v>
      </c>
      <c r="J114" s="70">
        <f>IFERROR(__xludf.DUMMYFUNCTION("""COMPUTED_VALUE"""),2.0)</f>
        <v>2</v>
      </c>
      <c r="K114" s="70">
        <f>IFERROR(__xludf.DUMMYFUNCTION("""COMPUTED_VALUE"""),10.0)</f>
        <v>10</v>
      </c>
      <c r="L114" s="70">
        <f>IFERROR(__xludf.DUMMYFUNCTION("""COMPUTED_VALUE"""),1.0)</f>
        <v>1</v>
      </c>
      <c r="M114" s="70">
        <f>IFERROR(__xludf.DUMMYFUNCTION("""COMPUTED_VALUE"""),168.0)</f>
        <v>168</v>
      </c>
      <c r="N114" s="71">
        <f>IFERROR(__xludf.DUMMYFUNCTION("""COMPUTED_VALUE"""),15.0)</f>
        <v>15</v>
      </c>
    </row>
    <row r="115">
      <c r="A115" s="1"/>
      <c r="B115" s="67" t="str">
        <f>IFERROR(__xludf.DUMMYFUNCTION("""COMPUTED_VALUE"""),"Kumar Palakeel")</f>
        <v>Kumar Palakeel</v>
      </c>
      <c r="C115" s="68">
        <f>IFERROR(__xludf.DUMMYFUNCTION("""COMPUTED_VALUE"""),157.0)</f>
        <v>157</v>
      </c>
      <c r="D115" s="69">
        <f>IFERROR(__xludf.DUMMYFUNCTION("""COMPUTED_VALUE"""),13.0)</f>
        <v>13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IFERROR(__xludf.DUMMYFUNCTION("""COMPUTED_VALUE"""),2.0)</f>
        <v>2</v>
      </c>
      <c r="I115" s="70">
        <f>IFERROR(__xludf.DUMMYFUNCTION("""COMPUTED_VALUE"""),6.0)</f>
        <v>6</v>
      </c>
      <c r="J115" s="70">
        <f>IFERROR(__xludf.DUMMYFUNCTION("""COMPUTED_VALUE"""),2.0)</f>
        <v>2</v>
      </c>
      <c r="K115" s="70">
        <f>IFERROR(__xludf.DUMMYFUNCTION("""COMPUTED_VALUE"""),10.0)</f>
        <v>10</v>
      </c>
      <c r="L115" s="70">
        <f>IFERROR(__xludf.DUMMYFUNCTION("""COMPUTED_VALUE"""),1.0)</f>
        <v>1</v>
      </c>
      <c r="M115" s="70">
        <f>IFERROR(__xludf.DUMMYFUNCTION("""COMPUTED_VALUE"""),167.0)</f>
        <v>167</v>
      </c>
      <c r="N115" s="71">
        <f>IFERROR(__xludf.DUMMYFUNCTION("""COMPUTED_VALUE"""),14.0)</f>
        <v>14</v>
      </c>
    </row>
    <row r="116">
      <c r="A116" s="1"/>
      <c r="B116" s="62" t="str">
        <f>IFERROR(__xludf.DUMMYFUNCTION("""COMPUTED_VALUE"""),"Jimmy Awolesi")</f>
        <v>Jimmy Awolesi</v>
      </c>
      <c r="C116" s="63">
        <f>IFERROR(__xludf.DUMMYFUNCTION("""COMPUTED_VALUE"""),156.0)</f>
        <v>156</v>
      </c>
      <c r="D116" s="64">
        <f>IFERROR(__xludf.DUMMYFUNCTION("""COMPUTED_VALUE"""),10.0)</f>
        <v>10</v>
      </c>
      <c r="E116" s="63">
        <f>IFERROR(__xludf.DUMMYFUNCTION("""COMPUTED_VALUE"""),1.0)</f>
        <v>1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IFERROR(__xludf.DUMMYFUNCTION("""COMPUTED_VALUE"""),6.0)</f>
        <v>6</v>
      </c>
      <c r="I116" s="65">
        <f>IFERROR(__xludf.DUMMYFUNCTION("""COMPUTED_VALUE"""),6.0)</f>
        <v>6</v>
      </c>
      <c r="J116" s="65">
        <f>IFERROR(__xludf.DUMMYFUNCTION("""COMPUTED_VALUE"""),0.0)</f>
        <v>0</v>
      </c>
      <c r="K116" s="65">
        <f>IFERROR(__xludf.DUMMYFUNCTION("""COMPUTED_VALUE"""),12.0)</f>
        <v>12</v>
      </c>
      <c r="L116" s="65">
        <f>IFERROR(__xludf.DUMMYFUNCTION("""COMPUTED_VALUE"""),2.0)</f>
        <v>2</v>
      </c>
      <c r="M116" s="65">
        <f>IFERROR(__xludf.DUMMYFUNCTION("""COMPUTED_VALUE"""),168.0)</f>
        <v>168</v>
      </c>
      <c r="N116" s="66">
        <f>IFERROR(__xludf.DUMMYFUNCTION("""COMPUTED_VALUE"""),12.0)</f>
        <v>12</v>
      </c>
    </row>
    <row r="117">
      <c r="A117" s="1"/>
      <c r="B117" s="62" t="str">
        <f>IFERROR(__xludf.DUMMYFUNCTION("""COMPUTED_VALUE"""),"Tony Wong")</f>
        <v>Tony Wong</v>
      </c>
      <c r="C117" s="63">
        <f>IFERROR(__xludf.DUMMYFUNCTION("""COMPUTED_VALUE"""),156.0)</f>
        <v>156</v>
      </c>
      <c r="D117" s="64">
        <f>IFERROR(__xludf.DUMMYFUNCTION("""COMPUTED_VALUE"""),9.0)</f>
        <v>9</v>
      </c>
      <c r="E117" s="63">
        <f>IFERROR(__xludf.DUMMYFUNCTION("""COMPUTED_VALUE"""),2.0)</f>
        <v>2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IFERROR(__xludf.DUMMYFUNCTION("""COMPUTED_VALUE"""),3.0)</f>
        <v>3</v>
      </c>
      <c r="I117" s="65">
        <f>IFERROR(__xludf.DUMMYFUNCTION("""COMPUTED_VALUE"""),3.0)</f>
        <v>3</v>
      </c>
      <c r="J117" s="65">
        <f>IFERROR(__xludf.DUMMYFUNCTION("""COMPUTED_VALUE"""),0.0)</f>
        <v>0</v>
      </c>
      <c r="K117" s="65">
        <f>IFERROR(__xludf.DUMMYFUNCTION("""COMPUTED_VALUE"""),6.0)</f>
        <v>6</v>
      </c>
      <c r="L117" s="65">
        <f>IFERROR(__xludf.DUMMYFUNCTION("""COMPUTED_VALUE"""),0.0)</f>
        <v>0</v>
      </c>
      <c r="M117" s="65">
        <f>IFERROR(__xludf.DUMMYFUNCTION("""COMPUTED_VALUE"""),162.0)</f>
        <v>162</v>
      </c>
      <c r="N117" s="66">
        <f>IFERROR(__xludf.DUMMYFUNCTION("""COMPUTED_VALUE"""),9.0)</f>
        <v>9</v>
      </c>
    </row>
    <row r="118">
      <c r="A118" s="1"/>
      <c r="B118" s="62" t="str">
        <f>IFERROR(__xludf.DUMMYFUNCTION("""COMPUTED_VALUE"""),"Nohely Mejia")</f>
        <v>Nohely Mejia</v>
      </c>
      <c r="C118" s="63">
        <f>IFERROR(__xludf.DUMMYFUNCTION("""COMPUTED_VALUE"""),153.0)</f>
        <v>153</v>
      </c>
      <c r="D118" s="64">
        <f>IFERROR(__xludf.DUMMYFUNCTION("""COMPUTED_VALUE"""),3.0)</f>
        <v>3</v>
      </c>
      <c r="E118" s="63">
        <f>IFERROR(__xludf.DUMMYFUNCTION("""COMPUTED_VALUE"""),2.0)</f>
        <v>2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IFERROR(__xludf.DUMMYFUNCTION("""COMPUTED_VALUE"""),3.0)</f>
        <v>3</v>
      </c>
      <c r="I118" s="65">
        <f>IFERROR(__xludf.DUMMYFUNCTION("""COMPUTED_VALUE"""),6.0)</f>
        <v>6</v>
      </c>
      <c r="J118" s="65">
        <f>IFERROR(__xludf.DUMMYFUNCTION("""COMPUTED_VALUE"""),6.0)</f>
        <v>6</v>
      </c>
      <c r="K118" s="65">
        <f>IFERROR(__xludf.DUMMYFUNCTION("""COMPUTED_VALUE"""),15.0)</f>
        <v>15</v>
      </c>
      <c r="L118" s="65">
        <f>IFERROR(__xludf.DUMMYFUNCTION("""COMPUTED_VALUE"""),2.0)</f>
        <v>2</v>
      </c>
      <c r="M118" s="65">
        <f>IFERROR(__xludf.DUMMYFUNCTION("""COMPUTED_VALUE"""),168.0)</f>
        <v>168</v>
      </c>
      <c r="N118" s="66">
        <f>IFERROR(__xludf.DUMMYFUNCTION("""COMPUTED_VALUE"""),5.0)</f>
        <v>5</v>
      </c>
    </row>
    <row r="119">
      <c r="A119" s="1"/>
      <c r="B119" s="62" t="str">
        <f>IFERROR(__xludf.DUMMYFUNCTION("""COMPUTED_VALUE"""),"Santosh Sundaresan ")</f>
        <v>Santosh Sundaresan </v>
      </c>
      <c r="C119" s="63">
        <f>IFERROR(__xludf.DUMMYFUNCTION("""COMPUTED_VALUE"""),138.0)</f>
        <v>138</v>
      </c>
      <c r="D119" s="64">
        <f>IFERROR(__xludf.DUMMYFUNCTION("""COMPUTED_VALUE"""),2.0)</f>
        <v>2</v>
      </c>
      <c r="E119" s="63">
        <f>IFERROR(__xludf.DUMMYFUNCTION("""COMPUTED_VALUE"""),2.0)</f>
        <v>2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IFERROR(__xludf.DUMMYFUNCTION("""COMPUTED_VALUE"""),3.0)</f>
        <v>3</v>
      </c>
      <c r="J119" s="65">
        <f>IFERROR(__xludf.DUMMYFUNCTION("""COMPUTED_VALUE"""),6.0)</f>
        <v>6</v>
      </c>
      <c r="K119" s="65">
        <f>IFERROR(__xludf.DUMMYFUNCTION("""COMPUTED_VALUE"""),15.0)</f>
        <v>15</v>
      </c>
      <c r="L119" s="65">
        <f>IFERROR(__xludf.DUMMYFUNCTION("""COMPUTED_VALUE"""),2.0)</f>
        <v>2</v>
      </c>
      <c r="M119" s="65">
        <f>IFERROR(__xludf.DUMMYFUNCTION("""COMPUTED_VALUE"""),153.0)</f>
        <v>153</v>
      </c>
      <c r="N119" s="66">
        <f>IFERROR(__xludf.DUMMYFUNCTION("""COMPUTED_VALUE"""),4.0)</f>
        <v>4</v>
      </c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0"")"),"Luis Hsu")</f>
        <v>Luis Hsu</v>
      </c>
      <c r="C136" s="63">
        <f>IFERROR(__xludf.DUMMYFUNCTION("""COMPUTED_VALUE"""),186.0)</f>
        <v>186</v>
      </c>
      <c r="D136" s="64">
        <f>IFERROR(__xludf.DUMMYFUNCTION("""COMPUTED_VALUE"""),17.0)</f>
        <v>17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IFERROR(__xludf.DUMMYFUNCTION("""COMPUTED_VALUE"""),195.0)</f>
        <v>195</v>
      </c>
      <c r="N136" s="66">
        <f>IFERROR(__xludf.DUMMYFUNCTION("""COMPUTED_VALUE"""),17.0)</f>
        <v>17</v>
      </c>
    </row>
    <row r="137">
      <c r="A137" s="1"/>
      <c r="B137" s="62" t="str">
        <f>IFERROR(__xludf.DUMMYFUNCTION("""COMPUTED_VALUE"""),"Christopher Li")</f>
        <v>Christopher Li</v>
      </c>
      <c r="C137" s="63">
        <f>IFERROR(__xludf.DUMMYFUNCTION("""COMPUTED_VALUE"""),185.0)</f>
        <v>185</v>
      </c>
      <c r="D137" s="64">
        <f>IFERROR(__xludf.DUMMYFUNCTION("""COMPUTED_VALUE"""),18.0)</f>
        <v>18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IFERROR(__xludf.DUMMYFUNCTION("""COMPUTED_VALUE"""),194.0)</f>
        <v>194</v>
      </c>
      <c r="N137" s="66">
        <f>IFERROR(__xludf.DUMMYFUNCTION("""COMPUTED_VALUE"""),18.0)</f>
        <v>18</v>
      </c>
    </row>
    <row r="138">
      <c r="A138" s="1"/>
      <c r="B138" s="62" t="str">
        <f>IFERROR(__xludf.DUMMYFUNCTION("""COMPUTED_VALUE"""),"Eric Pan")</f>
        <v>Eric Pan</v>
      </c>
      <c r="C138" s="63">
        <f>IFERROR(__xludf.DUMMYFUNCTION("""COMPUTED_VALUE"""),185.0)</f>
        <v>185</v>
      </c>
      <c r="D138" s="64">
        <f>IFERROR(__xludf.DUMMYFUNCTION("""COMPUTED_VALUE"""),15.0)</f>
        <v>15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IFERROR(__xludf.DUMMYFUNCTION("""COMPUTED_VALUE"""),194.0)</f>
        <v>194</v>
      </c>
      <c r="N138" s="66">
        <f>IFERROR(__xludf.DUMMYFUNCTION("""COMPUTED_VALUE"""),15.0)</f>
        <v>15</v>
      </c>
    </row>
    <row r="139">
      <c r="A139" s="1"/>
      <c r="B139" s="62" t="str">
        <f>IFERROR(__xludf.DUMMYFUNCTION("""COMPUTED_VALUE"""),"Pulkit Mathur")</f>
        <v>Pulkit Mathur</v>
      </c>
      <c r="C139" s="63">
        <f>IFERROR(__xludf.DUMMYFUNCTION("""COMPUTED_VALUE"""),180.0)</f>
        <v>180</v>
      </c>
      <c r="D139" s="64">
        <f>IFERROR(__xludf.DUMMYFUNCTION("""COMPUTED_VALUE"""),15.0)</f>
        <v>15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IFERROR(__xludf.DUMMYFUNCTION("""COMPUTED_VALUE"""),189.0)</f>
        <v>189</v>
      </c>
      <c r="N139" s="66">
        <f>IFERROR(__xludf.DUMMYFUNCTION("""COMPUTED_VALUE"""),15.0)</f>
        <v>15</v>
      </c>
    </row>
    <row r="140">
      <c r="A140" s="1"/>
      <c r="B140" s="62" t="str">
        <f>IFERROR(__xludf.DUMMYFUNCTION("""COMPUTED_VALUE"""),"Ted Shen")</f>
        <v>Ted Shen</v>
      </c>
      <c r="C140" s="63">
        <f>IFERROR(__xludf.DUMMYFUNCTION("""COMPUTED_VALUE"""),178.0)</f>
        <v>178</v>
      </c>
      <c r="D140" s="64">
        <f>IFERROR(__xludf.DUMMYFUNCTION("""COMPUTED_VALUE"""),15.0)</f>
        <v>15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IFERROR(__xludf.DUMMYFUNCTION("""COMPUTED_VALUE"""),187.0)</f>
        <v>187</v>
      </c>
      <c r="N140" s="66">
        <f>IFERROR(__xludf.DUMMYFUNCTION("""COMPUTED_VALUE"""),15.0)</f>
        <v>15</v>
      </c>
    </row>
    <row r="141">
      <c r="A141" s="1"/>
      <c r="B141" s="62" t="str">
        <f>IFERROR(__xludf.DUMMYFUNCTION("""COMPUTED_VALUE"""),"Andrew Wen")</f>
        <v>Andrew Wen</v>
      </c>
      <c r="C141" s="63">
        <f>IFERROR(__xludf.DUMMYFUNCTION("""COMPUTED_VALUE"""),171.0)</f>
        <v>171</v>
      </c>
      <c r="D141" s="64">
        <f>IFERROR(__xludf.DUMMYFUNCTION("""COMPUTED_VALUE"""),16.0)</f>
        <v>16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IFERROR(__xludf.DUMMYFUNCTION("""COMPUTED_VALUE"""),180.0)</f>
        <v>180</v>
      </c>
      <c r="N141" s="66">
        <f>IFERROR(__xludf.DUMMYFUNCTION("""COMPUTED_VALUE"""),16.0)</f>
        <v>16</v>
      </c>
    </row>
    <row r="142">
      <c r="A142" s="1"/>
      <c r="B142" s="62" t="str">
        <f>IFERROR(__xludf.DUMMYFUNCTION("""COMPUTED_VALUE"""),"Rajasekar Ramasamy")</f>
        <v>Rajasekar Ramasamy</v>
      </c>
      <c r="C142" s="63">
        <f>IFERROR(__xludf.DUMMYFUNCTION("""COMPUTED_VALUE"""),170.0)</f>
        <v>170</v>
      </c>
      <c r="D142" s="64">
        <f>IFERROR(__xludf.DUMMYFUNCTION("""COMPUTED_VALUE"""),13.0)</f>
        <v>13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IFERROR(__xludf.DUMMYFUNCTION("""COMPUTED_VALUE"""),179.0)</f>
        <v>179</v>
      </c>
      <c r="N142" s="66">
        <f>IFERROR(__xludf.DUMMYFUNCTION("""COMPUTED_VALUE"""),13.0)</f>
        <v>13</v>
      </c>
    </row>
    <row r="143">
      <c r="A143" s="1"/>
      <c r="B143" s="62" t="str">
        <f>IFERROR(__xludf.DUMMYFUNCTION("""COMPUTED_VALUE"""),"Kingsley Kuo")</f>
        <v>Kingsley Kuo</v>
      </c>
      <c r="C143" s="63">
        <f>IFERROR(__xludf.DUMMYFUNCTION("""COMPUTED_VALUE"""),170.0)</f>
        <v>170</v>
      </c>
      <c r="D143" s="64">
        <f>IFERROR(__xludf.DUMMYFUNCTION("""COMPUTED_VALUE"""),11.0)</f>
        <v>11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IFERROR(__xludf.DUMMYFUNCTION("""COMPUTED_VALUE"""),179.0)</f>
        <v>179</v>
      </c>
      <c r="N143" s="66">
        <f>IFERROR(__xludf.DUMMYFUNCTION("""COMPUTED_VALUE"""),11.0)</f>
        <v>11</v>
      </c>
    </row>
    <row r="144">
      <c r="A144" s="1"/>
      <c r="B144" s="62" t="str">
        <f>IFERROR(__xludf.DUMMYFUNCTION("""COMPUTED_VALUE"""),"Matthew Huang")</f>
        <v>Matthew Huang</v>
      </c>
      <c r="C144" s="63">
        <f>IFERROR(__xludf.DUMMYFUNCTION("""COMPUTED_VALUE"""),168.0)</f>
        <v>168</v>
      </c>
      <c r="D144" s="64">
        <f>IFERROR(__xludf.DUMMYFUNCTION("""COMPUTED_VALUE"""),9.0)</f>
        <v>9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IFERROR(__xludf.DUMMYFUNCTION("""COMPUTED_VALUE"""),177.0)</f>
        <v>177</v>
      </c>
      <c r="N144" s="66">
        <f>IFERROR(__xludf.DUMMYFUNCTION("""COMPUTED_VALUE"""),9.0)</f>
        <v>9</v>
      </c>
    </row>
    <row r="145">
      <c r="A145" s="1"/>
      <c r="B145" s="62" t="str">
        <f>IFERROR(__xludf.DUMMYFUNCTION("""COMPUTED_VALUE"""),"Scott Li")</f>
        <v>Scott Li</v>
      </c>
      <c r="C145" s="63">
        <f>IFERROR(__xludf.DUMMYFUNCTION("""COMPUTED_VALUE"""),167.0)</f>
        <v>167</v>
      </c>
      <c r="D145" s="64">
        <f>IFERROR(__xludf.DUMMYFUNCTION("""COMPUTED_VALUE"""),14.0)</f>
        <v>14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IFERROR(__xludf.DUMMYFUNCTION("""COMPUTED_VALUE"""),176.0)</f>
        <v>176</v>
      </c>
      <c r="N145" s="66">
        <f>IFERROR(__xludf.DUMMYFUNCTION("""COMPUTED_VALUE"""),14.0)</f>
        <v>14</v>
      </c>
    </row>
    <row r="146">
      <c r="A146" s="1"/>
      <c r="B146" s="62" t="str">
        <f>IFERROR(__xludf.DUMMYFUNCTION("""COMPUTED_VALUE"""),"Andrew Chin")</f>
        <v>Andrew Chin</v>
      </c>
      <c r="C146" s="63">
        <f>IFERROR(__xludf.DUMMYFUNCTION("""COMPUTED_VALUE"""),166.0)</f>
        <v>166</v>
      </c>
      <c r="D146" s="64">
        <f>IFERROR(__xludf.DUMMYFUNCTION("""COMPUTED_VALUE"""),10.0)</f>
        <v>10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IFERROR(__xludf.DUMMYFUNCTION("""COMPUTED_VALUE"""),175.0)</f>
        <v>175</v>
      </c>
      <c r="N146" s="66">
        <f>IFERROR(__xludf.DUMMYFUNCTION("""COMPUTED_VALUE"""),10.0)</f>
        <v>10</v>
      </c>
    </row>
    <row r="147">
      <c r="A147" s="1"/>
      <c r="B147" s="62" t="str">
        <f>IFERROR(__xludf.DUMMYFUNCTION("""COMPUTED_VALUE"""),"Balaji Alahari")</f>
        <v>Balaji Alahari</v>
      </c>
      <c r="C147" s="63">
        <f>IFERROR(__xludf.DUMMYFUNCTION("""COMPUTED_VALUE"""),165.0)</f>
        <v>165</v>
      </c>
      <c r="D147" s="64">
        <f>IFERROR(__xludf.DUMMYFUNCTION("""COMPUTED_VALUE"""),8.0)</f>
        <v>8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IFERROR(__xludf.DUMMYFUNCTION("""COMPUTED_VALUE"""),174.0)</f>
        <v>174</v>
      </c>
      <c r="N147" s="66">
        <f>IFERROR(__xludf.DUMMYFUNCTION("""COMPUTED_VALUE"""),8.0)</f>
        <v>8</v>
      </c>
    </row>
    <row r="148">
      <c r="A148" s="1"/>
      <c r="B148" s="62" t="str">
        <f>IFERROR(__xludf.DUMMYFUNCTION("""COMPUTED_VALUE"""),"Vamsi Lolla ")</f>
        <v>Vamsi Lolla </v>
      </c>
      <c r="C148" s="63">
        <f>IFERROR(__xludf.DUMMYFUNCTION("""COMPUTED_VALUE"""),164.0)</f>
        <v>164</v>
      </c>
      <c r="D148" s="64">
        <f>IFERROR(__xludf.DUMMYFUNCTION("""COMPUTED_VALUE"""),8.0)</f>
        <v>8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IFERROR(__xludf.DUMMYFUNCTION("""COMPUTED_VALUE"""),173.0)</f>
        <v>173</v>
      </c>
      <c r="N148" s="66">
        <f>IFERROR(__xludf.DUMMYFUNCTION("""COMPUTED_VALUE"""),8.0)</f>
        <v>8</v>
      </c>
    </row>
    <row r="149">
      <c r="A149" s="1"/>
      <c r="B149" s="62" t="str">
        <f>IFERROR(__xludf.DUMMYFUNCTION("""COMPUTED_VALUE"""),"Ramesh Bandaru")</f>
        <v>Ramesh Bandaru</v>
      </c>
      <c r="C149" s="63">
        <f>IFERROR(__xludf.DUMMYFUNCTION("""COMPUTED_VALUE"""),161.0)</f>
        <v>161</v>
      </c>
      <c r="D149" s="64">
        <f>IFERROR(__xludf.DUMMYFUNCTION("""COMPUTED_VALUE"""),9.0)</f>
        <v>9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IFERROR(__xludf.DUMMYFUNCTION("""COMPUTED_VALUE"""),170.0)</f>
        <v>170</v>
      </c>
      <c r="N149" s="66">
        <f>IFERROR(__xludf.DUMMYFUNCTION("""COMPUTED_VALUE"""),9.0)</f>
        <v>9</v>
      </c>
    </row>
    <row r="150">
      <c r="A150" s="1"/>
      <c r="B150" s="62" t="str">
        <f>IFERROR(__xludf.DUMMYFUNCTION("""COMPUTED_VALUE"""),"Vishnu Amarnath")</f>
        <v>Vishnu Amarnath</v>
      </c>
      <c r="C150" s="63">
        <f>IFERROR(__xludf.DUMMYFUNCTION("""COMPUTED_VALUE"""),159.0)</f>
        <v>159</v>
      </c>
      <c r="D150" s="64">
        <f>IFERROR(__xludf.DUMMYFUNCTION("""COMPUTED_VALUE"""),13.0)</f>
        <v>13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IFERROR(__xludf.DUMMYFUNCTION("""COMPUTED_VALUE"""),168.0)</f>
        <v>168</v>
      </c>
      <c r="N150" s="66">
        <f>IFERROR(__xludf.DUMMYFUNCTION("""COMPUTED_VALUE"""),13.0)</f>
        <v>13</v>
      </c>
    </row>
    <row r="151">
      <c r="A151" s="1"/>
      <c r="B151" s="62" t="str">
        <f>IFERROR(__xludf.DUMMYFUNCTION("""COMPUTED_VALUE"""),"Sandy Weyant")</f>
        <v>Sandy Weyant</v>
      </c>
      <c r="C151" s="63">
        <f>IFERROR(__xludf.DUMMYFUNCTION("""COMPUTED_VALUE"""),159.0)</f>
        <v>159</v>
      </c>
      <c r="D151" s="64">
        <f>IFERROR(__xludf.DUMMYFUNCTION("""COMPUTED_VALUE"""),8.0)</f>
        <v>8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IFERROR(__xludf.DUMMYFUNCTION("""COMPUTED_VALUE"""),168.0)</f>
        <v>168</v>
      </c>
      <c r="N151" s="66">
        <f>IFERROR(__xludf.DUMMYFUNCTION("""COMPUTED_VALUE"""),8.0)</f>
        <v>8</v>
      </c>
    </row>
    <row r="152">
      <c r="A152" s="1"/>
      <c r="B152" s="62" t="str">
        <f>IFERROR(__xludf.DUMMYFUNCTION("""COMPUTED_VALUE"""),"Manish Anand")</f>
        <v>Manish Anand</v>
      </c>
      <c r="C152" s="63">
        <f>IFERROR(__xludf.DUMMYFUNCTION("""COMPUTED_VALUE"""),158.0)</f>
        <v>158</v>
      </c>
      <c r="D152" s="64">
        <f>IFERROR(__xludf.DUMMYFUNCTION("""COMPUTED_VALUE"""),7.0)</f>
        <v>7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IFERROR(__xludf.DUMMYFUNCTION("""COMPUTED_VALUE"""),167.0)</f>
        <v>167</v>
      </c>
      <c r="N152" s="66">
        <f>IFERROR(__xludf.DUMMYFUNCTION("""COMPUTED_VALUE"""),7.0)</f>
        <v>7</v>
      </c>
    </row>
    <row r="153">
      <c r="A153" s="1"/>
      <c r="B153" s="62" t="str">
        <f>IFERROR(__xludf.DUMMYFUNCTION("""COMPUTED_VALUE"""),"Savay Lieu")</f>
        <v>Savay Lieu</v>
      </c>
      <c r="C153" s="63">
        <f>IFERROR(__xludf.DUMMYFUNCTION("""COMPUTED_VALUE"""),158.0)</f>
        <v>158</v>
      </c>
      <c r="D153" s="64">
        <f>IFERROR(__xludf.DUMMYFUNCTION("""COMPUTED_VALUE"""),5.0)</f>
        <v>5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IFERROR(__xludf.DUMMYFUNCTION("""COMPUTED_VALUE"""),167.0)</f>
        <v>167</v>
      </c>
      <c r="N153" s="66">
        <f>IFERROR(__xludf.DUMMYFUNCTION("""COMPUTED_VALUE"""),5.0)</f>
        <v>5</v>
      </c>
    </row>
    <row r="154">
      <c r="A154" s="1"/>
      <c r="B154" s="62" t="str">
        <f>IFERROR(__xludf.DUMMYFUNCTION("""COMPUTED_VALUE"""),"Vinot Kumar Nagappan")</f>
        <v>Vinot Kumar Nagappan</v>
      </c>
      <c r="C154" s="63">
        <f>IFERROR(__xludf.DUMMYFUNCTION("""COMPUTED_VALUE"""),157.0)</f>
        <v>157</v>
      </c>
      <c r="D154" s="64">
        <f>IFERROR(__xludf.DUMMYFUNCTION("""COMPUTED_VALUE"""),7.0)</f>
        <v>7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IFERROR(__xludf.DUMMYFUNCTION("""COMPUTED_VALUE"""),166.0)</f>
        <v>166</v>
      </c>
      <c r="N154" s="66">
        <f>IFERROR(__xludf.DUMMYFUNCTION("""COMPUTED_VALUE"""),7.0)</f>
        <v>7</v>
      </c>
    </row>
    <row r="155">
      <c r="A155" s="1"/>
      <c r="B155" s="62" t="str">
        <f>IFERROR(__xludf.DUMMYFUNCTION("""COMPUTED_VALUE"""),"Elayaraja Thangaraj ")</f>
        <v>Elayaraja Thangaraj </v>
      </c>
      <c r="C155" s="63">
        <f>IFERROR(__xludf.DUMMYFUNCTION("""COMPUTED_VALUE"""),153.0)</f>
        <v>153</v>
      </c>
      <c r="D155" s="64">
        <f>IFERROR(__xludf.DUMMYFUNCTION("""COMPUTED_VALUE"""),11.0)</f>
        <v>11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IFERROR(__xludf.DUMMYFUNCTION("""COMPUTED_VALUE"""),162.0)</f>
        <v>162</v>
      </c>
      <c r="N155" s="66">
        <f>IFERROR(__xludf.DUMMYFUNCTION("""COMPUTED_VALUE"""),11.0)</f>
        <v>11</v>
      </c>
    </row>
    <row r="156">
      <c r="A156" s="1"/>
      <c r="B156" s="62" t="str">
        <f>IFERROR(__xludf.DUMMYFUNCTION("""COMPUTED_VALUE"""),"Sudhagar Subbaian")</f>
        <v>Sudhagar Subbaian</v>
      </c>
      <c r="C156" s="63">
        <f>IFERROR(__xludf.DUMMYFUNCTION("""COMPUTED_VALUE"""),153.0)</f>
        <v>153</v>
      </c>
      <c r="D156" s="64">
        <f>IFERROR(__xludf.DUMMYFUNCTION("""COMPUTED_VALUE"""),5.0)</f>
        <v>5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IFERROR(__xludf.DUMMYFUNCTION("""COMPUTED_VALUE"""),162.0)</f>
        <v>162</v>
      </c>
      <c r="N156" s="66">
        <f>IFERROR(__xludf.DUMMYFUNCTION("""COMPUTED_VALUE"""),5.0)</f>
        <v>5</v>
      </c>
    </row>
    <row r="157">
      <c r="A157" s="1"/>
      <c r="B157" s="62" t="str">
        <f>IFERROR(__xludf.DUMMYFUNCTION("""COMPUTED_VALUE"""),"Robert Chang")</f>
        <v>Robert Chang</v>
      </c>
      <c r="C157" s="63">
        <f>IFERROR(__xludf.DUMMYFUNCTION("""COMPUTED_VALUE"""),153.0)</f>
        <v>153</v>
      </c>
      <c r="D157" s="64">
        <f>IFERROR(__xludf.DUMMYFUNCTION("""COMPUTED_VALUE"""),4.0)</f>
        <v>4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IFERROR(__xludf.DUMMYFUNCTION("""COMPUTED_VALUE"""),162.0)</f>
        <v>162</v>
      </c>
      <c r="N157" s="66">
        <f>IFERROR(__xludf.DUMMYFUNCTION("""COMPUTED_VALUE"""),4.0)</f>
        <v>4</v>
      </c>
    </row>
    <row r="158">
      <c r="A158" s="1"/>
      <c r="B158" s="62" t="str">
        <f>IFERROR(__xludf.DUMMYFUNCTION("""COMPUTED_VALUE"""),"Alejandro Mejia")</f>
        <v>Alejandro Mejia</v>
      </c>
      <c r="C158" s="63">
        <f>IFERROR(__xludf.DUMMYFUNCTION("""COMPUTED_VALUE"""),151.0)</f>
        <v>151</v>
      </c>
      <c r="D158" s="64">
        <f>IFERROR(__xludf.DUMMYFUNCTION("""COMPUTED_VALUE"""),4.0)</f>
        <v>4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IFERROR(__xludf.DUMMYFUNCTION("""COMPUTED_VALUE"""),160.0)</f>
        <v>160</v>
      </c>
      <c r="N158" s="66">
        <f>IFERROR(__xludf.DUMMYFUNCTION("""COMPUTED_VALUE"""),4.0)</f>
        <v>4</v>
      </c>
    </row>
    <row r="159">
      <c r="A159" s="1"/>
      <c r="B159" s="62" t="str">
        <f>IFERROR(__xludf.DUMMYFUNCTION("""COMPUTED_VALUE"""),"Rosie Bonilla")</f>
        <v>Rosie Bonilla</v>
      </c>
      <c r="C159" s="63">
        <f>IFERROR(__xludf.DUMMYFUNCTION("""COMPUTED_VALUE"""),150.0)</f>
        <v>150</v>
      </c>
      <c r="D159" s="64">
        <f>IFERROR(__xludf.DUMMYFUNCTION("""COMPUTED_VALUE"""),2.0)</f>
        <v>2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IFERROR(__xludf.DUMMYFUNCTION("""COMPUTED_VALUE"""),159.0)</f>
        <v>159</v>
      </c>
      <c r="N159" s="66">
        <f>IFERROR(__xludf.DUMMYFUNCTION("""COMPUTED_VALUE"""),2.0)</f>
        <v>2</v>
      </c>
    </row>
    <row r="160">
      <c r="A160" s="1"/>
      <c r="B160" s="62" t="str">
        <f>IFERROR(__xludf.DUMMYFUNCTION("""COMPUTED_VALUE"""),"Sanjaye Elayattu")</f>
        <v>Sanjaye Elayattu</v>
      </c>
      <c r="C160" s="63">
        <f>IFERROR(__xludf.DUMMYFUNCTION("""COMPUTED_VALUE"""),147.0)</f>
        <v>147</v>
      </c>
      <c r="D160" s="64">
        <f>IFERROR(__xludf.DUMMYFUNCTION("""COMPUTED_VALUE"""),1.0)</f>
        <v>1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IFERROR(__xludf.DUMMYFUNCTION("""COMPUTED_VALUE"""),156.0)</f>
        <v>156</v>
      </c>
      <c r="N160" s="66">
        <f>IFERROR(__xludf.DUMMYFUNCTION("""COMPUTED_VALUE"""),1.0)</f>
        <v>1</v>
      </c>
    </row>
    <row r="161">
      <c r="A161" s="1"/>
      <c r="B161" s="62" t="str">
        <f>IFERROR(__xludf.DUMMYFUNCTION("""COMPUTED_VALUE"""),"Ash Nikravan")</f>
        <v>Ash Nikravan</v>
      </c>
      <c r="C161" s="63">
        <f>IFERROR(__xludf.DUMMYFUNCTION("""COMPUTED_VALUE"""),146.0)</f>
        <v>146</v>
      </c>
      <c r="D161" s="64">
        <f>IFERROR(__xludf.DUMMYFUNCTION("""COMPUTED_VALUE"""),5.0)</f>
        <v>5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IFERROR(__xludf.DUMMYFUNCTION("""COMPUTED_VALUE"""),155.0)</f>
        <v>155</v>
      </c>
      <c r="N161" s="66">
        <f>IFERROR(__xludf.DUMMYFUNCTION("""COMPUTED_VALUE"""),5.0)</f>
        <v>5</v>
      </c>
    </row>
    <row r="162">
      <c r="A162" s="1"/>
      <c r="B162" s="62" t="str">
        <f>IFERROR(__xludf.DUMMYFUNCTION("""COMPUTED_VALUE"""),"Troy Wong")</f>
        <v>Troy Wong</v>
      </c>
      <c r="C162" s="63">
        <f>IFERROR(__xludf.DUMMYFUNCTION("""COMPUTED_VALUE"""),145.0)</f>
        <v>145</v>
      </c>
      <c r="D162" s="64">
        <f>IFERROR(__xludf.DUMMYFUNCTION("""COMPUTED_VALUE"""),4.0)</f>
        <v>4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IFERROR(__xludf.DUMMYFUNCTION("""COMPUTED_VALUE"""),154.0)</f>
        <v>154</v>
      </c>
      <c r="N162" s="66">
        <f>IFERROR(__xludf.DUMMYFUNCTION("""COMPUTED_VALUE"""),4.0)</f>
        <v>4</v>
      </c>
    </row>
    <row r="163">
      <c r="A163" s="1"/>
      <c r="B163" s="62" t="str">
        <f>IFERROR(__xludf.DUMMYFUNCTION("""COMPUTED_VALUE"""),"Tony Lin")</f>
        <v>Tony Lin</v>
      </c>
      <c r="C163" s="63">
        <f>IFERROR(__xludf.DUMMYFUNCTION("""COMPUTED_VALUE"""),144.0)</f>
        <v>144</v>
      </c>
      <c r="D163" s="64">
        <f>IFERROR(__xludf.DUMMYFUNCTION("""COMPUTED_VALUE"""),3.0)</f>
        <v>3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IFERROR(__xludf.DUMMYFUNCTION("""COMPUTED_VALUE"""),153.0)</f>
        <v>153</v>
      </c>
      <c r="N163" s="66">
        <f>IFERROR(__xludf.DUMMYFUNCTION("""COMPUTED_VALUE"""),3.0)</f>
        <v>3</v>
      </c>
    </row>
    <row r="164">
      <c r="A164" s="1"/>
      <c r="B164" s="62" t="str">
        <f>IFERROR(__xludf.DUMMYFUNCTION("""COMPUTED_VALUE"""),"Chandrasekar Chinnathambi")</f>
        <v>Chandrasekar Chinnathambi</v>
      </c>
      <c r="C164" s="63">
        <f>IFERROR(__xludf.DUMMYFUNCTION("""COMPUTED_VALUE"""),142.0)</f>
        <v>142</v>
      </c>
      <c r="D164" s="64">
        <f>IFERROR(__xludf.DUMMYFUNCTION("""COMPUTED_VALUE"""),1.0)</f>
        <v>1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IFERROR(__xludf.DUMMYFUNCTION("""COMPUTED_VALUE"""),151.0)</f>
        <v>151</v>
      </c>
      <c r="N164" s="66">
        <f>IFERROR(__xludf.DUMMYFUNCTION("""COMPUTED_VALUE"""),1.0)</f>
        <v>1</v>
      </c>
    </row>
    <row r="165">
      <c r="A165" s="1"/>
      <c r="B165" s="62" t="str">
        <f>IFERROR(__xludf.DUMMYFUNCTION("""COMPUTED_VALUE"""),"Amit Patel")</f>
        <v>Amit Patel</v>
      </c>
      <c r="C165" s="63">
        <f>IFERROR(__xludf.DUMMYFUNCTION("""COMPUTED_VALUE"""),141.0)</f>
        <v>141</v>
      </c>
      <c r="D165" s="64">
        <f>IFERROR(__xludf.DUMMYFUNCTION("""COMPUTED_VALUE"""),2.0)</f>
        <v>2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IFERROR(__xludf.DUMMYFUNCTION("""COMPUTED_VALUE"""),150.0)</f>
        <v>150</v>
      </c>
      <c r="N165" s="66">
        <f>IFERROR(__xludf.DUMMYFUNCTION("""COMPUTED_VALUE"""),2.0)</f>
        <v>2</v>
      </c>
    </row>
    <row r="166">
      <c r="A166" s="1"/>
      <c r="B166" s="62" t="str">
        <f>IFERROR(__xludf.DUMMYFUNCTION("""COMPUTED_VALUE"""),"Marcus Yovas")</f>
        <v>Marcus Yovas</v>
      </c>
      <c r="C166" s="63">
        <f>IFERROR(__xludf.DUMMYFUNCTION("""COMPUTED_VALUE"""),139.0)</f>
        <v>139</v>
      </c>
      <c r="D166" s="64">
        <f>IFERROR(__xludf.DUMMYFUNCTION("""COMPUTED_VALUE"""),2.0)</f>
        <v>2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IFERROR(__xludf.DUMMYFUNCTION("""COMPUTED_VALUE"""),148.0)</f>
        <v>148</v>
      </c>
      <c r="N166" s="66">
        <f>IFERROR(__xludf.DUMMYFUNCTION("""COMPUTED_VALUE"""),2.0)</f>
        <v>2</v>
      </c>
    </row>
    <row r="167">
      <c r="A167" s="1"/>
      <c r="B167" s="62" t="str">
        <f>IFERROR(__xludf.DUMMYFUNCTION("""COMPUTED_VALUE"""),"Joyce Zhu")</f>
        <v>Joyce Zhu</v>
      </c>
      <c r="C167" s="63">
        <f>IFERROR(__xludf.DUMMYFUNCTION("""COMPUTED_VALUE"""),136.0)</f>
        <v>136</v>
      </c>
      <c r="D167" s="64">
        <f>IFERROR(__xludf.DUMMYFUNCTION("""COMPUTED_VALUE"""),4.0)</f>
        <v>4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IFERROR(__xludf.DUMMYFUNCTION("""COMPUTED_VALUE"""),145.0)</f>
        <v>145</v>
      </c>
      <c r="N167" s="66">
        <f>IFERROR(__xludf.DUMMYFUNCTION("""COMPUTED_VALUE"""),4.0)</f>
        <v>4</v>
      </c>
    </row>
    <row r="168">
      <c r="A168" s="1"/>
      <c r="B168" s="62" t="str">
        <f>IFERROR(__xludf.DUMMYFUNCTION("""COMPUTED_VALUE"""),"Vilas Janardhanan")</f>
        <v>Vilas Janardhanan</v>
      </c>
      <c r="C168" s="63">
        <f>IFERROR(__xludf.DUMMYFUNCTION("""COMPUTED_VALUE"""),135.0)</f>
        <v>135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IFERROR(__xludf.DUMMYFUNCTION("""COMPUTED_VALUE"""),144.0)</f>
        <v>144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IFERROR(__xludf.DUMMYFUNCTION("""COMPUTED_VALUE"""),"Coco Yan")</f>
        <v>Coco Yan</v>
      </c>
      <c r="C169" s="63">
        <f>IFERROR(__xludf.DUMMYFUNCTION("""COMPUTED_VALUE"""),135.0)</f>
        <v>135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IFERROR(__xludf.DUMMYFUNCTION("""COMPUTED_VALUE"""),144.0)</f>
        <v>144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IFERROR(__xludf.DUMMYFUNCTION("""COMPUTED_VALUE"""),"Tiffany Yu")</f>
        <v>Tiffany Yu</v>
      </c>
      <c r="C170" s="63">
        <f>IFERROR(__xludf.DUMMYFUNCTION("""COMPUTED_VALUE"""),134.0)</f>
        <v>134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IFERROR(__xludf.DUMMYFUNCTION("""COMPUTED_VALUE"""),143.0)</f>
        <v>143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IFERROR(__xludf.DUMMYFUNCTION("""COMPUTED_VALUE"""),"Sai Dilip Ponnaganti")</f>
        <v>Sai Dilip Ponnaganti</v>
      </c>
      <c r="C171" s="63">
        <f>IFERROR(__xludf.DUMMYFUNCTION("""COMPUTED_VALUE"""),126.0)</f>
        <v>126</v>
      </c>
      <c r="D171" s="64">
        <f>IFERROR(__xludf.DUMMYFUNCTION("""COMPUTED_VALUE"""),0.0)</f>
        <v>0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IFERROR(__xludf.DUMMYFUNCTION("""COMPUTED_VALUE"""),135.0)</f>
        <v>135</v>
      </c>
      <c r="N171" s="66">
        <f>IFERROR(__xludf.DUMMYFUNCTION("""COMPUTED_VALUE"""),0.0)</f>
        <v>0</v>
      </c>
    </row>
    <row r="172">
      <c r="A172" s="1"/>
      <c r="B172" s="62" t="str">
        <f>IFERROR(__xludf.DUMMYFUNCTION("""COMPUTED_VALUE"""),"Jose Ortiz")</f>
        <v>Jose Ortiz</v>
      </c>
      <c r="C172" s="63">
        <f>IFERROR(__xludf.DUMMYFUNCTION("""COMPUTED_VALUE"""),125.0)</f>
        <v>125</v>
      </c>
      <c r="D172" s="64">
        <f>IFERROR(__xludf.DUMMYFUNCTION("""COMPUTED_VALUE"""),2.0)</f>
        <v>2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IFERROR(__xludf.DUMMYFUNCTION("""COMPUTED_VALUE"""),134.0)</f>
        <v>134</v>
      </c>
      <c r="N172" s="66">
        <f>IFERROR(__xludf.DUMMYFUNCTION("""COMPUTED_VALUE"""),2.0)</f>
        <v>2</v>
      </c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45416.0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15.0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48</v>
      </c>
      <c r="C5" s="28">
        <v>200.0</v>
      </c>
      <c r="D5" s="29">
        <v>20.0</v>
      </c>
      <c r="E5" s="30">
        <v>2.0</v>
      </c>
      <c r="F5" s="31">
        <v>1.0</v>
      </c>
      <c r="G5" s="28">
        <v>0.0</v>
      </c>
      <c r="H5" s="31">
        <v>4.0</v>
      </c>
      <c r="I5" s="31">
        <v>2.0</v>
      </c>
      <c r="J5" s="31">
        <v>6.0</v>
      </c>
      <c r="K5" s="33">
        <v>12.0</v>
      </c>
      <c r="L5" s="31">
        <v>1.0</v>
      </c>
      <c r="M5" s="28">
        <f t="shared" ref="M5:N5" si="1">C5+K5</f>
        <v>212</v>
      </c>
      <c r="N5" s="29">
        <f t="shared" si="1"/>
        <v>21</v>
      </c>
      <c r="O5" s="35" t="s">
        <v>46</v>
      </c>
      <c r="P5" s="35" t="s">
        <v>46</v>
      </c>
      <c r="Q5" s="31">
        <f>if(G5=13,1,0)+VLOOKUP(B5,'042724'!B:Q,16,false)</f>
        <v>2</v>
      </c>
      <c r="R5" s="31"/>
      <c r="S5" s="31">
        <f>if(G5=9,1,0)+VLOOKUP(B5,'042724'!B:S,18,false)</f>
        <v>4</v>
      </c>
    </row>
    <row r="6">
      <c r="A6" s="26">
        <f t="shared" ref="A6:A69" si="3">A5+1</f>
        <v>2</v>
      </c>
      <c r="B6" s="39" t="s">
        <v>52</v>
      </c>
      <c r="C6" s="28">
        <v>186.0</v>
      </c>
      <c r="D6" s="29">
        <v>21.0</v>
      </c>
      <c r="E6" s="30">
        <v>2.0</v>
      </c>
      <c r="F6" s="31">
        <v>1.0</v>
      </c>
      <c r="G6" s="28">
        <v>0.0</v>
      </c>
      <c r="H6" s="31">
        <v>4.0</v>
      </c>
      <c r="I6" s="31">
        <v>6.0</v>
      </c>
      <c r="J6" s="31">
        <v>1.0</v>
      </c>
      <c r="K6" s="33">
        <v>11.0</v>
      </c>
      <c r="L6" s="31">
        <v>1.0</v>
      </c>
      <c r="M6" s="28">
        <f t="shared" ref="M6:N6" si="2">C6+K6</f>
        <v>197</v>
      </c>
      <c r="N6" s="29">
        <f t="shared" si="2"/>
        <v>22</v>
      </c>
      <c r="O6" s="35" t="s">
        <v>46</v>
      </c>
      <c r="P6" s="35" t="s">
        <v>46</v>
      </c>
      <c r="Q6" s="31">
        <f>if(G6=13,1,0)+VLOOKUP(B6,'042724'!B:Q,16,false)</f>
        <v>0</v>
      </c>
      <c r="R6" s="31"/>
      <c r="S6" s="31">
        <f>if(G6=9,1,0)+VLOOKUP(B6,'042724'!B:S,18,false)</f>
        <v>4</v>
      </c>
    </row>
    <row r="7">
      <c r="A7" s="26">
        <f t="shared" si="3"/>
        <v>3</v>
      </c>
      <c r="B7" s="27" t="s">
        <v>38</v>
      </c>
      <c r="C7" s="28">
        <v>185.0</v>
      </c>
      <c r="D7" s="29">
        <v>18.0</v>
      </c>
      <c r="E7" s="30">
        <v>1.0</v>
      </c>
      <c r="F7" s="31">
        <v>1.0</v>
      </c>
      <c r="G7" s="28">
        <v>0.0</v>
      </c>
      <c r="H7" s="31">
        <v>6.0</v>
      </c>
      <c r="I7" s="31">
        <v>6.0</v>
      </c>
      <c r="J7" s="31">
        <v>6.0</v>
      </c>
      <c r="K7" s="33">
        <v>18.0</v>
      </c>
      <c r="L7" s="31">
        <v>3.0</v>
      </c>
      <c r="M7" s="28">
        <f t="shared" ref="M7:N7" si="4">C7+K7</f>
        <v>203</v>
      </c>
      <c r="N7" s="29">
        <f t="shared" si="4"/>
        <v>21</v>
      </c>
      <c r="O7" s="35" t="s">
        <v>46</v>
      </c>
      <c r="P7" s="35" t="s">
        <v>46</v>
      </c>
      <c r="Q7" s="31">
        <f>if(G7=13,1,0)+VLOOKUP(B7,'042724'!B:Q,16,false)</f>
        <v>1</v>
      </c>
      <c r="R7" s="31"/>
      <c r="S7" s="31">
        <f>if(G7=9,1,0)+VLOOKUP(B7,'042724'!B:S,18,false)</f>
        <v>6</v>
      </c>
    </row>
    <row r="8">
      <c r="A8" s="26">
        <f t="shared" si="3"/>
        <v>4</v>
      </c>
      <c r="B8" s="27" t="s">
        <v>61</v>
      </c>
      <c r="C8" s="28">
        <v>181.0</v>
      </c>
      <c r="D8" s="29">
        <v>16.0</v>
      </c>
      <c r="E8" s="30">
        <v>2.0</v>
      </c>
      <c r="F8" s="31">
        <v>1.0</v>
      </c>
      <c r="G8" s="28">
        <v>0.0</v>
      </c>
      <c r="H8" s="31">
        <v>6.0</v>
      </c>
      <c r="I8" s="31">
        <v>2.0</v>
      </c>
      <c r="J8" s="31">
        <v>1.0</v>
      </c>
      <c r="K8" s="33">
        <v>9.0</v>
      </c>
      <c r="L8" s="31">
        <v>1.0</v>
      </c>
      <c r="M8" s="28">
        <f t="shared" ref="M8:N8" si="5">C8+K8</f>
        <v>190</v>
      </c>
      <c r="N8" s="29">
        <f t="shared" si="5"/>
        <v>17</v>
      </c>
      <c r="O8" s="35" t="s">
        <v>46</v>
      </c>
      <c r="P8" s="35" t="s">
        <v>46</v>
      </c>
      <c r="Q8" s="31">
        <f>if(G8=13,1,0)+VLOOKUP(B8,'042724'!B:Q,16,false)</f>
        <v>2</v>
      </c>
      <c r="R8" s="31"/>
      <c r="S8" s="31">
        <f>if(G8=9,1,0)+VLOOKUP(B8,'042724'!B:S,18,false)</f>
        <v>3</v>
      </c>
    </row>
    <row r="9">
      <c r="A9" s="26">
        <f t="shared" si="3"/>
        <v>5</v>
      </c>
      <c r="B9" s="39" t="s">
        <v>55</v>
      </c>
      <c r="C9" s="28">
        <v>177.0</v>
      </c>
      <c r="D9" s="29">
        <v>17.0</v>
      </c>
      <c r="E9" s="30">
        <v>3.0</v>
      </c>
      <c r="F9" s="31">
        <v>0.0</v>
      </c>
      <c r="G9" s="28">
        <v>9.0</v>
      </c>
      <c r="H9" s="31">
        <v>0.0</v>
      </c>
      <c r="I9" s="31">
        <v>0.0</v>
      </c>
      <c r="J9" s="31">
        <v>0.0</v>
      </c>
      <c r="K9" s="33">
        <v>9.0</v>
      </c>
      <c r="L9" s="31">
        <v>0.0</v>
      </c>
      <c r="M9" s="28">
        <f t="shared" ref="M9:N9" si="6">C9+K9</f>
        <v>186</v>
      </c>
      <c r="N9" s="29">
        <f t="shared" si="6"/>
        <v>17</v>
      </c>
      <c r="O9" s="35" t="s">
        <v>46</v>
      </c>
      <c r="P9" s="35" t="s">
        <v>46</v>
      </c>
      <c r="Q9" s="31">
        <f>if(G9=13,1,0)+VLOOKUP(B9,'042724'!B:Q,16,false)</f>
        <v>1</v>
      </c>
      <c r="R9" s="31"/>
      <c r="S9" s="31">
        <f>if(G9=9,1,0)+VLOOKUP(B9,'042724'!B:S,18,false)</f>
        <v>6</v>
      </c>
    </row>
    <row r="10">
      <c r="A10" s="26">
        <f t="shared" si="3"/>
        <v>6</v>
      </c>
      <c r="B10" s="27" t="s">
        <v>75</v>
      </c>
      <c r="C10" s="28">
        <v>177.0</v>
      </c>
      <c r="D10" s="29">
        <v>14.0</v>
      </c>
      <c r="E10" s="30">
        <v>1.0</v>
      </c>
      <c r="F10" s="31">
        <v>2.0</v>
      </c>
      <c r="G10" s="28">
        <v>0.0</v>
      </c>
      <c r="H10" s="31">
        <v>6.0</v>
      </c>
      <c r="I10" s="31">
        <v>6.0</v>
      </c>
      <c r="J10" s="31">
        <v>1.0</v>
      </c>
      <c r="K10" s="33">
        <v>13.0</v>
      </c>
      <c r="L10" s="31">
        <v>2.0</v>
      </c>
      <c r="M10" s="28">
        <f t="shared" ref="M10:N10" si="7">C10+K10</f>
        <v>190</v>
      </c>
      <c r="N10" s="29">
        <f t="shared" si="7"/>
        <v>16</v>
      </c>
      <c r="O10" s="35" t="s">
        <v>46</v>
      </c>
      <c r="P10" s="35" t="s">
        <v>46</v>
      </c>
      <c r="Q10" s="31">
        <f>if(G10=13,1,0)+VLOOKUP(B10,'042724'!B:Q,16,false)</f>
        <v>1</v>
      </c>
      <c r="R10" s="31"/>
      <c r="S10" s="31">
        <f>if(G10=9,1,0)+VLOOKUP(B10,'042724'!B:S,18,false)</f>
        <v>2</v>
      </c>
    </row>
    <row r="11">
      <c r="A11" s="26">
        <f t="shared" si="3"/>
        <v>7</v>
      </c>
      <c r="B11" s="27" t="s">
        <v>82</v>
      </c>
      <c r="C11" s="28">
        <v>176.0</v>
      </c>
      <c r="D11" s="29">
        <v>15.0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185</v>
      </c>
      <c r="N11" s="29">
        <f t="shared" si="8"/>
        <v>15</v>
      </c>
      <c r="O11" s="35" t="s">
        <v>46</v>
      </c>
      <c r="P11" s="35" t="s">
        <v>46</v>
      </c>
      <c r="Q11" s="31">
        <f>if(G11=13,1,0)+VLOOKUP(B11,'042724'!B:Q,16,false)</f>
        <v>1</v>
      </c>
      <c r="R11" s="31"/>
      <c r="S11" s="31">
        <f>if(G11=9,1,0)+VLOOKUP(B11,'042724'!B:S,18,false)</f>
        <v>8</v>
      </c>
    </row>
    <row r="12">
      <c r="A12" s="26">
        <f t="shared" si="3"/>
        <v>8</v>
      </c>
      <c r="B12" s="27" t="s">
        <v>77</v>
      </c>
      <c r="C12" s="28">
        <v>176.0</v>
      </c>
      <c r="D12" s="29">
        <v>10.0</v>
      </c>
      <c r="E12" s="30">
        <v>1.0</v>
      </c>
      <c r="F12" s="31">
        <v>2.0</v>
      </c>
      <c r="G12" s="28">
        <v>0.0</v>
      </c>
      <c r="H12" s="31">
        <v>3.0</v>
      </c>
      <c r="I12" s="31">
        <v>4.0</v>
      </c>
      <c r="J12" s="31">
        <v>1.0</v>
      </c>
      <c r="K12" s="33">
        <v>8.0</v>
      </c>
      <c r="L12" s="31">
        <v>0.0</v>
      </c>
      <c r="M12" s="28">
        <f t="shared" ref="M12:N12" si="9">C12+K12</f>
        <v>184</v>
      </c>
      <c r="N12" s="29">
        <f t="shared" si="9"/>
        <v>10</v>
      </c>
      <c r="O12" s="35" t="s">
        <v>46</v>
      </c>
      <c r="P12" s="35" t="s">
        <v>46</v>
      </c>
      <c r="Q12" s="31">
        <f>if(G12=13,1,0)+VLOOKUP(B12,'042724'!B:Q,16,false)</f>
        <v>2</v>
      </c>
      <c r="R12" s="31"/>
      <c r="S12" s="31">
        <f>if(G12=9,1,0)+VLOOKUP(B12,'042724'!B:S,18,false)</f>
        <v>5</v>
      </c>
    </row>
    <row r="13">
      <c r="A13" s="26">
        <f t="shared" si="3"/>
        <v>9</v>
      </c>
      <c r="B13" s="27" t="s">
        <v>60</v>
      </c>
      <c r="C13" s="28">
        <v>175.0</v>
      </c>
      <c r="D13" s="29">
        <v>11.0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184</v>
      </c>
      <c r="N13" s="29">
        <f t="shared" si="10"/>
        <v>11</v>
      </c>
      <c r="O13" s="35" t="s">
        <v>46</v>
      </c>
      <c r="P13" s="35" t="s">
        <v>46</v>
      </c>
      <c r="Q13" s="31">
        <f>if(G13=13,1,0)+VLOOKUP(B13,'042724'!B:Q,16,false)</f>
        <v>2</v>
      </c>
      <c r="R13" s="31"/>
      <c r="S13" s="31">
        <f>if(G13=9,1,0)+VLOOKUP(B13,'042724'!B:S,18,false)</f>
        <v>8</v>
      </c>
    </row>
    <row r="14">
      <c r="A14" s="26">
        <f t="shared" si="3"/>
        <v>10</v>
      </c>
      <c r="B14" s="27" t="s">
        <v>57</v>
      </c>
      <c r="C14" s="28">
        <v>173.0</v>
      </c>
      <c r="D14" s="29">
        <v>15.0</v>
      </c>
      <c r="E14" s="30">
        <v>1.0</v>
      </c>
      <c r="F14" s="31">
        <v>2.0</v>
      </c>
      <c r="G14" s="28">
        <v>0.0</v>
      </c>
      <c r="H14" s="31">
        <v>6.0</v>
      </c>
      <c r="I14" s="31">
        <v>4.0</v>
      </c>
      <c r="J14" s="31">
        <v>6.0</v>
      </c>
      <c r="K14" s="33">
        <v>16.0</v>
      </c>
      <c r="L14" s="31">
        <v>2.0</v>
      </c>
      <c r="M14" s="28">
        <f t="shared" ref="M14:N14" si="11">C14+K14</f>
        <v>189</v>
      </c>
      <c r="N14" s="29">
        <f t="shared" si="11"/>
        <v>17</v>
      </c>
      <c r="O14" s="35" t="s">
        <v>46</v>
      </c>
      <c r="P14" s="35" t="s">
        <v>46</v>
      </c>
      <c r="Q14" s="31">
        <f>if(G14=13,1,0)+VLOOKUP(B14,'042724'!B:Q,16,false)</f>
        <v>0</v>
      </c>
      <c r="R14" s="31"/>
      <c r="S14" s="31">
        <f>if(G14=9,1,0)+VLOOKUP(B14,'042724'!B:S,18,false)</f>
        <v>6</v>
      </c>
    </row>
    <row r="15">
      <c r="A15" s="26">
        <f t="shared" si="3"/>
        <v>11</v>
      </c>
      <c r="B15" s="39" t="s">
        <v>50</v>
      </c>
      <c r="C15" s="28">
        <v>170.0</v>
      </c>
      <c r="D15" s="29">
        <v>16.0</v>
      </c>
      <c r="E15" s="30">
        <v>1.0</v>
      </c>
      <c r="F15" s="31">
        <v>2.0</v>
      </c>
      <c r="G15" s="28">
        <v>0.0</v>
      </c>
      <c r="H15" s="31">
        <v>3.0</v>
      </c>
      <c r="I15" s="31">
        <v>6.0</v>
      </c>
      <c r="J15" s="31">
        <v>6.0</v>
      </c>
      <c r="K15" s="33">
        <v>15.0</v>
      </c>
      <c r="L15" s="31">
        <v>2.0</v>
      </c>
      <c r="M15" s="28">
        <f t="shared" ref="M15:N15" si="12">C15+K15</f>
        <v>185</v>
      </c>
      <c r="N15" s="29">
        <f t="shared" si="12"/>
        <v>18</v>
      </c>
      <c r="O15" s="35" t="s">
        <v>46</v>
      </c>
      <c r="P15" s="35" t="s">
        <v>46</v>
      </c>
      <c r="Q15" s="31">
        <f>if(G15=13,1,0)+VLOOKUP(B15,'042724'!B:Q,16,false)</f>
        <v>0</v>
      </c>
      <c r="R15" s="31"/>
      <c r="S15" s="31">
        <f>if(G15=9,1,0)+VLOOKUP(B15,'042724'!B:S,18,false)</f>
        <v>8</v>
      </c>
    </row>
    <row r="16">
      <c r="A16" s="26">
        <f t="shared" si="3"/>
        <v>12</v>
      </c>
      <c r="B16" s="27" t="s">
        <v>81</v>
      </c>
      <c r="C16" s="28">
        <v>170.0</v>
      </c>
      <c r="D16" s="29">
        <v>15.0</v>
      </c>
      <c r="E16" s="30">
        <v>1.0</v>
      </c>
      <c r="F16" s="31">
        <v>3.0</v>
      </c>
      <c r="G16" s="28">
        <v>0.0</v>
      </c>
      <c r="H16" s="31">
        <v>6.0</v>
      </c>
      <c r="I16" s="31">
        <v>6.0</v>
      </c>
      <c r="J16" s="31">
        <v>3.0</v>
      </c>
      <c r="K16" s="33">
        <v>15.0</v>
      </c>
      <c r="L16" s="31">
        <v>2.0</v>
      </c>
      <c r="M16" s="28">
        <f t="shared" ref="M16:N16" si="13">C16+K16</f>
        <v>185</v>
      </c>
      <c r="N16" s="29">
        <f t="shared" si="13"/>
        <v>17</v>
      </c>
      <c r="O16" s="35" t="s">
        <v>46</v>
      </c>
      <c r="P16" s="35" t="s">
        <v>46</v>
      </c>
      <c r="Q16" s="31">
        <f>if(G16=13,1,0)+VLOOKUP(B16,'042724'!B:Q,16,false)</f>
        <v>0</v>
      </c>
      <c r="R16" s="31"/>
      <c r="S16" s="31">
        <f>if(G16=9,1,0)+VLOOKUP(B16,'042724'!B:S,18,false)</f>
        <v>4</v>
      </c>
    </row>
    <row r="17">
      <c r="A17" s="26">
        <f t="shared" si="3"/>
        <v>13</v>
      </c>
      <c r="B17" s="27" t="s">
        <v>63</v>
      </c>
      <c r="C17" s="28">
        <v>169.0</v>
      </c>
      <c r="D17" s="29">
        <v>15.0</v>
      </c>
      <c r="E17" s="30">
        <v>1.0</v>
      </c>
      <c r="F17" s="31">
        <v>3.0</v>
      </c>
      <c r="G17" s="28">
        <v>0.0</v>
      </c>
      <c r="H17" s="31">
        <v>3.0</v>
      </c>
      <c r="I17" s="31">
        <v>3.0</v>
      </c>
      <c r="J17" s="31">
        <v>3.0</v>
      </c>
      <c r="K17" s="33">
        <v>9.0</v>
      </c>
      <c r="L17" s="31">
        <v>0.0</v>
      </c>
      <c r="M17" s="28">
        <f t="shared" ref="M17:N17" si="14">C17+K17</f>
        <v>178</v>
      </c>
      <c r="N17" s="29">
        <f t="shared" si="14"/>
        <v>15</v>
      </c>
      <c r="O17" s="35" t="s">
        <v>46</v>
      </c>
      <c r="P17" s="35" t="s">
        <v>46</v>
      </c>
      <c r="Q17" s="31">
        <f>if(G17=13,1,0)+VLOOKUP(B17,'042724'!B:Q,16,false)</f>
        <v>2</v>
      </c>
      <c r="R17" s="31"/>
      <c r="S17" s="31">
        <f>if(G17=9,1,0)+VLOOKUP(B17,'042724'!B:S,18,false)</f>
        <v>0</v>
      </c>
    </row>
    <row r="18">
      <c r="A18" s="26">
        <f t="shared" si="3"/>
        <v>14</v>
      </c>
      <c r="B18" s="39" t="s">
        <v>103</v>
      </c>
      <c r="C18" s="28">
        <v>169.0</v>
      </c>
      <c r="D18" s="29">
        <v>11.0</v>
      </c>
      <c r="E18" s="30">
        <v>1.0</v>
      </c>
      <c r="F18" s="31">
        <v>3.0</v>
      </c>
      <c r="G18" s="28">
        <v>0.0</v>
      </c>
      <c r="H18" s="31">
        <v>3.0</v>
      </c>
      <c r="I18" s="31">
        <v>6.0</v>
      </c>
      <c r="J18" s="31">
        <v>6.0</v>
      </c>
      <c r="K18" s="33">
        <v>15.0</v>
      </c>
      <c r="L18" s="31">
        <v>2.0</v>
      </c>
      <c r="M18" s="28">
        <f t="shared" ref="M18:N18" si="15">C18+K18</f>
        <v>184</v>
      </c>
      <c r="N18" s="29">
        <f t="shared" si="15"/>
        <v>13</v>
      </c>
      <c r="O18" s="35" t="s">
        <v>46</v>
      </c>
      <c r="P18" s="35" t="s">
        <v>46</v>
      </c>
      <c r="Q18" s="31">
        <f>if(G18=13,1,0)+VLOOKUP(B18,'042724'!B:Q,16,false)</f>
        <v>1</v>
      </c>
      <c r="R18" s="31"/>
      <c r="S18" s="31">
        <f>if(G18=9,1,0)+VLOOKUP(B18,'042724'!B:S,18,false)</f>
        <v>8</v>
      </c>
    </row>
    <row r="19">
      <c r="A19" s="26">
        <f t="shared" si="3"/>
        <v>15</v>
      </c>
      <c r="B19" s="27" t="s">
        <v>90</v>
      </c>
      <c r="C19" s="28">
        <v>168.0</v>
      </c>
      <c r="D19" s="29">
        <v>13.0</v>
      </c>
      <c r="E19" s="30">
        <v>1.0</v>
      </c>
      <c r="F19" s="31">
        <v>3.0</v>
      </c>
      <c r="G19" s="28">
        <v>0.0</v>
      </c>
      <c r="H19" s="31">
        <v>6.0</v>
      </c>
      <c r="I19" s="31">
        <v>3.0</v>
      </c>
      <c r="J19" s="31">
        <v>6.0</v>
      </c>
      <c r="K19" s="33">
        <v>15.0</v>
      </c>
      <c r="L19" s="31">
        <v>2.0</v>
      </c>
      <c r="M19" s="28">
        <f t="shared" ref="M19:N19" si="16">C19+K19</f>
        <v>183</v>
      </c>
      <c r="N19" s="29">
        <f t="shared" si="16"/>
        <v>15</v>
      </c>
      <c r="O19" s="35" t="s">
        <v>46</v>
      </c>
      <c r="P19" s="35" t="s">
        <v>46</v>
      </c>
      <c r="Q19" s="31">
        <f>if(G19=13,1,0)+VLOOKUP(B19,'042724'!B:Q,16,false)</f>
        <v>0</v>
      </c>
      <c r="R19" s="31"/>
      <c r="S19" s="31">
        <f>if(G19=9,1,0)+VLOOKUP(B19,'042724'!B:S,18,false)</f>
        <v>9</v>
      </c>
    </row>
    <row r="20">
      <c r="A20" s="26">
        <f t="shared" si="3"/>
        <v>16</v>
      </c>
      <c r="B20" s="27" t="s">
        <v>84</v>
      </c>
      <c r="C20" s="28">
        <v>168.0</v>
      </c>
      <c r="D20" s="29">
        <v>13.0</v>
      </c>
      <c r="E20" s="30">
        <v>2.0</v>
      </c>
      <c r="F20" s="31">
        <v>5.0</v>
      </c>
      <c r="G20" s="28">
        <v>0.0</v>
      </c>
      <c r="H20" s="31">
        <v>2.0</v>
      </c>
      <c r="I20" s="31">
        <v>0.0</v>
      </c>
      <c r="J20" s="31">
        <v>6.0</v>
      </c>
      <c r="K20" s="33">
        <v>8.0</v>
      </c>
      <c r="L20" s="31">
        <v>1.0</v>
      </c>
      <c r="M20" s="28">
        <f t="shared" ref="M20:N20" si="17">C20+K20</f>
        <v>176</v>
      </c>
      <c r="N20" s="29">
        <f t="shared" si="17"/>
        <v>14</v>
      </c>
      <c r="O20" s="35" t="s">
        <v>46</v>
      </c>
      <c r="P20" s="35" t="s">
        <v>46</v>
      </c>
      <c r="Q20" s="31">
        <f>if(G20=13,1,0)+VLOOKUP(B20,'042724'!B:Q,16,false)</f>
        <v>2</v>
      </c>
      <c r="R20" s="31"/>
      <c r="S20" s="31">
        <f>if(G20=9,1,0)+VLOOKUP(B20,'042724'!B:S,18,false)</f>
        <v>0</v>
      </c>
    </row>
    <row r="21">
      <c r="A21" s="26">
        <f t="shared" si="3"/>
        <v>17</v>
      </c>
      <c r="B21" s="27" t="s">
        <v>96</v>
      </c>
      <c r="C21" s="28">
        <v>167.0</v>
      </c>
      <c r="D21" s="29">
        <v>14.0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176</v>
      </c>
      <c r="N21" s="29">
        <f t="shared" si="18"/>
        <v>14</v>
      </c>
      <c r="O21" s="35" t="s">
        <v>46</v>
      </c>
      <c r="P21" s="35" t="s">
        <v>46</v>
      </c>
      <c r="Q21" s="31">
        <f>if(G21=13,1,0)+VLOOKUP(B21,'042724'!B:Q,16,false)</f>
        <v>1</v>
      </c>
      <c r="R21" s="31"/>
      <c r="S21" s="31">
        <f>if(G21=9,1,0)+VLOOKUP(B21,'042724'!B:S,18,false)</f>
        <v>3</v>
      </c>
    </row>
    <row r="22">
      <c r="A22" s="26">
        <f t="shared" si="3"/>
        <v>18</v>
      </c>
      <c r="B22" s="54" t="s">
        <v>95</v>
      </c>
      <c r="C22" s="28">
        <v>162.0</v>
      </c>
      <c r="D22" s="29">
        <v>16.0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171</v>
      </c>
      <c r="N22" s="29">
        <f t="shared" si="19"/>
        <v>16</v>
      </c>
      <c r="O22" s="35" t="s">
        <v>46</v>
      </c>
      <c r="P22" s="35" t="s">
        <v>46</v>
      </c>
      <c r="Q22" s="31">
        <f>if(G22=13,1,0)+VLOOKUP(B22,'042724'!B:Q,16,false)</f>
        <v>0</v>
      </c>
      <c r="R22" s="31"/>
      <c r="S22" s="31">
        <f>if(G22=9,1,0)+VLOOKUP(B22,'042724'!B:S,18,false)</f>
        <v>3</v>
      </c>
    </row>
    <row r="23">
      <c r="A23" s="26">
        <f t="shared" si="3"/>
        <v>19</v>
      </c>
      <c r="B23" s="27" t="s">
        <v>65</v>
      </c>
      <c r="C23" s="28">
        <v>162.0</v>
      </c>
      <c r="D23" s="29">
        <v>12.0</v>
      </c>
      <c r="E23" s="30">
        <v>1.0</v>
      </c>
      <c r="F23" s="31">
        <v>5.0</v>
      </c>
      <c r="G23" s="28">
        <v>0.0</v>
      </c>
      <c r="H23" s="31">
        <v>6.0</v>
      </c>
      <c r="I23" s="31">
        <v>6.0</v>
      </c>
      <c r="J23" s="31">
        <v>6.0</v>
      </c>
      <c r="K23" s="33">
        <v>18.0</v>
      </c>
      <c r="L23" s="31">
        <v>3.0</v>
      </c>
      <c r="M23" s="28">
        <f t="shared" ref="M23:N23" si="20">C23+K23</f>
        <v>180</v>
      </c>
      <c r="N23" s="29">
        <f t="shared" si="20"/>
        <v>15</v>
      </c>
      <c r="O23" s="35" t="s">
        <v>46</v>
      </c>
      <c r="P23" s="35" t="s">
        <v>46</v>
      </c>
      <c r="Q23" s="31">
        <f>if(G23=13,1,0)+VLOOKUP(B23,'042724'!B:Q,16,false)</f>
        <v>0</v>
      </c>
      <c r="R23" s="31"/>
      <c r="S23" s="31">
        <f>if(G23=9,1,0)+VLOOKUP(B23,'042724'!B:S,18,false)</f>
        <v>10</v>
      </c>
    </row>
    <row r="24">
      <c r="A24" s="26">
        <f t="shared" si="3"/>
        <v>20</v>
      </c>
      <c r="B24" s="27" t="s">
        <v>102</v>
      </c>
      <c r="C24" s="28">
        <v>162.0</v>
      </c>
      <c r="D24" s="29">
        <v>10.0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171</v>
      </c>
      <c r="N24" s="29">
        <f t="shared" si="21"/>
        <v>10</v>
      </c>
      <c r="O24" s="35" t="s">
        <v>46</v>
      </c>
      <c r="P24" s="35" t="s">
        <v>46</v>
      </c>
      <c r="Q24" s="31">
        <f>if(G24=13,1,0)+VLOOKUP(B24,'042724'!B:Q,16,false)</f>
        <v>0</v>
      </c>
      <c r="R24" s="31"/>
      <c r="S24" s="31">
        <f>if(G24=9,1,0)+VLOOKUP(B24,'042724'!B:S,18,false)</f>
        <v>10</v>
      </c>
    </row>
    <row r="25">
      <c r="A25" s="26">
        <f t="shared" si="3"/>
        <v>21</v>
      </c>
      <c r="B25" s="27" t="s">
        <v>79</v>
      </c>
      <c r="C25" s="28">
        <v>161.0</v>
      </c>
      <c r="D25" s="29">
        <v>13.0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170</v>
      </c>
      <c r="N25" s="29">
        <f t="shared" si="22"/>
        <v>13</v>
      </c>
      <c r="O25" s="35" t="s">
        <v>46</v>
      </c>
      <c r="P25" s="35" t="s">
        <v>46</v>
      </c>
      <c r="Q25" s="31">
        <f>if(G25=13,1,0)+VLOOKUP(B25,'042724'!B:Q,16,false)</f>
        <v>0</v>
      </c>
      <c r="R25" s="31"/>
      <c r="S25" s="31">
        <f>if(G25=9,1,0)+VLOOKUP(B25,'042724'!B:S,18,false)</f>
        <v>6</v>
      </c>
    </row>
    <row r="26">
      <c r="A26" s="26">
        <f t="shared" si="3"/>
        <v>22</v>
      </c>
      <c r="B26" s="39" t="s">
        <v>71</v>
      </c>
      <c r="C26" s="28">
        <v>161.0</v>
      </c>
      <c r="D26" s="29">
        <v>11.0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170</v>
      </c>
      <c r="N26" s="29">
        <f t="shared" si="23"/>
        <v>11</v>
      </c>
      <c r="O26" s="35" t="s">
        <v>46</v>
      </c>
      <c r="P26" s="35" t="s">
        <v>46</v>
      </c>
      <c r="Q26" s="31">
        <f>if(G26=13,1,0)+VLOOKUP(B26,'042724'!B:Q,16,false)</f>
        <v>0</v>
      </c>
      <c r="R26" s="31"/>
      <c r="S26" s="31">
        <f>if(G26=9,1,0)+VLOOKUP(B26,'042724'!B:S,18,false)</f>
        <v>9</v>
      </c>
    </row>
    <row r="27">
      <c r="A27" s="26">
        <f t="shared" si="3"/>
        <v>23</v>
      </c>
      <c r="B27" s="27" t="s">
        <v>78</v>
      </c>
      <c r="C27" s="28">
        <v>159.0</v>
      </c>
      <c r="D27" s="29">
        <v>13.0</v>
      </c>
      <c r="E27" s="30">
        <v>1.0</v>
      </c>
      <c r="F27" s="31">
        <v>5.0</v>
      </c>
      <c r="G27" s="28">
        <v>0.0</v>
      </c>
      <c r="H27" s="31">
        <v>6.0</v>
      </c>
      <c r="I27" s="31">
        <v>0.0</v>
      </c>
      <c r="J27" s="31">
        <v>2.0</v>
      </c>
      <c r="K27" s="33">
        <v>8.0</v>
      </c>
      <c r="L27" s="31">
        <v>1.0</v>
      </c>
      <c r="M27" s="28">
        <f t="shared" ref="M27:N27" si="24">C27+K27</f>
        <v>167</v>
      </c>
      <c r="N27" s="29">
        <f t="shared" si="24"/>
        <v>14</v>
      </c>
      <c r="O27" s="35" t="s">
        <v>46</v>
      </c>
      <c r="P27" s="35" t="s">
        <v>46</v>
      </c>
      <c r="Q27" s="31">
        <f>if(G27=13,1,0)+VLOOKUP(B27,'042724'!B:Q,16,false)</f>
        <v>0</v>
      </c>
      <c r="R27" s="31"/>
      <c r="S27" s="31">
        <f>if(G27=9,1,0)+VLOOKUP(B27,'042724'!B:S,18,false)</f>
        <v>5</v>
      </c>
    </row>
    <row r="28">
      <c r="A28" s="26">
        <f t="shared" si="3"/>
        <v>24</v>
      </c>
      <c r="B28" s="27" t="s">
        <v>107</v>
      </c>
      <c r="C28" s="28">
        <v>159.0</v>
      </c>
      <c r="D28" s="29">
        <v>9.0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168</v>
      </c>
      <c r="N28" s="29">
        <f t="shared" si="25"/>
        <v>9</v>
      </c>
      <c r="O28" s="35" t="s">
        <v>46</v>
      </c>
      <c r="P28" s="35" t="s">
        <v>46</v>
      </c>
      <c r="Q28" s="31">
        <f>if(G28=13,1,0)+VLOOKUP(B28,'042724'!B:Q,16,false)</f>
        <v>2</v>
      </c>
      <c r="R28" s="31"/>
      <c r="S28" s="31">
        <f>if(G28=9,1,0)+VLOOKUP(B28,'042724'!B:S,18,false)</f>
        <v>8</v>
      </c>
    </row>
    <row r="29">
      <c r="A29" s="26">
        <f t="shared" si="3"/>
        <v>25</v>
      </c>
      <c r="B29" s="54" t="s">
        <v>73</v>
      </c>
      <c r="C29" s="28">
        <v>157.0</v>
      </c>
      <c r="D29" s="29">
        <v>13.0</v>
      </c>
      <c r="E29" s="30">
        <v>1.0</v>
      </c>
      <c r="F29" s="31">
        <v>5.0</v>
      </c>
      <c r="G29" s="28">
        <v>0.0</v>
      </c>
      <c r="H29" s="31">
        <v>2.0</v>
      </c>
      <c r="I29" s="31">
        <v>6.0</v>
      </c>
      <c r="J29" s="31">
        <v>2.0</v>
      </c>
      <c r="K29" s="33">
        <v>10.0</v>
      </c>
      <c r="L29" s="31">
        <v>1.0</v>
      </c>
      <c r="M29" s="28">
        <f t="shared" ref="M29:N29" si="26">C29+K29</f>
        <v>167</v>
      </c>
      <c r="N29" s="29">
        <f t="shared" si="26"/>
        <v>14</v>
      </c>
      <c r="O29" s="35" t="s">
        <v>46</v>
      </c>
      <c r="P29" s="35" t="s">
        <v>46</v>
      </c>
      <c r="Q29" s="31">
        <f>if(G29=13,1,0)+VLOOKUP(B29,'042724'!B:Q,16,false)</f>
        <v>0</v>
      </c>
      <c r="R29" s="31"/>
      <c r="S29" s="31">
        <f>if(G29=9,1,0)+VLOOKUP(B29,'042724'!B:S,18,false)</f>
        <v>1</v>
      </c>
    </row>
    <row r="30">
      <c r="A30" s="26">
        <f t="shared" si="3"/>
        <v>26</v>
      </c>
      <c r="B30" s="54" t="s">
        <v>59</v>
      </c>
      <c r="C30" s="28">
        <v>157.0</v>
      </c>
      <c r="D30" s="29">
        <v>13.0</v>
      </c>
      <c r="E30" s="30">
        <v>1.0</v>
      </c>
      <c r="F30" s="31">
        <v>6.0</v>
      </c>
      <c r="G30" s="28">
        <v>0.0</v>
      </c>
      <c r="H30" s="31">
        <v>6.0</v>
      </c>
      <c r="I30" s="31">
        <v>2.0</v>
      </c>
      <c r="J30" s="31">
        <v>6.0</v>
      </c>
      <c r="K30" s="33">
        <v>14.0</v>
      </c>
      <c r="L30" s="31">
        <v>2.0</v>
      </c>
      <c r="M30" s="28">
        <f t="shared" ref="M30:N30" si="27">C30+K30</f>
        <v>171</v>
      </c>
      <c r="N30" s="29">
        <f t="shared" si="27"/>
        <v>15</v>
      </c>
      <c r="O30" s="35" t="s">
        <v>46</v>
      </c>
      <c r="P30" s="35" t="s">
        <v>46</v>
      </c>
      <c r="Q30" s="31">
        <f>if(G30=13,1,0)+VLOOKUP(B30,'042724'!B:Q,16,false)</f>
        <v>1</v>
      </c>
      <c r="R30" s="31"/>
      <c r="S30" s="31">
        <f>if(G30=9,1,0)+VLOOKUP(B30,'042724'!B:S,18,false)</f>
        <v>5</v>
      </c>
    </row>
    <row r="31">
      <c r="A31" s="26">
        <f t="shared" si="3"/>
        <v>27</v>
      </c>
      <c r="B31" s="39" t="s">
        <v>111</v>
      </c>
      <c r="C31" s="28">
        <v>157.0</v>
      </c>
      <c r="D31" s="29">
        <v>10.0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166</v>
      </c>
      <c r="N31" s="29">
        <f t="shared" si="28"/>
        <v>10</v>
      </c>
      <c r="O31" s="35" t="s">
        <v>46</v>
      </c>
      <c r="P31" s="35" t="s">
        <v>46</v>
      </c>
      <c r="Q31" s="31">
        <f>if(G31=13,1,0)+VLOOKUP(B31,'042724'!B:Q,16,false)</f>
        <v>0</v>
      </c>
      <c r="R31" s="31"/>
      <c r="S31" s="31">
        <f>if(G31=9,1,0)+VLOOKUP(B31,'042724'!B:S,18,false)</f>
        <v>10</v>
      </c>
    </row>
    <row r="32">
      <c r="A32" s="26">
        <f t="shared" si="3"/>
        <v>28</v>
      </c>
      <c r="B32" s="39" t="s">
        <v>86</v>
      </c>
      <c r="C32" s="28">
        <v>156.0</v>
      </c>
      <c r="D32" s="29">
        <v>15.0</v>
      </c>
      <c r="E32" s="30">
        <v>2.0</v>
      </c>
      <c r="F32" s="31">
        <v>6.0</v>
      </c>
      <c r="G32" s="28">
        <v>0.0</v>
      </c>
      <c r="H32" s="31">
        <v>6.0</v>
      </c>
      <c r="I32" s="31">
        <v>6.0</v>
      </c>
      <c r="J32" s="31">
        <v>2.0</v>
      </c>
      <c r="K32" s="33">
        <v>14.0</v>
      </c>
      <c r="L32" s="31">
        <v>2.0</v>
      </c>
      <c r="M32" s="28">
        <f t="shared" ref="M32:N32" si="29">C32+K32</f>
        <v>170</v>
      </c>
      <c r="N32" s="29">
        <f t="shared" si="29"/>
        <v>17</v>
      </c>
      <c r="O32" s="35" t="s">
        <v>46</v>
      </c>
      <c r="P32" s="35" t="s">
        <v>46</v>
      </c>
      <c r="Q32" s="31">
        <f>if(G32=13,1,0)+VLOOKUP(B32,'042724'!B:Q,16,false)</f>
        <v>1</v>
      </c>
      <c r="R32" s="31"/>
      <c r="S32" s="31">
        <f>if(G32=9,1,0)+VLOOKUP(B32,'042724'!B:S,18,false)</f>
        <v>4</v>
      </c>
    </row>
    <row r="33">
      <c r="A33" s="26">
        <f t="shared" si="3"/>
        <v>29</v>
      </c>
      <c r="B33" s="27" t="s">
        <v>98</v>
      </c>
      <c r="C33" s="28">
        <v>156.0</v>
      </c>
      <c r="D33" s="29">
        <v>8.0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165</v>
      </c>
      <c r="N33" s="29">
        <f t="shared" si="30"/>
        <v>8</v>
      </c>
      <c r="O33" s="35" t="s">
        <v>46</v>
      </c>
      <c r="P33" s="35" t="s">
        <v>46</v>
      </c>
      <c r="Q33" s="31">
        <f>if(G33=13,1,0)+VLOOKUP(B33,'042724'!B:Q,16,false)</f>
        <v>1</v>
      </c>
      <c r="R33" s="31"/>
      <c r="S33" s="31">
        <f>if(G33=9,1,0)+VLOOKUP(B33,'042724'!B:S,18,false)</f>
        <v>10</v>
      </c>
    </row>
    <row r="34">
      <c r="A34" s="26">
        <f t="shared" si="3"/>
        <v>30</v>
      </c>
      <c r="B34" s="27" t="s">
        <v>66</v>
      </c>
      <c r="C34" s="28">
        <v>155.0</v>
      </c>
      <c r="D34" s="29">
        <v>10.0</v>
      </c>
      <c r="E34" s="30">
        <v>2.0</v>
      </c>
      <c r="F34" s="31">
        <v>6.0</v>
      </c>
      <c r="G34" s="28">
        <v>0.0</v>
      </c>
      <c r="H34" s="31">
        <v>3.0</v>
      </c>
      <c r="I34" s="31">
        <v>2.0</v>
      </c>
      <c r="J34" s="31">
        <v>2.0</v>
      </c>
      <c r="K34" s="33">
        <v>7.0</v>
      </c>
      <c r="L34" s="31">
        <v>0.0</v>
      </c>
      <c r="M34" s="28">
        <f t="shared" ref="M34:N34" si="31">C34+K34</f>
        <v>162</v>
      </c>
      <c r="N34" s="29">
        <f t="shared" si="31"/>
        <v>10</v>
      </c>
      <c r="O34" s="35" t="s">
        <v>46</v>
      </c>
      <c r="P34" s="35" t="s">
        <v>46</v>
      </c>
      <c r="Q34" s="31">
        <f>if(G34=13,1,0)+VLOOKUP(B34,'042724'!B:Q,16,false)</f>
        <v>1</v>
      </c>
      <c r="R34" s="31"/>
      <c r="S34" s="31">
        <f>if(G34=9,1,0)+VLOOKUP(B34,'042724'!B:S,18,false)</f>
        <v>3</v>
      </c>
    </row>
    <row r="35">
      <c r="A35" s="26">
        <f t="shared" si="3"/>
        <v>31</v>
      </c>
      <c r="B35" s="27" t="s">
        <v>56</v>
      </c>
      <c r="C35" s="28">
        <v>155.0</v>
      </c>
      <c r="D35" s="29">
        <v>9.0</v>
      </c>
      <c r="E35" s="30">
        <v>1.0</v>
      </c>
      <c r="F35" s="31">
        <v>6.0</v>
      </c>
      <c r="G35" s="28">
        <v>0.0</v>
      </c>
      <c r="H35" s="31">
        <v>3.0</v>
      </c>
      <c r="I35" s="31">
        <v>6.0</v>
      </c>
      <c r="J35" s="31">
        <v>6.0</v>
      </c>
      <c r="K35" s="33">
        <v>15.0</v>
      </c>
      <c r="L35" s="31">
        <v>2.0</v>
      </c>
      <c r="M35" s="28">
        <f t="shared" ref="M35:N35" si="32">C35+K35</f>
        <v>170</v>
      </c>
      <c r="N35" s="29">
        <f t="shared" si="32"/>
        <v>11</v>
      </c>
      <c r="O35" s="35" t="s">
        <v>46</v>
      </c>
      <c r="P35" s="35" t="s">
        <v>46</v>
      </c>
      <c r="Q35" s="31">
        <f>if(G35=13,1,0)+VLOOKUP(B35,'042724'!B:Q,16,false)</f>
        <v>0</v>
      </c>
      <c r="R35" s="31"/>
      <c r="S35" s="31">
        <f>if(G35=9,1,0)+VLOOKUP(B35,'042724'!B:S,18,false)</f>
        <v>11</v>
      </c>
    </row>
    <row r="36">
      <c r="A36" s="26">
        <f t="shared" si="3"/>
        <v>32</v>
      </c>
      <c r="B36" s="27" t="s">
        <v>76</v>
      </c>
      <c r="C36" s="28">
        <v>155.0</v>
      </c>
      <c r="D36" s="29">
        <v>8.0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164</v>
      </c>
      <c r="N36" s="29">
        <f t="shared" si="33"/>
        <v>8</v>
      </c>
      <c r="O36" s="35" t="s">
        <v>46</v>
      </c>
      <c r="P36" s="35" t="s">
        <v>46</v>
      </c>
      <c r="Q36" s="31">
        <f>if(G36=13,1,0)+VLOOKUP(B36,'042724'!B:Q,16,false)</f>
        <v>1</v>
      </c>
      <c r="R36" s="31"/>
      <c r="S36" s="31">
        <f>if(G36=9,1,0)+VLOOKUP(B36,'042724'!B:S,18,false)</f>
        <v>7</v>
      </c>
    </row>
    <row r="37">
      <c r="A37" s="26">
        <f t="shared" si="3"/>
        <v>33</v>
      </c>
      <c r="B37" s="27" t="s">
        <v>83</v>
      </c>
      <c r="C37" s="28">
        <v>153.0</v>
      </c>
      <c r="D37" s="29">
        <v>13.0</v>
      </c>
      <c r="E37" s="30">
        <v>3.0</v>
      </c>
      <c r="F37" s="31">
        <v>0.0</v>
      </c>
      <c r="G37" s="28">
        <v>9.0</v>
      </c>
      <c r="H37" s="31">
        <v>0.0</v>
      </c>
      <c r="I37" s="31">
        <v>0.0</v>
      </c>
      <c r="J37" s="31">
        <v>0.0</v>
      </c>
      <c r="K37" s="33">
        <v>9.0</v>
      </c>
      <c r="L37" s="31">
        <v>0.0</v>
      </c>
      <c r="M37" s="28">
        <f t="shared" ref="M37:N37" si="34">C37+K37</f>
        <v>162</v>
      </c>
      <c r="N37" s="29">
        <f t="shared" si="34"/>
        <v>13</v>
      </c>
      <c r="O37" s="35" t="s">
        <v>46</v>
      </c>
      <c r="P37" s="35" t="s">
        <v>46</v>
      </c>
      <c r="Q37" s="31">
        <f>if(G37=13,1,0)+VLOOKUP(B37,'042724'!B:Q,16,false)</f>
        <v>1</v>
      </c>
      <c r="R37" s="31"/>
      <c r="S37" s="31">
        <f>if(G37=9,1,0)+VLOOKUP(B37,'042724'!B:S,18,false)</f>
        <v>4</v>
      </c>
    </row>
    <row r="38">
      <c r="A38" s="26">
        <f t="shared" si="3"/>
        <v>34</v>
      </c>
      <c r="B38" s="54" t="s">
        <v>47</v>
      </c>
      <c r="C38" s="28">
        <v>153.0</v>
      </c>
      <c r="D38" s="29">
        <v>12.0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162</v>
      </c>
      <c r="N38" s="29">
        <f t="shared" si="35"/>
        <v>12</v>
      </c>
      <c r="O38" s="35" t="s">
        <v>46</v>
      </c>
      <c r="P38" s="35" t="s">
        <v>46</v>
      </c>
      <c r="Q38" s="31">
        <f>if(G38=13,1,0)+VLOOKUP(B38,'042724'!B:Q,16,false)</f>
        <v>0</v>
      </c>
      <c r="R38" s="31"/>
      <c r="S38" s="31">
        <f>if(G38=9,1,0)+VLOOKUP(B38,'042724'!B:S,18,false)</f>
        <v>1</v>
      </c>
    </row>
    <row r="39">
      <c r="A39" s="26">
        <f t="shared" si="3"/>
        <v>35</v>
      </c>
      <c r="B39" s="54" t="s">
        <v>100</v>
      </c>
      <c r="C39" s="28">
        <v>152.0</v>
      </c>
      <c r="D39" s="29">
        <v>9.0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161</v>
      </c>
      <c r="N39" s="29">
        <f t="shared" si="36"/>
        <v>9</v>
      </c>
      <c r="O39" s="35" t="s">
        <v>46</v>
      </c>
      <c r="P39" s="35" t="s">
        <v>46</v>
      </c>
      <c r="Q39" s="31">
        <f>if(G39=13,1,0)+VLOOKUP(B39,'042724'!B:Q,16,false)</f>
        <v>1</v>
      </c>
      <c r="R39" s="31"/>
      <c r="S39" s="31">
        <f>if(G39=9,1,0)+VLOOKUP(B39,'042724'!B:S,18,false)</f>
        <v>8</v>
      </c>
    </row>
    <row r="40">
      <c r="A40" s="26">
        <f t="shared" si="3"/>
        <v>36</v>
      </c>
      <c r="B40" s="54" t="s">
        <v>89</v>
      </c>
      <c r="C40" s="28">
        <v>150.0</v>
      </c>
      <c r="D40" s="29">
        <v>13.0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159</v>
      </c>
      <c r="N40" s="29">
        <f t="shared" si="37"/>
        <v>13</v>
      </c>
      <c r="O40" s="35" t="s">
        <v>46</v>
      </c>
      <c r="P40" s="35" t="s">
        <v>46</v>
      </c>
      <c r="Q40" s="31">
        <f>if(G40=13,1,0)+VLOOKUP(B40,'042724'!B:Q,16,false)</f>
        <v>0</v>
      </c>
      <c r="R40" s="31"/>
      <c r="S40" s="31">
        <f>if(G40=9,1,0)+VLOOKUP(B40,'042724'!B:S,18,false)</f>
        <v>4</v>
      </c>
    </row>
    <row r="41">
      <c r="A41" s="26">
        <f t="shared" si="3"/>
        <v>37</v>
      </c>
      <c r="B41" s="27" t="s">
        <v>110</v>
      </c>
      <c r="C41" s="28">
        <v>149.0</v>
      </c>
      <c r="D41" s="29">
        <v>7.0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158</v>
      </c>
      <c r="N41" s="29">
        <f t="shared" si="38"/>
        <v>7</v>
      </c>
      <c r="O41" s="35" t="s">
        <v>46</v>
      </c>
      <c r="P41" s="35" t="s">
        <v>46</v>
      </c>
      <c r="Q41" s="31">
        <f>if(G41=13,1,0)+VLOOKUP(B41,'042724'!B:Q,16,false)</f>
        <v>1</v>
      </c>
      <c r="R41" s="31"/>
      <c r="S41" s="31">
        <f>if(G41=9,1,0)+VLOOKUP(B41,'042724'!B:S,18,false)</f>
        <v>9</v>
      </c>
    </row>
    <row r="42">
      <c r="A42" s="26">
        <f t="shared" si="3"/>
        <v>38</v>
      </c>
      <c r="B42" s="27" t="s">
        <v>113</v>
      </c>
      <c r="C42" s="28">
        <v>149.0</v>
      </c>
      <c r="D42" s="29">
        <v>5.0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158</v>
      </c>
      <c r="N42" s="29">
        <f t="shared" si="39"/>
        <v>5</v>
      </c>
      <c r="O42" s="35" t="s">
        <v>46</v>
      </c>
      <c r="P42" s="35" t="s">
        <v>46</v>
      </c>
      <c r="Q42" s="31">
        <f>if(G42=13,1,0)+VLOOKUP(B42,'042724'!B:Q,16,false)</f>
        <v>1</v>
      </c>
      <c r="R42" s="31"/>
      <c r="S42" s="31">
        <f>if(G42=9,1,0)+VLOOKUP(B42,'042724'!B:S,18,false)</f>
        <v>12</v>
      </c>
    </row>
    <row r="43">
      <c r="A43" s="26">
        <f t="shared" si="3"/>
        <v>39</v>
      </c>
      <c r="B43" s="27" t="s">
        <v>112</v>
      </c>
      <c r="C43" s="28">
        <v>148.0</v>
      </c>
      <c r="D43" s="29">
        <v>7.0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157</v>
      </c>
      <c r="N43" s="29">
        <f t="shared" si="40"/>
        <v>7</v>
      </c>
      <c r="O43" s="35" t="s">
        <v>46</v>
      </c>
      <c r="P43" s="35" t="s">
        <v>46</v>
      </c>
      <c r="Q43" s="31">
        <f>if(G43=13,1,0)+VLOOKUP(B43,'042724'!B:Q,16,false)</f>
        <v>0</v>
      </c>
      <c r="R43" s="31"/>
      <c r="S43" s="31">
        <f>if(G43=9,1,0)+VLOOKUP(B43,'042724'!B:S,18,false)</f>
        <v>11</v>
      </c>
    </row>
    <row r="44">
      <c r="A44" s="26">
        <f t="shared" si="3"/>
        <v>40</v>
      </c>
      <c r="B44" s="54" t="s">
        <v>94</v>
      </c>
      <c r="C44" s="28">
        <v>147.0</v>
      </c>
      <c r="D44" s="29">
        <v>13.0</v>
      </c>
      <c r="E44" s="30">
        <v>1.0</v>
      </c>
      <c r="F44" s="31">
        <v>7.0</v>
      </c>
      <c r="G44" s="28">
        <v>0.0</v>
      </c>
      <c r="H44" s="31">
        <v>3.0</v>
      </c>
      <c r="I44" s="31">
        <v>2.0</v>
      </c>
      <c r="J44" s="31">
        <v>6.0</v>
      </c>
      <c r="K44" s="33">
        <v>11.0</v>
      </c>
      <c r="L44" s="31">
        <v>1.0</v>
      </c>
      <c r="M44" s="28">
        <f t="shared" ref="M44:N44" si="41">C44+K44</f>
        <v>158</v>
      </c>
      <c r="N44" s="29">
        <f t="shared" si="41"/>
        <v>14</v>
      </c>
      <c r="O44" s="35" t="s">
        <v>46</v>
      </c>
      <c r="P44" s="35" t="s">
        <v>46</v>
      </c>
      <c r="Q44" s="31">
        <f>if(G44=13,1,0)+VLOOKUP(B44,'042724'!B:Q,16,false)</f>
        <v>0</v>
      </c>
      <c r="R44" s="31"/>
      <c r="S44" s="31">
        <f>if(G44=9,1,0)+VLOOKUP(B44,'042724'!B:S,18,false)</f>
        <v>1</v>
      </c>
    </row>
    <row r="45">
      <c r="A45" s="26">
        <f t="shared" si="3"/>
        <v>41</v>
      </c>
      <c r="B45" s="27" t="s">
        <v>42</v>
      </c>
      <c r="C45" s="28">
        <v>147.0</v>
      </c>
      <c r="D45" s="29">
        <v>10.0</v>
      </c>
      <c r="E45" s="30">
        <v>4.0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156</v>
      </c>
      <c r="N45" s="29">
        <f t="shared" si="42"/>
        <v>10</v>
      </c>
      <c r="O45" s="35" t="s">
        <v>46</v>
      </c>
      <c r="P45" s="35" t="s">
        <v>46</v>
      </c>
      <c r="Q45" s="31">
        <f>if(G45=13,1,0)+VLOOKUP(B45,'042724'!B:Q,16,false)</f>
        <v>0</v>
      </c>
      <c r="R45" s="31"/>
      <c r="S45" s="31">
        <f>if(G45=9,1,0)+VLOOKUP(B45,'042724'!B:S,18,false)</f>
        <v>5</v>
      </c>
    </row>
    <row r="46">
      <c r="A46" s="26">
        <f t="shared" si="3"/>
        <v>42</v>
      </c>
      <c r="B46" s="39" t="s">
        <v>45</v>
      </c>
      <c r="C46" s="28">
        <v>147.0</v>
      </c>
      <c r="D46" s="29">
        <v>9.0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156</v>
      </c>
      <c r="N46" s="29">
        <f t="shared" si="43"/>
        <v>9</v>
      </c>
      <c r="O46" s="35" t="s">
        <v>46</v>
      </c>
      <c r="P46" s="35" t="s">
        <v>46</v>
      </c>
      <c r="Q46" s="31">
        <f>if(G46=13,1,0)+VLOOKUP(B46,'042724'!B:Q,16,false)</f>
        <v>1</v>
      </c>
      <c r="R46" s="31"/>
      <c r="S46" s="31">
        <f>if(G46=9,1,0)+VLOOKUP(B46,'042724'!B:S,18,false)</f>
        <v>6</v>
      </c>
    </row>
    <row r="47">
      <c r="A47" s="26">
        <f t="shared" si="3"/>
        <v>43</v>
      </c>
      <c r="B47" s="39" t="s">
        <v>106</v>
      </c>
      <c r="C47" s="28">
        <v>147.0</v>
      </c>
      <c r="D47" s="29">
        <v>7.0</v>
      </c>
      <c r="E47" s="30">
        <v>1.0</v>
      </c>
      <c r="F47" s="31">
        <v>7.0</v>
      </c>
      <c r="G47" s="28">
        <v>0.0</v>
      </c>
      <c r="H47" s="31">
        <v>3.0</v>
      </c>
      <c r="I47" s="31">
        <v>6.0</v>
      </c>
      <c r="J47" s="31">
        <v>3.0</v>
      </c>
      <c r="K47" s="33">
        <v>12.0</v>
      </c>
      <c r="L47" s="31">
        <v>1.0</v>
      </c>
      <c r="M47" s="28">
        <f t="shared" ref="M47:N47" si="44">C47+K47</f>
        <v>159</v>
      </c>
      <c r="N47" s="29">
        <f t="shared" si="44"/>
        <v>8</v>
      </c>
      <c r="O47" s="35" t="s">
        <v>46</v>
      </c>
      <c r="P47" s="35" t="s">
        <v>46</v>
      </c>
      <c r="Q47" s="31">
        <f>if(G47=13,1,0)+VLOOKUP(B47,'042724'!B:Q,16,false)</f>
        <v>0</v>
      </c>
      <c r="R47" s="31"/>
      <c r="S47" s="31">
        <f>if(G47=9,1,0)+VLOOKUP(B47,'042724'!B:S,18,false)</f>
        <v>9</v>
      </c>
    </row>
    <row r="48">
      <c r="A48" s="26">
        <f t="shared" si="3"/>
        <v>44</v>
      </c>
      <c r="B48" s="54" t="s">
        <v>108</v>
      </c>
      <c r="C48" s="28">
        <v>146.0</v>
      </c>
      <c r="D48" s="29">
        <v>12.0</v>
      </c>
      <c r="E48" s="30">
        <v>1.0</v>
      </c>
      <c r="F48" s="31">
        <v>7.0</v>
      </c>
      <c r="G48" s="28">
        <v>0.0</v>
      </c>
      <c r="H48" s="31">
        <v>6.0</v>
      </c>
      <c r="I48" s="31">
        <v>2.0</v>
      </c>
      <c r="J48" s="31">
        <v>3.0</v>
      </c>
      <c r="K48" s="33">
        <v>11.0</v>
      </c>
      <c r="L48" s="31">
        <v>1.0</v>
      </c>
      <c r="M48" s="28">
        <f t="shared" ref="M48:N48" si="45">C48+K48</f>
        <v>157</v>
      </c>
      <c r="N48" s="29">
        <f t="shared" si="45"/>
        <v>13</v>
      </c>
      <c r="O48" s="35" t="s">
        <v>46</v>
      </c>
      <c r="P48" s="35" t="s">
        <v>46</v>
      </c>
      <c r="Q48" s="31">
        <f>if(G48=13,1,0)+VLOOKUP(B48,'042724'!B:Q,16,false)</f>
        <v>0</v>
      </c>
      <c r="R48" s="31"/>
      <c r="S48" s="31">
        <f>if(G48=9,1,0)+VLOOKUP(B48,'042724'!B:S,18,false)</f>
        <v>2</v>
      </c>
    </row>
    <row r="49">
      <c r="A49" s="26">
        <f t="shared" si="3"/>
        <v>45</v>
      </c>
      <c r="B49" s="39" t="s">
        <v>105</v>
      </c>
      <c r="C49" s="28">
        <v>144.0</v>
      </c>
      <c r="D49" s="29">
        <v>11.0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153</v>
      </c>
      <c r="N49" s="29">
        <f t="shared" si="46"/>
        <v>11</v>
      </c>
      <c r="O49" s="35" t="s">
        <v>46</v>
      </c>
      <c r="P49" s="35" t="s">
        <v>46</v>
      </c>
      <c r="Q49" s="31">
        <f>if(G49=13,1,0)+VLOOKUP(B49,'042724'!B:Q,16,false)</f>
        <v>0</v>
      </c>
      <c r="R49" s="31"/>
      <c r="S49" s="31">
        <f>if(G49=9,1,0)+VLOOKUP(B49,'042724'!B:S,18,false)</f>
        <v>5</v>
      </c>
    </row>
    <row r="50">
      <c r="A50" s="26">
        <f t="shared" si="3"/>
        <v>46</v>
      </c>
      <c r="B50" s="27" t="s">
        <v>68</v>
      </c>
      <c r="C50" s="28">
        <v>144.0</v>
      </c>
      <c r="D50" s="29">
        <v>5.0</v>
      </c>
      <c r="E50" s="30">
        <v>2.0</v>
      </c>
      <c r="F50" s="31">
        <v>7.0</v>
      </c>
      <c r="G50" s="28">
        <v>0.0</v>
      </c>
      <c r="H50" s="31">
        <v>6.0</v>
      </c>
      <c r="I50" s="31">
        <v>6.0</v>
      </c>
      <c r="J50" s="31">
        <v>6.0</v>
      </c>
      <c r="K50" s="33">
        <v>18.0</v>
      </c>
      <c r="L50" s="31">
        <v>3.0</v>
      </c>
      <c r="M50" s="28">
        <f t="shared" ref="M50:N50" si="47">C50+K50</f>
        <v>162</v>
      </c>
      <c r="N50" s="29">
        <f t="shared" si="47"/>
        <v>8</v>
      </c>
      <c r="O50" s="35" t="s">
        <v>46</v>
      </c>
      <c r="P50" s="35" t="s">
        <v>46</v>
      </c>
      <c r="Q50" s="31">
        <f>if(G50=13,1,0)+VLOOKUP(B50,'042724'!B:Q,16,false)</f>
        <v>2</v>
      </c>
      <c r="R50" s="31"/>
      <c r="S50" s="31">
        <f>if(G50=9,1,0)+VLOOKUP(B50,'042724'!B:S,18,false)</f>
        <v>9</v>
      </c>
    </row>
    <row r="51">
      <c r="A51" s="26">
        <f t="shared" si="3"/>
        <v>47</v>
      </c>
      <c r="B51" s="76" t="s">
        <v>116</v>
      </c>
      <c r="C51" s="28">
        <v>144.0</v>
      </c>
      <c r="D51" s="29">
        <v>5.0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153</v>
      </c>
      <c r="N51" s="29">
        <f t="shared" si="48"/>
        <v>5</v>
      </c>
      <c r="O51" s="35" t="s">
        <v>46</v>
      </c>
      <c r="P51" s="35" t="s">
        <v>46</v>
      </c>
      <c r="Q51" s="31">
        <f>if(G51=13,1,0)+VLOOKUP(B51,'042724'!B:Q,16,false)</f>
        <v>0</v>
      </c>
      <c r="R51" s="31"/>
      <c r="S51" s="31">
        <f>if(G51=9,1,0)+VLOOKUP(B51,'042724'!B:S,18,false)</f>
        <v>11</v>
      </c>
    </row>
    <row r="52">
      <c r="A52" s="26">
        <f t="shared" si="3"/>
        <v>48</v>
      </c>
      <c r="B52" s="27" t="s">
        <v>117</v>
      </c>
      <c r="C52" s="28">
        <v>144.0</v>
      </c>
      <c r="D52" s="29">
        <v>4.0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153</v>
      </c>
      <c r="N52" s="29">
        <f t="shared" si="49"/>
        <v>4</v>
      </c>
      <c r="O52" s="35" t="s">
        <v>46</v>
      </c>
      <c r="P52" s="35" t="s">
        <v>46</v>
      </c>
      <c r="Q52" s="31">
        <f>if(G52=13,1,0)+VLOOKUP(B52,'042724'!B:Q,16,false)</f>
        <v>2</v>
      </c>
      <c r="R52" s="31"/>
      <c r="S52" s="31">
        <f>if(G52=9,1,0)+VLOOKUP(B52,'042724'!B:S,18,false)</f>
        <v>11</v>
      </c>
    </row>
    <row r="53">
      <c r="A53" s="26">
        <f t="shared" si="3"/>
        <v>49</v>
      </c>
      <c r="B53" s="27" t="s">
        <v>109</v>
      </c>
      <c r="C53" s="28">
        <v>144.0</v>
      </c>
      <c r="D53" s="29">
        <v>3.0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153</v>
      </c>
      <c r="N53" s="29">
        <f t="shared" si="50"/>
        <v>3</v>
      </c>
      <c r="O53" s="35" t="s">
        <v>46</v>
      </c>
      <c r="P53" s="35" t="s">
        <v>46</v>
      </c>
      <c r="Q53" s="31">
        <f>if(G53=13,1,0)+VLOOKUP(B53,'042724'!B:Q,16,false)</f>
        <v>2</v>
      </c>
      <c r="R53" s="31"/>
      <c r="S53" s="31">
        <f>if(G53=9,1,0)+VLOOKUP(B53,'042724'!B:S,18,false)</f>
        <v>10</v>
      </c>
    </row>
    <row r="54">
      <c r="A54" s="26">
        <f t="shared" si="3"/>
        <v>50</v>
      </c>
      <c r="B54" s="27" t="s">
        <v>39</v>
      </c>
      <c r="C54" s="28">
        <v>142.0</v>
      </c>
      <c r="D54" s="29">
        <v>4.0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151</v>
      </c>
      <c r="N54" s="29">
        <f t="shared" si="51"/>
        <v>4</v>
      </c>
      <c r="O54" s="35" t="s">
        <v>46</v>
      </c>
      <c r="P54" s="35" t="s">
        <v>46</v>
      </c>
      <c r="Q54" s="31">
        <f>if(G54=13,1,0)+VLOOKUP(B54,'042724'!B:Q,16,false)</f>
        <v>0</v>
      </c>
      <c r="R54" s="31"/>
      <c r="S54" s="31">
        <f>if(G54=9,1,0)+VLOOKUP(B54,'042724'!B:S,18,false)</f>
        <v>13</v>
      </c>
    </row>
    <row r="55">
      <c r="A55" s="26">
        <f t="shared" si="3"/>
        <v>51</v>
      </c>
      <c r="B55" s="27" t="s">
        <v>118</v>
      </c>
      <c r="C55" s="28">
        <v>141.0</v>
      </c>
      <c r="D55" s="29">
        <v>2.0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150</v>
      </c>
      <c r="N55" s="29">
        <f t="shared" si="52"/>
        <v>2</v>
      </c>
      <c r="O55" s="35" t="s">
        <v>46</v>
      </c>
      <c r="P55" s="35" t="s">
        <v>46</v>
      </c>
      <c r="Q55" s="31">
        <f>if(G55=13,1,0)+VLOOKUP(B55,'042724'!B:Q,16,false)</f>
        <v>2</v>
      </c>
      <c r="R55" s="31"/>
      <c r="S55" s="31">
        <f>if(G55=9,1,0)+VLOOKUP(B55,'042724'!B:S,18,false)</f>
        <v>12</v>
      </c>
    </row>
    <row r="56">
      <c r="A56" s="26">
        <f t="shared" si="3"/>
        <v>52</v>
      </c>
      <c r="B56" s="27" t="s">
        <v>114</v>
      </c>
      <c r="C56" s="28">
        <v>138.0</v>
      </c>
      <c r="D56" s="29">
        <v>1.0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147</v>
      </c>
      <c r="N56" s="29">
        <f t="shared" si="53"/>
        <v>1</v>
      </c>
      <c r="O56" s="35" t="s">
        <v>46</v>
      </c>
      <c r="P56" s="35" t="s">
        <v>46</v>
      </c>
      <c r="Q56" s="31">
        <f>if(G56=13,1,0)+VLOOKUP(B56,'042724'!B:Q,16,false)</f>
        <v>1</v>
      </c>
      <c r="R56" s="31"/>
      <c r="S56" s="31">
        <f>if(G56=9,1,0)+VLOOKUP(B56,'042724'!B:S,18,false)</f>
        <v>13</v>
      </c>
    </row>
    <row r="57">
      <c r="A57" s="26">
        <f t="shared" si="3"/>
        <v>53</v>
      </c>
      <c r="B57" s="54" t="s">
        <v>54</v>
      </c>
      <c r="C57" s="28">
        <v>137.0</v>
      </c>
      <c r="D57" s="29">
        <v>5.0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146</v>
      </c>
      <c r="N57" s="29">
        <f t="shared" si="54"/>
        <v>5</v>
      </c>
      <c r="O57" s="35" t="s">
        <v>46</v>
      </c>
      <c r="P57" s="35" t="s">
        <v>46</v>
      </c>
      <c r="Q57" s="31">
        <f>if(G57=13,1,0)+VLOOKUP(B57,'042724'!B:Q,16,false)</f>
        <v>1</v>
      </c>
      <c r="R57" s="31"/>
      <c r="S57" s="31">
        <f>if(G57=9,1,0)+VLOOKUP(B57,'042724'!B:S,18,false)</f>
        <v>9</v>
      </c>
    </row>
    <row r="58">
      <c r="A58" s="26">
        <f t="shared" si="3"/>
        <v>54</v>
      </c>
      <c r="B58" s="39" t="s">
        <v>119</v>
      </c>
      <c r="C58" s="28">
        <v>136.0</v>
      </c>
      <c r="D58" s="29">
        <v>4.0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145</v>
      </c>
      <c r="N58" s="29">
        <f t="shared" si="55"/>
        <v>4</v>
      </c>
      <c r="O58" s="35" t="s">
        <v>46</v>
      </c>
      <c r="P58" s="35" t="s">
        <v>46</v>
      </c>
      <c r="Q58" s="31">
        <f>if(G58=13,1,0)+VLOOKUP(B58,'042724'!B:Q,16,false)</f>
        <v>0</v>
      </c>
      <c r="R58" s="31"/>
      <c r="S58" s="31">
        <f>if(G58=9,1,0)+VLOOKUP(B58,'042724'!B:S,18,false)</f>
        <v>13</v>
      </c>
    </row>
    <row r="59">
      <c r="A59" s="26">
        <f t="shared" si="3"/>
        <v>55</v>
      </c>
      <c r="B59" s="39" t="s">
        <v>121</v>
      </c>
      <c r="C59" s="28">
        <v>135.0</v>
      </c>
      <c r="D59" s="29">
        <v>3.0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144</v>
      </c>
      <c r="N59" s="29">
        <f t="shared" si="56"/>
        <v>3</v>
      </c>
      <c r="O59" s="35" t="s">
        <v>46</v>
      </c>
      <c r="P59" s="35" t="s">
        <v>46</v>
      </c>
      <c r="Q59" s="31">
        <f>if(G59=13,1,0)+VLOOKUP(B59,'042724'!B:Q,16,false)</f>
        <v>0</v>
      </c>
      <c r="R59" s="31"/>
      <c r="S59" s="31">
        <f>if(G59=9,1,0)+VLOOKUP(B59,'042724'!B:S,18,false)</f>
        <v>13</v>
      </c>
    </row>
    <row r="60">
      <c r="A60" s="26">
        <f t="shared" si="3"/>
        <v>56</v>
      </c>
      <c r="B60" s="54" t="s">
        <v>122</v>
      </c>
      <c r="C60" s="28">
        <v>133.0</v>
      </c>
      <c r="D60" s="29">
        <v>1.0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142</v>
      </c>
      <c r="N60" s="29">
        <f t="shared" si="57"/>
        <v>1</v>
      </c>
      <c r="O60" s="35" t="s">
        <v>46</v>
      </c>
      <c r="P60" s="35" t="s">
        <v>46</v>
      </c>
      <c r="Q60" s="31">
        <f>if(G60=13,1,0)+VLOOKUP(B60,'042724'!B:Q,16,false)</f>
        <v>0</v>
      </c>
      <c r="R60" s="31"/>
      <c r="S60" s="31">
        <f>if(G60=9,1,0)+VLOOKUP(B60,'042724'!B:S,18,false)</f>
        <v>14</v>
      </c>
    </row>
    <row r="61">
      <c r="A61" s="26">
        <f t="shared" si="3"/>
        <v>57</v>
      </c>
      <c r="B61" s="27" t="s">
        <v>115</v>
      </c>
      <c r="C61" s="28">
        <v>132.0</v>
      </c>
      <c r="D61" s="29">
        <v>2.0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141</v>
      </c>
      <c r="N61" s="29">
        <f t="shared" si="58"/>
        <v>2</v>
      </c>
      <c r="O61" s="35" t="s">
        <v>46</v>
      </c>
      <c r="P61" s="35" t="s">
        <v>46</v>
      </c>
      <c r="Q61" s="31">
        <f>if(G61=13,1,0)+VLOOKUP(B61,'042724'!B:Q,16,false)</f>
        <v>0</v>
      </c>
      <c r="R61" s="31"/>
      <c r="S61" s="31">
        <f>if(G61=9,1,0)+VLOOKUP(B61,'042724'!B:S,18,false)</f>
        <v>14</v>
      </c>
    </row>
    <row r="62">
      <c r="A62" s="26">
        <f t="shared" si="3"/>
        <v>58</v>
      </c>
      <c r="B62" s="54" t="s">
        <v>123</v>
      </c>
      <c r="C62" s="28">
        <v>130.0</v>
      </c>
      <c r="D62" s="29">
        <v>2.0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139</v>
      </c>
      <c r="N62" s="29">
        <f t="shared" si="59"/>
        <v>2</v>
      </c>
      <c r="O62" s="35" t="s">
        <v>46</v>
      </c>
      <c r="P62" s="35" t="s">
        <v>46</v>
      </c>
      <c r="Q62" s="31">
        <f>if(G62=13,1,0)+VLOOKUP(B62,'042724'!B:Q,16,false)</f>
        <v>1</v>
      </c>
      <c r="R62" s="31"/>
      <c r="S62" s="31">
        <f>if(G62=9,1,0)+VLOOKUP(B62,'042724'!B:S,18,false)</f>
        <v>13</v>
      </c>
    </row>
    <row r="63">
      <c r="A63" s="26">
        <f t="shared" si="3"/>
        <v>59</v>
      </c>
      <c r="B63" s="27" t="s">
        <v>120</v>
      </c>
      <c r="C63" s="28">
        <v>129.0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138</v>
      </c>
      <c r="N63" s="29">
        <f t="shared" si="60"/>
        <v>2</v>
      </c>
      <c r="O63" s="35" t="s">
        <v>46</v>
      </c>
      <c r="P63" s="35" t="s">
        <v>46</v>
      </c>
      <c r="Q63" s="31">
        <f>if(G63=13,1,0)+VLOOKUP(B63,'042724'!B:Q,16,false)</f>
        <v>1</v>
      </c>
      <c r="R63" s="31"/>
      <c r="S63" s="31">
        <f>if(G63=9,1,0)+VLOOKUP(B63,'042724'!B:S,18,false)</f>
        <v>13</v>
      </c>
    </row>
    <row r="64">
      <c r="A64" s="26">
        <f t="shared" si="3"/>
        <v>60</v>
      </c>
      <c r="B64" s="39" t="s">
        <v>97</v>
      </c>
      <c r="C64" s="28">
        <v>127.0</v>
      </c>
      <c r="D64" s="29">
        <v>4.0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136</v>
      </c>
      <c r="N64" s="29">
        <f t="shared" si="61"/>
        <v>4</v>
      </c>
      <c r="O64" s="35" t="s">
        <v>46</v>
      </c>
      <c r="P64" s="35" t="s">
        <v>46</v>
      </c>
      <c r="Q64" s="31">
        <f>if(G64=13,1,0)+VLOOKUP(B64,'042724'!B:Q,16,false)</f>
        <v>0</v>
      </c>
      <c r="R64" s="31"/>
      <c r="S64" s="31">
        <f>if(G64=9,1,0)+VLOOKUP(B64,'042724'!B:S,18,false)</f>
        <v>5</v>
      </c>
    </row>
    <row r="65">
      <c r="A65" s="26">
        <f t="shared" si="3"/>
        <v>61</v>
      </c>
      <c r="B65" s="39" t="s">
        <v>124</v>
      </c>
      <c r="C65" s="28">
        <v>126.0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135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if(G65=13,1,0)+VLOOKUP(B65,'042724'!B:Q,16,false)</f>
        <v>0</v>
      </c>
      <c r="R65" s="31"/>
      <c r="S65" s="31">
        <f>if(G65=9,1,0)+VLOOKUP(B65,'042724'!B:S,18,false)</f>
        <v>15</v>
      </c>
    </row>
    <row r="66">
      <c r="A66" s="26">
        <f t="shared" si="3"/>
        <v>62</v>
      </c>
      <c r="B66" s="39" t="s">
        <v>125</v>
      </c>
      <c r="C66" s="28">
        <v>126.0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135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if(G66=13,1,0)+VLOOKUP(B66,'042724'!B:Q,16,false)</f>
        <v>0</v>
      </c>
      <c r="R66" s="31"/>
      <c r="S66" s="31">
        <f>if(G66=9,1,0)+VLOOKUP(B66,'042724'!B:S,18,false)</f>
        <v>14</v>
      </c>
    </row>
    <row r="67">
      <c r="A67" s="26">
        <f t="shared" si="3"/>
        <v>63</v>
      </c>
      <c r="B67" s="39" t="s">
        <v>126</v>
      </c>
      <c r="C67" s="28">
        <v>125.0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134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if(G67=13,1,0)+VLOOKUP(B67,'042724'!B:Q,16,false)</f>
        <v>0</v>
      </c>
      <c r="R67" s="31"/>
      <c r="S67" s="31">
        <f>if(G67=9,1,0)+VLOOKUP(B67,'042724'!B:S,18,false)</f>
        <v>13</v>
      </c>
    </row>
    <row r="68">
      <c r="A68" s="26">
        <f t="shared" si="3"/>
        <v>64</v>
      </c>
      <c r="B68" s="27" t="s">
        <v>74</v>
      </c>
      <c r="C68" s="28">
        <v>117.0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126</v>
      </c>
      <c r="N68" s="29">
        <f t="shared" si="65"/>
        <v>0</v>
      </c>
      <c r="O68" s="35" t="s">
        <v>46</v>
      </c>
      <c r="P68" s="35" t="s">
        <v>46</v>
      </c>
      <c r="Q68" s="31">
        <f>if(G68=13,1,0)+VLOOKUP(B68,'042724'!B:Q,16,false)</f>
        <v>0</v>
      </c>
      <c r="R68" s="31"/>
      <c r="S68" s="31">
        <f>if(G68=9,1,0)+VLOOKUP(B68,'042724'!B:S,18,false)</f>
        <v>15</v>
      </c>
    </row>
    <row r="69">
      <c r="A69" s="26">
        <f t="shared" si="3"/>
        <v>65</v>
      </c>
      <c r="B69" s="39" t="s">
        <v>127</v>
      </c>
      <c r="C69" s="28">
        <v>116.0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125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if(G69=13,1,0)+VLOOKUP(B69,'042724'!B:Q,16,false)</f>
        <v>0</v>
      </c>
      <c r="R69" s="31"/>
      <c r="S69" s="31">
        <f>if(G69=9,1,0)+VLOOKUP(B69,'042724'!B:S,18,false)</f>
        <v>13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desc"",0)"),"Adrian Tay")</f>
        <v>Adrian Tay</v>
      </c>
      <c r="C79" s="60">
        <f>IFERROR(__xludf.DUMMYFUNCTION("""COMPUTED_VALUE"""),18.0)</f>
        <v>18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IFERROR(__xludf.DUMMYFUNCTION("""COMPUTED_VALUE"""),"Pulkit Mathur")</f>
        <v>Pulkit Mathur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IFERROR(__xludf.DUMMYFUNCTION("""COMPUTED_VALUE"""),"Trinath Goteti")</f>
        <v>Trinath Goteti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/>
      <c r="C82" s="39"/>
      <c r="D82" s="39"/>
      <c r="E82" s="1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1"")"),"Peter Cheng")</f>
        <v>Peter Cheng</v>
      </c>
      <c r="C92" s="63">
        <f>IFERROR(__xludf.DUMMYFUNCTION("""COMPUTED_VALUE"""),200.0)</f>
        <v>200</v>
      </c>
      <c r="D92" s="64">
        <f>IFERROR(__xludf.DUMMYFUNCTION("""COMPUTED_VALUE"""),20.0)</f>
        <v>20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IFERROR(__xludf.DUMMYFUNCTION("""COMPUTED_VALUE"""),4.0)</f>
        <v>4</v>
      </c>
      <c r="I92" s="65">
        <f>IFERROR(__xludf.DUMMYFUNCTION("""COMPUTED_VALUE"""),2.0)</f>
        <v>2</v>
      </c>
      <c r="J92" s="65">
        <f>IFERROR(__xludf.DUMMYFUNCTION("""COMPUTED_VALUE"""),6.0)</f>
        <v>6</v>
      </c>
      <c r="K92" s="65">
        <f>IFERROR(__xludf.DUMMYFUNCTION("""COMPUTED_VALUE"""),12.0)</f>
        <v>12</v>
      </c>
      <c r="L92" s="65">
        <f>IFERROR(__xludf.DUMMYFUNCTION("""COMPUTED_VALUE"""),1.0)</f>
        <v>1</v>
      </c>
      <c r="M92" s="65">
        <f>IFERROR(__xludf.DUMMYFUNCTION("""COMPUTED_VALUE"""),212.0)</f>
        <v>212</v>
      </c>
      <c r="N92" s="66">
        <f>IFERROR(__xludf.DUMMYFUNCTION("""COMPUTED_VALUE"""),21.0)</f>
        <v>21</v>
      </c>
    </row>
    <row r="93">
      <c r="A93" s="1"/>
      <c r="B93" s="62" t="str">
        <f>IFERROR(__xludf.DUMMYFUNCTION("""COMPUTED_VALUE"""),"Suleman Alidina")</f>
        <v>Suleman Alidina</v>
      </c>
      <c r="C93" s="63">
        <f>IFERROR(__xludf.DUMMYFUNCTION("""COMPUTED_VALUE"""),186.0)</f>
        <v>186</v>
      </c>
      <c r="D93" s="64">
        <f>IFERROR(__xludf.DUMMYFUNCTION("""COMPUTED_VALUE"""),21.0)</f>
        <v>21</v>
      </c>
      <c r="E93" s="63">
        <f>IFERROR(__xludf.DUMMYFUNCTION("""COMPUTED_VALUE"""),2.0)</f>
        <v>2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IFERROR(__xludf.DUMMYFUNCTION("""COMPUTED_VALUE"""),4.0)</f>
        <v>4</v>
      </c>
      <c r="I93" s="65">
        <f>IFERROR(__xludf.DUMMYFUNCTION("""COMPUTED_VALUE"""),6.0)</f>
        <v>6</v>
      </c>
      <c r="J93" s="65">
        <f>IFERROR(__xludf.DUMMYFUNCTION("""COMPUTED_VALUE"""),1.0)</f>
        <v>1</v>
      </c>
      <c r="K93" s="65">
        <f>IFERROR(__xludf.DUMMYFUNCTION("""COMPUTED_VALUE"""),11.0)</f>
        <v>11</v>
      </c>
      <c r="L93" s="65">
        <f>IFERROR(__xludf.DUMMYFUNCTION("""COMPUTED_VALUE"""),1.0)</f>
        <v>1</v>
      </c>
      <c r="M93" s="65">
        <f>IFERROR(__xludf.DUMMYFUNCTION("""COMPUTED_VALUE"""),197.0)</f>
        <v>197</v>
      </c>
      <c r="N93" s="66">
        <f>IFERROR(__xludf.DUMMYFUNCTION("""COMPUTED_VALUE"""),22.0)</f>
        <v>22</v>
      </c>
    </row>
    <row r="94">
      <c r="A94" s="1"/>
      <c r="B94" s="62" t="str">
        <f>IFERROR(__xludf.DUMMYFUNCTION("""COMPUTED_VALUE"""),"Adrian Tay")</f>
        <v>Adrian Tay</v>
      </c>
      <c r="C94" s="63">
        <f>IFERROR(__xludf.DUMMYFUNCTION("""COMPUTED_VALUE"""),185.0)</f>
        <v>185</v>
      </c>
      <c r="D94" s="64">
        <f>IFERROR(__xludf.DUMMYFUNCTION("""COMPUTED_VALUE"""),18.0)</f>
        <v>18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IFERROR(__xludf.DUMMYFUNCTION("""COMPUTED_VALUE"""),6.0)</f>
        <v>6</v>
      </c>
      <c r="J94" s="65">
        <f>IFERROR(__xludf.DUMMYFUNCTION("""COMPUTED_VALUE"""),6.0)</f>
        <v>6</v>
      </c>
      <c r="K94" s="65">
        <f>IFERROR(__xludf.DUMMYFUNCTION("""COMPUTED_VALUE"""),18.0)</f>
        <v>18</v>
      </c>
      <c r="L94" s="65">
        <f>IFERROR(__xludf.DUMMYFUNCTION("""COMPUTED_VALUE"""),3.0)</f>
        <v>3</v>
      </c>
      <c r="M94" s="65">
        <f>IFERROR(__xludf.DUMMYFUNCTION("""COMPUTED_VALUE"""),203.0)</f>
        <v>203</v>
      </c>
      <c r="N94" s="66">
        <f>IFERROR(__xludf.DUMMYFUNCTION("""COMPUTED_VALUE"""),21.0)</f>
        <v>21</v>
      </c>
    </row>
    <row r="95">
      <c r="A95" s="1"/>
      <c r="B95" s="62" t="str">
        <f>IFERROR(__xludf.DUMMYFUNCTION("""COMPUTED_VALUE"""),"David Shin")</f>
        <v>David Shin</v>
      </c>
      <c r="C95" s="63">
        <f>IFERROR(__xludf.DUMMYFUNCTION("""COMPUTED_VALUE"""),181.0)</f>
        <v>181</v>
      </c>
      <c r="D95" s="64">
        <f>IFERROR(__xludf.DUMMYFUNCTION("""COMPUTED_VALUE"""),16.0)</f>
        <v>16</v>
      </c>
      <c r="E95" s="63">
        <f>IFERROR(__xludf.DUMMYFUNCTION("""COMPUTED_VALUE"""),2.0)</f>
        <v>2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IFERROR(__xludf.DUMMYFUNCTION("""COMPUTED_VALUE"""),6.0)</f>
        <v>6</v>
      </c>
      <c r="I95" s="65">
        <f>IFERROR(__xludf.DUMMYFUNCTION("""COMPUTED_VALUE"""),2.0)</f>
        <v>2</v>
      </c>
      <c r="J95" s="65">
        <f>IFERROR(__xludf.DUMMYFUNCTION("""COMPUTED_VALUE"""),1.0)</f>
        <v>1</v>
      </c>
      <c r="K95" s="65">
        <f>IFERROR(__xludf.DUMMYFUNCTION("""COMPUTED_VALUE"""),9.0)</f>
        <v>9</v>
      </c>
      <c r="L95" s="65">
        <f>IFERROR(__xludf.DUMMYFUNCTION("""COMPUTED_VALUE"""),1.0)</f>
        <v>1</v>
      </c>
      <c r="M95" s="65">
        <f>IFERROR(__xludf.DUMMYFUNCTION("""COMPUTED_VALUE"""),190.0)</f>
        <v>190</v>
      </c>
      <c r="N95" s="66">
        <f>IFERROR(__xludf.DUMMYFUNCTION("""COMPUTED_VALUE"""),17.0)</f>
        <v>17</v>
      </c>
    </row>
    <row r="96">
      <c r="A96" s="1"/>
      <c r="B96" s="67" t="str">
        <f>IFERROR(__xludf.DUMMYFUNCTION("""COMPUTED_VALUE"""),"Jonathan Phan")</f>
        <v>Jonathan Phan</v>
      </c>
      <c r="C96" s="68">
        <f>IFERROR(__xludf.DUMMYFUNCTION("""COMPUTED_VALUE"""),177.0)</f>
        <v>177</v>
      </c>
      <c r="D96" s="69">
        <f>IFERROR(__xludf.DUMMYFUNCTION("""COMPUTED_VALUE"""),14.0)</f>
        <v>14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IFERROR(__xludf.DUMMYFUNCTION("""COMPUTED_VALUE"""),1.0)</f>
        <v>1</v>
      </c>
      <c r="K96" s="70">
        <f>IFERROR(__xludf.DUMMYFUNCTION("""COMPUTED_VALUE"""),13.0)</f>
        <v>13</v>
      </c>
      <c r="L96" s="70">
        <f>IFERROR(__xludf.DUMMYFUNCTION("""COMPUTED_VALUE"""),2.0)</f>
        <v>2</v>
      </c>
      <c r="M96" s="70">
        <f>IFERROR(__xludf.DUMMYFUNCTION("""COMPUTED_VALUE"""),190.0)</f>
        <v>190</v>
      </c>
      <c r="N96" s="71">
        <f>IFERROR(__xludf.DUMMYFUNCTION("""COMPUTED_VALUE"""),16.0)</f>
        <v>16</v>
      </c>
    </row>
    <row r="97">
      <c r="A97" s="1"/>
      <c r="B97" s="67" t="str">
        <f>IFERROR(__xludf.DUMMYFUNCTION("""COMPUTED_VALUE"""),"Sean Chang")</f>
        <v>Sean Chang</v>
      </c>
      <c r="C97" s="68">
        <f>IFERROR(__xludf.DUMMYFUNCTION("""COMPUTED_VALUE"""),176.0)</f>
        <v>176</v>
      </c>
      <c r="D97" s="69">
        <f>IFERROR(__xludf.DUMMYFUNCTION("""COMPUTED_VALUE"""),10.0)</f>
        <v>10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IFERROR(__xludf.DUMMYFUNCTION("""COMPUTED_VALUE"""),3.0)</f>
        <v>3</v>
      </c>
      <c r="I97" s="70">
        <f>IFERROR(__xludf.DUMMYFUNCTION("""COMPUTED_VALUE"""),4.0)</f>
        <v>4</v>
      </c>
      <c r="J97" s="70">
        <f>IFERROR(__xludf.DUMMYFUNCTION("""COMPUTED_VALUE"""),1.0)</f>
        <v>1</v>
      </c>
      <c r="K97" s="70">
        <f>IFERROR(__xludf.DUMMYFUNCTION("""COMPUTED_VALUE"""),8.0)</f>
        <v>8</v>
      </c>
      <c r="L97" s="70">
        <f>IFERROR(__xludf.DUMMYFUNCTION("""COMPUTED_VALUE"""),0.0)</f>
        <v>0</v>
      </c>
      <c r="M97" s="70">
        <f>IFERROR(__xludf.DUMMYFUNCTION("""COMPUTED_VALUE"""),184.0)</f>
        <v>184</v>
      </c>
      <c r="N97" s="71">
        <f>IFERROR(__xludf.DUMMYFUNCTION("""COMPUTED_VALUE"""),10.0)</f>
        <v>10</v>
      </c>
    </row>
    <row r="98">
      <c r="A98" s="1"/>
      <c r="B98" s="67" t="str">
        <f>IFERROR(__xludf.DUMMYFUNCTION("""COMPUTED_VALUE"""),"Peter Homsey")</f>
        <v>Peter Homsey</v>
      </c>
      <c r="C98" s="68">
        <f>IFERROR(__xludf.DUMMYFUNCTION("""COMPUTED_VALUE"""),173.0)</f>
        <v>173</v>
      </c>
      <c r="D98" s="69">
        <f>IFERROR(__xludf.DUMMYFUNCTION("""COMPUTED_VALUE"""),15.0)</f>
        <v>15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IFERROR(__xludf.DUMMYFUNCTION("""COMPUTED_VALUE"""),4.0)</f>
        <v>4</v>
      </c>
      <c r="J98" s="70">
        <f>IFERROR(__xludf.DUMMYFUNCTION("""COMPUTED_VALUE"""),6.0)</f>
        <v>6</v>
      </c>
      <c r="K98" s="70">
        <f>IFERROR(__xludf.DUMMYFUNCTION("""COMPUTED_VALUE"""),16.0)</f>
        <v>16</v>
      </c>
      <c r="L98" s="70">
        <f>IFERROR(__xludf.DUMMYFUNCTION("""COMPUTED_VALUE"""),2.0)</f>
        <v>2</v>
      </c>
      <c r="M98" s="70">
        <f>IFERROR(__xludf.DUMMYFUNCTION("""COMPUTED_VALUE"""),189.0)</f>
        <v>189</v>
      </c>
      <c r="N98" s="71">
        <f>IFERROR(__xludf.DUMMYFUNCTION("""COMPUTED_VALUE"""),17.0)</f>
        <v>17</v>
      </c>
    </row>
    <row r="99">
      <c r="A99" s="1"/>
      <c r="B99" s="67" t="str">
        <f>IFERROR(__xludf.DUMMYFUNCTION("""COMPUTED_VALUE"""),"Christopher Li")</f>
        <v>Christopher Li</v>
      </c>
      <c r="C99" s="68">
        <f>IFERROR(__xludf.DUMMYFUNCTION("""COMPUTED_VALUE"""),170.0)</f>
        <v>170</v>
      </c>
      <c r="D99" s="69">
        <f>IFERROR(__xludf.DUMMYFUNCTION("""COMPUTED_VALUE"""),16.0)</f>
        <v>16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IFERROR(__xludf.DUMMYFUNCTION("""COMPUTED_VALUE"""),3.0)</f>
        <v>3</v>
      </c>
      <c r="I99" s="70">
        <f>IFERROR(__xludf.DUMMYFUNCTION("""COMPUTED_VALUE"""),6.0)</f>
        <v>6</v>
      </c>
      <c r="J99" s="70">
        <f>IFERROR(__xludf.DUMMYFUNCTION("""COMPUTED_VALUE"""),6.0)</f>
        <v>6</v>
      </c>
      <c r="K99" s="70">
        <f>IFERROR(__xludf.DUMMYFUNCTION("""COMPUTED_VALUE"""),15.0)</f>
        <v>15</v>
      </c>
      <c r="L99" s="70">
        <f>IFERROR(__xludf.DUMMYFUNCTION("""COMPUTED_VALUE"""),2.0)</f>
        <v>2</v>
      </c>
      <c r="M99" s="70">
        <f>IFERROR(__xludf.DUMMYFUNCTION("""COMPUTED_VALUE"""),185.0)</f>
        <v>185</v>
      </c>
      <c r="N99" s="71">
        <f>IFERROR(__xludf.DUMMYFUNCTION("""COMPUTED_VALUE"""),18.0)</f>
        <v>18</v>
      </c>
    </row>
    <row r="100">
      <c r="A100" s="1"/>
      <c r="B100" s="67" t="str">
        <f>IFERROR(__xludf.DUMMYFUNCTION("""COMPUTED_VALUE"""),"Pavan Akkimsetty")</f>
        <v>Pavan Akkimsetty</v>
      </c>
      <c r="C100" s="63">
        <f>IFERROR(__xludf.DUMMYFUNCTION("""COMPUTED_VALUE"""),170.0)</f>
        <v>170</v>
      </c>
      <c r="D100" s="64">
        <f>IFERROR(__xludf.DUMMYFUNCTION("""COMPUTED_VALUE"""),15.0)</f>
        <v>15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IFERROR(__xludf.DUMMYFUNCTION("""COMPUTED_VALUE"""),6.0)</f>
        <v>6</v>
      </c>
      <c r="J100" s="65">
        <f>IFERROR(__xludf.DUMMYFUNCTION("""COMPUTED_VALUE"""),3.0)</f>
        <v>3</v>
      </c>
      <c r="K100" s="65">
        <f>IFERROR(__xludf.DUMMYFUNCTION("""COMPUTED_VALUE"""),15.0)</f>
        <v>15</v>
      </c>
      <c r="L100" s="65">
        <f>IFERROR(__xludf.DUMMYFUNCTION("""COMPUTED_VALUE"""),2.0)</f>
        <v>2</v>
      </c>
      <c r="M100" s="65">
        <f>IFERROR(__xludf.DUMMYFUNCTION("""COMPUTED_VALUE"""),185.0)</f>
        <v>185</v>
      </c>
      <c r="N100" s="66">
        <f>IFERROR(__xludf.DUMMYFUNCTION("""COMPUTED_VALUE"""),17.0)</f>
        <v>17</v>
      </c>
    </row>
    <row r="101">
      <c r="A101" s="1"/>
      <c r="B101" s="67" t="str">
        <f>IFERROR(__xludf.DUMMYFUNCTION("""COMPUTED_VALUE"""),"Ted Shen")</f>
        <v>Ted Shen</v>
      </c>
      <c r="C101" s="63">
        <f>IFERROR(__xludf.DUMMYFUNCTION("""COMPUTED_VALUE"""),169.0)</f>
        <v>169</v>
      </c>
      <c r="D101" s="64">
        <f>IFERROR(__xludf.DUMMYFUNCTION("""COMPUTED_VALUE"""),15.0)</f>
        <v>15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IFERROR(__xludf.DUMMYFUNCTION("""COMPUTED_VALUE"""),3.0)</f>
        <v>3</v>
      </c>
      <c r="I101" s="65">
        <f>IFERROR(__xludf.DUMMYFUNCTION("""COMPUTED_VALUE"""),3.0)</f>
        <v>3</v>
      </c>
      <c r="J101" s="65">
        <f>IFERROR(__xludf.DUMMYFUNCTION("""COMPUTED_VALUE"""),3.0)</f>
        <v>3</v>
      </c>
      <c r="K101" s="65">
        <f>IFERROR(__xludf.DUMMYFUNCTION("""COMPUTED_VALUE"""),9.0)</f>
        <v>9</v>
      </c>
      <c r="L101" s="65">
        <f>IFERROR(__xludf.DUMMYFUNCTION("""COMPUTED_VALUE"""),0.0)</f>
        <v>0</v>
      </c>
      <c r="M101" s="65">
        <f>IFERROR(__xludf.DUMMYFUNCTION("""COMPUTED_VALUE"""),178.0)</f>
        <v>178</v>
      </c>
      <c r="N101" s="66">
        <f>IFERROR(__xludf.DUMMYFUNCTION("""COMPUTED_VALUE"""),15.0)</f>
        <v>15</v>
      </c>
    </row>
    <row r="102">
      <c r="A102" s="1"/>
      <c r="B102" s="62" t="str">
        <f>IFERROR(__xludf.DUMMYFUNCTION("""COMPUTED_VALUE"""),"Lloyd Sagar")</f>
        <v>Lloyd Sagar</v>
      </c>
      <c r="C102" s="63">
        <f>IFERROR(__xludf.DUMMYFUNCTION("""COMPUTED_VALUE"""),169.0)</f>
        <v>169</v>
      </c>
      <c r="D102" s="64">
        <f>IFERROR(__xludf.DUMMYFUNCTION("""COMPUTED_VALUE"""),11.0)</f>
        <v>11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IFERROR(__xludf.DUMMYFUNCTION("""COMPUTED_VALUE"""),3.0)</f>
        <v>3</v>
      </c>
      <c r="I102" s="65">
        <f>IFERROR(__xludf.DUMMYFUNCTION("""COMPUTED_VALUE"""),6.0)</f>
        <v>6</v>
      </c>
      <c r="J102" s="65">
        <f>IFERROR(__xludf.DUMMYFUNCTION("""COMPUTED_VALUE"""),6.0)</f>
        <v>6</v>
      </c>
      <c r="K102" s="65">
        <f>IFERROR(__xludf.DUMMYFUNCTION("""COMPUTED_VALUE"""),15.0)</f>
        <v>15</v>
      </c>
      <c r="L102" s="65">
        <f>IFERROR(__xludf.DUMMYFUNCTION("""COMPUTED_VALUE"""),2.0)</f>
        <v>2</v>
      </c>
      <c r="M102" s="65">
        <f>IFERROR(__xludf.DUMMYFUNCTION("""COMPUTED_VALUE"""),184.0)</f>
        <v>184</v>
      </c>
      <c r="N102" s="66">
        <f>IFERROR(__xludf.DUMMYFUNCTION("""COMPUTED_VALUE"""),13.0)</f>
        <v>13</v>
      </c>
    </row>
    <row r="103">
      <c r="A103" s="1"/>
      <c r="B103" s="62" t="str">
        <f>IFERROR(__xludf.DUMMYFUNCTION("""COMPUTED_VALUE"""),"Tom Le")</f>
        <v>Tom Le</v>
      </c>
      <c r="C103" s="63">
        <f>IFERROR(__xludf.DUMMYFUNCTION("""COMPUTED_VALUE"""),168.0)</f>
        <v>168</v>
      </c>
      <c r="D103" s="64">
        <f>IFERROR(__xludf.DUMMYFUNCTION("""COMPUTED_VALUE"""),13.0)</f>
        <v>13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IFERROR(__xludf.DUMMYFUNCTION("""COMPUTED_VALUE"""),6.0)</f>
        <v>6</v>
      </c>
      <c r="I103" s="65">
        <f>IFERROR(__xludf.DUMMYFUNCTION("""COMPUTED_VALUE"""),3.0)</f>
        <v>3</v>
      </c>
      <c r="J103" s="65">
        <f>IFERROR(__xludf.DUMMYFUNCTION("""COMPUTED_VALUE"""),6.0)</f>
        <v>6</v>
      </c>
      <c r="K103" s="65">
        <f>IFERROR(__xludf.DUMMYFUNCTION("""COMPUTED_VALUE"""),15.0)</f>
        <v>15</v>
      </c>
      <c r="L103" s="65">
        <f>IFERROR(__xludf.DUMMYFUNCTION("""COMPUTED_VALUE"""),2.0)</f>
        <v>2</v>
      </c>
      <c r="M103" s="65">
        <f>IFERROR(__xludf.DUMMYFUNCTION("""COMPUTED_VALUE"""),183.0)</f>
        <v>183</v>
      </c>
      <c r="N103" s="66">
        <f>IFERROR(__xludf.DUMMYFUNCTION("""COMPUTED_VALUE"""),15.0)</f>
        <v>15</v>
      </c>
    </row>
    <row r="104">
      <c r="A104" s="1"/>
      <c r="B104" s="67" t="str">
        <f>IFERROR(__xludf.DUMMYFUNCTION("""COMPUTED_VALUE"""),"Joe Luzzi")</f>
        <v>Joe Luzzi</v>
      </c>
      <c r="C104" s="68">
        <f>IFERROR(__xludf.DUMMYFUNCTION("""COMPUTED_VALUE"""),168.0)</f>
        <v>168</v>
      </c>
      <c r="D104" s="69">
        <f>IFERROR(__xludf.DUMMYFUNCTION("""COMPUTED_VALUE"""),13.0)</f>
        <v>13</v>
      </c>
      <c r="E104" s="68">
        <f>IFERROR(__xludf.DUMMYFUNCTION("""COMPUTED_VALUE"""),2.0)</f>
        <v>2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IFERROR(__xludf.DUMMYFUNCTION("""COMPUTED_VALUE"""),2.0)</f>
        <v>2</v>
      </c>
      <c r="I104" s="70">
        <f>IFERROR(__xludf.DUMMYFUNCTION("""COMPUTED_VALUE"""),0.0)</f>
        <v>0</v>
      </c>
      <c r="J104" s="70">
        <f>IFERROR(__xludf.DUMMYFUNCTION("""COMPUTED_VALUE"""),6.0)</f>
        <v>6</v>
      </c>
      <c r="K104" s="70">
        <f>IFERROR(__xludf.DUMMYFUNCTION("""COMPUTED_VALUE"""),8.0)</f>
        <v>8</v>
      </c>
      <c r="L104" s="70">
        <f>IFERROR(__xludf.DUMMYFUNCTION("""COMPUTED_VALUE"""),1.0)</f>
        <v>1</v>
      </c>
      <c r="M104" s="70">
        <f>IFERROR(__xludf.DUMMYFUNCTION("""COMPUTED_VALUE"""),176.0)</f>
        <v>176</v>
      </c>
      <c r="N104" s="71">
        <f>IFERROR(__xludf.DUMMYFUNCTION("""COMPUTED_VALUE"""),14.0)</f>
        <v>14</v>
      </c>
    </row>
    <row r="105">
      <c r="A105" s="1"/>
      <c r="B105" s="67" t="str">
        <f>IFERROR(__xludf.DUMMYFUNCTION("""COMPUTED_VALUE"""),"Pulkit Mathur")</f>
        <v>Pulkit Mathur</v>
      </c>
      <c r="C105" s="68">
        <f>IFERROR(__xludf.DUMMYFUNCTION("""COMPUTED_VALUE"""),162.0)</f>
        <v>162</v>
      </c>
      <c r="D105" s="69">
        <f>IFERROR(__xludf.DUMMYFUNCTION("""COMPUTED_VALUE"""),12.0)</f>
        <v>12</v>
      </c>
      <c r="E105" s="68">
        <f>IFERROR(__xludf.DUMMYFUNCTION("""COMPUTED_VALUE"""),1.0)</f>
        <v>1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IFERROR(__xludf.DUMMYFUNCTION("""COMPUTED_VALUE"""),18.0)</f>
        <v>18</v>
      </c>
      <c r="L105" s="70">
        <f>IFERROR(__xludf.DUMMYFUNCTION("""COMPUTED_VALUE"""),3.0)</f>
        <v>3</v>
      </c>
      <c r="M105" s="70">
        <f>IFERROR(__xludf.DUMMYFUNCTION("""COMPUTED_VALUE"""),180.0)</f>
        <v>180</v>
      </c>
      <c r="N105" s="71">
        <f>IFERROR(__xludf.DUMMYFUNCTION("""COMPUTED_VALUE"""),15.0)</f>
        <v>15</v>
      </c>
    </row>
    <row r="106">
      <c r="A106" s="1"/>
      <c r="B106" s="67" t="str">
        <f>IFERROR(__xludf.DUMMYFUNCTION("""COMPUTED_VALUE"""),"Erik Hoeckmann")</f>
        <v>Erik Hoeckmann</v>
      </c>
      <c r="C106" s="68">
        <f>IFERROR(__xludf.DUMMYFUNCTION("""COMPUTED_VALUE"""),159.0)</f>
        <v>159</v>
      </c>
      <c r="D106" s="69">
        <f>IFERROR(__xludf.DUMMYFUNCTION("""COMPUTED_VALUE"""),13.0)</f>
        <v>13</v>
      </c>
      <c r="E106" s="68">
        <f>IFERROR(__xludf.DUMMYFUNCTION("""COMPUTED_VALUE"""),1.0)</f>
        <v>1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IFERROR(__xludf.DUMMYFUNCTION("""COMPUTED_VALUE"""),0.0)</f>
        <v>0</v>
      </c>
      <c r="J106" s="70">
        <f>IFERROR(__xludf.DUMMYFUNCTION("""COMPUTED_VALUE"""),2.0)</f>
        <v>2</v>
      </c>
      <c r="K106" s="70">
        <f>IFERROR(__xludf.DUMMYFUNCTION("""COMPUTED_VALUE"""),8.0)</f>
        <v>8</v>
      </c>
      <c r="L106" s="70">
        <f>IFERROR(__xludf.DUMMYFUNCTION("""COMPUTED_VALUE"""),1.0)</f>
        <v>1</v>
      </c>
      <c r="M106" s="70">
        <f>IFERROR(__xludf.DUMMYFUNCTION("""COMPUTED_VALUE"""),167.0)</f>
        <v>167</v>
      </c>
      <c r="N106" s="71">
        <f>IFERROR(__xludf.DUMMYFUNCTION("""COMPUTED_VALUE"""),14.0)</f>
        <v>14</v>
      </c>
    </row>
    <row r="107">
      <c r="A107" s="1"/>
      <c r="B107" s="67" t="str">
        <f>IFERROR(__xludf.DUMMYFUNCTION("""COMPUTED_VALUE"""),"Scott Li")</f>
        <v>Scott Li</v>
      </c>
      <c r="C107" s="68">
        <f>IFERROR(__xludf.DUMMYFUNCTION("""COMPUTED_VALUE"""),157.0)</f>
        <v>157</v>
      </c>
      <c r="D107" s="69">
        <f>IFERROR(__xludf.DUMMYFUNCTION("""COMPUTED_VALUE"""),13.0)</f>
        <v>13</v>
      </c>
      <c r="E107" s="68">
        <f>IFERROR(__xludf.DUMMYFUNCTION("""COMPUTED_VALUE"""),1.0)</f>
        <v>1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IFERROR(__xludf.DUMMYFUNCTION("""COMPUTED_VALUE"""),2.0)</f>
        <v>2</v>
      </c>
      <c r="I107" s="70">
        <f>IFERROR(__xludf.DUMMYFUNCTION("""COMPUTED_VALUE"""),6.0)</f>
        <v>6</v>
      </c>
      <c r="J107" s="70">
        <f>IFERROR(__xludf.DUMMYFUNCTION("""COMPUTED_VALUE"""),2.0)</f>
        <v>2</v>
      </c>
      <c r="K107" s="70">
        <f>IFERROR(__xludf.DUMMYFUNCTION("""COMPUTED_VALUE"""),10.0)</f>
        <v>10</v>
      </c>
      <c r="L107" s="70">
        <f>IFERROR(__xludf.DUMMYFUNCTION("""COMPUTED_VALUE"""),1.0)</f>
        <v>1</v>
      </c>
      <c r="M107" s="70">
        <f>IFERROR(__xludf.DUMMYFUNCTION("""COMPUTED_VALUE"""),167.0)</f>
        <v>167</v>
      </c>
      <c r="N107" s="71">
        <f>IFERROR(__xludf.DUMMYFUNCTION("""COMPUTED_VALUE"""),14.0)</f>
        <v>14</v>
      </c>
    </row>
    <row r="108">
      <c r="A108" s="1"/>
      <c r="B108" s="62" t="str">
        <f>IFERROR(__xludf.DUMMYFUNCTION("""COMPUTED_VALUE"""),"David Tam")</f>
        <v>David Tam</v>
      </c>
      <c r="C108" s="63">
        <f>IFERROR(__xludf.DUMMYFUNCTION("""COMPUTED_VALUE"""),157.0)</f>
        <v>157</v>
      </c>
      <c r="D108" s="64">
        <f>IFERROR(__xludf.DUMMYFUNCTION("""COMPUTED_VALUE"""),13.0)</f>
        <v>13</v>
      </c>
      <c r="E108" s="63">
        <f>IFERROR(__xludf.DUMMYFUNCTION("""COMPUTED_VALUE"""),1.0)</f>
        <v>1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IFERROR(__xludf.DUMMYFUNCTION("""COMPUTED_VALUE"""),2.0)</f>
        <v>2</v>
      </c>
      <c r="J108" s="65">
        <f>IFERROR(__xludf.DUMMYFUNCTION("""COMPUTED_VALUE"""),6.0)</f>
        <v>6</v>
      </c>
      <c r="K108" s="65">
        <f>IFERROR(__xludf.DUMMYFUNCTION("""COMPUTED_VALUE"""),14.0)</f>
        <v>14</v>
      </c>
      <c r="L108" s="65">
        <f>IFERROR(__xludf.DUMMYFUNCTION("""COMPUTED_VALUE"""),2.0)</f>
        <v>2</v>
      </c>
      <c r="M108" s="65">
        <f>IFERROR(__xludf.DUMMYFUNCTION("""COMPUTED_VALUE"""),171.0)</f>
        <v>171</v>
      </c>
      <c r="N108" s="66">
        <f>IFERROR(__xludf.DUMMYFUNCTION("""COMPUTED_VALUE"""),15.0)</f>
        <v>15</v>
      </c>
    </row>
    <row r="109">
      <c r="A109" s="1"/>
      <c r="B109" s="62" t="str">
        <f>IFERROR(__xludf.DUMMYFUNCTION("""COMPUTED_VALUE"""),"Chinna Ponnaganti")</f>
        <v>Chinna Ponnaganti</v>
      </c>
      <c r="C109" s="63">
        <f>IFERROR(__xludf.DUMMYFUNCTION("""COMPUTED_VALUE"""),156.0)</f>
        <v>156</v>
      </c>
      <c r="D109" s="64">
        <f>IFERROR(__xludf.DUMMYFUNCTION("""COMPUTED_VALUE"""),15.0)</f>
        <v>15</v>
      </c>
      <c r="E109" s="63">
        <f>IFERROR(__xludf.DUMMYFUNCTION("""COMPUTED_VALUE"""),2.0)</f>
        <v>2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IFERROR(__xludf.DUMMYFUNCTION("""COMPUTED_VALUE"""),6.0)</f>
        <v>6</v>
      </c>
      <c r="J109" s="65">
        <f>IFERROR(__xludf.DUMMYFUNCTION("""COMPUTED_VALUE"""),2.0)</f>
        <v>2</v>
      </c>
      <c r="K109" s="65">
        <f>IFERROR(__xludf.DUMMYFUNCTION("""COMPUTED_VALUE"""),14.0)</f>
        <v>14</v>
      </c>
      <c r="L109" s="65">
        <f>IFERROR(__xludf.DUMMYFUNCTION("""COMPUTED_VALUE"""),2.0)</f>
        <v>2</v>
      </c>
      <c r="M109" s="65">
        <f>IFERROR(__xludf.DUMMYFUNCTION("""COMPUTED_VALUE"""),170.0)</f>
        <v>170</v>
      </c>
      <c r="N109" s="66">
        <f>IFERROR(__xludf.DUMMYFUNCTION("""COMPUTED_VALUE"""),17.0)</f>
        <v>17</v>
      </c>
    </row>
    <row r="110">
      <c r="A110" s="1"/>
      <c r="B110" s="62" t="str">
        <f>IFERROR(__xludf.DUMMYFUNCTION("""COMPUTED_VALUE"""),"Naveen Raj")</f>
        <v>Naveen Raj</v>
      </c>
      <c r="C110" s="63">
        <f>IFERROR(__xludf.DUMMYFUNCTION("""COMPUTED_VALUE"""),155.0)</f>
        <v>155</v>
      </c>
      <c r="D110" s="64">
        <f>IFERROR(__xludf.DUMMYFUNCTION("""COMPUTED_VALUE"""),10.0)</f>
        <v>10</v>
      </c>
      <c r="E110" s="63">
        <f>IFERROR(__xludf.DUMMYFUNCTION("""COMPUTED_VALUE"""),2.0)</f>
        <v>2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IFERROR(__xludf.DUMMYFUNCTION("""COMPUTED_VALUE"""),3.0)</f>
        <v>3</v>
      </c>
      <c r="I110" s="65">
        <f>IFERROR(__xludf.DUMMYFUNCTION("""COMPUTED_VALUE"""),2.0)</f>
        <v>2</v>
      </c>
      <c r="J110" s="65">
        <f>IFERROR(__xludf.DUMMYFUNCTION("""COMPUTED_VALUE"""),2.0)</f>
        <v>2</v>
      </c>
      <c r="K110" s="65">
        <f>IFERROR(__xludf.DUMMYFUNCTION("""COMPUTED_VALUE"""),7.0)</f>
        <v>7</v>
      </c>
      <c r="L110" s="65">
        <f>IFERROR(__xludf.DUMMYFUNCTION("""COMPUTED_VALUE"""),0.0)</f>
        <v>0</v>
      </c>
      <c r="M110" s="65">
        <f>IFERROR(__xludf.DUMMYFUNCTION("""COMPUTED_VALUE"""),162.0)</f>
        <v>162</v>
      </c>
      <c r="N110" s="66">
        <f>IFERROR(__xludf.DUMMYFUNCTION("""COMPUTED_VALUE"""),10.0)</f>
        <v>10</v>
      </c>
    </row>
    <row r="111">
      <c r="A111" s="1"/>
      <c r="B111" s="62" t="str">
        <f>IFERROR(__xludf.DUMMYFUNCTION("""COMPUTED_VALUE"""),"Susanta Mishra")</f>
        <v>Susanta Mishra</v>
      </c>
      <c r="C111" s="63">
        <f>IFERROR(__xludf.DUMMYFUNCTION("""COMPUTED_VALUE"""),155.0)</f>
        <v>155</v>
      </c>
      <c r="D111" s="64">
        <f>IFERROR(__xludf.DUMMYFUNCTION("""COMPUTED_VALUE"""),9.0)</f>
        <v>9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IFERROR(__xludf.DUMMYFUNCTION("""COMPUTED_VALUE"""),3.0)</f>
        <v>3</v>
      </c>
      <c r="I111" s="65">
        <f>IFERROR(__xludf.DUMMYFUNCTION("""COMPUTED_VALUE"""),6.0)</f>
        <v>6</v>
      </c>
      <c r="J111" s="65">
        <f>IFERROR(__xludf.DUMMYFUNCTION("""COMPUTED_VALUE"""),6.0)</f>
        <v>6</v>
      </c>
      <c r="K111" s="65">
        <f>IFERROR(__xludf.DUMMYFUNCTION("""COMPUTED_VALUE"""),15.0)</f>
        <v>15</v>
      </c>
      <c r="L111" s="65">
        <f>IFERROR(__xludf.DUMMYFUNCTION("""COMPUTED_VALUE"""),2.0)</f>
        <v>2</v>
      </c>
      <c r="M111" s="65">
        <f>IFERROR(__xludf.DUMMYFUNCTION("""COMPUTED_VALUE"""),170.0)</f>
        <v>170</v>
      </c>
      <c r="N111" s="66">
        <f>IFERROR(__xludf.DUMMYFUNCTION("""COMPUTED_VALUE"""),11.0)</f>
        <v>11</v>
      </c>
    </row>
    <row r="112">
      <c r="A112" s="1"/>
      <c r="B112" s="67" t="str">
        <f>IFERROR(__xludf.DUMMYFUNCTION("""COMPUTED_VALUE"""),"Eric Tan")</f>
        <v>Eric Tan</v>
      </c>
      <c r="C112" s="68">
        <f>IFERROR(__xludf.DUMMYFUNCTION("""COMPUTED_VALUE"""),147.0)</f>
        <v>147</v>
      </c>
      <c r="D112" s="69">
        <f>IFERROR(__xludf.DUMMYFUNCTION("""COMPUTED_VALUE"""),13.0)</f>
        <v>13</v>
      </c>
      <c r="E112" s="68">
        <f>IFERROR(__xludf.DUMMYFUNCTION("""COMPUTED_VALUE"""),1.0)</f>
        <v>1</v>
      </c>
      <c r="F112" s="70">
        <f>IFERROR(__xludf.DUMMYFUNCTION("""COMPUTED_VALUE"""),7.0)</f>
        <v>7</v>
      </c>
      <c r="G112" s="70">
        <f>IFERROR(__xludf.DUMMYFUNCTION("""COMPUTED_VALUE"""),0.0)</f>
        <v>0</v>
      </c>
      <c r="H112" s="70">
        <f>IFERROR(__xludf.DUMMYFUNCTION("""COMPUTED_VALUE"""),3.0)</f>
        <v>3</v>
      </c>
      <c r="I112" s="70">
        <f>IFERROR(__xludf.DUMMYFUNCTION("""COMPUTED_VALUE"""),2.0)</f>
        <v>2</v>
      </c>
      <c r="J112" s="70">
        <f>IFERROR(__xludf.DUMMYFUNCTION("""COMPUTED_VALUE"""),6.0)</f>
        <v>6</v>
      </c>
      <c r="K112" s="70">
        <f>IFERROR(__xludf.DUMMYFUNCTION("""COMPUTED_VALUE"""),11.0)</f>
        <v>11</v>
      </c>
      <c r="L112" s="70">
        <f>IFERROR(__xludf.DUMMYFUNCTION("""COMPUTED_VALUE"""),1.0)</f>
        <v>1</v>
      </c>
      <c r="M112" s="70">
        <f>IFERROR(__xludf.DUMMYFUNCTION("""COMPUTED_VALUE"""),158.0)</f>
        <v>158</v>
      </c>
      <c r="N112" s="71">
        <f>IFERROR(__xludf.DUMMYFUNCTION("""COMPUTED_VALUE"""),14.0)</f>
        <v>14</v>
      </c>
    </row>
    <row r="113">
      <c r="A113" s="1"/>
      <c r="B113" s="67" t="str">
        <f>IFERROR(__xludf.DUMMYFUNCTION("""COMPUTED_VALUE"""),"Sandy Weyant")</f>
        <v>Sandy Weyant</v>
      </c>
      <c r="C113" s="68">
        <f>IFERROR(__xludf.DUMMYFUNCTION("""COMPUTED_VALUE"""),147.0)</f>
        <v>147</v>
      </c>
      <c r="D113" s="69">
        <f>IFERROR(__xludf.DUMMYFUNCTION("""COMPUTED_VALUE"""),7.0)</f>
        <v>7</v>
      </c>
      <c r="E113" s="68">
        <f>IFERROR(__xludf.DUMMYFUNCTION("""COMPUTED_VALUE"""),1.0)</f>
        <v>1</v>
      </c>
      <c r="F113" s="70">
        <f>IFERROR(__xludf.DUMMYFUNCTION("""COMPUTED_VALUE"""),7.0)</f>
        <v>7</v>
      </c>
      <c r="G113" s="70">
        <f>IFERROR(__xludf.DUMMYFUNCTION("""COMPUTED_VALUE"""),0.0)</f>
        <v>0</v>
      </c>
      <c r="H113" s="70">
        <f>IFERROR(__xludf.DUMMYFUNCTION("""COMPUTED_VALUE"""),3.0)</f>
        <v>3</v>
      </c>
      <c r="I113" s="70">
        <f>IFERROR(__xludf.DUMMYFUNCTION("""COMPUTED_VALUE"""),6.0)</f>
        <v>6</v>
      </c>
      <c r="J113" s="70">
        <f>IFERROR(__xludf.DUMMYFUNCTION("""COMPUTED_VALUE"""),3.0)</f>
        <v>3</v>
      </c>
      <c r="K113" s="70">
        <f>IFERROR(__xludf.DUMMYFUNCTION("""COMPUTED_VALUE"""),12.0)</f>
        <v>12</v>
      </c>
      <c r="L113" s="70">
        <f>IFERROR(__xludf.DUMMYFUNCTION("""COMPUTED_VALUE"""),1.0)</f>
        <v>1</v>
      </c>
      <c r="M113" s="70">
        <f>IFERROR(__xludf.DUMMYFUNCTION("""COMPUTED_VALUE"""),159.0)</f>
        <v>159</v>
      </c>
      <c r="N113" s="71">
        <f>IFERROR(__xludf.DUMMYFUNCTION("""COMPUTED_VALUE"""),8.0)</f>
        <v>8</v>
      </c>
    </row>
    <row r="114">
      <c r="A114" s="1"/>
      <c r="B114" s="67" t="str">
        <f>IFERROR(__xludf.DUMMYFUNCTION("""COMPUTED_VALUE"""),"Kumar Palakeel")</f>
        <v>Kumar Palakeel</v>
      </c>
      <c r="C114" s="68">
        <f>IFERROR(__xludf.DUMMYFUNCTION("""COMPUTED_VALUE"""),146.0)</f>
        <v>146</v>
      </c>
      <c r="D114" s="69">
        <f>IFERROR(__xludf.DUMMYFUNCTION("""COMPUTED_VALUE"""),12.0)</f>
        <v>12</v>
      </c>
      <c r="E114" s="68">
        <f>IFERROR(__xludf.DUMMYFUNCTION("""COMPUTED_VALUE"""),1.0)</f>
        <v>1</v>
      </c>
      <c r="F114" s="70">
        <f>IFERROR(__xludf.DUMMYFUNCTION("""COMPUTED_VALUE"""),7.0)</f>
        <v>7</v>
      </c>
      <c r="G114" s="70">
        <f>IFERROR(__xludf.DUMMYFUNCTION("""COMPUTED_VALUE"""),0.0)</f>
        <v>0</v>
      </c>
      <c r="H114" s="70">
        <f>IFERROR(__xludf.DUMMYFUNCTION("""COMPUTED_VALUE"""),6.0)</f>
        <v>6</v>
      </c>
      <c r="I114" s="70">
        <f>IFERROR(__xludf.DUMMYFUNCTION("""COMPUTED_VALUE"""),2.0)</f>
        <v>2</v>
      </c>
      <c r="J114" s="70">
        <f>IFERROR(__xludf.DUMMYFUNCTION("""COMPUTED_VALUE"""),3.0)</f>
        <v>3</v>
      </c>
      <c r="K114" s="70">
        <f>IFERROR(__xludf.DUMMYFUNCTION("""COMPUTED_VALUE"""),11.0)</f>
        <v>11</v>
      </c>
      <c r="L114" s="70">
        <f>IFERROR(__xludf.DUMMYFUNCTION("""COMPUTED_VALUE"""),1.0)</f>
        <v>1</v>
      </c>
      <c r="M114" s="70">
        <f>IFERROR(__xludf.DUMMYFUNCTION("""COMPUTED_VALUE"""),157.0)</f>
        <v>157</v>
      </c>
      <c r="N114" s="71">
        <f>IFERROR(__xludf.DUMMYFUNCTION("""COMPUTED_VALUE"""),13.0)</f>
        <v>13</v>
      </c>
    </row>
    <row r="115">
      <c r="A115" s="1"/>
      <c r="B115" s="67" t="str">
        <f>IFERROR(__xludf.DUMMYFUNCTION("""COMPUTED_VALUE"""),"Trinath Goteti")</f>
        <v>Trinath Goteti</v>
      </c>
      <c r="C115" s="68">
        <f>IFERROR(__xludf.DUMMYFUNCTION("""COMPUTED_VALUE"""),144.0)</f>
        <v>144</v>
      </c>
      <c r="D115" s="69">
        <f>IFERROR(__xludf.DUMMYFUNCTION("""COMPUTED_VALUE"""),5.0)</f>
        <v>5</v>
      </c>
      <c r="E115" s="68">
        <f>IFERROR(__xludf.DUMMYFUNCTION("""COMPUTED_VALUE"""),2.0)</f>
        <v>2</v>
      </c>
      <c r="F115" s="70">
        <f>IFERROR(__xludf.DUMMYFUNCTION("""COMPUTED_VALUE"""),7.0)</f>
        <v>7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IFERROR(__xludf.DUMMYFUNCTION("""COMPUTED_VALUE"""),6.0)</f>
        <v>6</v>
      </c>
      <c r="J115" s="70">
        <f>IFERROR(__xludf.DUMMYFUNCTION("""COMPUTED_VALUE"""),6.0)</f>
        <v>6</v>
      </c>
      <c r="K115" s="70">
        <f>IFERROR(__xludf.DUMMYFUNCTION("""COMPUTED_VALUE"""),18.0)</f>
        <v>18</v>
      </c>
      <c r="L115" s="70">
        <f>IFERROR(__xludf.DUMMYFUNCTION("""COMPUTED_VALUE"""),3.0)</f>
        <v>3</v>
      </c>
      <c r="M115" s="70">
        <f>IFERROR(__xludf.DUMMYFUNCTION("""COMPUTED_VALUE"""),162.0)</f>
        <v>162</v>
      </c>
      <c r="N115" s="71">
        <f>IFERROR(__xludf.DUMMYFUNCTION("""COMPUTED_VALUE"""),8.0)</f>
        <v>8</v>
      </c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0"")"),"Luis Hsu")</f>
        <v>Luis Hsu</v>
      </c>
      <c r="C136" s="63">
        <f>IFERROR(__xludf.DUMMYFUNCTION("""COMPUTED_VALUE"""),177.0)</f>
        <v>177</v>
      </c>
      <c r="D136" s="64">
        <f>IFERROR(__xludf.DUMMYFUNCTION("""COMPUTED_VALUE"""),17.0)</f>
        <v>17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IFERROR(__xludf.DUMMYFUNCTION("""COMPUTED_VALUE"""),186.0)</f>
        <v>186</v>
      </c>
      <c r="N136" s="66">
        <f>IFERROR(__xludf.DUMMYFUNCTION("""COMPUTED_VALUE"""),17.0)</f>
        <v>17</v>
      </c>
    </row>
    <row r="137">
      <c r="A137" s="1"/>
      <c r="B137" s="62" t="str">
        <f>IFERROR(__xludf.DUMMYFUNCTION("""COMPUTED_VALUE"""),"Eric Pan")</f>
        <v>Eric Pan</v>
      </c>
      <c r="C137" s="63">
        <f>IFERROR(__xludf.DUMMYFUNCTION("""COMPUTED_VALUE"""),176.0)</f>
        <v>176</v>
      </c>
      <c r="D137" s="64">
        <f>IFERROR(__xludf.DUMMYFUNCTION("""COMPUTED_VALUE"""),15.0)</f>
        <v>15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IFERROR(__xludf.DUMMYFUNCTION("""COMPUTED_VALUE"""),185.0)</f>
        <v>185</v>
      </c>
      <c r="N137" s="66">
        <f>IFERROR(__xludf.DUMMYFUNCTION("""COMPUTED_VALUE"""),15.0)</f>
        <v>15</v>
      </c>
    </row>
    <row r="138">
      <c r="A138" s="1"/>
      <c r="B138" s="62" t="str">
        <f>IFERROR(__xludf.DUMMYFUNCTION("""COMPUTED_VALUE"""),"Lam Bui")</f>
        <v>Lam Bui</v>
      </c>
      <c r="C138" s="63">
        <f>IFERROR(__xludf.DUMMYFUNCTION("""COMPUTED_VALUE"""),175.0)</f>
        <v>175</v>
      </c>
      <c r="D138" s="64">
        <f>IFERROR(__xludf.DUMMYFUNCTION("""COMPUTED_VALUE"""),11.0)</f>
        <v>11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IFERROR(__xludf.DUMMYFUNCTION("""COMPUTED_VALUE"""),184.0)</f>
        <v>184</v>
      </c>
      <c r="N138" s="66">
        <f>IFERROR(__xludf.DUMMYFUNCTION("""COMPUTED_VALUE"""),11.0)</f>
        <v>11</v>
      </c>
    </row>
    <row r="139">
      <c r="A139" s="1"/>
      <c r="B139" s="62" t="str">
        <f>IFERROR(__xludf.DUMMYFUNCTION("""COMPUTED_VALUE"""),"Mauricio Palacios")</f>
        <v>Mauricio Palacios</v>
      </c>
      <c r="C139" s="63">
        <f>IFERROR(__xludf.DUMMYFUNCTION("""COMPUTED_VALUE"""),167.0)</f>
        <v>167</v>
      </c>
      <c r="D139" s="64">
        <f>IFERROR(__xludf.DUMMYFUNCTION("""COMPUTED_VALUE"""),14.0)</f>
        <v>14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IFERROR(__xludf.DUMMYFUNCTION("""COMPUTED_VALUE"""),176.0)</f>
        <v>176</v>
      </c>
      <c r="N139" s="66">
        <f>IFERROR(__xludf.DUMMYFUNCTION("""COMPUTED_VALUE"""),14.0)</f>
        <v>14</v>
      </c>
    </row>
    <row r="140">
      <c r="A140" s="1"/>
      <c r="B140" s="62" t="str">
        <f>IFERROR(__xludf.DUMMYFUNCTION("""COMPUTED_VALUE"""),"Andrew Wen")</f>
        <v>Andrew Wen</v>
      </c>
      <c r="C140" s="63">
        <f>IFERROR(__xludf.DUMMYFUNCTION("""COMPUTED_VALUE"""),162.0)</f>
        <v>162</v>
      </c>
      <c r="D140" s="64">
        <f>IFERROR(__xludf.DUMMYFUNCTION("""COMPUTED_VALUE"""),16.0)</f>
        <v>16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IFERROR(__xludf.DUMMYFUNCTION("""COMPUTED_VALUE"""),171.0)</f>
        <v>171</v>
      </c>
      <c r="N140" s="66">
        <f>IFERROR(__xludf.DUMMYFUNCTION("""COMPUTED_VALUE"""),16.0)</f>
        <v>16</v>
      </c>
    </row>
    <row r="141">
      <c r="A141" s="1"/>
      <c r="B141" s="62" t="str">
        <f>IFERROR(__xludf.DUMMYFUNCTION("""COMPUTED_VALUE"""),"Oscar Bonilla")</f>
        <v>Oscar Bonilla</v>
      </c>
      <c r="C141" s="63">
        <f>IFERROR(__xludf.DUMMYFUNCTION("""COMPUTED_VALUE"""),162.0)</f>
        <v>162</v>
      </c>
      <c r="D141" s="64">
        <f>IFERROR(__xludf.DUMMYFUNCTION("""COMPUTED_VALUE"""),10.0)</f>
        <v>10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IFERROR(__xludf.DUMMYFUNCTION("""COMPUTED_VALUE"""),171.0)</f>
        <v>171</v>
      </c>
      <c r="N141" s="66">
        <f>IFERROR(__xludf.DUMMYFUNCTION("""COMPUTED_VALUE"""),10.0)</f>
        <v>10</v>
      </c>
    </row>
    <row r="142">
      <c r="A142" s="1"/>
      <c r="B142" s="62" t="str">
        <f>IFERROR(__xludf.DUMMYFUNCTION("""COMPUTED_VALUE"""),"Rajasekar Ramasamy")</f>
        <v>Rajasekar Ramasamy</v>
      </c>
      <c r="C142" s="63">
        <f>IFERROR(__xludf.DUMMYFUNCTION("""COMPUTED_VALUE"""),161.0)</f>
        <v>161</v>
      </c>
      <c r="D142" s="64">
        <f>IFERROR(__xludf.DUMMYFUNCTION("""COMPUTED_VALUE"""),13.0)</f>
        <v>13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IFERROR(__xludf.DUMMYFUNCTION("""COMPUTED_VALUE"""),170.0)</f>
        <v>170</v>
      </c>
      <c r="N142" s="66">
        <f>IFERROR(__xludf.DUMMYFUNCTION("""COMPUTED_VALUE"""),13.0)</f>
        <v>13</v>
      </c>
    </row>
    <row r="143">
      <c r="A143" s="1"/>
      <c r="B143" s="62" t="str">
        <f>IFERROR(__xludf.DUMMYFUNCTION("""COMPUTED_VALUE"""),"Kingsley Kuo")</f>
        <v>Kingsley Kuo</v>
      </c>
      <c r="C143" s="63">
        <f>IFERROR(__xludf.DUMMYFUNCTION("""COMPUTED_VALUE"""),161.0)</f>
        <v>161</v>
      </c>
      <c r="D143" s="64">
        <f>IFERROR(__xludf.DUMMYFUNCTION("""COMPUTED_VALUE"""),11.0)</f>
        <v>11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IFERROR(__xludf.DUMMYFUNCTION("""COMPUTED_VALUE"""),170.0)</f>
        <v>170</v>
      </c>
      <c r="N143" s="66">
        <f>IFERROR(__xludf.DUMMYFUNCTION("""COMPUTED_VALUE"""),11.0)</f>
        <v>11</v>
      </c>
    </row>
    <row r="144">
      <c r="A144" s="1"/>
      <c r="B144" s="62" t="str">
        <f>IFERROR(__xludf.DUMMYFUNCTION("""COMPUTED_VALUE"""),"Matthew Huang")</f>
        <v>Matthew Huang</v>
      </c>
      <c r="C144" s="63">
        <f>IFERROR(__xludf.DUMMYFUNCTION("""COMPUTED_VALUE"""),159.0)</f>
        <v>159</v>
      </c>
      <c r="D144" s="64">
        <f>IFERROR(__xludf.DUMMYFUNCTION("""COMPUTED_VALUE"""),9.0)</f>
        <v>9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IFERROR(__xludf.DUMMYFUNCTION("""COMPUTED_VALUE"""),168.0)</f>
        <v>168</v>
      </c>
      <c r="N144" s="66">
        <f>IFERROR(__xludf.DUMMYFUNCTION("""COMPUTED_VALUE"""),9.0)</f>
        <v>9</v>
      </c>
    </row>
    <row r="145">
      <c r="A145" s="1"/>
      <c r="B145" s="62" t="str">
        <f>IFERROR(__xludf.DUMMYFUNCTION("""COMPUTED_VALUE"""),"Andrew Chin")</f>
        <v>Andrew Chin</v>
      </c>
      <c r="C145" s="63">
        <f>IFERROR(__xludf.DUMMYFUNCTION("""COMPUTED_VALUE"""),157.0)</f>
        <v>157</v>
      </c>
      <c r="D145" s="64">
        <f>IFERROR(__xludf.DUMMYFUNCTION("""COMPUTED_VALUE"""),10.0)</f>
        <v>10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IFERROR(__xludf.DUMMYFUNCTION("""COMPUTED_VALUE"""),166.0)</f>
        <v>166</v>
      </c>
      <c r="N145" s="66">
        <f>IFERROR(__xludf.DUMMYFUNCTION("""COMPUTED_VALUE"""),10.0)</f>
        <v>10</v>
      </c>
    </row>
    <row r="146">
      <c r="A146" s="1"/>
      <c r="B146" s="62" t="str">
        <f>IFERROR(__xludf.DUMMYFUNCTION("""COMPUTED_VALUE"""),"Balaji Alahari")</f>
        <v>Balaji Alahari</v>
      </c>
      <c r="C146" s="63">
        <f>IFERROR(__xludf.DUMMYFUNCTION("""COMPUTED_VALUE"""),156.0)</f>
        <v>156</v>
      </c>
      <c r="D146" s="64">
        <f>IFERROR(__xludf.DUMMYFUNCTION("""COMPUTED_VALUE"""),8.0)</f>
        <v>8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IFERROR(__xludf.DUMMYFUNCTION("""COMPUTED_VALUE"""),165.0)</f>
        <v>165</v>
      </c>
      <c r="N146" s="66">
        <f>IFERROR(__xludf.DUMMYFUNCTION("""COMPUTED_VALUE"""),8.0)</f>
        <v>8</v>
      </c>
    </row>
    <row r="147">
      <c r="A147" s="1"/>
      <c r="B147" s="62" t="str">
        <f>IFERROR(__xludf.DUMMYFUNCTION("""COMPUTED_VALUE"""),"Vamsi Lolla ")</f>
        <v>Vamsi Lolla </v>
      </c>
      <c r="C147" s="63">
        <f>IFERROR(__xludf.DUMMYFUNCTION("""COMPUTED_VALUE"""),155.0)</f>
        <v>155</v>
      </c>
      <c r="D147" s="64">
        <f>IFERROR(__xludf.DUMMYFUNCTION("""COMPUTED_VALUE"""),8.0)</f>
        <v>8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IFERROR(__xludf.DUMMYFUNCTION("""COMPUTED_VALUE"""),164.0)</f>
        <v>164</v>
      </c>
      <c r="N147" s="66">
        <f>IFERROR(__xludf.DUMMYFUNCTION("""COMPUTED_VALUE"""),8.0)</f>
        <v>8</v>
      </c>
    </row>
    <row r="148">
      <c r="A148" s="1"/>
      <c r="B148" s="62" t="str">
        <f>IFERROR(__xludf.DUMMYFUNCTION("""COMPUTED_VALUE"""),"Manuel Rivera")</f>
        <v>Manuel Rivera</v>
      </c>
      <c r="C148" s="63">
        <f>IFERROR(__xludf.DUMMYFUNCTION("""COMPUTED_VALUE"""),153.0)</f>
        <v>153</v>
      </c>
      <c r="D148" s="64">
        <f>IFERROR(__xludf.DUMMYFUNCTION("""COMPUTED_VALUE"""),13.0)</f>
        <v>13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IFERROR(__xludf.DUMMYFUNCTION("""COMPUTED_VALUE"""),162.0)</f>
        <v>162</v>
      </c>
      <c r="N148" s="66">
        <f>IFERROR(__xludf.DUMMYFUNCTION("""COMPUTED_VALUE"""),13.0)</f>
        <v>13</v>
      </c>
    </row>
    <row r="149">
      <c r="A149" s="1"/>
      <c r="B149" s="62" t="str">
        <f>IFERROR(__xludf.DUMMYFUNCTION("""COMPUTED_VALUE"""),"Vinaya Kajla")</f>
        <v>Vinaya Kajla</v>
      </c>
      <c r="C149" s="63">
        <f>IFERROR(__xludf.DUMMYFUNCTION("""COMPUTED_VALUE"""),153.0)</f>
        <v>153</v>
      </c>
      <c r="D149" s="64">
        <f>IFERROR(__xludf.DUMMYFUNCTION("""COMPUTED_VALUE"""),12.0)</f>
        <v>12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IFERROR(__xludf.DUMMYFUNCTION("""COMPUTED_VALUE"""),162.0)</f>
        <v>162</v>
      </c>
      <c r="N149" s="66">
        <f>IFERROR(__xludf.DUMMYFUNCTION("""COMPUTED_VALUE"""),12.0)</f>
        <v>12</v>
      </c>
    </row>
    <row r="150">
      <c r="A150" s="1"/>
      <c r="B150" s="62" t="str">
        <f>IFERROR(__xludf.DUMMYFUNCTION("""COMPUTED_VALUE"""),"Ramesh Bandaru")</f>
        <v>Ramesh Bandaru</v>
      </c>
      <c r="C150" s="63">
        <f>IFERROR(__xludf.DUMMYFUNCTION("""COMPUTED_VALUE"""),152.0)</f>
        <v>152</v>
      </c>
      <c r="D150" s="64">
        <f>IFERROR(__xludf.DUMMYFUNCTION("""COMPUTED_VALUE"""),9.0)</f>
        <v>9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IFERROR(__xludf.DUMMYFUNCTION("""COMPUTED_VALUE"""),161.0)</f>
        <v>161</v>
      </c>
      <c r="N150" s="66">
        <f>IFERROR(__xludf.DUMMYFUNCTION("""COMPUTED_VALUE"""),9.0)</f>
        <v>9</v>
      </c>
    </row>
    <row r="151">
      <c r="A151" s="1"/>
      <c r="B151" s="62" t="str">
        <f>IFERROR(__xludf.DUMMYFUNCTION("""COMPUTED_VALUE"""),"Vishnu Amarnath")</f>
        <v>Vishnu Amarnath</v>
      </c>
      <c r="C151" s="63">
        <f>IFERROR(__xludf.DUMMYFUNCTION("""COMPUTED_VALUE"""),150.0)</f>
        <v>150</v>
      </c>
      <c r="D151" s="64">
        <f>IFERROR(__xludf.DUMMYFUNCTION("""COMPUTED_VALUE"""),13.0)</f>
        <v>13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IFERROR(__xludf.DUMMYFUNCTION("""COMPUTED_VALUE"""),159.0)</f>
        <v>159</v>
      </c>
      <c r="N151" s="66">
        <f>IFERROR(__xludf.DUMMYFUNCTION("""COMPUTED_VALUE"""),13.0)</f>
        <v>13</v>
      </c>
    </row>
    <row r="152">
      <c r="A152" s="1"/>
      <c r="B152" s="62" t="str">
        <f>IFERROR(__xludf.DUMMYFUNCTION("""COMPUTED_VALUE"""),"Manish Anand")</f>
        <v>Manish Anand</v>
      </c>
      <c r="C152" s="63">
        <f>IFERROR(__xludf.DUMMYFUNCTION("""COMPUTED_VALUE"""),149.0)</f>
        <v>149</v>
      </c>
      <c r="D152" s="64">
        <f>IFERROR(__xludf.DUMMYFUNCTION("""COMPUTED_VALUE"""),7.0)</f>
        <v>7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IFERROR(__xludf.DUMMYFUNCTION("""COMPUTED_VALUE"""),158.0)</f>
        <v>158</v>
      </c>
      <c r="N152" s="66">
        <f>IFERROR(__xludf.DUMMYFUNCTION("""COMPUTED_VALUE"""),7.0)</f>
        <v>7</v>
      </c>
    </row>
    <row r="153">
      <c r="A153" s="1"/>
      <c r="B153" s="62" t="str">
        <f>IFERROR(__xludf.DUMMYFUNCTION("""COMPUTED_VALUE"""),"Savay Lieu")</f>
        <v>Savay Lieu</v>
      </c>
      <c r="C153" s="63">
        <f>IFERROR(__xludf.DUMMYFUNCTION("""COMPUTED_VALUE"""),149.0)</f>
        <v>149</v>
      </c>
      <c r="D153" s="64">
        <f>IFERROR(__xludf.DUMMYFUNCTION("""COMPUTED_VALUE"""),5.0)</f>
        <v>5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IFERROR(__xludf.DUMMYFUNCTION("""COMPUTED_VALUE"""),158.0)</f>
        <v>158</v>
      </c>
      <c r="N153" s="66">
        <f>IFERROR(__xludf.DUMMYFUNCTION("""COMPUTED_VALUE"""),5.0)</f>
        <v>5</v>
      </c>
    </row>
    <row r="154">
      <c r="A154" s="1"/>
      <c r="B154" s="62" t="str">
        <f>IFERROR(__xludf.DUMMYFUNCTION("""COMPUTED_VALUE"""),"Vinot Kumar Nagappan")</f>
        <v>Vinot Kumar Nagappan</v>
      </c>
      <c r="C154" s="63">
        <f>IFERROR(__xludf.DUMMYFUNCTION("""COMPUTED_VALUE"""),148.0)</f>
        <v>148</v>
      </c>
      <c r="D154" s="64">
        <f>IFERROR(__xludf.DUMMYFUNCTION("""COMPUTED_VALUE"""),7.0)</f>
        <v>7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IFERROR(__xludf.DUMMYFUNCTION("""COMPUTED_VALUE"""),157.0)</f>
        <v>157</v>
      </c>
      <c r="N154" s="66">
        <f>IFERROR(__xludf.DUMMYFUNCTION("""COMPUTED_VALUE"""),7.0)</f>
        <v>7</v>
      </c>
    </row>
    <row r="155">
      <c r="A155" s="1"/>
      <c r="B155" s="62" t="str">
        <f>IFERROR(__xludf.DUMMYFUNCTION("""COMPUTED_VALUE"""),"Jimmy Awolesi")</f>
        <v>Jimmy Awolesi</v>
      </c>
      <c r="C155" s="63">
        <f>IFERROR(__xludf.DUMMYFUNCTION("""COMPUTED_VALUE"""),147.0)</f>
        <v>147</v>
      </c>
      <c r="D155" s="64">
        <f>IFERROR(__xludf.DUMMYFUNCTION("""COMPUTED_VALUE"""),10.0)</f>
        <v>10</v>
      </c>
      <c r="E155" s="63">
        <f>IFERROR(__xludf.DUMMYFUNCTION("""COMPUTED_VALUE"""),4.0)</f>
        <v>4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IFERROR(__xludf.DUMMYFUNCTION("""COMPUTED_VALUE"""),156.0)</f>
        <v>156</v>
      </c>
      <c r="N155" s="66">
        <f>IFERROR(__xludf.DUMMYFUNCTION("""COMPUTED_VALUE"""),10.0)</f>
        <v>10</v>
      </c>
    </row>
    <row r="156">
      <c r="A156" s="1"/>
      <c r="B156" s="62" t="str">
        <f>IFERROR(__xludf.DUMMYFUNCTION("""COMPUTED_VALUE"""),"Tony Wong")</f>
        <v>Tony Wong</v>
      </c>
      <c r="C156" s="63">
        <f>IFERROR(__xludf.DUMMYFUNCTION("""COMPUTED_VALUE"""),147.0)</f>
        <v>147</v>
      </c>
      <c r="D156" s="64">
        <f>IFERROR(__xludf.DUMMYFUNCTION("""COMPUTED_VALUE"""),9.0)</f>
        <v>9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IFERROR(__xludf.DUMMYFUNCTION("""COMPUTED_VALUE"""),156.0)</f>
        <v>156</v>
      </c>
      <c r="N156" s="66">
        <f>IFERROR(__xludf.DUMMYFUNCTION("""COMPUTED_VALUE"""),9.0)</f>
        <v>9</v>
      </c>
    </row>
    <row r="157">
      <c r="A157" s="1"/>
      <c r="B157" s="62" t="str">
        <f>IFERROR(__xludf.DUMMYFUNCTION("""COMPUTED_VALUE"""),"Elayaraja Thangaraj ")</f>
        <v>Elayaraja Thangaraj </v>
      </c>
      <c r="C157" s="63">
        <f>IFERROR(__xludf.DUMMYFUNCTION("""COMPUTED_VALUE"""),144.0)</f>
        <v>144</v>
      </c>
      <c r="D157" s="64">
        <f>IFERROR(__xludf.DUMMYFUNCTION("""COMPUTED_VALUE"""),11.0)</f>
        <v>11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IFERROR(__xludf.DUMMYFUNCTION("""COMPUTED_VALUE"""),153.0)</f>
        <v>153</v>
      </c>
      <c r="N157" s="66">
        <f>IFERROR(__xludf.DUMMYFUNCTION("""COMPUTED_VALUE"""),11.0)</f>
        <v>11</v>
      </c>
    </row>
    <row r="158">
      <c r="A158" s="1"/>
      <c r="B158" s="62" t="str">
        <f>IFERROR(__xludf.DUMMYFUNCTION("""COMPUTED_VALUE"""),"Sudhagar Subbaian")</f>
        <v>Sudhagar Subbaian</v>
      </c>
      <c r="C158" s="63">
        <f>IFERROR(__xludf.DUMMYFUNCTION("""COMPUTED_VALUE"""),144.0)</f>
        <v>144</v>
      </c>
      <c r="D158" s="64">
        <f>IFERROR(__xludf.DUMMYFUNCTION("""COMPUTED_VALUE"""),5.0)</f>
        <v>5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IFERROR(__xludf.DUMMYFUNCTION("""COMPUTED_VALUE"""),153.0)</f>
        <v>153</v>
      </c>
      <c r="N158" s="66">
        <f>IFERROR(__xludf.DUMMYFUNCTION("""COMPUTED_VALUE"""),5.0)</f>
        <v>5</v>
      </c>
    </row>
    <row r="159">
      <c r="A159" s="1"/>
      <c r="B159" s="62" t="str">
        <f>IFERROR(__xludf.DUMMYFUNCTION("""COMPUTED_VALUE"""),"Robert Chang")</f>
        <v>Robert Chang</v>
      </c>
      <c r="C159" s="63">
        <f>IFERROR(__xludf.DUMMYFUNCTION("""COMPUTED_VALUE"""),144.0)</f>
        <v>144</v>
      </c>
      <c r="D159" s="64">
        <f>IFERROR(__xludf.DUMMYFUNCTION("""COMPUTED_VALUE"""),4.0)</f>
        <v>4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IFERROR(__xludf.DUMMYFUNCTION("""COMPUTED_VALUE"""),153.0)</f>
        <v>153</v>
      </c>
      <c r="N159" s="66">
        <f>IFERROR(__xludf.DUMMYFUNCTION("""COMPUTED_VALUE"""),4.0)</f>
        <v>4</v>
      </c>
    </row>
    <row r="160">
      <c r="A160" s="1"/>
      <c r="B160" s="62" t="str">
        <f>IFERROR(__xludf.DUMMYFUNCTION("""COMPUTED_VALUE"""),"Nohely Mejia")</f>
        <v>Nohely Mejia</v>
      </c>
      <c r="C160" s="63">
        <f>IFERROR(__xludf.DUMMYFUNCTION("""COMPUTED_VALUE"""),144.0)</f>
        <v>144</v>
      </c>
      <c r="D160" s="64">
        <f>IFERROR(__xludf.DUMMYFUNCTION("""COMPUTED_VALUE"""),3.0)</f>
        <v>3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IFERROR(__xludf.DUMMYFUNCTION("""COMPUTED_VALUE"""),153.0)</f>
        <v>153</v>
      </c>
      <c r="N160" s="66">
        <f>IFERROR(__xludf.DUMMYFUNCTION("""COMPUTED_VALUE"""),3.0)</f>
        <v>3</v>
      </c>
    </row>
    <row r="161">
      <c r="A161" s="1"/>
      <c r="B161" s="62" t="str">
        <f>IFERROR(__xludf.DUMMYFUNCTION("""COMPUTED_VALUE"""),"Alejandro Mejia")</f>
        <v>Alejandro Mejia</v>
      </c>
      <c r="C161" s="63">
        <f>IFERROR(__xludf.DUMMYFUNCTION("""COMPUTED_VALUE"""),142.0)</f>
        <v>142</v>
      </c>
      <c r="D161" s="64">
        <f>IFERROR(__xludf.DUMMYFUNCTION("""COMPUTED_VALUE"""),4.0)</f>
        <v>4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IFERROR(__xludf.DUMMYFUNCTION("""COMPUTED_VALUE"""),151.0)</f>
        <v>151</v>
      </c>
      <c r="N161" s="66">
        <f>IFERROR(__xludf.DUMMYFUNCTION("""COMPUTED_VALUE"""),4.0)</f>
        <v>4</v>
      </c>
    </row>
    <row r="162">
      <c r="A162" s="1"/>
      <c r="B162" s="62" t="str">
        <f>IFERROR(__xludf.DUMMYFUNCTION("""COMPUTED_VALUE"""),"Rosie Bonilla")</f>
        <v>Rosie Bonilla</v>
      </c>
      <c r="C162" s="63">
        <f>IFERROR(__xludf.DUMMYFUNCTION("""COMPUTED_VALUE"""),141.0)</f>
        <v>141</v>
      </c>
      <c r="D162" s="64">
        <f>IFERROR(__xludf.DUMMYFUNCTION("""COMPUTED_VALUE"""),2.0)</f>
        <v>2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IFERROR(__xludf.DUMMYFUNCTION("""COMPUTED_VALUE"""),150.0)</f>
        <v>150</v>
      </c>
      <c r="N162" s="66">
        <f>IFERROR(__xludf.DUMMYFUNCTION("""COMPUTED_VALUE"""),2.0)</f>
        <v>2</v>
      </c>
    </row>
    <row r="163">
      <c r="A163" s="1"/>
      <c r="B163" s="62" t="str">
        <f>IFERROR(__xludf.DUMMYFUNCTION("""COMPUTED_VALUE"""),"Sanjaye Elayattu")</f>
        <v>Sanjaye Elayattu</v>
      </c>
      <c r="C163" s="63">
        <f>IFERROR(__xludf.DUMMYFUNCTION("""COMPUTED_VALUE"""),138.0)</f>
        <v>138</v>
      </c>
      <c r="D163" s="64">
        <f>IFERROR(__xludf.DUMMYFUNCTION("""COMPUTED_VALUE"""),1.0)</f>
        <v>1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IFERROR(__xludf.DUMMYFUNCTION("""COMPUTED_VALUE"""),147.0)</f>
        <v>147</v>
      </c>
      <c r="N163" s="66">
        <f>IFERROR(__xludf.DUMMYFUNCTION("""COMPUTED_VALUE"""),1.0)</f>
        <v>1</v>
      </c>
    </row>
    <row r="164">
      <c r="A164" s="1"/>
      <c r="B164" s="62" t="str">
        <f>IFERROR(__xludf.DUMMYFUNCTION("""COMPUTED_VALUE"""),"Ash Nikravan")</f>
        <v>Ash Nikravan</v>
      </c>
      <c r="C164" s="63">
        <f>IFERROR(__xludf.DUMMYFUNCTION("""COMPUTED_VALUE"""),137.0)</f>
        <v>137</v>
      </c>
      <c r="D164" s="64">
        <f>IFERROR(__xludf.DUMMYFUNCTION("""COMPUTED_VALUE"""),5.0)</f>
        <v>5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IFERROR(__xludf.DUMMYFUNCTION("""COMPUTED_VALUE"""),146.0)</f>
        <v>146</v>
      </c>
      <c r="N164" s="66">
        <f>IFERROR(__xludf.DUMMYFUNCTION("""COMPUTED_VALUE"""),5.0)</f>
        <v>5</v>
      </c>
    </row>
    <row r="165">
      <c r="A165" s="1"/>
      <c r="B165" s="62" t="str">
        <f>IFERROR(__xludf.DUMMYFUNCTION("""COMPUTED_VALUE"""),"Troy Wong")</f>
        <v>Troy Wong</v>
      </c>
      <c r="C165" s="63">
        <f>IFERROR(__xludf.DUMMYFUNCTION("""COMPUTED_VALUE"""),136.0)</f>
        <v>136</v>
      </c>
      <c r="D165" s="64">
        <f>IFERROR(__xludf.DUMMYFUNCTION("""COMPUTED_VALUE"""),4.0)</f>
        <v>4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IFERROR(__xludf.DUMMYFUNCTION("""COMPUTED_VALUE"""),145.0)</f>
        <v>145</v>
      </c>
      <c r="N165" s="66">
        <f>IFERROR(__xludf.DUMMYFUNCTION("""COMPUTED_VALUE"""),4.0)</f>
        <v>4</v>
      </c>
    </row>
    <row r="166">
      <c r="A166" s="1"/>
      <c r="B166" s="62" t="str">
        <f>IFERROR(__xludf.DUMMYFUNCTION("""COMPUTED_VALUE"""),"Tony Lin")</f>
        <v>Tony Lin</v>
      </c>
      <c r="C166" s="63">
        <f>IFERROR(__xludf.DUMMYFUNCTION("""COMPUTED_VALUE"""),135.0)</f>
        <v>135</v>
      </c>
      <c r="D166" s="64">
        <f>IFERROR(__xludf.DUMMYFUNCTION("""COMPUTED_VALUE"""),3.0)</f>
        <v>3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IFERROR(__xludf.DUMMYFUNCTION("""COMPUTED_VALUE"""),144.0)</f>
        <v>144</v>
      </c>
      <c r="N166" s="66">
        <f>IFERROR(__xludf.DUMMYFUNCTION("""COMPUTED_VALUE"""),3.0)</f>
        <v>3</v>
      </c>
    </row>
    <row r="167">
      <c r="A167" s="1"/>
      <c r="B167" s="62" t="str">
        <f>IFERROR(__xludf.DUMMYFUNCTION("""COMPUTED_VALUE"""),"Chandrasekar Chinnathambi")</f>
        <v>Chandrasekar Chinnathambi</v>
      </c>
      <c r="C167" s="63">
        <f>IFERROR(__xludf.DUMMYFUNCTION("""COMPUTED_VALUE"""),133.0)</f>
        <v>133</v>
      </c>
      <c r="D167" s="64">
        <f>IFERROR(__xludf.DUMMYFUNCTION("""COMPUTED_VALUE"""),1.0)</f>
        <v>1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IFERROR(__xludf.DUMMYFUNCTION("""COMPUTED_VALUE"""),142.0)</f>
        <v>142</v>
      </c>
      <c r="N167" s="66">
        <f>IFERROR(__xludf.DUMMYFUNCTION("""COMPUTED_VALUE"""),1.0)</f>
        <v>1</v>
      </c>
    </row>
    <row r="168">
      <c r="A168" s="1"/>
      <c r="B168" s="62" t="str">
        <f>IFERROR(__xludf.DUMMYFUNCTION("""COMPUTED_VALUE"""),"Amit Patel")</f>
        <v>Amit Patel</v>
      </c>
      <c r="C168" s="63">
        <f>IFERROR(__xludf.DUMMYFUNCTION("""COMPUTED_VALUE"""),132.0)</f>
        <v>132</v>
      </c>
      <c r="D168" s="64">
        <f>IFERROR(__xludf.DUMMYFUNCTION("""COMPUTED_VALUE"""),2.0)</f>
        <v>2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IFERROR(__xludf.DUMMYFUNCTION("""COMPUTED_VALUE"""),141.0)</f>
        <v>141</v>
      </c>
      <c r="N168" s="66">
        <f>IFERROR(__xludf.DUMMYFUNCTION("""COMPUTED_VALUE"""),2.0)</f>
        <v>2</v>
      </c>
    </row>
    <row r="169">
      <c r="A169" s="1"/>
      <c r="B169" s="62" t="str">
        <f>IFERROR(__xludf.DUMMYFUNCTION("""COMPUTED_VALUE"""),"Marcus Yovas")</f>
        <v>Marcus Yovas</v>
      </c>
      <c r="C169" s="63">
        <f>IFERROR(__xludf.DUMMYFUNCTION("""COMPUTED_VALUE"""),130.0)</f>
        <v>130</v>
      </c>
      <c r="D169" s="64">
        <f>IFERROR(__xludf.DUMMYFUNCTION("""COMPUTED_VALUE"""),2.0)</f>
        <v>2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IFERROR(__xludf.DUMMYFUNCTION("""COMPUTED_VALUE"""),139.0)</f>
        <v>139</v>
      </c>
      <c r="N169" s="66">
        <f>IFERROR(__xludf.DUMMYFUNCTION("""COMPUTED_VALUE"""),2.0)</f>
        <v>2</v>
      </c>
    </row>
    <row r="170">
      <c r="A170" s="1"/>
      <c r="B170" s="62" t="str">
        <f>IFERROR(__xludf.DUMMYFUNCTION("""COMPUTED_VALUE"""),"Santosh Sundaresan ")</f>
        <v>Santosh Sundaresan </v>
      </c>
      <c r="C170" s="63">
        <f>IFERROR(__xludf.DUMMYFUNCTION("""COMPUTED_VALUE"""),129.0)</f>
        <v>129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IFERROR(__xludf.DUMMYFUNCTION("""COMPUTED_VALUE"""),138.0)</f>
        <v>138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IFERROR(__xludf.DUMMYFUNCTION("""COMPUTED_VALUE"""),"Joyce Zhu")</f>
        <v>Joyce Zhu</v>
      </c>
      <c r="C171" s="63">
        <f>IFERROR(__xludf.DUMMYFUNCTION("""COMPUTED_VALUE"""),127.0)</f>
        <v>127</v>
      </c>
      <c r="D171" s="64">
        <f>IFERROR(__xludf.DUMMYFUNCTION("""COMPUTED_VALUE"""),4.0)</f>
        <v>4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IFERROR(__xludf.DUMMYFUNCTION("""COMPUTED_VALUE"""),136.0)</f>
        <v>136</v>
      </c>
      <c r="N171" s="66">
        <f>IFERROR(__xludf.DUMMYFUNCTION("""COMPUTED_VALUE"""),4.0)</f>
        <v>4</v>
      </c>
    </row>
    <row r="172">
      <c r="A172" s="1"/>
      <c r="B172" s="62" t="str">
        <f>IFERROR(__xludf.DUMMYFUNCTION("""COMPUTED_VALUE"""),"Vilas Janardhanan")</f>
        <v>Vilas Janardhanan</v>
      </c>
      <c r="C172" s="63">
        <f>IFERROR(__xludf.DUMMYFUNCTION("""COMPUTED_VALUE"""),126.0)</f>
        <v>126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IFERROR(__xludf.DUMMYFUNCTION("""COMPUTED_VALUE"""),135.0)</f>
        <v>135</v>
      </c>
      <c r="N172" s="66">
        <f>IFERROR(__xludf.DUMMYFUNCTION("""COMPUTED_VALUE"""),0.0)</f>
        <v>0</v>
      </c>
    </row>
    <row r="173">
      <c r="A173" s="1"/>
      <c r="B173" s="62" t="str">
        <f>IFERROR(__xludf.DUMMYFUNCTION("""COMPUTED_VALUE"""),"Coco Yan")</f>
        <v>Coco Yan</v>
      </c>
      <c r="C173" s="63">
        <f>IFERROR(__xludf.DUMMYFUNCTION("""COMPUTED_VALUE"""),126.0)</f>
        <v>126</v>
      </c>
      <c r="D173" s="64">
        <f>IFERROR(__xludf.DUMMYFUNCTION("""COMPUTED_VALUE"""),0.0)</f>
        <v>0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IFERROR(__xludf.DUMMYFUNCTION("""COMPUTED_VALUE"""),135.0)</f>
        <v>135</v>
      </c>
      <c r="N173" s="66">
        <f>IFERROR(__xludf.DUMMYFUNCTION("""COMPUTED_VALUE"""),0.0)</f>
        <v>0</v>
      </c>
    </row>
    <row r="174">
      <c r="A174" s="1"/>
      <c r="B174" s="62" t="str">
        <f>IFERROR(__xludf.DUMMYFUNCTION("""COMPUTED_VALUE"""),"Tiffany Yu")</f>
        <v>Tiffany Yu</v>
      </c>
      <c r="C174" s="63">
        <f>IFERROR(__xludf.DUMMYFUNCTION("""COMPUTED_VALUE"""),125.0)</f>
        <v>125</v>
      </c>
      <c r="D174" s="64">
        <f>IFERROR(__xludf.DUMMYFUNCTION("""COMPUTED_VALUE"""),2.0)</f>
        <v>2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IFERROR(__xludf.DUMMYFUNCTION("""COMPUTED_VALUE"""),134.0)</f>
        <v>134</v>
      </c>
      <c r="N174" s="66">
        <f>IFERROR(__xludf.DUMMYFUNCTION("""COMPUTED_VALUE"""),2.0)</f>
        <v>2</v>
      </c>
    </row>
    <row r="175">
      <c r="A175" s="1"/>
      <c r="B175" s="62" t="str">
        <f>IFERROR(__xludf.DUMMYFUNCTION("""COMPUTED_VALUE"""),"Sai Dilip Ponnaganti")</f>
        <v>Sai Dilip Ponnaganti</v>
      </c>
      <c r="C175" s="63">
        <f>IFERROR(__xludf.DUMMYFUNCTION("""COMPUTED_VALUE"""),117.0)</f>
        <v>117</v>
      </c>
      <c r="D175" s="64">
        <f>IFERROR(__xludf.DUMMYFUNCTION("""COMPUTED_VALUE"""),0.0)</f>
        <v>0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IFERROR(__xludf.DUMMYFUNCTION("""COMPUTED_VALUE"""),126.0)</f>
        <v>126</v>
      </c>
      <c r="N175" s="66">
        <f>IFERROR(__xludf.DUMMYFUNCTION("""COMPUTED_VALUE"""),0.0)</f>
        <v>0</v>
      </c>
    </row>
    <row r="176">
      <c r="A176" s="1"/>
      <c r="B176" s="62" t="str">
        <f>IFERROR(__xludf.DUMMYFUNCTION("""COMPUTED_VALUE"""),"Jose Ortiz")</f>
        <v>Jose Ortiz</v>
      </c>
      <c r="C176" s="63">
        <f>IFERROR(__xludf.DUMMYFUNCTION("""COMPUTED_VALUE"""),116.0)</f>
        <v>116</v>
      </c>
      <c r="D176" s="64">
        <f>IFERROR(__xludf.DUMMYFUNCTION("""COMPUTED_VALUE"""),2.0)</f>
        <v>2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IFERROR(__xludf.DUMMYFUNCTION("""COMPUTED_VALUE"""),125.0)</f>
        <v>125</v>
      </c>
      <c r="N176" s="66">
        <f>IFERROR(__xludf.DUMMYFUNCTION("""COMPUTED_VALUE"""),2.0)</f>
        <v>2</v>
      </c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45409.0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14.0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48</v>
      </c>
      <c r="C5" s="28">
        <v>191.0</v>
      </c>
      <c r="D5" s="29">
        <v>20.0</v>
      </c>
      <c r="E5" s="30">
        <v>3.0</v>
      </c>
      <c r="F5" s="31">
        <v>0.0</v>
      </c>
      <c r="G5" s="28">
        <v>9.0</v>
      </c>
      <c r="H5" s="31">
        <v>0.0</v>
      </c>
      <c r="I5" s="31">
        <v>0.0</v>
      </c>
      <c r="J5" s="31">
        <v>0.0</v>
      </c>
      <c r="K5" s="33">
        <v>9.0</v>
      </c>
      <c r="L5" s="31">
        <v>0.0</v>
      </c>
      <c r="M5" s="28">
        <f t="shared" ref="M5:N5" si="1">C5+K5</f>
        <v>200</v>
      </c>
      <c r="N5" s="29">
        <f t="shared" si="1"/>
        <v>20</v>
      </c>
      <c r="O5" s="35" t="s">
        <v>46</v>
      </c>
      <c r="P5" s="35" t="s">
        <v>46</v>
      </c>
      <c r="Q5" s="31">
        <f>if(G5=13,1,0)+VLOOKUP(B5,'042024'!B:Q,16,false)</f>
        <v>2</v>
      </c>
      <c r="R5" s="31"/>
      <c r="S5" s="31">
        <f>if(G5=9,1,0)+VLOOKUP(B5,'042024'!B:S,18,false)</f>
        <v>4</v>
      </c>
    </row>
    <row r="6">
      <c r="A6" s="26">
        <f t="shared" ref="A6:A69" si="3">A5+1</f>
        <v>2</v>
      </c>
      <c r="B6" s="39" t="s">
        <v>52</v>
      </c>
      <c r="C6" s="28">
        <v>176.0</v>
      </c>
      <c r="D6" s="29">
        <v>20.0</v>
      </c>
      <c r="E6" s="30">
        <v>1.0</v>
      </c>
      <c r="F6" s="31">
        <v>1.0</v>
      </c>
      <c r="G6" s="28">
        <v>0.0</v>
      </c>
      <c r="H6" s="31">
        <v>2.0</v>
      </c>
      <c r="I6" s="31">
        <v>6.0</v>
      </c>
      <c r="J6" s="31">
        <v>2.0</v>
      </c>
      <c r="K6" s="33">
        <v>10.0</v>
      </c>
      <c r="L6" s="31">
        <v>1.0</v>
      </c>
      <c r="M6" s="28">
        <f t="shared" ref="M6:N6" si="2">C6+K6</f>
        <v>186</v>
      </c>
      <c r="N6" s="29">
        <f t="shared" si="2"/>
        <v>21</v>
      </c>
      <c r="O6" s="35" t="s">
        <v>46</v>
      </c>
      <c r="P6" s="35" t="s">
        <v>46</v>
      </c>
      <c r="Q6" s="31">
        <f>if(G6=13,1,0)+VLOOKUP(B6,'042024'!B:Q,16,false)</f>
        <v>0</v>
      </c>
      <c r="R6" s="31"/>
      <c r="S6" s="31">
        <f>if(G6=9,1,0)+VLOOKUP(B6,'042024'!B:S,18,false)</f>
        <v>4</v>
      </c>
    </row>
    <row r="7">
      <c r="A7" s="26">
        <f t="shared" si="3"/>
        <v>3</v>
      </c>
      <c r="B7" s="27" t="s">
        <v>61</v>
      </c>
      <c r="C7" s="28">
        <v>172.0</v>
      </c>
      <c r="D7" s="29">
        <v>15.0</v>
      </c>
      <c r="E7" s="30">
        <v>2.0</v>
      </c>
      <c r="F7" s="31">
        <v>1.0</v>
      </c>
      <c r="G7" s="28">
        <v>0.0</v>
      </c>
      <c r="H7" s="31">
        <v>2.0</v>
      </c>
      <c r="I7" s="31">
        <v>1.0</v>
      </c>
      <c r="J7" s="31">
        <v>6.0</v>
      </c>
      <c r="K7" s="33">
        <v>9.0</v>
      </c>
      <c r="L7" s="31">
        <v>1.0</v>
      </c>
      <c r="M7" s="28">
        <f t="shared" ref="M7:N7" si="4">C7+K7</f>
        <v>181</v>
      </c>
      <c r="N7" s="29">
        <f t="shared" si="4"/>
        <v>16</v>
      </c>
      <c r="O7" s="35" t="s">
        <v>46</v>
      </c>
      <c r="P7" s="35" t="s">
        <v>46</v>
      </c>
      <c r="Q7" s="31">
        <f>if(G7=13,1,0)+VLOOKUP(B7,'042024'!B:Q,16,false)</f>
        <v>2</v>
      </c>
      <c r="R7" s="31"/>
      <c r="S7" s="31">
        <f>if(G7=9,1,0)+VLOOKUP(B7,'042024'!B:S,18,false)</f>
        <v>3</v>
      </c>
    </row>
    <row r="8">
      <c r="A8" s="26">
        <f t="shared" si="3"/>
        <v>4</v>
      </c>
      <c r="B8" s="39" t="s">
        <v>55</v>
      </c>
      <c r="C8" s="28">
        <v>168.0</v>
      </c>
      <c r="D8" s="29">
        <v>16.0</v>
      </c>
      <c r="E8" s="30">
        <v>1.0</v>
      </c>
      <c r="F8" s="31">
        <v>1.0</v>
      </c>
      <c r="G8" s="28">
        <v>0.0</v>
      </c>
      <c r="H8" s="31">
        <v>6.0</v>
      </c>
      <c r="I8" s="31">
        <v>1.0</v>
      </c>
      <c r="J8" s="31">
        <v>2.0</v>
      </c>
      <c r="K8" s="33">
        <v>9.0</v>
      </c>
      <c r="L8" s="31">
        <v>1.0</v>
      </c>
      <c r="M8" s="28">
        <f t="shared" ref="M8:N8" si="5">C8+K8</f>
        <v>177</v>
      </c>
      <c r="N8" s="29">
        <f t="shared" si="5"/>
        <v>17</v>
      </c>
      <c r="O8" s="35" t="s">
        <v>46</v>
      </c>
      <c r="P8" s="35" t="s">
        <v>46</v>
      </c>
      <c r="Q8" s="31">
        <f>if(G8=13,1,0)+VLOOKUP(B8,'042024'!B:Q,16,false)</f>
        <v>1</v>
      </c>
      <c r="R8" s="31"/>
      <c r="S8" s="31">
        <f>if(G8=9,1,0)+VLOOKUP(B8,'042024'!B:S,18,false)</f>
        <v>5</v>
      </c>
    </row>
    <row r="9">
      <c r="A9" s="26">
        <f t="shared" si="3"/>
        <v>5</v>
      </c>
      <c r="B9" s="27" t="s">
        <v>82</v>
      </c>
      <c r="C9" s="28">
        <v>167.0</v>
      </c>
      <c r="D9" s="29">
        <v>15.0</v>
      </c>
      <c r="E9" s="30">
        <v>3.0</v>
      </c>
      <c r="F9" s="31">
        <v>0.0</v>
      </c>
      <c r="G9" s="28">
        <v>9.0</v>
      </c>
      <c r="H9" s="31">
        <v>0.0</v>
      </c>
      <c r="I9" s="31">
        <v>0.0</v>
      </c>
      <c r="J9" s="31">
        <v>0.0</v>
      </c>
      <c r="K9" s="33">
        <v>9.0</v>
      </c>
      <c r="L9" s="31">
        <v>0.0</v>
      </c>
      <c r="M9" s="28">
        <f t="shared" ref="M9:N9" si="6">C9+K9</f>
        <v>176</v>
      </c>
      <c r="N9" s="29">
        <f t="shared" si="6"/>
        <v>15</v>
      </c>
      <c r="O9" s="35" t="s">
        <v>46</v>
      </c>
      <c r="P9" s="35" t="s">
        <v>46</v>
      </c>
      <c r="Q9" s="31">
        <f>if(G9=13,1,0)+VLOOKUP(B9,'042024'!B:Q,16,false)</f>
        <v>1</v>
      </c>
      <c r="R9" s="31"/>
      <c r="S9" s="31">
        <f>if(G9=9,1,0)+VLOOKUP(B9,'042024'!B:S,18,false)</f>
        <v>7</v>
      </c>
    </row>
    <row r="10">
      <c r="A10" s="26">
        <f t="shared" si="3"/>
        <v>6</v>
      </c>
      <c r="B10" s="27" t="s">
        <v>38</v>
      </c>
      <c r="C10" s="28">
        <v>167.0</v>
      </c>
      <c r="D10" s="29">
        <v>15.0</v>
      </c>
      <c r="E10" s="30">
        <v>1.0</v>
      </c>
      <c r="F10" s="31">
        <v>1.0</v>
      </c>
      <c r="G10" s="28">
        <v>0.0</v>
      </c>
      <c r="H10" s="31">
        <v>6.0</v>
      </c>
      <c r="I10" s="31">
        <v>6.0</v>
      </c>
      <c r="J10" s="31">
        <v>6.0</v>
      </c>
      <c r="K10" s="33">
        <v>18.0</v>
      </c>
      <c r="L10" s="31">
        <v>3.0</v>
      </c>
      <c r="M10" s="28">
        <f t="shared" ref="M10:N10" si="7">C10+K10</f>
        <v>185</v>
      </c>
      <c r="N10" s="29">
        <f t="shared" si="7"/>
        <v>18</v>
      </c>
      <c r="O10" s="35" t="s">
        <v>46</v>
      </c>
      <c r="P10" s="35" t="s">
        <v>46</v>
      </c>
      <c r="Q10" s="31">
        <f>if(G10=13,1,0)+VLOOKUP(B10,'042024'!B:Q,16,false)</f>
        <v>1</v>
      </c>
      <c r="R10" s="31"/>
      <c r="S10" s="31">
        <f>if(G10=9,1,0)+VLOOKUP(B10,'042024'!B:S,18,false)</f>
        <v>6</v>
      </c>
    </row>
    <row r="11">
      <c r="A11" s="26">
        <f t="shared" si="3"/>
        <v>7</v>
      </c>
      <c r="B11" s="27" t="s">
        <v>77</v>
      </c>
      <c r="C11" s="28">
        <v>167.0</v>
      </c>
      <c r="D11" s="29">
        <v>10.0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176</v>
      </c>
      <c r="N11" s="29">
        <f t="shared" si="8"/>
        <v>10</v>
      </c>
      <c r="O11" s="35" t="s">
        <v>46</v>
      </c>
      <c r="P11" s="35" t="s">
        <v>46</v>
      </c>
      <c r="Q11" s="31">
        <f>if(G11=13,1,0)+VLOOKUP(B11,'042024'!B:Q,16,false)</f>
        <v>2</v>
      </c>
      <c r="R11" s="31"/>
      <c r="S11" s="31">
        <f>if(G11=9,1,0)+VLOOKUP(B11,'042024'!B:S,18,false)</f>
        <v>5</v>
      </c>
    </row>
    <row r="12">
      <c r="A12" s="26">
        <f t="shared" si="3"/>
        <v>8</v>
      </c>
      <c r="B12" s="27" t="s">
        <v>60</v>
      </c>
      <c r="C12" s="28">
        <v>166.0</v>
      </c>
      <c r="D12" s="29">
        <v>11.0</v>
      </c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f t="shared" ref="M12:N12" si="9">C12+K12</f>
        <v>175</v>
      </c>
      <c r="N12" s="29">
        <f t="shared" si="9"/>
        <v>11</v>
      </c>
      <c r="O12" s="35" t="s">
        <v>46</v>
      </c>
      <c r="P12" s="35" t="s">
        <v>46</v>
      </c>
      <c r="Q12" s="31">
        <f>if(G12=13,1,0)+VLOOKUP(B12,'042024'!B:Q,16,false)</f>
        <v>2</v>
      </c>
      <c r="R12" s="31"/>
      <c r="S12" s="31">
        <f>if(G12=9,1,0)+VLOOKUP(B12,'042024'!B:S,18,false)</f>
        <v>7</v>
      </c>
    </row>
    <row r="13">
      <c r="A13" s="26">
        <f t="shared" si="3"/>
        <v>9</v>
      </c>
      <c r="B13" s="27" t="s">
        <v>75</v>
      </c>
      <c r="C13" s="28">
        <v>164.0</v>
      </c>
      <c r="D13" s="29">
        <v>12.0</v>
      </c>
      <c r="E13" s="30">
        <v>1.0</v>
      </c>
      <c r="F13" s="31">
        <v>2.0</v>
      </c>
      <c r="G13" s="28">
        <v>0.0</v>
      </c>
      <c r="H13" s="31">
        <v>1.0</v>
      </c>
      <c r="I13" s="31">
        <v>6.0</v>
      </c>
      <c r="J13" s="31">
        <v>6.0</v>
      </c>
      <c r="K13" s="33">
        <v>13.0</v>
      </c>
      <c r="L13" s="31">
        <v>2.0</v>
      </c>
      <c r="M13" s="28">
        <f t="shared" ref="M13:N13" si="10">C13+K13</f>
        <v>177</v>
      </c>
      <c r="N13" s="29">
        <f t="shared" si="10"/>
        <v>14</v>
      </c>
      <c r="O13" s="35" t="s">
        <v>46</v>
      </c>
      <c r="P13" s="35" t="s">
        <v>46</v>
      </c>
      <c r="Q13" s="31">
        <f>if(G13=13,1,0)+VLOOKUP(B13,'042024'!B:Q,16,false)</f>
        <v>1</v>
      </c>
      <c r="R13" s="31"/>
      <c r="S13" s="31">
        <f>if(G13=9,1,0)+VLOOKUP(B13,'042024'!B:S,18,false)</f>
        <v>2</v>
      </c>
    </row>
    <row r="14">
      <c r="A14" s="26">
        <f t="shared" si="3"/>
        <v>10</v>
      </c>
      <c r="B14" s="39" t="s">
        <v>50</v>
      </c>
      <c r="C14" s="28">
        <v>161.0</v>
      </c>
      <c r="D14" s="29">
        <v>16.0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170</v>
      </c>
      <c r="N14" s="29">
        <f t="shared" si="11"/>
        <v>16</v>
      </c>
      <c r="O14" s="35" t="s">
        <v>46</v>
      </c>
      <c r="P14" s="35" t="s">
        <v>46</v>
      </c>
      <c r="Q14" s="31">
        <f>if(G14=13,1,0)+VLOOKUP(B14,'042024'!B:Q,16,false)</f>
        <v>0</v>
      </c>
      <c r="R14" s="31"/>
      <c r="S14" s="31">
        <f>if(G14=9,1,0)+VLOOKUP(B14,'042024'!B:S,18,false)</f>
        <v>8</v>
      </c>
    </row>
    <row r="15">
      <c r="A15" s="26">
        <f t="shared" si="3"/>
        <v>11</v>
      </c>
      <c r="B15" s="27" t="s">
        <v>96</v>
      </c>
      <c r="C15" s="28">
        <v>161.0</v>
      </c>
      <c r="D15" s="29">
        <v>14.0</v>
      </c>
      <c r="E15" s="30">
        <v>2.0</v>
      </c>
      <c r="F15" s="31">
        <v>2.0</v>
      </c>
      <c r="G15" s="28">
        <v>0.0</v>
      </c>
      <c r="H15" s="31">
        <v>1.0</v>
      </c>
      <c r="I15" s="31">
        <v>2.0</v>
      </c>
      <c r="J15" s="31">
        <v>3.0</v>
      </c>
      <c r="K15" s="33">
        <v>6.0</v>
      </c>
      <c r="L15" s="31">
        <v>0.0</v>
      </c>
      <c r="M15" s="28">
        <f t="shared" ref="M15:N15" si="12">C15+K15</f>
        <v>167</v>
      </c>
      <c r="N15" s="29">
        <f t="shared" si="12"/>
        <v>14</v>
      </c>
      <c r="O15" s="35" t="s">
        <v>46</v>
      </c>
      <c r="P15" s="35" t="s">
        <v>46</v>
      </c>
      <c r="Q15" s="31">
        <f>if(G15=13,1,0)+VLOOKUP(B15,'042024'!B:Q,16,false)</f>
        <v>1</v>
      </c>
      <c r="R15" s="31"/>
      <c r="S15" s="31">
        <f>if(G15=9,1,0)+VLOOKUP(B15,'042024'!B:S,18,false)</f>
        <v>2</v>
      </c>
    </row>
    <row r="16">
      <c r="A16" s="26">
        <f t="shared" si="3"/>
        <v>12</v>
      </c>
      <c r="B16" s="27" t="s">
        <v>57</v>
      </c>
      <c r="C16" s="28">
        <v>158.0</v>
      </c>
      <c r="D16" s="29">
        <v>13.0</v>
      </c>
      <c r="E16" s="30">
        <v>1.0</v>
      </c>
      <c r="F16" s="31">
        <v>2.0</v>
      </c>
      <c r="G16" s="28">
        <v>0.0</v>
      </c>
      <c r="H16" s="31">
        <v>6.0</v>
      </c>
      <c r="I16" s="31">
        <v>6.0</v>
      </c>
      <c r="J16" s="31">
        <v>3.0</v>
      </c>
      <c r="K16" s="33">
        <v>15.0</v>
      </c>
      <c r="L16" s="31">
        <v>2.0</v>
      </c>
      <c r="M16" s="28">
        <f t="shared" ref="M16:N16" si="13">C16+K16</f>
        <v>173</v>
      </c>
      <c r="N16" s="29">
        <f t="shared" si="13"/>
        <v>15</v>
      </c>
      <c r="O16" s="35" t="s">
        <v>46</v>
      </c>
      <c r="P16" s="35" t="s">
        <v>46</v>
      </c>
      <c r="Q16" s="31">
        <f>if(G16=13,1,0)+VLOOKUP(B16,'042024'!B:Q,16,false)</f>
        <v>0</v>
      </c>
      <c r="R16" s="31"/>
      <c r="S16" s="31">
        <f>if(G16=9,1,0)+VLOOKUP(B16,'042024'!B:S,18,false)</f>
        <v>6</v>
      </c>
    </row>
    <row r="17">
      <c r="A17" s="26">
        <f t="shared" si="3"/>
        <v>13</v>
      </c>
      <c r="B17" s="27" t="s">
        <v>63</v>
      </c>
      <c r="C17" s="28">
        <v>155.0</v>
      </c>
      <c r="D17" s="29">
        <v>13.0</v>
      </c>
      <c r="E17" s="30">
        <v>1.0</v>
      </c>
      <c r="F17" s="31">
        <v>2.0</v>
      </c>
      <c r="G17" s="28">
        <v>0.0</v>
      </c>
      <c r="H17" s="31">
        <v>6.0</v>
      </c>
      <c r="I17" s="31">
        <v>2.0</v>
      </c>
      <c r="J17" s="31">
        <v>6.0</v>
      </c>
      <c r="K17" s="33">
        <v>14.0</v>
      </c>
      <c r="L17" s="31">
        <v>2.0</v>
      </c>
      <c r="M17" s="28">
        <f t="shared" ref="M17:N17" si="14">C17+K17</f>
        <v>169</v>
      </c>
      <c r="N17" s="29">
        <f t="shared" si="14"/>
        <v>15</v>
      </c>
      <c r="O17" s="35" t="s">
        <v>46</v>
      </c>
      <c r="P17" s="35" t="s">
        <v>46</v>
      </c>
      <c r="Q17" s="31">
        <f>if(G17=13,1,0)+VLOOKUP(B17,'042024'!B:Q,16,false)</f>
        <v>2</v>
      </c>
      <c r="R17" s="31"/>
      <c r="S17" s="31">
        <f>if(G17=9,1,0)+VLOOKUP(B17,'042024'!B:S,18,false)</f>
        <v>0</v>
      </c>
    </row>
    <row r="18">
      <c r="A18" s="26">
        <f t="shared" si="3"/>
        <v>14</v>
      </c>
      <c r="B18" s="27" t="s">
        <v>81</v>
      </c>
      <c r="C18" s="28">
        <v>154.0</v>
      </c>
      <c r="D18" s="29">
        <v>14.0</v>
      </c>
      <c r="E18" s="30">
        <v>1.0</v>
      </c>
      <c r="F18" s="31">
        <v>3.0</v>
      </c>
      <c r="G18" s="28">
        <v>0.0</v>
      </c>
      <c r="H18" s="31">
        <v>6.0</v>
      </c>
      <c r="I18" s="31">
        <v>7.0</v>
      </c>
      <c r="J18" s="31">
        <v>3.0</v>
      </c>
      <c r="K18" s="33">
        <v>16.0</v>
      </c>
      <c r="L18" s="31">
        <v>1.0</v>
      </c>
      <c r="M18" s="28">
        <f t="shared" ref="M18:N18" si="15">C18+K18</f>
        <v>170</v>
      </c>
      <c r="N18" s="29">
        <f t="shared" si="15"/>
        <v>15</v>
      </c>
      <c r="O18" s="35" t="s">
        <v>46</v>
      </c>
      <c r="P18" s="35" t="s">
        <v>46</v>
      </c>
      <c r="Q18" s="31">
        <f>if(G18=13,1,0)+VLOOKUP(B18,'042024'!B:Q,16,false)</f>
        <v>0</v>
      </c>
      <c r="R18" s="31"/>
      <c r="S18" s="31">
        <f>if(G18=9,1,0)+VLOOKUP(B18,'042024'!B:S,18,false)</f>
        <v>4</v>
      </c>
    </row>
    <row r="19">
      <c r="A19" s="26">
        <f t="shared" si="3"/>
        <v>15</v>
      </c>
      <c r="B19" s="54" t="s">
        <v>95</v>
      </c>
      <c r="C19" s="28">
        <v>153.0</v>
      </c>
      <c r="D19" s="29">
        <v>16.0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162</v>
      </c>
      <c r="N19" s="29">
        <f t="shared" si="16"/>
        <v>16</v>
      </c>
      <c r="O19" s="35" t="s">
        <v>46</v>
      </c>
      <c r="P19" s="35" t="s">
        <v>46</v>
      </c>
      <c r="Q19" s="31">
        <f>if(G19=13,1,0)+VLOOKUP(B19,'042024'!B:Q,16,false)</f>
        <v>0</v>
      </c>
      <c r="R19" s="31"/>
      <c r="S19" s="31">
        <f>if(G19=9,1,0)+VLOOKUP(B19,'042024'!B:S,18,false)</f>
        <v>2</v>
      </c>
    </row>
    <row r="20">
      <c r="A20" s="26">
        <f t="shared" si="3"/>
        <v>16</v>
      </c>
      <c r="B20" s="27" t="s">
        <v>90</v>
      </c>
      <c r="C20" s="28">
        <v>153.0</v>
      </c>
      <c r="D20" s="29">
        <v>12.0</v>
      </c>
      <c r="E20" s="30">
        <v>1.0</v>
      </c>
      <c r="F20" s="31">
        <v>3.0</v>
      </c>
      <c r="G20" s="28">
        <v>0.0</v>
      </c>
      <c r="H20" s="31">
        <v>7.0</v>
      </c>
      <c r="I20" s="31">
        <v>5.0</v>
      </c>
      <c r="J20" s="31">
        <v>3.0</v>
      </c>
      <c r="K20" s="33">
        <v>15.0</v>
      </c>
      <c r="L20" s="31">
        <v>1.0</v>
      </c>
      <c r="M20" s="28">
        <f t="shared" ref="M20:N20" si="17">C20+K20</f>
        <v>168</v>
      </c>
      <c r="N20" s="29">
        <f t="shared" si="17"/>
        <v>13</v>
      </c>
      <c r="O20" s="35" t="s">
        <v>46</v>
      </c>
      <c r="P20" s="35" t="s">
        <v>46</v>
      </c>
      <c r="Q20" s="31">
        <f>if(G20=13,1,0)+VLOOKUP(B20,'042024'!B:Q,16,false)</f>
        <v>0</v>
      </c>
      <c r="R20" s="31"/>
      <c r="S20" s="31">
        <f>if(G20=9,1,0)+VLOOKUP(B20,'042024'!B:S,18,false)</f>
        <v>9</v>
      </c>
    </row>
    <row r="21">
      <c r="A21" s="26">
        <f t="shared" si="3"/>
        <v>17</v>
      </c>
      <c r="B21" s="27" t="s">
        <v>102</v>
      </c>
      <c r="C21" s="28">
        <v>153.0</v>
      </c>
      <c r="D21" s="29">
        <v>10.0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162</v>
      </c>
      <c r="N21" s="29">
        <f t="shared" si="18"/>
        <v>10</v>
      </c>
      <c r="O21" s="35" t="s">
        <v>46</v>
      </c>
      <c r="P21" s="35" t="s">
        <v>46</v>
      </c>
      <c r="Q21" s="31">
        <f>if(G21=13,1,0)+VLOOKUP(B21,'042024'!B:Q,16,false)</f>
        <v>0</v>
      </c>
      <c r="R21" s="31"/>
      <c r="S21" s="31">
        <f>if(G21=9,1,0)+VLOOKUP(B21,'042024'!B:S,18,false)</f>
        <v>9</v>
      </c>
    </row>
    <row r="22">
      <c r="A22" s="26">
        <f t="shared" si="3"/>
        <v>18</v>
      </c>
      <c r="B22" s="27" t="s">
        <v>79</v>
      </c>
      <c r="C22" s="28">
        <v>152.0</v>
      </c>
      <c r="D22" s="29">
        <v>13.0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161</v>
      </c>
      <c r="N22" s="29">
        <f t="shared" si="19"/>
        <v>13</v>
      </c>
      <c r="O22" s="35" t="s">
        <v>46</v>
      </c>
      <c r="P22" s="35" t="s">
        <v>46</v>
      </c>
      <c r="Q22" s="31">
        <f>if(G22=13,1,0)+VLOOKUP(B22,'042024'!B:Q,16,false)</f>
        <v>0</v>
      </c>
      <c r="R22" s="31"/>
      <c r="S22" s="31">
        <f>if(G22=9,1,0)+VLOOKUP(B22,'042024'!B:S,18,false)</f>
        <v>5</v>
      </c>
    </row>
    <row r="23">
      <c r="A23" s="26">
        <f t="shared" si="3"/>
        <v>19</v>
      </c>
      <c r="B23" s="39" t="s">
        <v>71</v>
      </c>
      <c r="C23" s="28">
        <v>152.0</v>
      </c>
      <c r="D23" s="29">
        <v>11.0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161</v>
      </c>
      <c r="N23" s="29">
        <f t="shared" si="20"/>
        <v>11</v>
      </c>
      <c r="O23" s="35" t="s">
        <v>46</v>
      </c>
      <c r="P23" s="35" t="s">
        <v>46</v>
      </c>
      <c r="Q23" s="31">
        <f>if(G23=13,1,0)+VLOOKUP(B23,'042024'!B:Q,16,false)</f>
        <v>0</v>
      </c>
      <c r="R23" s="31"/>
      <c r="S23" s="31">
        <f>if(G23=9,1,0)+VLOOKUP(B23,'042024'!B:S,18,false)</f>
        <v>8</v>
      </c>
    </row>
    <row r="24">
      <c r="A24" s="26">
        <f t="shared" si="3"/>
        <v>20</v>
      </c>
      <c r="B24" s="27" t="s">
        <v>84</v>
      </c>
      <c r="C24" s="28">
        <v>151.0</v>
      </c>
      <c r="D24" s="29">
        <v>12.0</v>
      </c>
      <c r="E24" s="30">
        <v>2.0</v>
      </c>
      <c r="F24" s="31">
        <v>3.0</v>
      </c>
      <c r="G24" s="28">
        <v>0.0</v>
      </c>
      <c r="H24" s="31">
        <v>6.0</v>
      </c>
      <c r="I24" s="31">
        <v>5.0</v>
      </c>
      <c r="J24" s="31">
        <v>6.0</v>
      </c>
      <c r="K24" s="33">
        <v>17.0</v>
      </c>
      <c r="L24" s="31">
        <v>1.0</v>
      </c>
      <c r="M24" s="28">
        <f t="shared" ref="M24:N24" si="21">C24+K24</f>
        <v>168</v>
      </c>
      <c r="N24" s="29">
        <f t="shared" si="21"/>
        <v>13</v>
      </c>
      <c r="O24" s="35" t="s">
        <v>46</v>
      </c>
      <c r="P24" s="35" t="s">
        <v>46</v>
      </c>
      <c r="Q24" s="31">
        <f>if(G24=13,1,0)+VLOOKUP(B24,'042024'!B:Q,16,false)</f>
        <v>2</v>
      </c>
      <c r="R24" s="31"/>
      <c r="S24" s="31">
        <f>if(G24=9,1,0)+VLOOKUP(B24,'042024'!B:S,18,false)</f>
        <v>0</v>
      </c>
    </row>
    <row r="25">
      <c r="A25" s="26">
        <f t="shared" si="3"/>
        <v>21</v>
      </c>
      <c r="B25" s="27" t="s">
        <v>78</v>
      </c>
      <c r="C25" s="28">
        <v>150.0</v>
      </c>
      <c r="D25" s="29">
        <v>13.0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159</v>
      </c>
      <c r="N25" s="29">
        <f t="shared" si="22"/>
        <v>13</v>
      </c>
      <c r="O25" s="35" t="s">
        <v>46</v>
      </c>
      <c r="P25" s="35" t="s">
        <v>46</v>
      </c>
      <c r="Q25" s="31">
        <f>if(G25=13,1,0)+VLOOKUP(B25,'042024'!B:Q,16,false)</f>
        <v>0</v>
      </c>
      <c r="R25" s="31"/>
      <c r="S25" s="31">
        <f>if(G25=9,1,0)+VLOOKUP(B25,'042024'!B:S,18,false)</f>
        <v>5</v>
      </c>
    </row>
    <row r="26">
      <c r="A26" s="26">
        <f t="shared" si="3"/>
        <v>22</v>
      </c>
      <c r="B26" s="27" t="s">
        <v>107</v>
      </c>
      <c r="C26" s="28">
        <v>150.0</v>
      </c>
      <c r="D26" s="29">
        <v>9.0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159</v>
      </c>
      <c r="N26" s="29">
        <f t="shared" si="23"/>
        <v>9</v>
      </c>
      <c r="O26" s="35" t="s">
        <v>46</v>
      </c>
      <c r="P26" s="35" t="s">
        <v>46</v>
      </c>
      <c r="Q26" s="31">
        <f>if(G26=13,1,0)+VLOOKUP(B26,'042024'!B:Q,16,false)</f>
        <v>2</v>
      </c>
      <c r="R26" s="31"/>
      <c r="S26" s="31">
        <f>if(G26=9,1,0)+VLOOKUP(B26,'042024'!B:S,18,false)</f>
        <v>7</v>
      </c>
    </row>
    <row r="27">
      <c r="A27" s="26">
        <f t="shared" si="3"/>
        <v>23</v>
      </c>
      <c r="B27" s="39" t="s">
        <v>103</v>
      </c>
      <c r="C27" s="28">
        <v>149.0</v>
      </c>
      <c r="D27" s="29">
        <v>8.0</v>
      </c>
      <c r="E27" s="30">
        <v>1.0</v>
      </c>
      <c r="F27" s="31">
        <v>3.0</v>
      </c>
      <c r="G27" s="28">
        <v>0.0</v>
      </c>
      <c r="H27" s="31">
        <v>7.0</v>
      </c>
      <c r="I27" s="31">
        <v>7.0</v>
      </c>
      <c r="J27" s="31">
        <v>6.0</v>
      </c>
      <c r="K27" s="33">
        <v>20.0</v>
      </c>
      <c r="L27" s="31">
        <v>3.0</v>
      </c>
      <c r="M27" s="28">
        <f t="shared" ref="M27:N27" si="24">C27+K27</f>
        <v>169</v>
      </c>
      <c r="N27" s="29">
        <f t="shared" si="24"/>
        <v>11</v>
      </c>
      <c r="O27" s="35" t="s">
        <v>46</v>
      </c>
      <c r="P27" s="35" t="s">
        <v>46</v>
      </c>
      <c r="Q27" s="31">
        <f>if(G27=13,1,0)+VLOOKUP(B27,'042024'!B:Q,16,false)</f>
        <v>1</v>
      </c>
      <c r="R27" s="31"/>
      <c r="S27" s="31">
        <f>if(G27=9,1,0)+VLOOKUP(B27,'042024'!B:S,18,false)</f>
        <v>8</v>
      </c>
    </row>
    <row r="28">
      <c r="A28" s="26">
        <f t="shared" si="3"/>
        <v>24</v>
      </c>
      <c r="B28" s="54" t="s">
        <v>73</v>
      </c>
      <c r="C28" s="28">
        <v>148.0</v>
      </c>
      <c r="D28" s="29">
        <v>12.0</v>
      </c>
      <c r="E28" s="30">
        <v>1.0</v>
      </c>
      <c r="F28" s="31">
        <v>5.0</v>
      </c>
      <c r="G28" s="28">
        <v>0.0</v>
      </c>
      <c r="H28" s="31">
        <v>1.0</v>
      </c>
      <c r="I28" s="31">
        <v>6.0</v>
      </c>
      <c r="J28" s="31">
        <v>2.0</v>
      </c>
      <c r="K28" s="33">
        <v>9.0</v>
      </c>
      <c r="L28" s="31">
        <v>1.0</v>
      </c>
      <c r="M28" s="28">
        <f t="shared" ref="M28:N28" si="25">C28+K28</f>
        <v>157</v>
      </c>
      <c r="N28" s="29">
        <f t="shared" si="25"/>
        <v>13</v>
      </c>
      <c r="O28" s="35" t="s">
        <v>46</v>
      </c>
      <c r="P28" s="35" t="s">
        <v>46</v>
      </c>
      <c r="Q28" s="31">
        <f>if(G28=13,1,0)+VLOOKUP(B28,'042024'!B:Q,16,false)</f>
        <v>0</v>
      </c>
      <c r="R28" s="31"/>
      <c r="S28" s="31">
        <f>if(G28=9,1,0)+VLOOKUP(B28,'042024'!B:S,18,false)</f>
        <v>1</v>
      </c>
    </row>
    <row r="29">
      <c r="A29" s="26">
        <f t="shared" si="3"/>
        <v>25</v>
      </c>
      <c r="B29" s="39" t="s">
        <v>111</v>
      </c>
      <c r="C29" s="28">
        <v>148.0</v>
      </c>
      <c r="D29" s="29">
        <v>10.0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157</v>
      </c>
      <c r="N29" s="29">
        <f t="shared" si="26"/>
        <v>10</v>
      </c>
      <c r="O29" s="35" t="s">
        <v>46</v>
      </c>
      <c r="P29" s="35" t="s">
        <v>46</v>
      </c>
      <c r="Q29" s="31">
        <f>if(G29=13,1,0)+VLOOKUP(B29,'042024'!B:Q,16,false)</f>
        <v>0</v>
      </c>
      <c r="R29" s="31"/>
      <c r="S29" s="31">
        <f>if(G29=9,1,0)+VLOOKUP(B29,'042024'!B:S,18,false)</f>
        <v>9</v>
      </c>
    </row>
    <row r="30">
      <c r="A30" s="26">
        <f t="shared" si="3"/>
        <v>26</v>
      </c>
      <c r="B30" s="27" t="s">
        <v>56</v>
      </c>
      <c r="C30" s="28">
        <v>146.0</v>
      </c>
      <c r="D30" s="29">
        <v>9.0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155</v>
      </c>
      <c r="N30" s="29">
        <f t="shared" si="27"/>
        <v>9</v>
      </c>
      <c r="O30" s="35" t="s">
        <v>46</v>
      </c>
      <c r="P30" s="35" t="s">
        <v>46</v>
      </c>
      <c r="Q30" s="31">
        <f>if(G30=13,1,0)+VLOOKUP(B30,'042024'!B:Q,16,false)</f>
        <v>0</v>
      </c>
      <c r="R30" s="31"/>
      <c r="S30" s="31">
        <f>if(G30=9,1,0)+VLOOKUP(B30,'042024'!B:S,18,false)</f>
        <v>11</v>
      </c>
    </row>
    <row r="31">
      <c r="A31" s="26">
        <f t="shared" si="3"/>
        <v>27</v>
      </c>
      <c r="B31" s="27" t="s">
        <v>76</v>
      </c>
      <c r="C31" s="28">
        <v>146.0</v>
      </c>
      <c r="D31" s="29">
        <v>7.0</v>
      </c>
      <c r="E31" s="30">
        <v>2.0</v>
      </c>
      <c r="F31" s="31">
        <v>5.0</v>
      </c>
      <c r="G31" s="28">
        <v>0.0</v>
      </c>
      <c r="H31" s="31">
        <v>6.0</v>
      </c>
      <c r="I31" s="31">
        <v>1.0</v>
      </c>
      <c r="J31" s="31">
        <v>2.0</v>
      </c>
      <c r="K31" s="33">
        <v>9.0</v>
      </c>
      <c r="L31" s="31">
        <v>1.0</v>
      </c>
      <c r="M31" s="28">
        <f t="shared" ref="M31:N31" si="28">C31+K31</f>
        <v>155</v>
      </c>
      <c r="N31" s="29">
        <f t="shared" si="28"/>
        <v>8</v>
      </c>
      <c r="O31" s="35" t="s">
        <v>46</v>
      </c>
      <c r="P31" s="35" t="s">
        <v>46</v>
      </c>
      <c r="Q31" s="31">
        <f>if(G31=13,1,0)+VLOOKUP(B31,'042024'!B:Q,16,false)</f>
        <v>1</v>
      </c>
      <c r="R31" s="31"/>
      <c r="S31" s="31">
        <f>if(G31=9,1,0)+VLOOKUP(B31,'042024'!B:S,18,false)</f>
        <v>6</v>
      </c>
    </row>
    <row r="32">
      <c r="A32" s="26">
        <f t="shared" si="3"/>
        <v>28</v>
      </c>
      <c r="B32" s="27" t="s">
        <v>83</v>
      </c>
      <c r="C32" s="28">
        <v>145.0</v>
      </c>
      <c r="D32" s="29">
        <v>12.0</v>
      </c>
      <c r="E32" s="30">
        <v>2.0</v>
      </c>
      <c r="F32" s="31">
        <v>5.0</v>
      </c>
      <c r="G32" s="28">
        <v>0.0</v>
      </c>
      <c r="H32" s="31">
        <v>1.0</v>
      </c>
      <c r="I32" s="31">
        <v>1.0</v>
      </c>
      <c r="J32" s="31">
        <v>6.0</v>
      </c>
      <c r="K32" s="33">
        <v>8.0</v>
      </c>
      <c r="L32" s="31">
        <v>1.0</v>
      </c>
      <c r="M32" s="28">
        <f t="shared" ref="M32:N32" si="29">C32+K32</f>
        <v>153</v>
      </c>
      <c r="N32" s="29">
        <f t="shared" si="29"/>
        <v>13</v>
      </c>
      <c r="O32" s="35" t="s">
        <v>46</v>
      </c>
      <c r="P32" s="35" t="s">
        <v>46</v>
      </c>
      <c r="Q32" s="31">
        <f>if(G32=13,1,0)+VLOOKUP(B32,'042024'!B:Q,16,false)</f>
        <v>1</v>
      </c>
      <c r="R32" s="31"/>
      <c r="S32" s="31">
        <f>if(G32=9,1,0)+VLOOKUP(B32,'042024'!B:S,18,false)</f>
        <v>3</v>
      </c>
    </row>
    <row r="33">
      <c r="A33" s="26">
        <f t="shared" si="3"/>
        <v>29</v>
      </c>
      <c r="B33" s="27" t="s">
        <v>65</v>
      </c>
      <c r="C33" s="28">
        <v>144.0</v>
      </c>
      <c r="D33" s="29">
        <v>9.0</v>
      </c>
      <c r="E33" s="30">
        <v>1.0</v>
      </c>
      <c r="F33" s="31">
        <v>5.0</v>
      </c>
      <c r="G33" s="28">
        <v>0.0</v>
      </c>
      <c r="H33" s="31">
        <v>6.0</v>
      </c>
      <c r="I33" s="31">
        <v>6.0</v>
      </c>
      <c r="J33" s="31">
        <v>6.0</v>
      </c>
      <c r="K33" s="33">
        <v>18.0</v>
      </c>
      <c r="L33" s="31">
        <v>3.0</v>
      </c>
      <c r="M33" s="28">
        <f t="shared" ref="M33:N33" si="30">C33+K33</f>
        <v>162</v>
      </c>
      <c r="N33" s="29">
        <f t="shared" si="30"/>
        <v>12</v>
      </c>
      <c r="O33" s="35" t="s">
        <v>46</v>
      </c>
      <c r="P33" s="35" t="s">
        <v>46</v>
      </c>
      <c r="Q33" s="31">
        <f>if(G33=13,1,0)+VLOOKUP(B33,'042024'!B:Q,16,false)</f>
        <v>0</v>
      </c>
      <c r="R33" s="31"/>
      <c r="S33" s="31">
        <f>if(G33=9,1,0)+VLOOKUP(B33,'042024'!B:S,18,false)</f>
        <v>10</v>
      </c>
    </row>
    <row r="34">
      <c r="A34" s="26">
        <f t="shared" si="3"/>
        <v>30</v>
      </c>
      <c r="B34" s="54" t="s">
        <v>100</v>
      </c>
      <c r="C34" s="28">
        <v>143.0</v>
      </c>
      <c r="D34" s="29">
        <v>9.0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152</v>
      </c>
      <c r="N34" s="29">
        <f t="shared" si="31"/>
        <v>9</v>
      </c>
      <c r="O34" s="35" t="s">
        <v>46</v>
      </c>
      <c r="P34" s="35" t="s">
        <v>46</v>
      </c>
      <c r="Q34" s="31">
        <f>if(G34=13,1,0)+VLOOKUP(B34,'042024'!B:Q,16,false)</f>
        <v>1</v>
      </c>
      <c r="R34" s="31"/>
      <c r="S34" s="31">
        <f>if(G34=9,1,0)+VLOOKUP(B34,'042024'!B:S,18,false)</f>
        <v>7</v>
      </c>
    </row>
    <row r="35">
      <c r="A35" s="26">
        <f t="shared" si="3"/>
        <v>31</v>
      </c>
      <c r="B35" s="27" t="s">
        <v>66</v>
      </c>
      <c r="C35" s="28">
        <v>142.0</v>
      </c>
      <c r="D35" s="29">
        <v>8.0</v>
      </c>
      <c r="E35" s="30">
        <v>2.0</v>
      </c>
      <c r="F35" s="31">
        <v>6.0</v>
      </c>
      <c r="G35" s="28">
        <v>0.0</v>
      </c>
      <c r="H35" s="31">
        <v>6.0</v>
      </c>
      <c r="I35" s="31">
        <v>6.0</v>
      </c>
      <c r="J35" s="31">
        <v>1.0</v>
      </c>
      <c r="K35" s="33">
        <v>13.0</v>
      </c>
      <c r="L35" s="31">
        <v>2.0</v>
      </c>
      <c r="M35" s="28">
        <f t="shared" ref="M35:N35" si="32">C35+K35</f>
        <v>155</v>
      </c>
      <c r="N35" s="29">
        <f t="shared" si="32"/>
        <v>10</v>
      </c>
      <c r="O35" s="35" t="s">
        <v>46</v>
      </c>
      <c r="P35" s="35" t="s">
        <v>46</v>
      </c>
      <c r="Q35" s="31">
        <f>if(G35=13,1,0)+VLOOKUP(B35,'042024'!B:Q,16,false)</f>
        <v>1</v>
      </c>
      <c r="R35" s="31"/>
      <c r="S35" s="31">
        <f>if(G35=9,1,0)+VLOOKUP(B35,'042024'!B:S,18,false)</f>
        <v>3</v>
      </c>
    </row>
    <row r="36">
      <c r="A36" s="26">
        <f t="shared" si="3"/>
        <v>32</v>
      </c>
      <c r="B36" s="27" t="s">
        <v>98</v>
      </c>
      <c r="C36" s="28">
        <v>142.0</v>
      </c>
      <c r="D36" s="29">
        <v>6.0</v>
      </c>
      <c r="E36" s="30">
        <v>2.0</v>
      </c>
      <c r="F36" s="31">
        <v>6.0</v>
      </c>
      <c r="G36" s="28">
        <v>0.0</v>
      </c>
      <c r="H36" s="31">
        <v>6.0</v>
      </c>
      <c r="I36" s="31">
        <v>2.0</v>
      </c>
      <c r="J36" s="31">
        <v>6.0</v>
      </c>
      <c r="K36" s="33">
        <v>14.0</v>
      </c>
      <c r="L36" s="31">
        <v>2.0</v>
      </c>
      <c r="M36" s="28">
        <f t="shared" ref="M36:N36" si="33">C36+K36</f>
        <v>156</v>
      </c>
      <c r="N36" s="29">
        <f t="shared" si="33"/>
        <v>8</v>
      </c>
      <c r="O36" s="35" t="s">
        <v>46</v>
      </c>
      <c r="P36" s="35" t="s">
        <v>46</v>
      </c>
      <c r="Q36" s="31">
        <f>if(G36=13,1,0)+VLOOKUP(B36,'042024'!B:Q,16,false)</f>
        <v>1</v>
      </c>
      <c r="R36" s="31"/>
      <c r="S36" s="31">
        <f>if(G36=9,1,0)+VLOOKUP(B36,'042024'!B:S,18,false)</f>
        <v>9</v>
      </c>
    </row>
    <row r="37">
      <c r="A37" s="26">
        <f t="shared" si="3"/>
        <v>33</v>
      </c>
      <c r="B37" s="39" t="s">
        <v>86</v>
      </c>
      <c r="C37" s="28">
        <v>141.0</v>
      </c>
      <c r="D37" s="29">
        <v>13.0</v>
      </c>
      <c r="E37" s="30">
        <v>1.0</v>
      </c>
      <c r="F37" s="31">
        <v>6.0</v>
      </c>
      <c r="G37" s="28">
        <v>0.0</v>
      </c>
      <c r="H37" s="31">
        <v>3.0</v>
      </c>
      <c r="I37" s="31">
        <v>6.0</v>
      </c>
      <c r="J37" s="31">
        <v>6.0</v>
      </c>
      <c r="K37" s="33">
        <v>15.0</v>
      </c>
      <c r="L37" s="31">
        <v>2.0</v>
      </c>
      <c r="M37" s="28">
        <f t="shared" ref="M37:N37" si="34">C37+K37</f>
        <v>156</v>
      </c>
      <c r="N37" s="29">
        <f t="shared" si="34"/>
        <v>15</v>
      </c>
      <c r="O37" s="35" t="s">
        <v>46</v>
      </c>
      <c r="P37" s="35" t="s">
        <v>46</v>
      </c>
      <c r="Q37" s="31">
        <f>if(G37=13,1,0)+VLOOKUP(B37,'042024'!B:Q,16,false)</f>
        <v>1</v>
      </c>
      <c r="R37" s="31"/>
      <c r="S37" s="31">
        <f>if(G37=9,1,0)+VLOOKUP(B37,'042024'!B:S,18,false)</f>
        <v>4</v>
      </c>
    </row>
    <row r="38">
      <c r="A38" s="26">
        <f t="shared" si="3"/>
        <v>34</v>
      </c>
      <c r="B38" s="54" t="s">
        <v>89</v>
      </c>
      <c r="C38" s="28">
        <v>141.0</v>
      </c>
      <c r="D38" s="29">
        <v>13.0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150</v>
      </c>
      <c r="N38" s="29">
        <f t="shared" si="35"/>
        <v>13</v>
      </c>
      <c r="O38" s="35" t="s">
        <v>46</v>
      </c>
      <c r="P38" s="35" t="s">
        <v>46</v>
      </c>
      <c r="Q38" s="31">
        <f>if(G38=13,1,0)+VLOOKUP(B38,'042024'!B:Q,16,false)</f>
        <v>0</v>
      </c>
      <c r="R38" s="31"/>
      <c r="S38" s="31">
        <f>if(G38=9,1,0)+VLOOKUP(B38,'042024'!B:S,18,false)</f>
        <v>3</v>
      </c>
    </row>
    <row r="39">
      <c r="A39" s="26">
        <f t="shared" si="3"/>
        <v>35</v>
      </c>
      <c r="B39" s="54" t="s">
        <v>94</v>
      </c>
      <c r="C39" s="28">
        <v>141.0</v>
      </c>
      <c r="D39" s="29">
        <v>13.0</v>
      </c>
      <c r="E39" s="30">
        <v>1.0</v>
      </c>
      <c r="F39" s="31">
        <v>6.0</v>
      </c>
      <c r="G39" s="28">
        <v>0.0</v>
      </c>
      <c r="H39" s="31">
        <v>3.0</v>
      </c>
      <c r="I39" s="31">
        <v>2.0</v>
      </c>
      <c r="J39" s="31">
        <v>1.0</v>
      </c>
      <c r="K39" s="33">
        <v>6.0</v>
      </c>
      <c r="L39" s="31">
        <v>0.0</v>
      </c>
      <c r="M39" s="28">
        <f t="shared" ref="M39:N39" si="36">C39+K39</f>
        <v>147</v>
      </c>
      <c r="N39" s="29">
        <f t="shared" si="36"/>
        <v>13</v>
      </c>
      <c r="O39" s="35" t="s">
        <v>46</v>
      </c>
      <c r="P39" s="35" t="s">
        <v>46</v>
      </c>
      <c r="Q39" s="31">
        <f>if(G39=13,1,0)+VLOOKUP(B39,'042024'!B:Q,16,false)</f>
        <v>0</v>
      </c>
      <c r="R39" s="31"/>
      <c r="S39" s="31">
        <f>if(G39=9,1,0)+VLOOKUP(B39,'042024'!B:S,18,false)</f>
        <v>1</v>
      </c>
    </row>
    <row r="40">
      <c r="A40" s="26">
        <f t="shared" si="3"/>
        <v>36</v>
      </c>
      <c r="B40" s="27" t="s">
        <v>110</v>
      </c>
      <c r="C40" s="28">
        <v>140.0</v>
      </c>
      <c r="D40" s="29">
        <v>7.0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149</v>
      </c>
      <c r="N40" s="29">
        <f t="shared" si="37"/>
        <v>7</v>
      </c>
      <c r="O40" s="35" t="s">
        <v>46</v>
      </c>
      <c r="P40" s="35" t="s">
        <v>46</v>
      </c>
      <c r="Q40" s="31">
        <f>if(G40=13,1,0)+VLOOKUP(B40,'042024'!B:Q,16,false)</f>
        <v>1</v>
      </c>
      <c r="R40" s="31"/>
      <c r="S40" s="31">
        <f>if(G40=9,1,0)+VLOOKUP(B40,'042024'!B:S,18,false)</f>
        <v>8</v>
      </c>
    </row>
    <row r="41">
      <c r="A41" s="26">
        <f t="shared" si="3"/>
        <v>37</v>
      </c>
      <c r="B41" s="27" t="s">
        <v>113</v>
      </c>
      <c r="C41" s="28">
        <v>140.0</v>
      </c>
      <c r="D41" s="29">
        <v>5.0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149</v>
      </c>
      <c r="N41" s="29">
        <f t="shared" si="38"/>
        <v>5</v>
      </c>
      <c r="O41" s="35" t="s">
        <v>46</v>
      </c>
      <c r="P41" s="35" t="s">
        <v>46</v>
      </c>
      <c r="Q41" s="31">
        <f>if(G41=13,1,0)+VLOOKUP(B41,'042024'!B:Q,16,false)</f>
        <v>1</v>
      </c>
      <c r="R41" s="31"/>
      <c r="S41" s="31">
        <f>if(G41=9,1,0)+VLOOKUP(B41,'042024'!B:S,18,false)</f>
        <v>11</v>
      </c>
    </row>
    <row r="42">
      <c r="A42" s="26">
        <f t="shared" si="3"/>
        <v>38</v>
      </c>
      <c r="B42" s="27" t="s">
        <v>112</v>
      </c>
      <c r="C42" s="28">
        <v>139.0</v>
      </c>
      <c r="D42" s="29">
        <v>7.0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148</v>
      </c>
      <c r="N42" s="29">
        <f t="shared" si="39"/>
        <v>7</v>
      </c>
      <c r="O42" s="35" t="s">
        <v>46</v>
      </c>
      <c r="P42" s="35" t="s">
        <v>46</v>
      </c>
      <c r="Q42" s="31">
        <f>if(G42=13,1,0)+VLOOKUP(B42,'042024'!B:Q,16,false)</f>
        <v>0</v>
      </c>
      <c r="R42" s="31"/>
      <c r="S42" s="31">
        <f>if(G42=9,1,0)+VLOOKUP(B42,'042024'!B:S,18,false)</f>
        <v>10</v>
      </c>
    </row>
    <row r="43">
      <c r="A43" s="26">
        <f t="shared" si="3"/>
        <v>39</v>
      </c>
      <c r="B43" s="54" t="s">
        <v>47</v>
      </c>
      <c r="C43" s="28">
        <v>138.0</v>
      </c>
      <c r="D43" s="29">
        <v>11.0</v>
      </c>
      <c r="E43" s="30">
        <v>1.0</v>
      </c>
      <c r="F43" s="31">
        <v>7.0</v>
      </c>
      <c r="G43" s="28">
        <v>0.0</v>
      </c>
      <c r="H43" s="31">
        <v>6.0</v>
      </c>
      <c r="I43" s="31">
        <v>7.0</v>
      </c>
      <c r="J43" s="31">
        <v>2.0</v>
      </c>
      <c r="K43" s="33">
        <v>15.0</v>
      </c>
      <c r="L43" s="31">
        <v>1.0</v>
      </c>
      <c r="M43" s="28">
        <f t="shared" ref="M43:N43" si="40">C43+K43</f>
        <v>153</v>
      </c>
      <c r="N43" s="29">
        <f t="shared" si="40"/>
        <v>12</v>
      </c>
      <c r="O43" s="35" t="s">
        <v>46</v>
      </c>
      <c r="P43" s="35" t="s">
        <v>46</v>
      </c>
      <c r="Q43" s="31">
        <f>if(G43=13,1,0)+VLOOKUP(B43,'042024'!B:Q,16,false)</f>
        <v>0</v>
      </c>
      <c r="R43" s="31"/>
      <c r="S43" s="31">
        <f>if(G43=9,1,0)+VLOOKUP(B43,'042024'!B:S,18,false)</f>
        <v>0</v>
      </c>
    </row>
    <row r="44">
      <c r="A44" s="26">
        <f t="shared" si="3"/>
        <v>40</v>
      </c>
      <c r="B44" s="27" t="s">
        <v>42</v>
      </c>
      <c r="C44" s="28">
        <v>138.0</v>
      </c>
      <c r="D44" s="29">
        <v>10.0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147</v>
      </c>
      <c r="N44" s="29">
        <f t="shared" si="41"/>
        <v>10</v>
      </c>
      <c r="O44" s="35" t="s">
        <v>46</v>
      </c>
      <c r="P44" s="35" t="s">
        <v>46</v>
      </c>
      <c r="Q44" s="31">
        <f>if(G44=13,1,0)+VLOOKUP(B44,'042024'!B:Q,16,false)</f>
        <v>0</v>
      </c>
      <c r="R44" s="31"/>
      <c r="S44" s="31">
        <f>if(G44=9,1,0)+VLOOKUP(B44,'042024'!B:S,18,false)</f>
        <v>4</v>
      </c>
    </row>
    <row r="45">
      <c r="A45" s="26">
        <f t="shared" si="3"/>
        <v>41</v>
      </c>
      <c r="B45" s="39" t="s">
        <v>45</v>
      </c>
      <c r="C45" s="28">
        <v>138.0</v>
      </c>
      <c r="D45" s="29">
        <v>9.0</v>
      </c>
      <c r="E45" s="30">
        <v>3.0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147</v>
      </c>
      <c r="N45" s="29">
        <f t="shared" si="42"/>
        <v>9</v>
      </c>
      <c r="O45" s="35" t="s">
        <v>46</v>
      </c>
      <c r="P45" s="35" t="s">
        <v>46</v>
      </c>
      <c r="Q45" s="31">
        <f>if(G45=13,1,0)+VLOOKUP(B45,'042024'!B:Q,16,false)</f>
        <v>1</v>
      </c>
      <c r="R45" s="31"/>
      <c r="S45" s="31">
        <f>if(G45=9,1,0)+VLOOKUP(B45,'042024'!B:S,18,false)</f>
        <v>5</v>
      </c>
    </row>
    <row r="46">
      <c r="A46" s="26">
        <f t="shared" si="3"/>
        <v>42</v>
      </c>
      <c r="B46" s="39" t="s">
        <v>106</v>
      </c>
      <c r="C46" s="28">
        <v>138.0</v>
      </c>
      <c r="D46" s="29">
        <v>7.0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147</v>
      </c>
      <c r="N46" s="29">
        <f t="shared" si="43"/>
        <v>7</v>
      </c>
      <c r="O46" s="35" t="s">
        <v>46</v>
      </c>
      <c r="P46" s="35" t="s">
        <v>46</v>
      </c>
      <c r="Q46" s="31">
        <f>if(G46=13,1,0)+VLOOKUP(B46,'042024'!B:Q,16,false)</f>
        <v>0</v>
      </c>
      <c r="R46" s="31"/>
      <c r="S46" s="31">
        <f>if(G46=9,1,0)+VLOOKUP(B46,'042024'!B:S,18,false)</f>
        <v>9</v>
      </c>
    </row>
    <row r="47">
      <c r="A47" s="26">
        <f t="shared" si="3"/>
        <v>43</v>
      </c>
      <c r="B47" s="54" t="s">
        <v>59</v>
      </c>
      <c r="C47" s="28">
        <v>137.0</v>
      </c>
      <c r="D47" s="29">
        <v>10.0</v>
      </c>
      <c r="E47" s="30">
        <v>1.0</v>
      </c>
      <c r="F47" s="31">
        <v>7.0</v>
      </c>
      <c r="G47" s="28">
        <v>0.0</v>
      </c>
      <c r="H47" s="31">
        <v>7.0</v>
      </c>
      <c r="I47" s="31">
        <v>7.0</v>
      </c>
      <c r="J47" s="31">
        <v>6.0</v>
      </c>
      <c r="K47" s="33">
        <v>20.0</v>
      </c>
      <c r="L47" s="31">
        <v>3.0</v>
      </c>
      <c r="M47" s="28">
        <f t="shared" ref="M47:N47" si="44">C47+K47</f>
        <v>157</v>
      </c>
      <c r="N47" s="29">
        <f t="shared" si="44"/>
        <v>13</v>
      </c>
      <c r="O47" s="35" t="s">
        <v>46</v>
      </c>
      <c r="P47" s="35" t="s">
        <v>46</v>
      </c>
      <c r="Q47" s="31">
        <f>if(G47=13,1,0)+VLOOKUP(B47,'042024'!B:Q,16,false)</f>
        <v>1</v>
      </c>
      <c r="R47" s="31"/>
      <c r="S47" s="31">
        <f>if(G47=9,1,0)+VLOOKUP(B47,'042024'!B:S,18,false)</f>
        <v>5</v>
      </c>
    </row>
    <row r="48">
      <c r="A48" s="26">
        <f t="shared" si="3"/>
        <v>44</v>
      </c>
      <c r="B48" s="39" t="s">
        <v>105</v>
      </c>
      <c r="C48" s="28">
        <v>135.0</v>
      </c>
      <c r="D48" s="29">
        <v>11.0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144</v>
      </c>
      <c r="N48" s="29">
        <f t="shared" si="45"/>
        <v>11</v>
      </c>
      <c r="O48" s="35" t="s">
        <v>46</v>
      </c>
      <c r="P48" s="35" t="s">
        <v>46</v>
      </c>
      <c r="Q48" s="31">
        <f>if(G48=13,1,0)+VLOOKUP(B48,'042024'!B:Q,16,false)</f>
        <v>0</v>
      </c>
      <c r="R48" s="31"/>
      <c r="S48" s="31">
        <f>if(G48=9,1,0)+VLOOKUP(B48,'042024'!B:S,18,false)</f>
        <v>4</v>
      </c>
    </row>
    <row r="49">
      <c r="A49" s="26">
        <f t="shared" si="3"/>
        <v>45</v>
      </c>
      <c r="B49" s="27" t="s">
        <v>68</v>
      </c>
      <c r="C49" s="28">
        <v>135.0</v>
      </c>
      <c r="D49" s="29">
        <v>5.0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144</v>
      </c>
      <c r="N49" s="29">
        <f t="shared" si="46"/>
        <v>5</v>
      </c>
      <c r="O49" s="35" t="s">
        <v>46</v>
      </c>
      <c r="P49" s="35" t="s">
        <v>46</v>
      </c>
      <c r="Q49" s="31">
        <f>if(G49=13,1,0)+VLOOKUP(B49,'042024'!B:Q,16,false)</f>
        <v>2</v>
      </c>
      <c r="R49" s="31"/>
      <c r="S49" s="31">
        <f>if(G49=9,1,0)+VLOOKUP(B49,'042024'!B:S,18,false)</f>
        <v>9</v>
      </c>
    </row>
    <row r="50">
      <c r="A50" s="26">
        <f t="shared" si="3"/>
        <v>46</v>
      </c>
      <c r="B50" s="54" t="s">
        <v>116</v>
      </c>
      <c r="C50" s="28">
        <v>135.0</v>
      </c>
      <c r="D50" s="29">
        <v>5.0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144</v>
      </c>
      <c r="N50" s="29">
        <f t="shared" si="47"/>
        <v>5</v>
      </c>
      <c r="O50" s="35" t="s">
        <v>46</v>
      </c>
      <c r="P50" s="35" t="s">
        <v>46</v>
      </c>
      <c r="Q50" s="31">
        <f>if(G50=13,1,0)+VLOOKUP(B50,'042024'!B:Q,16,false)</f>
        <v>0</v>
      </c>
      <c r="R50" s="31"/>
      <c r="S50" s="31">
        <f>if(G50=9,1,0)+VLOOKUP(B50,'042024'!B:S,18,false)</f>
        <v>10</v>
      </c>
    </row>
    <row r="51">
      <c r="A51" s="26">
        <f t="shared" si="3"/>
        <v>47</v>
      </c>
      <c r="B51" s="55" t="s">
        <v>117</v>
      </c>
      <c r="C51" s="28">
        <v>135.0</v>
      </c>
      <c r="D51" s="29">
        <v>4.0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144</v>
      </c>
      <c r="N51" s="29">
        <f t="shared" si="48"/>
        <v>4</v>
      </c>
      <c r="O51" s="35" t="s">
        <v>46</v>
      </c>
      <c r="P51" s="35" t="s">
        <v>46</v>
      </c>
      <c r="Q51" s="31">
        <f>if(G51=13,1,0)+VLOOKUP(B51,'042024'!B:Q,16,false)</f>
        <v>2</v>
      </c>
      <c r="R51" s="31"/>
      <c r="S51" s="31">
        <f>if(G51=9,1,0)+VLOOKUP(B51,'042024'!B:S,18,false)</f>
        <v>10</v>
      </c>
    </row>
    <row r="52">
      <c r="A52" s="26">
        <f t="shared" si="3"/>
        <v>48</v>
      </c>
      <c r="B52" s="27" t="s">
        <v>109</v>
      </c>
      <c r="C52" s="28">
        <v>135.0</v>
      </c>
      <c r="D52" s="29">
        <v>3.0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144</v>
      </c>
      <c r="N52" s="29">
        <f t="shared" si="49"/>
        <v>3</v>
      </c>
      <c r="O52" s="35" t="s">
        <v>46</v>
      </c>
      <c r="P52" s="35" t="s">
        <v>46</v>
      </c>
      <c r="Q52" s="31">
        <f>if(G52=13,1,0)+VLOOKUP(B52,'042024'!B:Q,16,false)</f>
        <v>2</v>
      </c>
      <c r="R52" s="31"/>
      <c r="S52" s="31">
        <f>if(G52=9,1,0)+VLOOKUP(B52,'042024'!B:S,18,false)</f>
        <v>9</v>
      </c>
    </row>
    <row r="53">
      <c r="A53" s="26">
        <f t="shared" si="3"/>
        <v>49</v>
      </c>
      <c r="B53" s="27" t="s">
        <v>39</v>
      </c>
      <c r="C53" s="28">
        <v>133.0</v>
      </c>
      <c r="D53" s="29">
        <v>4.0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142</v>
      </c>
      <c r="N53" s="29">
        <f t="shared" si="50"/>
        <v>4</v>
      </c>
      <c r="O53" s="35" t="s">
        <v>46</v>
      </c>
      <c r="P53" s="35" t="s">
        <v>46</v>
      </c>
      <c r="Q53" s="31">
        <f>if(G53=13,1,0)+VLOOKUP(B53,'042024'!B:Q,16,false)</f>
        <v>0</v>
      </c>
      <c r="R53" s="31"/>
      <c r="S53" s="31">
        <f>if(G53=9,1,0)+VLOOKUP(B53,'042024'!B:S,18,false)</f>
        <v>12</v>
      </c>
    </row>
    <row r="54">
      <c r="A54" s="26">
        <f t="shared" si="3"/>
        <v>50</v>
      </c>
      <c r="B54" s="54" t="s">
        <v>108</v>
      </c>
      <c r="C54" s="28">
        <v>132.0</v>
      </c>
      <c r="D54" s="29">
        <v>11.0</v>
      </c>
      <c r="E54" s="30">
        <v>1.0</v>
      </c>
      <c r="F54" s="31">
        <v>7.0</v>
      </c>
      <c r="G54" s="28">
        <v>0.0</v>
      </c>
      <c r="H54" s="31">
        <v>7.0</v>
      </c>
      <c r="I54" s="31">
        <v>5.0</v>
      </c>
      <c r="J54" s="31">
        <v>2.0</v>
      </c>
      <c r="K54" s="33">
        <v>14.0</v>
      </c>
      <c r="L54" s="31">
        <v>1.0</v>
      </c>
      <c r="M54" s="28">
        <f t="shared" ref="M54:N54" si="51">C54+K54</f>
        <v>146</v>
      </c>
      <c r="N54" s="29">
        <f t="shared" si="51"/>
        <v>12</v>
      </c>
      <c r="O54" s="35" t="s">
        <v>46</v>
      </c>
      <c r="P54" s="35" t="s">
        <v>46</v>
      </c>
      <c r="Q54" s="31">
        <f>if(G54=13,1,0)+VLOOKUP(B54,'042024'!B:Q,16,false)</f>
        <v>0</v>
      </c>
      <c r="R54" s="31"/>
      <c r="S54" s="31">
        <f>if(G54=9,1,0)+VLOOKUP(B54,'042024'!B:S,18,false)</f>
        <v>2</v>
      </c>
    </row>
    <row r="55">
      <c r="A55" s="26">
        <f t="shared" si="3"/>
        <v>51</v>
      </c>
      <c r="B55" s="27" t="s">
        <v>118</v>
      </c>
      <c r="C55" s="28">
        <v>132.0</v>
      </c>
      <c r="D55" s="29">
        <v>2.0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141</v>
      </c>
      <c r="N55" s="29">
        <f t="shared" si="52"/>
        <v>2</v>
      </c>
      <c r="O55" s="35" t="s">
        <v>46</v>
      </c>
      <c r="P55" s="35" t="s">
        <v>46</v>
      </c>
      <c r="Q55" s="31">
        <f>if(G55=13,1,0)+VLOOKUP(B55,'042024'!B:Q,16,false)</f>
        <v>2</v>
      </c>
      <c r="R55" s="31"/>
      <c r="S55" s="31">
        <f>if(G55=9,1,0)+VLOOKUP(B55,'042024'!B:S,18,false)</f>
        <v>11</v>
      </c>
    </row>
    <row r="56">
      <c r="A56" s="26">
        <f t="shared" si="3"/>
        <v>52</v>
      </c>
      <c r="B56" s="54" t="s">
        <v>54</v>
      </c>
      <c r="C56" s="28">
        <v>128.0</v>
      </c>
      <c r="D56" s="29">
        <v>5.0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137</v>
      </c>
      <c r="N56" s="29">
        <f t="shared" si="53"/>
        <v>5</v>
      </c>
      <c r="O56" s="35" t="s">
        <v>46</v>
      </c>
      <c r="P56" s="35" t="s">
        <v>46</v>
      </c>
      <c r="Q56" s="31">
        <f>if(G56=13,1,0)+VLOOKUP(B56,'042024'!B:Q,16,false)</f>
        <v>1</v>
      </c>
      <c r="R56" s="31"/>
      <c r="S56" s="31">
        <f>if(G56=9,1,0)+VLOOKUP(B56,'042024'!B:S,18,false)</f>
        <v>8</v>
      </c>
    </row>
    <row r="57">
      <c r="A57" s="26">
        <f t="shared" si="3"/>
        <v>53</v>
      </c>
      <c r="B57" s="39" t="s">
        <v>119</v>
      </c>
      <c r="C57" s="28">
        <v>127.0</v>
      </c>
      <c r="D57" s="29">
        <v>4.0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136</v>
      </c>
      <c r="N57" s="29">
        <f t="shared" si="54"/>
        <v>4</v>
      </c>
      <c r="O57" s="35" t="s">
        <v>46</v>
      </c>
      <c r="P57" s="35" t="s">
        <v>46</v>
      </c>
      <c r="Q57" s="31">
        <f>if(G57=13,1,0)+VLOOKUP(B57,'042024'!B:Q,16,false)</f>
        <v>0</v>
      </c>
      <c r="R57" s="31"/>
      <c r="S57" s="31">
        <f>if(G57=9,1,0)+VLOOKUP(B57,'042024'!B:S,18,false)</f>
        <v>12</v>
      </c>
    </row>
    <row r="58">
      <c r="A58" s="26">
        <f t="shared" si="3"/>
        <v>54</v>
      </c>
      <c r="B58" s="39" t="s">
        <v>121</v>
      </c>
      <c r="C58" s="28">
        <v>126.0</v>
      </c>
      <c r="D58" s="29">
        <v>3.0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135</v>
      </c>
      <c r="N58" s="29">
        <f t="shared" si="55"/>
        <v>3</v>
      </c>
      <c r="O58" s="35" t="s">
        <v>46</v>
      </c>
      <c r="P58" s="35" t="s">
        <v>46</v>
      </c>
      <c r="Q58" s="31">
        <f>if(G58=13,1,0)+VLOOKUP(B58,'042024'!B:Q,16,false)</f>
        <v>0</v>
      </c>
      <c r="R58" s="31"/>
      <c r="S58" s="31">
        <f>if(G58=9,1,0)+VLOOKUP(B58,'042024'!B:S,18,false)</f>
        <v>12</v>
      </c>
    </row>
    <row r="59">
      <c r="A59" s="26">
        <f t="shared" si="3"/>
        <v>55</v>
      </c>
      <c r="B59" s="54" t="s">
        <v>122</v>
      </c>
      <c r="C59" s="28">
        <v>124.0</v>
      </c>
      <c r="D59" s="29">
        <v>1.0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133</v>
      </c>
      <c r="N59" s="29">
        <f t="shared" si="56"/>
        <v>1</v>
      </c>
      <c r="O59" s="35" t="s">
        <v>46</v>
      </c>
      <c r="P59" s="35" t="s">
        <v>46</v>
      </c>
      <c r="Q59" s="31">
        <f>if(G59=13,1,0)+VLOOKUP(B59,'042024'!B:Q,16,false)</f>
        <v>0</v>
      </c>
      <c r="R59" s="31"/>
      <c r="S59" s="31">
        <f>if(G59=9,1,0)+VLOOKUP(B59,'042024'!B:S,18,false)</f>
        <v>13</v>
      </c>
    </row>
    <row r="60">
      <c r="A60" s="26">
        <f t="shared" si="3"/>
        <v>56</v>
      </c>
      <c r="B60" s="27" t="s">
        <v>115</v>
      </c>
      <c r="C60" s="28">
        <v>123.0</v>
      </c>
      <c r="D60" s="29">
        <v>2.0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132</v>
      </c>
      <c r="N60" s="29">
        <f t="shared" si="57"/>
        <v>2</v>
      </c>
      <c r="O60" s="35" t="s">
        <v>46</v>
      </c>
      <c r="P60" s="35" t="s">
        <v>46</v>
      </c>
      <c r="Q60" s="31">
        <f>if(G60=13,1,0)+VLOOKUP(B60,'042024'!B:Q,16,false)</f>
        <v>0</v>
      </c>
      <c r="R60" s="31"/>
      <c r="S60" s="31">
        <f>if(G60=9,1,0)+VLOOKUP(B60,'042024'!B:S,18,false)</f>
        <v>13</v>
      </c>
    </row>
    <row r="61">
      <c r="A61" s="26">
        <f t="shared" si="3"/>
        <v>57</v>
      </c>
      <c r="B61" s="54" t="s">
        <v>123</v>
      </c>
      <c r="C61" s="28">
        <v>121.0</v>
      </c>
      <c r="D61" s="29">
        <v>2.0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130</v>
      </c>
      <c r="N61" s="29">
        <f t="shared" si="58"/>
        <v>2</v>
      </c>
      <c r="O61" s="35" t="s">
        <v>46</v>
      </c>
      <c r="P61" s="35" t="s">
        <v>46</v>
      </c>
      <c r="Q61" s="31">
        <f>if(G61=13,1,0)+VLOOKUP(B61,'042024'!B:Q,16,false)</f>
        <v>1</v>
      </c>
      <c r="R61" s="31"/>
      <c r="S61" s="31">
        <f>if(G61=9,1,0)+VLOOKUP(B61,'042024'!B:S,18,false)</f>
        <v>12</v>
      </c>
    </row>
    <row r="62">
      <c r="A62" s="26">
        <f t="shared" si="3"/>
        <v>58</v>
      </c>
      <c r="B62" s="27" t="s">
        <v>114</v>
      </c>
      <c r="C62" s="28">
        <v>121.0</v>
      </c>
      <c r="D62" s="29">
        <v>0.0</v>
      </c>
      <c r="E62" s="30">
        <v>2.0</v>
      </c>
      <c r="F62" s="31">
        <v>7.0</v>
      </c>
      <c r="G62" s="28">
        <v>0.0</v>
      </c>
      <c r="H62" s="31">
        <v>6.0</v>
      </c>
      <c r="I62" s="31">
        <v>5.0</v>
      </c>
      <c r="J62" s="31">
        <v>6.0</v>
      </c>
      <c r="K62" s="33">
        <v>17.0</v>
      </c>
      <c r="L62" s="31">
        <v>1.0</v>
      </c>
      <c r="M62" s="28">
        <f t="shared" ref="M62:N62" si="59">C62+K62</f>
        <v>138</v>
      </c>
      <c r="N62" s="29">
        <f t="shared" si="59"/>
        <v>1</v>
      </c>
      <c r="O62" s="35" t="s">
        <v>46</v>
      </c>
      <c r="P62" s="35" t="s">
        <v>46</v>
      </c>
      <c r="Q62" s="31">
        <f>if(G62=13,1,0)+VLOOKUP(B62,'042024'!B:Q,16,false)</f>
        <v>1</v>
      </c>
      <c r="R62" s="31"/>
      <c r="S62" s="31">
        <f>if(G62=9,1,0)+VLOOKUP(B62,'042024'!B:S,18,false)</f>
        <v>12</v>
      </c>
    </row>
    <row r="63">
      <c r="A63" s="26">
        <f t="shared" si="3"/>
        <v>59</v>
      </c>
      <c r="B63" s="27" t="s">
        <v>120</v>
      </c>
      <c r="C63" s="28">
        <v>120.0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129</v>
      </c>
      <c r="N63" s="29">
        <f t="shared" si="60"/>
        <v>2</v>
      </c>
      <c r="O63" s="35" t="s">
        <v>46</v>
      </c>
      <c r="P63" s="35" t="s">
        <v>46</v>
      </c>
      <c r="Q63" s="31">
        <f>if(G63=13,1,0)+VLOOKUP(B63,'042024'!B:Q,16,false)</f>
        <v>1</v>
      </c>
      <c r="R63" s="31"/>
      <c r="S63" s="31">
        <f>if(G63=9,1,0)+VLOOKUP(B63,'042024'!B:S,18,false)</f>
        <v>12</v>
      </c>
    </row>
    <row r="64">
      <c r="A64" s="26">
        <f t="shared" si="3"/>
        <v>60</v>
      </c>
      <c r="B64" s="39" t="s">
        <v>97</v>
      </c>
      <c r="C64" s="28">
        <v>118.0</v>
      </c>
      <c r="D64" s="29">
        <v>4.0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127</v>
      </c>
      <c r="N64" s="29">
        <f t="shared" si="61"/>
        <v>4</v>
      </c>
      <c r="O64" s="35" t="s">
        <v>46</v>
      </c>
      <c r="P64" s="35" t="s">
        <v>46</v>
      </c>
      <c r="Q64" s="31">
        <f>if(G64=13,1,0)+VLOOKUP(B64,'042024'!B:Q,16,false)</f>
        <v>0</v>
      </c>
      <c r="R64" s="31"/>
      <c r="S64" s="31">
        <f>if(G64=9,1,0)+VLOOKUP(B64,'042024'!B:S,18,false)</f>
        <v>4</v>
      </c>
    </row>
    <row r="65">
      <c r="A65" s="26">
        <f t="shared" si="3"/>
        <v>61</v>
      </c>
      <c r="B65" s="39" t="s">
        <v>124</v>
      </c>
      <c r="C65" s="28">
        <v>117.0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126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if(G65=13,1,0)+VLOOKUP(B65,'042024'!B:Q,16,false)</f>
        <v>0</v>
      </c>
      <c r="R65" s="31"/>
      <c r="S65" s="31">
        <f>if(G65=9,1,0)+VLOOKUP(B65,'042024'!B:S,18,false)</f>
        <v>14</v>
      </c>
    </row>
    <row r="66">
      <c r="A66" s="26">
        <f t="shared" si="3"/>
        <v>62</v>
      </c>
      <c r="B66" s="39" t="s">
        <v>125</v>
      </c>
      <c r="C66" s="28">
        <v>117.0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126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if(G66=13,1,0)+VLOOKUP(B66,'042024'!B:Q,16,false)</f>
        <v>0</v>
      </c>
      <c r="R66" s="31"/>
      <c r="S66" s="31">
        <f>if(G66=9,1,0)+VLOOKUP(B66,'042024'!B:S,18,false)</f>
        <v>13</v>
      </c>
    </row>
    <row r="67">
      <c r="A67" s="26">
        <f t="shared" si="3"/>
        <v>63</v>
      </c>
      <c r="B67" s="39" t="s">
        <v>126</v>
      </c>
      <c r="C67" s="28">
        <v>116.0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125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if(G67=13,1,0)+VLOOKUP(B67,'042024'!B:Q,16,false)</f>
        <v>0</v>
      </c>
      <c r="R67" s="31"/>
      <c r="S67" s="31">
        <f>if(G67=9,1,0)+VLOOKUP(B67,'042024'!B:S,18,false)</f>
        <v>12</v>
      </c>
    </row>
    <row r="68">
      <c r="A68" s="26">
        <f t="shared" si="3"/>
        <v>64</v>
      </c>
      <c r="B68" s="27" t="s">
        <v>74</v>
      </c>
      <c r="C68" s="28">
        <v>108.0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117</v>
      </c>
      <c r="N68" s="29">
        <f t="shared" si="65"/>
        <v>0</v>
      </c>
      <c r="O68" s="35" t="s">
        <v>46</v>
      </c>
      <c r="P68" s="35" t="s">
        <v>46</v>
      </c>
      <c r="Q68" s="31">
        <f>if(G68=13,1,0)+VLOOKUP(B68,'042024'!B:Q,16,false)</f>
        <v>0</v>
      </c>
      <c r="R68" s="31"/>
      <c r="S68" s="31">
        <f>if(G68=9,1,0)+VLOOKUP(B68,'042024'!B:S,18,false)</f>
        <v>14</v>
      </c>
    </row>
    <row r="69">
      <c r="A69" s="26">
        <f t="shared" si="3"/>
        <v>65</v>
      </c>
      <c r="B69" s="39" t="s">
        <v>127</v>
      </c>
      <c r="C69" s="28">
        <v>107.0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116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if(G69=13,1,0)+VLOOKUP(B69,'042024'!B:Q,16,false)</f>
        <v>0</v>
      </c>
      <c r="R69" s="31"/>
      <c r="S69" s="31">
        <f>if(G69=9,1,0)+VLOOKUP(B69,'042024'!B:S,18,false)</f>
        <v>12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desc"",0)"),"Lloyd Sagar")</f>
        <v>Lloyd Sagar</v>
      </c>
      <c r="C79" s="60">
        <f>IFERROR(__xludf.DUMMYFUNCTION("""COMPUTED_VALUE"""),20.0)</f>
        <v>20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IFERROR(__xludf.DUMMYFUNCTION("""COMPUTED_VALUE"""),"David Tam")</f>
        <v>David Tam</v>
      </c>
      <c r="C80" s="60">
        <f>IFERROR(__xludf.DUMMYFUNCTION("""COMPUTED_VALUE"""),20.0)</f>
        <v>20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IFERROR(__xludf.DUMMYFUNCTION("""COMPUTED_VALUE"""),"Adrian Tay")</f>
        <v>Adrian Tay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IFERROR(__xludf.DUMMYFUNCTION("""COMPUTED_VALUE"""),"Pulkit Mathur")</f>
        <v>Pulkit Mathur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1"")"),"Suleman Alidina")</f>
        <v>Suleman Alidina</v>
      </c>
      <c r="C92" s="63">
        <f>IFERROR(__xludf.DUMMYFUNCTION("""COMPUTED_VALUE"""),176.0)</f>
        <v>176</v>
      </c>
      <c r="D92" s="64">
        <f>IFERROR(__xludf.DUMMYFUNCTION("""COMPUTED_VALUE"""),20.0)</f>
        <v>20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IFERROR(__xludf.DUMMYFUNCTION("""COMPUTED_VALUE"""),2.0)</f>
        <v>2</v>
      </c>
      <c r="I92" s="65">
        <f>IFERROR(__xludf.DUMMYFUNCTION("""COMPUTED_VALUE"""),6.0)</f>
        <v>6</v>
      </c>
      <c r="J92" s="65">
        <f>IFERROR(__xludf.DUMMYFUNCTION("""COMPUTED_VALUE"""),2.0)</f>
        <v>2</v>
      </c>
      <c r="K92" s="65">
        <f>IFERROR(__xludf.DUMMYFUNCTION("""COMPUTED_VALUE"""),10.0)</f>
        <v>10</v>
      </c>
      <c r="L92" s="65">
        <f>IFERROR(__xludf.DUMMYFUNCTION("""COMPUTED_VALUE"""),1.0)</f>
        <v>1</v>
      </c>
      <c r="M92" s="65">
        <f>IFERROR(__xludf.DUMMYFUNCTION("""COMPUTED_VALUE"""),186.0)</f>
        <v>186</v>
      </c>
      <c r="N92" s="66">
        <f>IFERROR(__xludf.DUMMYFUNCTION("""COMPUTED_VALUE"""),21.0)</f>
        <v>21</v>
      </c>
    </row>
    <row r="93">
      <c r="A93" s="1"/>
      <c r="B93" s="62" t="str">
        <f>IFERROR(__xludf.DUMMYFUNCTION("""COMPUTED_VALUE"""),"David Shin")</f>
        <v>David Shin</v>
      </c>
      <c r="C93" s="63">
        <f>IFERROR(__xludf.DUMMYFUNCTION("""COMPUTED_VALUE"""),172.0)</f>
        <v>172</v>
      </c>
      <c r="D93" s="64">
        <f>IFERROR(__xludf.DUMMYFUNCTION("""COMPUTED_VALUE"""),15.0)</f>
        <v>15</v>
      </c>
      <c r="E93" s="63">
        <f>IFERROR(__xludf.DUMMYFUNCTION("""COMPUTED_VALUE"""),2.0)</f>
        <v>2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IFERROR(__xludf.DUMMYFUNCTION("""COMPUTED_VALUE"""),2.0)</f>
        <v>2</v>
      </c>
      <c r="I93" s="65">
        <f>IFERROR(__xludf.DUMMYFUNCTION("""COMPUTED_VALUE"""),1.0)</f>
        <v>1</v>
      </c>
      <c r="J93" s="65">
        <f>IFERROR(__xludf.DUMMYFUNCTION("""COMPUTED_VALUE"""),6.0)</f>
        <v>6</v>
      </c>
      <c r="K93" s="65">
        <f>IFERROR(__xludf.DUMMYFUNCTION("""COMPUTED_VALUE"""),9.0)</f>
        <v>9</v>
      </c>
      <c r="L93" s="65">
        <f>IFERROR(__xludf.DUMMYFUNCTION("""COMPUTED_VALUE"""),1.0)</f>
        <v>1</v>
      </c>
      <c r="M93" s="65">
        <f>IFERROR(__xludf.DUMMYFUNCTION("""COMPUTED_VALUE"""),181.0)</f>
        <v>181</v>
      </c>
      <c r="N93" s="66">
        <f>IFERROR(__xludf.DUMMYFUNCTION("""COMPUTED_VALUE"""),16.0)</f>
        <v>16</v>
      </c>
    </row>
    <row r="94">
      <c r="A94" s="1"/>
      <c r="B94" s="62" t="str">
        <f>IFERROR(__xludf.DUMMYFUNCTION("""COMPUTED_VALUE"""),"Luis Hsu")</f>
        <v>Luis Hsu</v>
      </c>
      <c r="C94" s="63">
        <f>IFERROR(__xludf.DUMMYFUNCTION("""COMPUTED_VALUE"""),168.0)</f>
        <v>168</v>
      </c>
      <c r="D94" s="64">
        <f>IFERROR(__xludf.DUMMYFUNCTION("""COMPUTED_VALUE"""),16.0)</f>
        <v>16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IFERROR(__xludf.DUMMYFUNCTION("""COMPUTED_VALUE"""),1.0)</f>
        <v>1</v>
      </c>
      <c r="J94" s="65">
        <f>IFERROR(__xludf.DUMMYFUNCTION("""COMPUTED_VALUE"""),2.0)</f>
        <v>2</v>
      </c>
      <c r="K94" s="65">
        <f>IFERROR(__xludf.DUMMYFUNCTION("""COMPUTED_VALUE"""),9.0)</f>
        <v>9</v>
      </c>
      <c r="L94" s="65">
        <f>IFERROR(__xludf.DUMMYFUNCTION("""COMPUTED_VALUE"""),1.0)</f>
        <v>1</v>
      </c>
      <c r="M94" s="65">
        <f>IFERROR(__xludf.DUMMYFUNCTION("""COMPUTED_VALUE"""),177.0)</f>
        <v>177</v>
      </c>
      <c r="N94" s="66">
        <f>IFERROR(__xludf.DUMMYFUNCTION("""COMPUTED_VALUE"""),17.0)</f>
        <v>17</v>
      </c>
    </row>
    <row r="95">
      <c r="A95" s="1"/>
      <c r="B95" s="62" t="str">
        <f>IFERROR(__xludf.DUMMYFUNCTION("""COMPUTED_VALUE"""),"Adrian Tay")</f>
        <v>Adrian Tay</v>
      </c>
      <c r="C95" s="63">
        <f>IFERROR(__xludf.DUMMYFUNCTION("""COMPUTED_VALUE"""),167.0)</f>
        <v>167</v>
      </c>
      <c r="D95" s="64">
        <f>IFERROR(__xludf.DUMMYFUNCTION("""COMPUTED_VALUE"""),15.0)</f>
        <v>15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IFERROR(__xludf.DUMMYFUNCTION("""COMPUTED_VALUE"""),6.0)</f>
        <v>6</v>
      </c>
      <c r="I95" s="65">
        <f>IFERROR(__xludf.DUMMYFUNCTION("""COMPUTED_VALUE"""),6.0)</f>
        <v>6</v>
      </c>
      <c r="J95" s="65">
        <f>IFERROR(__xludf.DUMMYFUNCTION("""COMPUTED_VALUE"""),6.0)</f>
        <v>6</v>
      </c>
      <c r="K95" s="65">
        <f>IFERROR(__xludf.DUMMYFUNCTION("""COMPUTED_VALUE"""),18.0)</f>
        <v>18</v>
      </c>
      <c r="L95" s="65">
        <f>IFERROR(__xludf.DUMMYFUNCTION("""COMPUTED_VALUE"""),3.0)</f>
        <v>3</v>
      </c>
      <c r="M95" s="65">
        <f>IFERROR(__xludf.DUMMYFUNCTION("""COMPUTED_VALUE"""),185.0)</f>
        <v>185</v>
      </c>
      <c r="N95" s="66">
        <f>IFERROR(__xludf.DUMMYFUNCTION("""COMPUTED_VALUE"""),18.0)</f>
        <v>18</v>
      </c>
    </row>
    <row r="96">
      <c r="A96" s="1"/>
      <c r="B96" s="67" t="str">
        <f>IFERROR(__xludf.DUMMYFUNCTION("""COMPUTED_VALUE"""),"Jonathan Phan")</f>
        <v>Jonathan Phan</v>
      </c>
      <c r="C96" s="68">
        <f>IFERROR(__xludf.DUMMYFUNCTION("""COMPUTED_VALUE"""),164.0)</f>
        <v>164</v>
      </c>
      <c r="D96" s="69">
        <f>IFERROR(__xludf.DUMMYFUNCTION("""COMPUTED_VALUE"""),12.0)</f>
        <v>12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IFERROR(__xludf.DUMMYFUNCTION("""COMPUTED_VALUE"""),1.0)</f>
        <v>1</v>
      </c>
      <c r="I96" s="70">
        <f>IFERROR(__xludf.DUMMYFUNCTION("""COMPUTED_VALUE"""),6.0)</f>
        <v>6</v>
      </c>
      <c r="J96" s="70">
        <f>IFERROR(__xludf.DUMMYFUNCTION("""COMPUTED_VALUE"""),6.0)</f>
        <v>6</v>
      </c>
      <c r="K96" s="70">
        <f>IFERROR(__xludf.DUMMYFUNCTION("""COMPUTED_VALUE"""),13.0)</f>
        <v>13</v>
      </c>
      <c r="L96" s="70">
        <f>IFERROR(__xludf.DUMMYFUNCTION("""COMPUTED_VALUE"""),2.0)</f>
        <v>2</v>
      </c>
      <c r="M96" s="70">
        <f>IFERROR(__xludf.DUMMYFUNCTION("""COMPUTED_VALUE"""),177.0)</f>
        <v>177</v>
      </c>
      <c r="N96" s="71">
        <f>IFERROR(__xludf.DUMMYFUNCTION("""COMPUTED_VALUE"""),14.0)</f>
        <v>14</v>
      </c>
    </row>
    <row r="97">
      <c r="A97" s="1"/>
      <c r="B97" s="67" t="str">
        <f>IFERROR(__xludf.DUMMYFUNCTION("""COMPUTED_VALUE"""),"Mauricio Palacios")</f>
        <v>Mauricio Palacios</v>
      </c>
      <c r="C97" s="68">
        <f>IFERROR(__xludf.DUMMYFUNCTION("""COMPUTED_VALUE"""),161.0)</f>
        <v>161</v>
      </c>
      <c r="D97" s="69">
        <f>IFERROR(__xludf.DUMMYFUNCTION("""COMPUTED_VALUE"""),14.0)</f>
        <v>14</v>
      </c>
      <c r="E97" s="68">
        <f>IFERROR(__xludf.DUMMYFUNCTION("""COMPUTED_VALUE"""),2.0)</f>
        <v>2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IFERROR(__xludf.DUMMYFUNCTION("""COMPUTED_VALUE"""),1.0)</f>
        <v>1</v>
      </c>
      <c r="I97" s="70">
        <f>IFERROR(__xludf.DUMMYFUNCTION("""COMPUTED_VALUE"""),2.0)</f>
        <v>2</v>
      </c>
      <c r="J97" s="70">
        <f>IFERROR(__xludf.DUMMYFUNCTION("""COMPUTED_VALUE"""),3.0)</f>
        <v>3</v>
      </c>
      <c r="K97" s="70">
        <f>IFERROR(__xludf.DUMMYFUNCTION("""COMPUTED_VALUE"""),6.0)</f>
        <v>6</v>
      </c>
      <c r="L97" s="70">
        <f>IFERROR(__xludf.DUMMYFUNCTION("""COMPUTED_VALUE"""),0.0)</f>
        <v>0</v>
      </c>
      <c r="M97" s="70">
        <f>IFERROR(__xludf.DUMMYFUNCTION("""COMPUTED_VALUE"""),167.0)</f>
        <v>167</v>
      </c>
      <c r="N97" s="71">
        <f>IFERROR(__xludf.DUMMYFUNCTION("""COMPUTED_VALUE"""),14.0)</f>
        <v>14</v>
      </c>
    </row>
    <row r="98">
      <c r="A98" s="1"/>
      <c r="B98" s="67" t="str">
        <f>IFERROR(__xludf.DUMMYFUNCTION("""COMPUTED_VALUE"""),"Peter Homsey")</f>
        <v>Peter Homsey</v>
      </c>
      <c r="C98" s="68">
        <f>IFERROR(__xludf.DUMMYFUNCTION("""COMPUTED_VALUE"""),158.0)</f>
        <v>158</v>
      </c>
      <c r="D98" s="69">
        <f>IFERROR(__xludf.DUMMYFUNCTION("""COMPUTED_VALUE"""),13.0)</f>
        <v>13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IFERROR(__xludf.DUMMYFUNCTION("""COMPUTED_VALUE"""),6.0)</f>
        <v>6</v>
      </c>
      <c r="J98" s="70">
        <f>IFERROR(__xludf.DUMMYFUNCTION("""COMPUTED_VALUE"""),3.0)</f>
        <v>3</v>
      </c>
      <c r="K98" s="70">
        <f>IFERROR(__xludf.DUMMYFUNCTION("""COMPUTED_VALUE"""),15.0)</f>
        <v>15</v>
      </c>
      <c r="L98" s="70">
        <f>IFERROR(__xludf.DUMMYFUNCTION("""COMPUTED_VALUE"""),2.0)</f>
        <v>2</v>
      </c>
      <c r="M98" s="70">
        <f>IFERROR(__xludf.DUMMYFUNCTION("""COMPUTED_VALUE"""),173.0)</f>
        <v>173</v>
      </c>
      <c r="N98" s="71">
        <f>IFERROR(__xludf.DUMMYFUNCTION("""COMPUTED_VALUE"""),15.0)</f>
        <v>15</v>
      </c>
    </row>
    <row r="99">
      <c r="A99" s="1"/>
      <c r="B99" s="67" t="str">
        <f>IFERROR(__xludf.DUMMYFUNCTION("""COMPUTED_VALUE"""),"Ted Shen")</f>
        <v>Ted Shen</v>
      </c>
      <c r="C99" s="68">
        <f>IFERROR(__xludf.DUMMYFUNCTION("""COMPUTED_VALUE"""),155.0)</f>
        <v>155</v>
      </c>
      <c r="D99" s="69">
        <f>IFERROR(__xludf.DUMMYFUNCTION("""COMPUTED_VALUE"""),13.0)</f>
        <v>13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IFERROR(__xludf.DUMMYFUNCTION("""COMPUTED_VALUE"""),6.0)</f>
        <v>6</v>
      </c>
      <c r="I99" s="70">
        <f>IFERROR(__xludf.DUMMYFUNCTION("""COMPUTED_VALUE"""),2.0)</f>
        <v>2</v>
      </c>
      <c r="J99" s="70">
        <f>IFERROR(__xludf.DUMMYFUNCTION("""COMPUTED_VALUE"""),6.0)</f>
        <v>6</v>
      </c>
      <c r="K99" s="70">
        <f>IFERROR(__xludf.DUMMYFUNCTION("""COMPUTED_VALUE"""),14.0)</f>
        <v>14</v>
      </c>
      <c r="L99" s="70">
        <f>IFERROR(__xludf.DUMMYFUNCTION("""COMPUTED_VALUE"""),2.0)</f>
        <v>2</v>
      </c>
      <c r="M99" s="70">
        <f>IFERROR(__xludf.DUMMYFUNCTION("""COMPUTED_VALUE"""),169.0)</f>
        <v>169</v>
      </c>
      <c r="N99" s="71">
        <f>IFERROR(__xludf.DUMMYFUNCTION("""COMPUTED_VALUE"""),15.0)</f>
        <v>15</v>
      </c>
    </row>
    <row r="100">
      <c r="A100" s="1"/>
      <c r="B100" s="67" t="str">
        <f>IFERROR(__xludf.DUMMYFUNCTION("""COMPUTED_VALUE"""),"Pavan Akkimsetty")</f>
        <v>Pavan Akkimsetty</v>
      </c>
      <c r="C100" s="63">
        <f>IFERROR(__xludf.DUMMYFUNCTION("""COMPUTED_VALUE"""),154.0)</f>
        <v>154</v>
      </c>
      <c r="D100" s="64">
        <f>IFERROR(__xludf.DUMMYFUNCTION("""COMPUTED_VALUE"""),14.0)</f>
        <v>14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IFERROR(__xludf.DUMMYFUNCTION("""COMPUTED_VALUE"""),7.0)</f>
        <v>7</v>
      </c>
      <c r="J100" s="65">
        <f>IFERROR(__xludf.DUMMYFUNCTION("""COMPUTED_VALUE"""),3.0)</f>
        <v>3</v>
      </c>
      <c r="K100" s="65">
        <f>IFERROR(__xludf.DUMMYFUNCTION("""COMPUTED_VALUE"""),16.0)</f>
        <v>16</v>
      </c>
      <c r="L100" s="65">
        <f>IFERROR(__xludf.DUMMYFUNCTION("""COMPUTED_VALUE"""),1.0)</f>
        <v>1</v>
      </c>
      <c r="M100" s="65">
        <f>IFERROR(__xludf.DUMMYFUNCTION("""COMPUTED_VALUE"""),170.0)</f>
        <v>170</v>
      </c>
      <c r="N100" s="66">
        <f>IFERROR(__xludf.DUMMYFUNCTION("""COMPUTED_VALUE"""),15.0)</f>
        <v>15</v>
      </c>
    </row>
    <row r="101">
      <c r="A101" s="1"/>
      <c r="B101" s="67" t="str">
        <f>IFERROR(__xludf.DUMMYFUNCTION("""COMPUTED_VALUE"""),"Tom Le")</f>
        <v>Tom Le</v>
      </c>
      <c r="C101" s="63">
        <f>IFERROR(__xludf.DUMMYFUNCTION("""COMPUTED_VALUE"""),153.0)</f>
        <v>153</v>
      </c>
      <c r="D101" s="64">
        <f>IFERROR(__xludf.DUMMYFUNCTION("""COMPUTED_VALUE"""),12.0)</f>
        <v>12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IFERROR(__xludf.DUMMYFUNCTION("""COMPUTED_VALUE"""),7.0)</f>
        <v>7</v>
      </c>
      <c r="I101" s="65">
        <f>IFERROR(__xludf.DUMMYFUNCTION("""COMPUTED_VALUE"""),5.0)</f>
        <v>5</v>
      </c>
      <c r="J101" s="65">
        <f>IFERROR(__xludf.DUMMYFUNCTION("""COMPUTED_VALUE"""),3.0)</f>
        <v>3</v>
      </c>
      <c r="K101" s="65">
        <f>IFERROR(__xludf.DUMMYFUNCTION("""COMPUTED_VALUE"""),15.0)</f>
        <v>15</v>
      </c>
      <c r="L101" s="65">
        <f>IFERROR(__xludf.DUMMYFUNCTION("""COMPUTED_VALUE"""),1.0)</f>
        <v>1</v>
      </c>
      <c r="M101" s="65">
        <f>IFERROR(__xludf.DUMMYFUNCTION("""COMPUTED_VALUE"""),168.0)</f>
        <v>168</v>
      </c>
      <c r="N101" s="66">
        <f>IFERROR(__xludf.DUMMYFUNCTION("""COMPUTED_VALUE"""),13.0)</f>
        <v>13</v>
      </c>
    </row>
    <row r="102">
      <c r="A102" s="1"/>
      <c r="B102" s="62" t="str">
        <f>IFERROR(__xludf.DUMMYFUNCTION("""COMPUTED_VALUE"""),"Joe Luzzi")</f>
        <v>Joe Luzzi</v>
      </c>
      <c r="C102" s="63">
        <f>IFERROR(__xludf.DUMMYFUNCTION("""COMPUTED_VALUE"""),151.0)</f>
        <v>151</v>
      </c>
      <c r="D102" s="64">
        <f>IFERROR(__xludf.DUMMYFUNCTION("""COMPUTED_VALUE"""),12.0)</f>
        <v>12</v>
      </c>
      <c r="E102" s="63">
        <f>IFERROR(__xludf.DUMMYFUNCTION("""COMPUTED_VALUE"""),2.0)</f>
        <v>2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IFERROR(__xludf.DUMMYFUNCTION("""COMPUTED_VALUE"""),5.0)</f>
        <v>5</v>
      </c>
      <c r="J102" s="65">
        <f>IFERROR(__xludf.DUMMYFUNCTION("""COMPUTED_VALUE"""),6.0)</f>
        <v>6</v>
      </c>
      <c r="K102" s="65">
        <f>IFERROR(__xludf.DUMMYFUNCTION("""COMPUTED_VALUE"""),17.0)</f>
        <v>17</v>
      </c>
      <c r="L102" s="65">
        <f>IFERROR(__xludf.DUMMYFUNCTION("""COMPUTED_VALUE"""),1.0)</f>
        <v>1</v>
      </c>
      <c r="M102" s="65">
        <f>IFERROR(__xludf.DUMMYFUNCTION("""COMPUTED_VALUE"""),168.0)</f>
        <v>168</v>
      </c>
      <c r="N102" s="66">
        <f>IFERROR(__xludf.DUMMYFUNCTION("""COMPUTED_VALUE"""),13.0)</f>
        <v>13</v>
      </c>
    </row>
    <row r="103">
      <c r="A103" s="1"/>
      <c r="B103" s="62" t="str">
        <f>IFERROR(__xludf.DUMMYFUNCTION("""COMPUTED_VALUE"""),"Lloyd Sagar")</f>
        <v>Lloyd Sagar</v>
      </c>
      <c r="C103" s="63">
        <f>IFERROR(__xludf.DUMMYFUNCTION("""COMPUTED_VALUE"""),149.0)</f>
        <v>149</v>
      </c>
      <c r="D103" s="64">
        <f>IFERROR(__xludf.DUMMYFUNCTION("""COMPUTED_VALUE"""),8.0)</f>
        <v>8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IFERROR(__xludf.DUMMYFUNCTION("""COMPUTED_VALUE"""),7.0)</f>
        <v>7</v>
      </c>
      <c r="I103" s="65">
        <f>IFERROR(__xludf.DUMMYFUNCTION("""COMPUTED_VALUE"""),7.0)</f>
        <v>7</v>
      </c>
      <c r="J103" s="65">
        <f>IFERROR(__xludf.DUMMYFUNCTION("""COMPUTED_VALUE"""),6.0)</f>
        <v>6</v>
      </c>
      <c r="K103" s="65">
        <f>IFERROR(__xludf.DUMMYFUNCTION("""COMPUTED_VALUE"""),20.0)</f>
        <v>20</v>
      </c>
      <c r="L103" s="65">
        <f>IFERROR(__xludf.DUMMYFUNCTION("""COMPUTED_VALUE"""),3.0)</f>
        <v>3</v>
      </c>
      <c r="M103" s="65">
        <f>IFERROR(__xludf.DUMMYFUNCTION("""COMPUTED_VALUE"""),169.0)</f>
        <v>169</v>
      </c>
      <c r="N103" s="66">
        <f>IFERROR(__xludf.DUMMYFUNCTION("""COMPUTED_VALUE"""),11.0)</f>
        <v>11</v>
      </c>
    </row>
    <row r="104">
      <c r="A104" s="1"/>
      <c r="B104" s="67" t="str">
        <f>IFERROR(__xludf.DUMMYFUNCTION("""COMPUTED_VALUE"""),"Scott Li")</f>
        <v>Scott Li</v>
      </c>
      <c r="C104" s="68">
        <f>IFERROR(__xludf.DUMMYFUNCTION("""COMPUTED_VALUE"""),148.0)</f>
        <v>148</v>
      </c>
      <c r="D104" s="69">
        <f>IFERROR(__xludf.DUMMYFUNCTION("""COMPUTED_VALUE"""),12.0)</f>
        <v>12</v>
      </c>
      <c r="E104" s="68">
        <f>IFERROR(__xludf.DUMMYFUNCTION("""COMPUTED_VALUE"""),1.0)</f>
        <v>1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IFERROR(__xludf.DUMMYFUNCTION("""COMPUTED_VALUE"""),1.0)</f>
        <v>1</v>
      </c>
      <c r="I104" s="70">
        <f>IFERROR(__xludf.DUMMYFUNCTION("""COMPUTED_VALUE"""),6.0)</f>
        <v>6</v>
      </c>
      <c r="J104" s="70">
        <f>IFERROR(__xludf.DUMMYFUNCTION("""COMPUTED_VALUE"""),2.0)</f>
        <v>2</v>
      </c>
      <c r="K104" s="70">
        <f>IFERROR(__xludf.DUMMYFUNCTION("""COMPUTED_VALUE"""),9.0)</f>
        <v>9</v>
      </c>
      <c r="L104" s="70">
        <f>IFERROR(__xludf.DUMMYFUNCTION("""COMPUTED_VALUE"""),1.0)</f>
        <v>1</v>
      </c>
      <c r="M104" s="70">
        <f>IFERROR(__xludf.DUMMYFUNCTION("""COMPUTED_VALUE"""),157.0)</f>
        <v>157</v>
      </c>
      <c r="N104" s="71">
        <f>IFERROR(__xludf.DUMMYFUNCTION("""COMPUTED_VALUE"""),13.0)</f>
        <v>13</v>
      </c>
    </row>
    <row r="105">
      <c r="A105" s="1"/>
      <c r="B105" s="67" t="str">
        <f>IFERROR(__xludf.DUMMYFUNCTION("""COMPUTED_VALUE"""),"Vamsi Lolla ")</f>
        <v>Vamsi Lolla </v>
      </c>
      <c r="C105" s="68">
        <f>IFERROR(__xludf.DUMMYFUNCTION("""COMPUTED_VALUE"""),146.0)</f>
        <v>146</v>
      </c>
      <c r="D105" s="69">
        <f>IFERROR(__xludf.DUMMYFUNCTION("""COMPUTED_VALUE"""),7.0)</f>
        <v>7</v>
      </c>
      <c r="E105" s="68">
        <f>IFERROR(__xludf.DUMMYFUNCTION("""COMPUTED_VALUE"""),2.0)</f>
        <v>2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IFERROR(__xludf.DUMMYFUNCTION("""COMPUTED_VALUE"""),1.0)</f>
        <v>1</v>
      </c>
      <c r="J105" s="70">
        <f>IFERROR(__xludf.DUMMYFUNCTION("""COMPUTED_VALUE"""),2.0)</f>
        <v>2</v>
      </c>
      <c r="K105" s="70">
        <f>IFERROR(__xludf.DUMMYFUNCTION("""COMPUTED_VALUE"""),9.0)</f>
        <v>9</v>
      </c>
      <c r="L105" s="70">
        <f>IFERROR(__xludf.DUMMYFUNCTION("""COMPUTED_VALUE"""),1.0)</f>
        <v>1</v>
      </c>
      <c r="M105" s="70">
        <f>IFERROR(__xludf.DUMMYFUNCTION("""COMPUTED_VALUE"""),155.0)</f>
        <v>155</v>
      </c>
      <c r="N105" s="71">
        <f>IFERROR(__xludf.DUMMYFUNCTION("""COMPUTED_VALUE"""),8.0)</f>
        <v>8</v>
      </c>
    </row>
    <row r="106">
      <c r="A106" s="1"/>
      <c r="B106" s="67" t="str">
        <f>IFERROR(__xludf.DUMMYFUNCTION("""COMPUTED_VALUE"""),"Manuel Rivera")</f>
        <v>Manuel Rivera</v>
      </c>
      <c r="C106" s="68">
        <f>IFERROR(__xludf.DUMMYFUNCTION("""COMPUTED_VALUE"""),145.0)</f>
        <v>145</v>
      </c>
      <c r="D106" s="69">
        <f>IFERROR(__xludf.DUMMYFUNCTION("""COMPUTED_VALUE"""),12.0)</f>
        <v>12</v>
      </c>
      <c r="E106" s="68">
        <f>IFERROR(__xludf.DUMMYFUNCTION("""COMPUTED_VALUE"""),2.0)</f>
        <v>2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IFERROR(__xludf.DUMMYFUNCTION("""COMPUTED_VALUE"""),1.0)</f>
        <v>1</v>
      </c>
      <c r="I106" s="70">
        <f>IFERROR(__xludf.DUMMYFUNCTION("""COMPUTED_VALUE"""),1.0)</f>
        <v>1</v>
      </c>
      <c r="J106" s="70">
        <f>IFERROR(__xludf.DUMMYFUNCTION("""COMPUTED_VALUE"""),6.0)</f>
        <v>6</v>
      </c>
      <c r="K106" s="70">
        <f>IFERROR(__xludf.DUMMYFUNCTION("""COMPUTED_VALUE"""),8.0)</f>
        <v>8</v>
      </c>
      <c r="L106" s="70">
        <f>IFERROR(__xludf.DUMMYFUNCTION("""COMPUTED_VALUE"""),1.0)</f>
        <v>1</v>
      </c>
      <c r="M106" s="70">
        <f>IFERROR(__xludf.DUMMYFUNCTION("""COMPUTED_VALUE"""),153.0)</f>
        <v>153</v>
      </c>
      <c r="N106" s="71">
        <f>IFERROR(__xludf.DUMMYFUNCTION("""COMPUTED_VALUE"""),13.0)</f>
        <v>13</v>
      </c>
    </row>
    <row r="107">
      <c r="A107" s="1"/>
      <c r="B107" s="67" t="str">
        <f>IFERROR(__xludf.DUMMYFUNCTION("""COMPUTED_VALUE"""),"Pulkit Mathur")</f>
        <v>Pulkit Mathur</v>
      </c>
      <c r="C107" s="68">
        <f>IFERROR(__xludf.DUMMYFUNCTION("""COMPUTED_VALUE"""),144.0)</f>
        <v>144</v>
      </c>
      <c r="D107" s="69">
        <f>IFERROR(__xludf.DUMMYFUNCTION("""COMPUTED_VALUE"""),9.0)</f>
        <v>9</v>
      </c>
      <c r="E107" s="68">
        <f>IFERROR(__xludf.DUMMYFUNCTION("""COMPUTED_VALUE"""),1.0)</f>
        <v>1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IFERROR(__xludf.DUMMYFUNCTION("""COMPUTED_VALUE"""),6.0)</f>
        <v>6</v>
      </c>
      <c r="J107" s="70">
        <f>IFERROR(__xludf.DUMMYFUNCTION("""COMPUTED_VALUE"""),6.0)</f>
        <v>6</v>
      </c>
      <c r="K107" s="70">
        <f>IFERROR(__xludf.DUMMYFUNCTION("""COMPUTED_VALUE"""),18.0)</f>
        <v>18</v>
      </c>
      <c r="L107" s="70">
        <f>IFERROR(__xludf.DUMMYFUNCTION("""COMPUTED_VALUE"""),3.0)</f>
        <v>3</v>
      </c>
      <c r="M107" s="70">
        <f>IFERROR(__xludf.DUMMYFUNCTION("""COMPUTED_VALUE"""),162.0)</f>
        <v>162</v>
      </c>
      <c r="N107" s="71">
        <f>IFERROR(__xludf.DUMMYFUNCTION("""COMPUTED_VALUE"""),12.0)</f>
        <v>12</v>
      </c>
    </row>
    <row r="108">
      <c r="A108" s="1"/>
      <c r="B108" s="62" t="str">
        <f>IFERROR(__xludf.DUMMYFUNCTION("""COMPUTED_VALUE"""),"Naveen Raj")</f>
        <v>Naveen Raj</v>
      </c>
      <c r="C108" s="63">
        <f>IFERROR(__xludf.DUMMYFUNCTION("""COMPUTED_VALUE"""),142.0)</f>
        <v>142</v>
      </c>
      <c r="D108" s="64">
        <f>IFERROR(__xludf.DUMMYFUNCTION("""COMPUTED_VALUE"""),8.0)</f>
        <v>8</v>
      </c>
      <c r="E108" s="63">
        <f>IFERROR(__xludf.DUMMYFUNCTION("""COMPUTED_VALUE"""),2.0)</f>
        <v>2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IFERROR(__xludf.DUMMYFUNCTION("""COMPUTED_VALUE"""),6.0)</f>
        <v>6</v>
      </c>
      <c r="J108" s="65">
        <f>IFERROR(__xludf.DUMMYFUNCTION("""COMPUTED_VALUE"""),1.0)</f>
        <v>1</v>
      </c>
      <c r="K108" s="65">
        <f>IFERROR(__xludf.DUMMYFUNCTION("""COMPUTED_VALUE"""),13.0)</f>
        <v>13</v>
      </c>
      <c r="L108" s="65">
        <f>IFERROR(__xludf.DUMMYFUNCTION("""COMPUTED_VALUE"""),2.0)</f>
        <v>2</v>
      </c>
      <c r="M108" s="65">
        <f>IFERROR(__xludf.DUMMYFUNCTION("""COMPUTED_VALUE"""),155.0)</f>
        <v>155</v>
      </c>
      <c r="N108" s="66">
        <f>IFERROR(__xludf.DUMMYFUNCTION("""COMPUTED_VALUE"""),10.0)</f>
        <v>10</v>
      </c>
    </row>
    <row r="109">
      <c r="A109" s="1"/>
      <c r="B109" s="62" t="str">
        <f>IFERROR(__xludf.DUMMYFUNCTION("""COMPUTED_VALUE"""),"Balaji Alahari")</f>
        <v>Balaji Alahari</v>
      </c>
      <c r="C109" s="63">
        <f>IFERROR(__xludf.DUMMYFUNCTION("""COMPUTED_VALUE"""),142.0)</f>
        <v>142</v>
      </c>
      <c r="D109" s="64">
        <f>IFERROR(__xludf.DUMMYFUNCTION("""COMPUTED_VALUE"""),6.0)</f>
        <v>6</v>
      </c>
      <c r="E109" s="63">
        <f>IFERROR(__xludf.DUMMYFUNCTION("""COMPUTED_VALUE"""),2.0)</f>
        <v>2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IFERROR(__xludf.DUMMYFUNCTION("""COMPUTED_VALUE"""),2.0)</f>
        <v>2</v>
      </c>
      <c r="J109" s="65">
        <f>IFERROR(__xludf.DUMMYFUNCTION("""COMPUTED_VALUE"""),6.0)</f>
        <v>6</v>
      </c>
      <c r="K109" s="65">
        <f>IFERROR(__xludf.DUMMYFUNCTION("""COMPUTED_VALUE"""),14.0)</f>
        <v>14</v>
      </c>
      <c r="L109" s="65">
        <f>IFERROR(__xludf.DUMMYFUNCTION("""COMPUTED_VALUE"""),2.0)</f>
        <v>2</v>
      </c>
      <c r="M109" s="65">
        <f>IFERROR(__xludf.DUMMYFUNCTION("""COMPUTED_VALUE"""),156.0)</f>
        <v>156</v>
      </c>
      <c r="N109" s="66">
        <f>IFERROR(__xludf.DUMMYFUNCTION("""COMPUTED_VALUE"""),8.0)</f>
        <v>8</v>
      </c>
    </row>
    <row r="110">
      <c r="A110" s="1"/>
      <c r="B110" s="62" t="str">
        <f>IFERROR(__xludf.DUMMYFUNCTION("""COMPUTED_VALUE"""),"Chinna Ponnaganti")</f>
        <v>Chinna Ponnaganti</v>
      </c>
      <c r="C110" s="63">
        <f>IFERROR(__xludf.DUMMYFUNCTION("""COMPUTED_VALUE"""),141.0)</f>
        <v>141</v>
      </c>
      <c r="D110" s="64">
        <f>IFERROR(__xludf.DUMMYFUNCTION("""COMPUTED_VALUE"""),13.0)</f>
        <v>13</v>
      </c>
      <c r="E110" s="63">
        <f>IFERROR(__xludf.DUMMYFUNCTION("""COMPUTED_VALUE"""),1.0)</f>
        <v>1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IFERROR(__xludf.DUMMYFUNCTION("""COMPUTED_VALUE"""),3.0)</f>
        <v>3</v>
      </c>
      <c r="I110" s="65">
        <f>IFERROR(__xludf.DUMMYFUNCTION("""COMPUTED_VALUE"""),6.0)</f>
        <v>6</v>
      </c>
      <c r="J110" s="65">
        <f>IFERROR(__xludf.DUMMYFUNCTION("""COMPUTED_VALUE"""),6.0)</f>
        <v>6</v>
      </c>
      <c r="K110" s="65">
        <f>IFERROR(__xludf.DUMMYFUNCTION("""COMPUTED_VALUE"""),15.0)</f>
        <v>15</v>
      </c>
      <c r="L110" s="65">
        <f>IFERROR(__xludf.DUMMYFUNCTION("""COMPUTED_VALUE"""),2.0)</f>
        <v>2</v>
      </c>
      <c r="M110" s="65">
        <f>IFERROR(__xludf.DUMMYFUNCTION("""COMPUTED_VALUE"""),156.0)</f>
        <v>156</v>
      </c>
      <c r="N110" s="66">
        <f>IFERROR(__xludf.DUMMYFUNCTION("""COMPUTED_VALUE"""),15.0)</f>
        <v>15</v>
      </c>
    </row>
    <row r="111">
      <c r="A111" s="1"/>
      <c r="B111" s="62" t="str">
        <f>IFERROR(__xludf.DUMMYFUNCTION("""COMPUTED_VALUE"""),"Eric Tan")</f>
        <v>Eric Tan</v>
      </c>
      <c r="C111" s="63">
        <f>IFERROR(__xludf.DUMMYFUNCTION("""COMPUTED_VALUE"""),141.0)</f>
        <v>141</v>
      </c>
      <c r="D111" s="64">
        <f>IFERROR(__xludf.DUMMYFUNCTION("""COMPUTED_VALUE"""),13.0)</f>
        <v>13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IFERROR(__xludf.DUMMYFUNCTION("""COMPUTED_VALUE"""),3.0)</f>
        <v>3</v>
      </c>
      <c r="I111" s="65">
        <f>IFERROR(__xludf.DUMMYFUNCTION("""COMPUTED_VALUE"""),2.0)</f>
        <v>2</v>
      </c>
      <c r="J111" s="65">
        <f>IFERROR(__xludf.DUMMYFUNCTION("""COMPUTED_VALUE"""),1.0)</f>
        <v>1</v>
      </c>
      <c r="K111" s="65">
        <f>IFERROR(__xludf.DUMMYFUNCTION("""COMPUTED_VALUE"""),6.0)</f>
        <v>6</v>
      </c>
      <c r="L111" s="65">
        <f>IFERROR(__xludf.DUMMYFUNCTION("""COMPUTED_VALUE"""),0.0)</f>
        <v>0</v>
      </c>
      <c r="M111" s="65">
        <f>IFERROR(__xludf.DUMMYFUNCTION("""COMPUTED_VALUE"""),147.0)</f>
        <v>147</v>
      </c>
      <c r="N111" s="66">
        <f>IFERROR(__xludf.DUMMYFUNCTION("""COMPUTED_VALUE"""),13.0)</f>
        <v>13</v>
      </c>
    </row>
    <row r="112">
      <c r="A112" s="1"/>
      <c r="B112" s="67" t="str">
        <f>IFERROR(__xludf.DUMMYFUNCTION("""COMPUTED_VALUE"""),"Vinaya Kajla")</f>
        <v>Vinaya Kajla</v>
      </c>
      <c r="C112" s="68">
        <f>IFERROR(__xludf.DUMMYFUNCTION("""COMPUTED_VALUE"""),138.0)</f>
        <v>138</v>
      </c>
      <c r="D112" s="69">
        <f>IFERROR(__xludf.DUMMYFUNCTION("""COMPUTED_VALUE"""),11.0)</f>
        <v>11</v>
      </c>
      <c r="E112" s="68">
        <f>IFERROR(__xludf.DUMMYFUNCTION("""COMPUTED_VALUE"""),1.0)</f>
        <v>1</v>
      </c>
      <c r="F112" s="70">
        <f>IFERROR(__xludf.DUMMYFUNCTION("""COMPUTED_VALUE"""),7.0)</f>
        <v>7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IFERROR(__xludf.DUMMYFUNCTION("""COMPUTED_VALUE"""),7.0)</f>
        <v>7</v>
      </c>
      <c r="J112" s="70">
        <f>IFERROR(__xludf.DUMMYFUNCTION("""COMPUTED_VALUE"""),2.0)</f>
        <v>2</v>
      </c>
      <c r="K112" s="70">
        <f>IFERROR(__xludf.DUMMYFUNCTION("""COMPUTED_VALUE"""),15.0)</f>
        <v>15</v>
      </c>
      <c r="L112" s="70">
        <f>IFERROR(__xludf.DUMMYFUNCTION("""COMPUTED_VALUE"""),1.0)</f>
        <v>1</v>
      </c>
      <c r="M112" s="70">
        <f>IFERROR(__xludf.DUMMYFUNCTION("""COMPUTED_VALUE"""),153.0)</f>
        <v>153</v>
      </c>
      <c r="N112" s="71">
        <f>IFERROR(__xludf.DUMMYFUNCTION("""COMPUTED_VALUE"""),12.0)</f>
        <v>12</v>
      </c>
    </row>
    <row r="113">
      <c r="A113" s="1"/>
      <c r="B113" s="67" t="str">
        <f>IFERROR(__xludf.DUMMYFUNCTION("""COMPUTED_VALUE"""),"David Tam")</f>
        <v>David Tam</v>
      </c>
      <c r="C113" s="68">
        <f>IFERROR(__xludf.DUMMYFUNCTION("""COMPUTED_VALUE"""),137.0)</f>
        <v>137</v>
      </c>
      <c r="D113" s="69">
        <f>IFERROR(__xludf.DUMMYFUNCTION("""COMPUTED_VALUE"""),10.0)</f>
        <v>10</v>
      </c>
      <c r="E113" s="68">
        <f>IFERROR(__xludf.DUMMYFUNCTION("""COMPUTED_VALUE"""),1.0)</f>
        <v>1</v>
      </c>
      <c r="F113" s="70">
        <f>IFERROR(__xludf.DUMMYFUNCTION("""COMPUTED_VALUE"""),7.0)</f>
        <v>7</v>
      </c>
      <c r="G113" s="70">
        <f>IFERROR(__xludf.DUMMYFUNCTION("""COMPUTED_VALUE"""),0.0)</f>
        <v>0</v>
      </c>
      <c r="H113" s="70">
        <f>IFERROR(__xludf.DUMMYFUNCTION("""COMPUTED_VALUE"""),7.0)</f>
        <v>7</v>
      </c>
      <c r="I113" s="70">
        <f>IFERROR(__xludf.DUMMYFUNCTION("""COMPUTED_VALUE"""),7.0)</f>
        <v>7</v>
      </c>
      <c r="J113" s="70">
        <f>IFERROR(__xludf.DUMMYFUNCTION("""COMPUTED_VALUE"""),6.0)</f>
        <v>6</v>
      </c>
      <c r="K113" s="70">
        <f>IFERROR(__xludf.DUMMYFUNCTION("""COMPUTED_VALUE"""),20.0)</f>
        <v>20</v>
      </c>
      <c r="L113" s="70">
        <f>IFERROR(__xludf.DUMMYFUNCTION("""COMPUTED_VALUE"""),3.0)</f>
        <v>3</v>
      </c>
      <c r="M113" s="70">
        <f>IFERROR(__xludf.DUMMYFUNCTION("""COMPUTED_VALUE"""),157.0)</f>
        <v>157</v>
      </c>
      <c r="N113" s="71">
        <f>IFERROR(__xludf.DUMMYFUNCTION("""COMPUTED_VALUE"""),13.0)</f>
        <v>13</v>
      </c>
    </row>
    <row r="114">
      <c r="A114" s="1"/>
      <c r="B114" s="67" t="str">
        <f>IFERROR(__xludf.DUMMYFUNCTION("""COMPUTED_VALUE"""),"Kumar Palakeel")</f>
        <v>Kumar Palakeel</v>
      </c>
      <c r="C114" s="68">
        <f>IFERROR(__xludf.DUMMYFUNCTION("""COMPUTED_VALUE"""),132.0)</f>
        <v>132</v>
      </c>
      <c r="D114" s="69">
        <f>IFERROR(__xludf.DUMMYFUNCTION("""COMPUTED_VALUE"""),11.0)</f>
        <v>11</v>
      </c>
      <c r="E114" s="68">
        <f>IFERROR(__xludf.DUMMYFUNCTION("""COMPUTED_VALUE"""),1.0)</f>
        <v>1</v>
      </c>
      <c r="F114" s="70">
        <f>IFERROR(__xludf.DUMMYFUNCTION("""COMPUTED_VALUE"""),7.0)</f>
        <v>7</v>
      </c>
      <c r="G114" s="70">
        <f>IFERROR(__xludf.DUMMYFUNCTION("""COMPUTED_VALUE"""),0.0)</f>
        <v>0</v>
      </c>
      <c r="H114" s="70">
        <f>IFERROR(__xludf.DUMMYFUNCTION("""COMPUTED_VALUE"""),7.0)</f>
        <v>7</v>
      </c>
      <c r="I114" s="70">
        <f>IFERROR(__xludf.DUMMYFUNCTION("""COMPUTED_VALUE"""),5.0)</f>
        <v>5</v>
      </c>
      <c r="J114" s="70">
        <f>IFERROR(__xludf.DUMMYFUNCTION("""COMPUTED_VALUE"""),2.0)</f>
        <v>2</v>
      </c>
      <c r="K114" s="70">
        <f>IFERROR(__xludf.DUMMYFUNCTION("""COMPUTED_VALUE"""),14.0)</f>
        <v>14</v>
      </c>
      <c r="L114" s="70">
        <f>IFERROR(__xludf.DUMMYFUNCTION("""COMPUTED_VALUE"""),1.0)</f>
        <v>1</v>
      </c>
      <c r="M114" s="70">
        <f>IFERROR(__xludf.DUMMYFUNCTION("""COMPUTED_VALUE"""),146.0)</f>
        <v>146</v>
      </c>
      <c r="N114" s="71">
        <f>IFERROR(__xludf.DUMMYFUNCTION("""COMPUTED_VALUE"""),12.0)</f>
        <v>12</v>
      </c>
    </row>
    <row r="115">
      <c r="A115" s="1"/>
      <c r="B115" s="67" t="str">
        <f>IFERROR(__xludf.DUMMYFUNCTION("""COMPUTED_VALUE"""),"Sanjaye Elayattu")</f>
        <v>Sanjaye Elayattu</v>
      </c>
      <c r="C115" s="68">
        <f>IFERROR(__xludf.DUMMYFUNCTION("""COMPUTED_VALUE"""),121.0)</f>
        <v>121</v>
      </c>
      <c r="D115" s="69">
        <f>IFERROR(__xludf.DUMMYFUNCTION("""COMPUTED_VALUE"""),0.0)</f>
        <v>0</v>
      </c>
      <c r="E115" s="68">
        <f>IFERROR(__xludf.DUMMYFUNCTION("""COMPUTED_VALUE"""),2.0)</f>
        <v>2</v>
      </c>
      <c r="F115" s="70">
        <f>IFERROR(__xludf.DUMMYFUNCTION("""COMPUTED_VALUE"""),7.0)</f>
        <v>7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IFERROR(__xludf.DUMMYFUNCTION("""COMPUTED_VALUE"""),5.0)</f>
        <v>5</v>
      </c>
      <c r="J115" s="70">
        <f>IFERROR(__xludf.DUMMYFUNCTION("""COMPUTED_VALUE"""),6.0)</f>
        <v>6</v>
      </c>
      <c r="K115" s="70">
        <f>IFERROR(__xludf.DUMMYFUNCTION("""COMPUTED_VALUE"""),17.0)</f>
        <v>17</v>
      </c>
      <c r="L115" s="70">
        <f>IFERROR(__xludf.DUMMYFUNCTION("""COMPUTED_VALUE"""),1.0)</f>
        <v>1</v>
      </c>
      <c r="M115" s="70">
        <f>IFERROR(__xludf.DUMMYFUNCTION("""COMPUTED_VALUE"""),138.0)</f>
        <v>138</v>
      </c>
      <c r="N115" s="71">
        <f>IFERROR(__xludf.DUMMYFUNCTION("""COMPUTED_VALUE"""),1.0)</f>
        <v>1</v>
      </c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0"")"),"Peter Cheng")</f>
        <v>Peter Cheng</v>
      </c>
      <c r="C136" s="63">
        <f>IFERROR(__xludf.DUMMYFUNCTION("""COMPUTED_VALUE"""),191.0)</f>
        <v>191</v>
      </c>
      <c r="D136" s="64">
        <f>IFERROR(__xludf.DUMMYFUNCTION("""COMPUTED_VALUE"""),20.0)</f>
        <v>20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IFERROR(__xludf.DUMMYFUNCTION("""COMPUTED_VALUE"""),200.0)</f>
        <v>200</v>
      </c>
      <c r="N136" s="66">
        <f>IFERROR(__xludf.DUMMYFUNCTION("""COMPUTED_VALUE"""),20.0)</f>
        <v>20</v>
      </c>
    </row>
    <row r="137">
      <c r="A137" s="1"/>
      <c r="B137" s="62" t="str">
        <f>IFERROR(__xludf.DUMMYFUNCTION("""COMPUTED_VALUE"""),"Eric Pan")</f>
        <v>Eric Pan</v>
      </c>
      <c r="C137" s="63">
        <f>IFERROR(__xludf.DUMMYFUNCTION("""COMPUTED_VALUE"""),167.0)</f>
        <v>167</v>
      </c>
      <c r="D137" s="64">
        <f>IFERROR(__xludf.DUMMYFUNCTION("""COMPUTED_VALUE"""),15.0)</f>
        <v>15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IFERROR(__xludf.DUMMYFUNCTION("""COMPUTED_VALUE"""),176.0)</f>
        <v>176</v>
      </c>
      <c r="N137" s="66">
        <f>IFERROR(__xludf.DUMMYFUNCTION("""COMPUTED_VALUE"""),15.0)</f>
        <v>15</v>
      </c>
    </row>
    <row r="138">
      <c r="A138" s="1"/>
      <c r="B138" s="62" t="str">
        <f>IFERROR(__xludf.DUMMYFUNCTION("""COMPUTED_VALUE"""),"Sean Chang")</f>
        <v>Sean Chang</v>
      </c>
      <c r="C138" s="63">
        <f>IFERROR(__xludf.DUMMYFUNCTION("""COMPUTED_VALUE"""),167.0)</f>
        <v>167</v>
      </c>
      <c r="D138" s="64">
        <f>IFERROR(__xludf.DUMMYFUNCTION("""COMPUTED_VALUE"""),10.0)</f>
        <v>10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IFERROR(__xludf.DUMMYFUNCTION("""COMPUTED_VALUE"""),176.0)</f>
        <v>176</v>
      </c>
      <c r="N138" s="66">
        <f>IFERROR(__xludf.DUMMYFUNCTION("""COMPUTED_VALUE"""),10.0)</f>
        <v>10</v>
      </c>
    </row>
    <row r="139">
      <c r="A139" s="1"/>
      <c r="B139" s="62" t="str">
        <f>IFERROR(__xludf.DUMMYFUNCTION("""COMPUTED_VALUE"""),"Lam Bui")</f>
        <v>Lam Bui</v>
      </c>
      <c r="C139" s="63">
        <f>IFERROR(__xludf.DUMMYFUNCTION("""COMPUTED_VALUE"""),166.0)</f>
        <v>166</v>
      </c>
      <c r="D139" s="64">
        <f>IFERROR(__xludf.DUMMYFUNCTION("""COMPUTED_VALUE"""),11.0)</f>
        <v>11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IFERROR(__xludf.DUMMYFUNCTION("""COMPUTED_VALUE"""),175.0)</f>
        <v>175</v>
      </c>
      <c r="N139" s="66">
        <f>IFERROR(__xludf.DUMMYFUNCTION("""COMPUTED_VALUE"""),11.0)</f>
        <v>11</v>
      </c>
    </row>
    <row r="140">
      <c r="A140" s="1"/>
      <c r="B140" s="62" t="str">
        <f>IFERROR(__xludf.DUMMYFUNCTION("""COMPUTED_VALUE"""),"Christopher Li")</f>
        <v>Christopher Li</v>
      </c>
      <c r="C140" s="63">
        <f>IFERROR(__xludf.DUMMYFUNCTION("""COMPUTED_VALUE"""),161.0)</f>
        <v>161</v>
      </c>
      <c r="D140" s="64">
        <f>IFERROR(__xludf.DUMMYFUNCTION("""COMPUTED_VALUE"""),16.0)</f>
        <v>16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IFERROR(__xludf.DUMMYFUNCTION("""COMPUTED_VALUE"""),170.0)</f>
        <v>170</v>
      </c>
      <c r="N140" s="66">
        <f>IFERROR(__xludf.DUMMYFUNCTION("""COMPUTED_VALUE"""),16.0)</f>
        <v>16</v>
      </c>
    </row>
    <row r="141">
      <c r="A141" s="1"/>
      <c r="B141" s="62" t="str">
        <f>IFERROR(__xludf.DUMMYFUNCTION("""COMPUTED_VALUE"""),"Andrew Wen")</f>
        <v>Andrew Wen</v>
      </c>
      <c r="C141" s="63">
        <f>IFERROR(__xludf.DUMMYFUNCTION("""COMPUTED_VALUE"""),153.0)</f>
        <v>153</v>
      </c>
      <c r="D141" s="64">
        <f>IFERROR(__xludf.DUMMYFUNCTION("""COMPUTED_VALUE"""),16.0)</f>
        <v>16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IFERROR(__xludf.DUMMYFUNCTION("""COMPUTED_VALUE"""),162.0)</f>
        <v>162</v>
      </c>
      <c r="N141" s="66">
        <f>IFERROR(__xludf.DUMMYFUNCTION("""COMPUTED_VALUE"""),16.0)</f>
        <v>16</v>
      </c>
    </row>
    <row r="142">
      <c r="A142" s="1"/>
      <c r="B142" s="62" t="str">
        <f>IFERROR(__xludf.DUMMYFUNCTION("""COMPUTED_VALUE"""),"Oscar Bonilla")</f>
        <v>Oscar Bonilla</v>
      </c>
      <c r="C142" s="63">
        <f>IFERROR(__xludf.DUMMYFUNCTION("""COMPUTED_VALUE"""),153.0)</f>
        <v>153</v>
      </c>
      <c r="D142" s="64">
        <f>IFERROR(__xludf.DUMMYFUNCTION("""COMPUTED_VALUE"""),10.0)</f>
        <v>10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IFERROR(__xludf.DUMMYFUNCTION("""COMPUTED_VALUE"""),162.0)</f>
        <v>162</v>
      </c>
      <c r="N142" s="66">
        <f>IFERROR(__xludf.DUMMYFUNCTION("""COMPUTED_VALUE"""),10.0)</f>
        <v>10</v>
      </c>
    </row>
    <row r="143">
      <c r="A143" s="1"/>
      <c r="B143" s="62" t="str">
        <f>IFERROR(__xludf.DUMMYFUNCTION("""COMPUTED_VALUE"""),"Rajasekar Ramasamy")</f>
        <v>Rajasekar Ramasamy</v>
      </c>
      <c r="C143" s="63">
        <f>IFERROR(__xludf.DUMMYFUNCTION("""COMPUTED_VALUE"""),152.0)</f>
        <v>152</v>
      </c>
      <c r="D143" s="64">
        <f>IFERROR(__xludf.DUMMYFUNCTION("""COMPUTED_VALUE"""),13.0)</f>
        <v>13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IFERROR(__xludf.DUMMYFUNCTION("""COMPUTED_VALUE"""),161.0)</f>
        <v>161</v>
      </c>
      <c r="N143" s="66">
        <f>IFERROR(__xludf.DUMMYFUNCTION("""COMPUTED_VALUE"""),13.0)</f>
        <v>13</v>
      </c>
    </row>
    <row r="144">
      <c r="A144" s="1"/>
      <c r="B144" s="62" t="str">
        <f>IFERROR(__xludf.DUMMYFUNCTION("""COMPUTED_VALUE"""),"Kingsley Kuo")</f>
        <v>Kingsley Kuo</v>
      </c>
      <c r="C144" s="63">
        <f>IFERROR(__xludf.DUMMYFUNCTION("""COMPUTED_VALUE"""),152.0)</f>
        <v>152</v>
      </c>
      <c r="D144" s="64">
        <f>IFERROR(__xludf.DUMMYFUNCTION("""COMPUTED_VALUE"""),11.0)</f>
        <v>11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IFERROR(__xludf.DUMMYFUNCTION("""COMPUTED_VALUE"""),161.0)</f>
        <v>161</v>
      </c>
      <c r="N144" s="66">
        <f>IFERROR(__xludf.DUMMYFUNCTION("""COMPUTED_VALUE"""),11.0)</f>
        <v>11</v>
      </c>
    </row>
    <row r="145">
      <c r="A145" s="1"/>
      <c r="B145" s="62" t="str">
        <f>IFERROR(__xludf.DUMMYFUNCTION("""COMPUTED_VALUE"""),"Erik Hoeckmann")</f>
        <v>Erik Hoeckmann</v>
      </c>
      <c r="C145" s="63">
        <f>IFERROR(__xludf.DUMMYFUNCTION("""COMPUTED_VALUE"""),150.0)</f>
        <v>150</v>
      </c>
      <c r="D145" s="64">
        <f>IFERROR(__xludf.DUMMYFUNCTION("""COMPUTED_VALUE"""),13.0)</f>
        <v>13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IFERROR(__xludf.DUMMYFUNCTION("""COMPUTED_VALUE"""),159.0)</f>
        <v>159</v>
      </c>
      <c r="N145" s="66">
        <f>IFERROR(__xludf.DUMMYFUNCTION("""COMPUTED_VALUE"""),13.0)</f>
        <v>13</v>
      </c>
    </row>
    <row r="146">
      <c r="A146" s="1"/>
      <c r="B146" s="62" t="str">
        <f>IFERROR(__xludf.DUMMYFUNCTION("""COMPUTED_VALUE"""),"Matthew Huang")</f>
        <v>Matthew Huang</v>
      </c>
      <c r="C146" s="63">
        <f>IFERROR(__xludf.DUMMYFUNCTION("""COMPUTED_VALUE"""),150.0)</f>
        <v>150</v>
      </c>
      <c r="D146" s="64">
        <f>IFERROR(__xludf.DUMMYFUNCTION("""COMPUTED_VALUE"""),9.0)</f>
        <v>9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IFERROR(__xludf.DUMMYFUNCTION("""COMPUTED_VALUE"""),159.0)</f>
        <v>159</v>
      </c>
      <c r="N146" s="66">
        <f>IFERROR(__xludf.DUMMYFUNCTION("""COMPUTED_VALUE"""),9.0)</f>
        <v>9</v>
      </c>
    </row>
    <row r="147">
      <c r="A147" s="1"/>
      <c r="B147" s="62" t="str">
        <f>IFERROR(__xludf.DUMMYFUNCTION("""COMPUTED_VALUE"""),"Andrew Chin")</f>
        <v>Andrew Chin</v>
      </c>
      <c r="C147" s="63">
        <f>IFERROR(__xludf.DUMMYFUNCTION("""COMPUTED_VALUE"""),148.0)</f>
        <v>148</v>
      </c>
      <c r="D147" s="64">
        <f>IFERROR(__xludf.DUMMYFUNCTION("""COMPUTED_VALUE"""),10.0)</f>
        <v>10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IFERROR(__xludf.DUMMYFUNCTION("""COMPUTED_VALUE"""),157.0)</f>
        <v>157</v>
      </c>
      <c r="N147" s="66">
        <f>IFERROR(__xludf.DUMMYFUNCTION("""COMPUTED_VALUE"""),10.0)</f>
        <v>10</v>
      </c>
    </row>
    <row r="148">
      <c r="A148" s="1"/>
      <c r="B148" s="62" t="str">
        <f>IFERROR(__xludf.DUMMYFUNCTION("""COMPUTED_VALUE"""),"Susanta Mishra")</f>
        <v>Susanta Mishra</v>
      </c>
      <c r="C148" s="63">
        <f>IFERROR(__xludf.DUMMYFUNCTION("""COMPUTED_VALUE"""),146.0)</f>
        <v>146</v>
      </c>
      <c r="D148" s="64">
        <f>IFERROR(__xludf.DUMMYFUNCTION("""COMPUTED_VALUE"""),9.0)</f>
        <v>9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IFERROR(__xludf.DUMMYFUNCTION("""COMPUTED_VALUE"""),155.0)</f>
        <v>155</v>
      </c>
      <c r="N148" s="66">
        <f>IFERROR(__xludf.DUMMYFUNCTION("""COMPUTED_VALUE"""),9.0)</f>
        <v>9</v>
      </c>
    </row>
    <row r="149">
      <c r="A149" s="1"/>
      <c r="B149" s="62" t="str">
        <f>IFERROR(__xludf.DUMMYFUNCTION("""COMPUTED_VALUE"""),"Ramesh Bandaru")</f>
        <v>Ramesh Bandaru</v>
      </c>
      <c r="C149" s="63">
        <f>IFERROR(__xludf.DUMMYFUNCTION("""COMPUTED_VALUE"""),143.0)</f>
        <v>143</v>
      </c>
      <c r="D149" s="64">
        <f>IFERROR(__xludf.DUMMYFUNCTION("""COMPUTED_VALUE"""),9.0)</f>
        <v>9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IFERROR(__xludf.DUMMYFUNCTION("""COMPUTED_VALUE"""),152.0)</f>
        <v>152</v>
      </c>
      <c r="N149" s="66">
        <f>IFERROR(__xludf.DUMMYFUNCTION("""COMPUTED_VALUE"""),9.0)</f>
        <v>9</v>
      </c>
    </row>
    <row r="150">
      <c r="A150" s="1"/>
      <c r="B150" s="62" t="str">
        <f>IFERROR(__xludf.DUMMYFUNCTION("""COMPUTED_VALUE"""),"Vishnu Amarnath")</f>
        <v>Vishnu Amarnath</v>
      </c>
      <c r="C150" s="63">
        <f>IFERROR(__xludf.DUMMYFUNCTION("""COMPUTED_VALUE"""),141.0)</f>
        <v>141</v>
      </c>
      <c r="D150" s="64">
        <f>IFERROR(__xludf.DUMMYFUNCTION("""COMPUTED_VALUE"""),13.0)</f>
        <v>13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IFERROR(__xludf.DUMMYFUNCTION("""COMPUTED_VALUE"""),150.0)</f>
        <v>150</v>
      </c>
      <c r="N150" s="66">
        <f>IFERROR(__xludf.DUMMYFUNCTION("""COMPUTED_VALUE"""),13.0)</f>
        <v>13</v>
      </c>
    </row>
    <row r="151">
      <c r="A151" s="1"/>
      <c r="B151" s="62" t="str">
        <f>IFERROR(__xludf.DUMMYFUNCTION("""COMPUTED_VALUE"""),"Manish Anand")</f>
        <v>Manish Anand</v>
      </c>
      <c r="C151" s="63">
        <f>IFERROR(__xludf.DUMMYFUNCTION("""COMPUTED_VALUE"""),140.0)</f>
        <v>140</v>
      </c>
      <c r="D151" s="64">
        <f>IFERROR(__xludf.DUMMYFUNCTION("""COMPUTED_VALUE"""),7.0)</f>
        <v>7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IFERROR(__xludf.DUMMYFUNCTION("""COMPUTED_VALUE"""),149.0)</f>
        <v>149</v>
      </c>
      <c r="N151" s="66">
        <f>IFERROR(__xludf.DUMMYFUNCTION("""COMPUTED_VALUE"""),7.0)</f>
        <v>7</v>
      </c>
    </row>
    <row r="152">
      <c r="A152" s="1"/>
      <c r="B152" s="62" t="str">
        <f>IFERROR(__xludf.DUMMYFUNCTION("""COMPUTED_VALUE"""),"Savay Lieu")</f>
        <v>Savay Lieu</v>
      </c>
      <c r="C152" s="63">
        <f>IFERROR(__xludf.DUMMYFUNCTION("""COMPUTED_VALUE"""),140.0)</f>
        <v>140</v>
      </c>
      <c r="D152" s="64">
        <f>IFERROR(__xludf.DUMMYFUNCTION("""COMPUTED_VALUE"""),5.0)</f>
        <v>5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IFERROR(__xludf.DUMMYFUNCTION("""COMPUTED_VALUE"""),149.0)</f>
        <v>149</v>
      </c>
      <c r="N152" s="66">
        <f>IFERROR(__xludf.DUMMYFUNCTION("""COMPUTED_VALUE"""),5.0)</f>
        <v>5</v>
      </c>
    </row>
    <row r="153">
      <c r="A153" s="1"/>
      <c r="B153" s="62" t="str">
        <f>IFERROR(__xludf.DUMMYFUNCTION("""COMPUTED_VALUE"""),"Vinot Kumar Nagappan")</f>
        <v>Vinot Kumar Nagappan</v>
      </c>
      <c r="C153" s="63">
        <f>IFERROR(__xludf.DUMMYFUNCTION("""COMPUTED_VALUE"""),139.0)</f>
        <v>139</v>
      </c>
      <c r="D153" s="64">
        <f>IFERROR(__xludf.DUMMYFUNCTION("""COMPUTED_VALUE"""),7.0)</f>
        <v>7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IFERROR(__xludf.DUMMYFUNCTION("""COMPUTED_VALUE"""),148.0)</f>
        <v>148</v>
      </c>
      <c r="N153" s="66">
        <f>IFERROR(__xludf.DUMMYFUNCTION("""COMPUTED_VALUE"""),7.0)</f>
        <v>7</v>
      </c>
    </row>
    <row r="154">
      <c r="A154" s="1"/>
      <c r="B154" s="62" t="str">
        <f>IFERROR(__xludf.DUMMYFUNCTION("""COMPUTED_VALUE"""),"Jimmy Awolesi")</f>
        <v>Jimmy Awolesi</v>
      </c>
      <c r="C154" s="63">
        <f>IFERROR(__xludf.DUMMYFUNCTION("""COMPUTED_VALUE"""),138.0)</f>
        <v>138</v>
      </c>
      <c r="D154" s="64">
        <f>IFERROR(__xludf.DUMMYFUNCTION("""COMPUTED_VALUE"""),10.0)</f>
        <v>10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IFERROR(__xludf.DUMMYFUNCTION("""COMPUTED_VALUE"""),147.0)</f>
        <v>147</v>
      </c>
      <c r="N154" s="66">
        <f>IFERROR(__xludf.DUMMYFUNCTION("""COMPUTED_VALUE"""),10.0)</f>
        <v>10</v>
      </c>
    </row>
    <row r="155">
      <c r="A155" s="1"/>
      <c r="B155" s="62" t="str">
        <f>IFERROR(__xludf.DUMMYFUNCTION("""COMPUTED_VALUE"""),"Tony Wong")</f>
        <v>Tony Wong</v>
      </c>
      <c r="C155" s="63">
        <f>IFERROR(__xludf.DUMMYFUNCTION("""COMPUTED_VALUE"""),138.0)</f>
        <v>138</v>
      </c>
      <c r="D155" s="64">
        <f>IFERROR(__xludf.DUMMYFUNCTION("""COMPUTED_VALUE"""),9.0)</f>
        <v>9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IFERROR(__xludf.DUMMYFUNCTION("""COMPUTED_VALUE"""),147.0)</f>
        <v>147</v>
      </c>
      <c r="N155" s="66">
        <f>IFERROR(__xludf.DUMMYFUNCTION("""COMPUTED_VALUE"""),9.0)</f>
        <v>9</v>
      </c>
    </row>
    <row r="156">
      <c r="A156" s="1"/>
      <c r="B156" s="62" t="str">
        <f>IFERROR(__xludf.DUMMYFUNCTION("""COMPUTED_VALUE"""),"Sandy Weyant")</f>
        <v>Sandy Weyant</v>
      </c>
      <c r="C156" s="63">
        <f>IFERROR(__xludf.DUMMYFUNCTION("""COMPUTED_VALUE"""),138.0)</f>
        <v>138</v>
      </c>
      <c r="D156" s="64">
        <f>IFERROR(__xludf.DUMMYFUNCTION("""COMPUTED_VALUE"""),7.0)</f>
        <v>7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IFERROR(__xludf.DUMMYFUNCTION("""COMPUTED_VALUE"""),147.0)</f>
        <v>147</v>
      </c>
      <c r="N156" s="66">
        <f>IFERROR(__xludf.DUMMYFUNCTION("""COMPUTED_VALUE"""),7.0)</f>
        <v>7</v>
      </c>
    </row>
    <row r="157">
      <c r="A157" s="1"/>
      <c r="B157" s="62" t="str">
        <f>IFERROR(__xludf.DUMMYFUNCTION("""COMPUTED_VALUE"""),"Elayaraja Thangaraj ")</f>
        <v>Elayaraja Thangaraj </v>
      </c>
      <c r="C157" s="63">
        <f>IFERROR(__xludf.DUMMYFUNCTION("""COMPUTED_VALUE"""),135.0)</f>
        <v>135</v>
      </c>
      <c r="D157" s="64">
        <f>IFERROR(__xludf.DUMMYFUNCTION("""COMPUTED_VALUE"""),11.0)</f>
        <v>11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IFERROR(__xludf.DUMMYFUNCTION("""COMPUTED_VALUE"""),144.0)</f>
        <v>144</v>
      </c>
      <c r="N157" s="66">
        <f>IFERROR(__xludf.DUMMYFUNCTION("""COMPUTED_VALUE"""),11.0)</f>
        <v>11</v>
      </c>
    </row>
    <row r="158">
      <c r="A158" s="1"/>
      <c r="B158" s="62" t="str">
        <f>IFERROR(__xludf.DUMMYFUNCTION("""COMPUTED_VALUE"""),"Trinath Goteti")</f>
        <v>Trinath Goteti</v>
      </c>
      <c r="C158" s="63">
        <f>IFERROR(__xludf.DUMMYFUNCTION("""COMPUTED_VALUE"""),135.0)</f>
        <v>135</v>
      </c>
      <c r="D158" s="64">
        <f>IFERROR(__xludf.DUMMYFUNCTION("""COMPUTED_VALUE"""),5.0)</f>
        <v>5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IFERROR(__xludf.DUMMYFUNCTION("""COMPUTED_VALUE"""),144.0)</f>
        <v>144</v>
      </c>
      <c r="N158" s="66">
        <f>IFERROR(__xludf.DUMMYFUNCTION("""COMPUTED_VALUE"""),5.0)</f>
        <v>5</v>
      </c>
    </row>
    <row r="159">
      <c r="A159" s="1"/>
      <c r="B159" s="62" t="str">
        <f>IFERROR(__xludf.DUMMYFUNCTION("""COMPUTED_VALUE"""),"Sudhagar Subbaian")</f>
        <v>Sudhagar Subbaian</v>
      </c>
      <c r="C159" s="63">
        <f>IFERROR(__xludf.DUMMYFUNCTION("""COMPUTED_VALUE"""),135.0)</f>
        <v>135</v>
      </c>
      <c r="D159" s="64">
        <f>IFERROR(__xludf.DUMMYFUNCTION("""COMPUTED_VALUE"""),5.0)</f>
        <v>5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IFERROR(__xludf.DUMMYFUNCTION("""COMPUTED_VALUE"""),144.0)</f>
        <v>144</v>
      </c>
      <c r="N159" s="66">
        <f>IFERROR(__xludf.DUMMYFUNCTION("""COMPUTED_VALUE"""),5.0)</f>
        <v>5</v>
      </c>
    </row>
    <row r="160">
      <c r="A160" s="1"/>
      <c r="B160" s="62" t="str">
        <f>IFERROR(__xludf.DUMMYFUNCTION("""COMPUTED_VALUE"""),"Robert Chang")</f>
        <v>Robert Chang</v>
      </c>
      <c r="C160" s="63">
        <f>IFERROR(__xludf.DUMMYFUNCTION("""COMPUTED_VALUE"""),135.0)</f>
        <v>135</v>
      </c>
      <c r="D160" s="64">
        <f>IFERROR(__xludf.DUMMYFUNCTION("""COMPUTED_VALUE"""),4.0)</f>
        <v>4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IFERROR(__xludf.DUMMYFUNCTION("""COMPUTED_VALUE"""),144.0)</f>
        <v>144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IFERROR(__xludf.DUMMYFUNCTION("""COMPUTED_VALUE"""),"Nohely Mejia")</f>
        <v>Nohely Mejia</v>
      </c>
      <c r="C161" s="63">
        <f>IFERROR(__xludf.DUMMYFUNCTION("""COMPUTED_VALUE"""),135.0)</f>
        <v>135</v>
      </c>
      <c r="D161" s="64">
        <f>IFERROR(__xludf.DUMMYFUNCTION("""COMPUTED_VALUE"""),3.0)</f>
        <v>3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IFERROR(__xludf.DUMMYFUNCTION("""COMPUTED_VALUE"""),144.0)</f>
        <v>144</v>
      </c>
      <c r="N161" s="66">
        <f>IFERROR(__xludf.DUMMYFUNCTION("""COMPUTED_VALUE"""),3.0)</f>
        <v>3</v>
      </c>
    </row>
    <row r="162">
      <c r="A162" s="1"/>
      <c r="B162" s="62" t="str">
        <f>IFERROR(__xludf.DUMMYFUNCTION("""COMPUTED_VALUE"""),"Alejandro Mejia")</f>
        <v>Alejandro Mejia</v>
      </c>
      <c r="C162" s="63">
        <f>IFERROR(__xludf.DUMMYFUNCTION("""COMPUTED_VALUE"""),133.0)</f>
        <v>133</v>
      </c>
      <c r="D162" s="64">
        <f>IFERROR(__xludf.DUMMYFUNCTION("""COMPUTED_VALUE"""),4.0)</f>
        <v>4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IFERROR(__xludf.DUMMYFUNCTION("""COMPUTED_VALUE"""),142.0)</f>
        <v>142</v>
      </c>
      <c r="N162" s="66">
        <f>IFERROR(__xludf.DUMMYFUNCTION("""COMPUTED_VALUE"""),4.0)</f>
        <v>4</v>
      </c>
    </row>
    <row r="163">
      <c r="A163" s="1"/>
      <c r="B163" s="62" t="str">
        <f>IFERROR(__xludf.DUMMYFUNCTION("""COMPUTED_VALUE"""),"Rosie Bonilla")</f>
        <v>Rosie Bonilla</v>
      </c>
      <c r="C163" s="63">
        <f>IFERROR(__xludf.DUMMYFUNCTION("""COMPUTED_VALUE"""),132.0)</f>
        <v>132</v>
      </c>
      <c r="D163" s="64">
        <f>IFERROR(__xludf.DUMMYFUNCTION("""COMPUTED_VALUE"""),2.0)</f>
        <v>2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IFERROR(__xludf.DUMMYFUNCTION("""COMPUTED_VALUE"""),141.0)</f>
        <v>141</v>
      </c>
      <c r="N163" s="66">
        <f>IFERROR(__xludf.DUMMYFUNCTION("""COMPUTED_VALUE"""),2.0)</f>
        <v>2</v>
      </c>
    </row>
    <row r="164">
      <c r="A164" s="1"/>
      <c r="B164" s="62" t="str">
        <f>IFERROR(__xludf.DUMMYFUNCTION("""COMPUTED_VALUE"""),"Ash Nikravan")</f>
        <v>Ash Nikravan</v>
      </c>
      <c r="C164" s="63">
        <f>IFERROR(__xludf.DUMMYFUNCTION("""COMPUTED_VALUE"""),128.0)</f>
        <v>128</v>
      </c>
      <c r="D164" s="64">
        <f>IFERROR(__xludf.DUMMYFUNCTION("""COMPUTED_VALUE"""),5.0)</f>
        <v>5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IFERROR(__xludf.DUMMYFUNCTION("""COMPUTED_VALUE"""),137.0)</f>
        <v>137</v>
      </c>
      <c r="N164" s="66">
        <f>IFERROR(__xludf.DUMMYFUNCTION("""COMPUTED_VALUE"""),5.0)</f>
        <v>5</v>
      </c>
    </row>
    <row r="165">
      <c r="A165" s="1"/>
      <c r="B165" s="62" t="str">
        <f>IFERROR(__xludf.DUMMYFUNCTION("""COMPUTED_VALUE"""),"Troy Wong")</f>
        <v>Troy Wong</v>
      </c>
      <c r="C165" s="63">
        <f>IFERROR(__xludf.DUMMYFUNCTION("""COMPUTED_VALUE"""),127.0)</f>
        <v>127</v>
      </c>
      <c r="D165" s="64">
        <f>IFERROR(__xludf.DUMMYFUNCTION("""COMPUTED_VALUE"""),4.0)</f>
        <v>4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IFERROR(__xludf.DUMMYFUNCTION("""COMPUTED_VALUE"""),136.0)</f>
        <v>136</v>
      </c>
      <c r="N165" s="66">
        <f>IFERROR(__xludf.DUMMYFUNCTION("""COMPUTED_VALUE"""),4.0)</f>
        <v>4</v>
      </c>
    </row>
    <row r="166">
      <c r="A166" s="1"/>
      <c r="B166" s="62" t="str">
        <f>IFERROR(__xludf.DUMMYFUNCTION("""COMPUTED_VALUE"""),"Tony Lin")</f>
        <v>Tony Lin</v>
      </c>
      <c r="C166" s="63">
        <f>IFERROR(__xludf.DUMMYFUNCTION("""COMPUTED_VALUE"""),126.0)</f>
        <v>126</v>
      </c>
      <c r="D166" s="64">
        <f>IFERROR(__xludf.DUMMYFUNCTION("""COMPUTED_VALUE"""),3.0)</f>
        <v>3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IFERROR(__xludf.DUMMYFUNCTION("""COMPUTED_VALUE"""),135.0)</f>
        <v>135</v>
      </c>
      <c r="N166" s="66">
        <f>IFERROR(__xludf.DUMMYFUNCTION("""COMPUTED_VALUE"""),3.0)</f>
        <v>3</v>
      </c>
    </row>
    <row r="167">
      <c r="A167" s="1"/>
      <c r="B167" s="62" t="str">
        <f>IFERROR(__xludf.DUMMYFUNCTION("""COMPUTED_VALUE"""),"Chandrasekar Chinnathambi")</f>
        <v>Chandrasekar Chinnathambi</v>
      </c>
      <c r="C167" s="63">
        <f>IFERROR(__xludf.DUMMYFUNCTION("""COMPUTED_VALUE"""),124.0)</f>
        <v>124</v>
      </c>
      <c r="D167" s="64">
        <f>IFERROR(__xludf.DUMMYFUNCTION("""COMPUTED_VALUE"""),1.0)</f>
        <v>1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IFERROR(__xludf.DUMMYFUNCTION("""COMPUTED_VALUE"""),133.0)</f>
        <v>133</v>
      </c>
      <c r="N167" s="66">
        <f>IFERROR(__xludf.DUMMYFUNCTION("""COMPUTED_VALUE"""),1.0)</f>
        <v>1</v>
      </c>
    </row>
    <row r="168">
      <c r="A168" s="1"/>
      <c r="B168" s="62" t="str">
        <f>IFERROR(__xludf.DUMMYFUNCTION("""COMPUTED_VALUE"""),"Amit Patel")</f>
        <v>Amit Patel</v>
      </c>
      <c r="C168" s="63">
        <f>IFERROR(__xludf.DUMMYFUNCTION("""COMPUTED_VALUE"""),123.0)</f>
        <v>123</v>
      </c>
      <c r="D168" s="64">
        <f>IFERROR(__xludf.DUMMYFUNCTION("""COMPUTED_VALUE"""),2.0)</f>
        <v>2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IFERROR(__xludf.DUMMYFUNCTION("""COMPUTED_VALUE"""),132.0)</f>
        <v>132</v>
      </c>
      <c r="N168" s="66">
        <f>IFERROR(__xludf.DUMMYFUNCTION("""COMPUTED_VALUE"""),2.0)</f>
        <v>2</v>
      </c>
    </row>
    <row r="169">
      <c r="A169" s="1"/>
      <c r="B169" s="62" t="str">
        <f>IFERROR(__xludf.DUMMYFUNCTION("""COMPUTED_VALUE"""),"Marcus Yovas")</f>
        <v>Marcus Yovas</v>
      </c>
      <c r="C169" s="63">
        <f>IFERROR(__xludf.DUMMYFUNCTION("""COMPUTED_VALUE"""),121.0)</f>
        <v>121</v>
      </c>
      <c r="D169" s="64">
        <f>IFERROR(__xludf.DUMMYFUNCTION("""COMPUTED_VALUE"""),2.0)</f>
        <v>2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IFERROR(__xludf.DUMMYFUNCTION("""COMPUTED_VALUE"""),130.0)</f>
        <v>130</v>
      </c>
      <c r="N169" s="66">
        <f>IFERROR(__xludf.DUMMYFUNCTION("""COMPUTED_VALUE"""),2.0)</f>
        <v>2</v>
      </c>
    </row>
    <row r="170">
      <c r="A170" s="1"/>
      <c r="B170" s="62" t="str">
        <f>IFERROR(__xludf.DUMMYFUNCTION("""COMPUTED_VALUE"""),"Santosh Sundaresan ")</f>
        <v>Santosh Sundaresan </v>
      </c>
      <c r="C170" s="63">
        <f>IFERROR(__xludf.DUMMYFUNCTION("""COMPUTED_VALUE"""),120.0)</f>
        <v>120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IFERROR(__xludf.DUMMYFUNCTION("""COMPUTED_VALUE"""),129.0)</f>
        <v>129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IFERROR(__xludf.DUMMYFUNCTION("""COMPUTED_VALUE"""),"Joyce Zhu")</f>
        <v>Joyce Zhu</v>
      </c>
      <c r="C171" s="63">
        <f>IFERROR(__xludf.DUMMYFUNCTION("""COMPUTED_VALUE"""),118.0)</f>
        <v>118</v>
      </c>
      <c r="D171" s="64">
        <f>IFERROR(__xludf.DUMMYFUNCTION("""COMPUTED_VALUE"""),4.0)</f>
        <v>4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IFERROR(__xludf.DUMMYFUNCTION("""COMPUTED_VALUE"""),127.0)</f>
        <v>127</v>
      </c>
      <c r="N171" s="66">
        <f>IFERROR(__xludf.DUMMYFUNCTION("""COMPUTED_VALUE"""),4.0)</f>
        <v>4</v>
      </c>
    </row>
    <row r="172">
      <c r="A172" s="1"/>
      <c r="B172" s="62" t="str">
        <f>IFERROR(__xludf.DUMMYFUNCTION("""COMPUTED_VALUE"""),"Vilas Janardhanan")</f>
        <v>Vilas Janardhanan</v>
      </c>
      <c r="C172" s="63">
        <f>IFERROR(__xludf.DUMMYFUNCTION("""COMPUTED_VALUE"""),117.0)</f>
        <v>117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IFERROR(__xludf.DUMMYFUNCTION("""COMPUTED_VALUE"""),126.0)</f>
        <v>126</v>
      </c>
      <c r="N172" s="66">
        <f>IFERROR(__xludf.DUMMYFUNCTION("""COMPUTED_VALUE"""),0.0)</f>
        <v>0</v>
      </c>
    </row>
    <row r="173">
      <c r="A173" s="1"/>
      <c r="B173" s="62" t="str">
        <f>IFERROR(__xludf.DUMMYFUNCTION("""COMPUTED_VALUE"""),"Coco Yan")</f>
        <v>Coco Yan</v>
      </c>
      <c r="C173" s="63">
        <f>IFERROR(__xludf.DUMMYFUNCTION("""COMPUTED_VALUE"""),117.0)</f>
        <v>117</v>
      </c>
      <c r="D173" s="64">
        <f>IFERROR(__xludf.DUMMYFUNCTION("""COMPUTED_VALUE"""),0.0)</f>
        <v>0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IFERROR(__xludf.DUMMYFUNCTION("""COMPUTED_VALUE"""),126.0)</f>
        <v>126</v>
      </c>
      <c r="N173" s="66">
        <f>IFERROR(__xludf.DUMMYFUNCTION("""COMPUTED_VALUE"""),0.0)</f>
        <v>0</v>
      </c>
    </row>
    <row r="174">
      <c r="A174" s="1"/>
      <c r="B174" s="62" t="str">
        <f>IFERROR(__xludf.DUMMYFUNCTION("""COMPUTED_VALUE"""),"Tiffany Yu")</f>
        <v>Tiffany Yu</v>
      </c>
      <c r="C174" s="63">
        <f>IFERROR(__xludf.DUMMYFUNCTION("""COMPUTED_VALUE"""),116.0)</f>
        <v>116</v>
      </c>
      <c r="D174" s="64">
        <f>IFERROR(__xludf.DUMMYFUNCTION("""COMPUTED_VALUE"""),2.0)</f>
        <v>2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IFERROR(__xludf.DUMMYFUNCTION("""COMPUTED_VALUE"""),125.0)</f>
        <v>125</v>
      </c>
      <c r="N174" s="66">
        <f>IFERROR(__xludf.DUMMYFUNCTION("""COMPUTED_VALUE"""),2.0)</f>
        <v>2</v>
      </c>
    </row>
    <row r="175">
      <c r="A175" s="1"/>
      <c r="B175" s="62" t="str">
        <f>IFERROR(__xludf.DUMMYFUNCTION("""COMPUTED_VALUE"""),"Sai Dilip Ponnaganti")</f>
        <v>Sai Dilip Ponnaganti</v>
      </c>
      <c r="C175" s="63">
        <f>IFERROR(__xludf.DUMMYFUNCTION("""COMPUTED_VALUE"""),108.0)</f>
        <v>108</v>
      </c>
      <c r="D175" s="64">
        <f>IFERROR(__xludf.DUMMYFUNCTION("""COMPUTED_VALUE"""),0.0)</f>
        <v>0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IFERROR(__xludf.DUMMYFUNCTION("""COMPUTED_VALUE"""),117.0)</f>
        <v>117</v>
      </c>
      <c r="N175" s="66">
        <f>IFERROR(__xludf.DUMMYFUNCTION("""COMPUTED_VALUE"""),0.0)</f>
        <v>0</v>
      </c>
    </row>
    <row r="176">
      <c r="A176" s="1"/>
      <c r="B176" s="62" t="str">
        <f>IFERROR(__xludf.DUMMYFUNCTION("""COMPUTED_VALUE"""),"Jose Ortiz")</f>
        <v>Jose Ortiz</v>
      </c>
      <c r="C176" s="63">
        <f>IFERROR(__xludf.DUMMYFUNCTION("""COMPUTED_VALUE"""),107.0)</f>
        <v>107</v>
      </c>
      <c r="D176" s="64">
        <f>IFERROR(__xludf.DUMMYFUNCTION("""COMPUTED_VALUE"""),2.0)</f>
        <v>2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IFERROR(__xludf.DUMMYFUNCTION("""COMPUTED_VALUE"""),116.0)</f>
        <v>116</v>
      </c>
      <c r="N176" s="66">
        <f>IFERROR(__xludf.DUMMYFUNCTION("""COMPUTED_VALUE"""),2.0)</f>
        <v>2</v>
      </c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45402.0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13.0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48</v>
      </c>
      <c r="C5" s="28">
        <v>173.0</v>
      </c>
      <c r="D5" s="29">
        <v>17.0</v>
      </c>
      <c r="E5" s="30">
        <v>2.0</v>
      </c>
      <c r="F5" s="31">
        <v>1.0</v>
      </c>
      <c r="G5" s="28">
        <v>0.0</v>
      </c>
      <c r="H5" s="31">
        <v>6.0</v>
      </c>
      <c r="I5" s="31">
        <v>6.0</v>
      </c>
      <c r="J5" s="31">
        <v>6.0</v>
      </c>
      <c r="K5" s="33">
        <v>18.0</v>
      </c>
      <c r="L5" s="31">
        <v>3.0</v>
      </c>
      <c r="M5" s="28">
        <f t="shared" ref="M5:N5" si="1">C5+K5</f>
        <v>191</v>
      </c>
      <c r="N5" s="29">
        <f t="shared" si="1"/>
        <v>20</v>
      </c>
      <c r="O5" s="35" t="s">
        <v>46</v>
      </c>
      <c r="P5" s="35" t="s">
        <v>46</v>
      </c>
      <c r="Q5" s="31">
        <f>if(G5=13,1,0)+VLOOKUP(B5,'041324'!B:Q,16,false)</f>
        <v>2</v>
      </c>
      <c r="R5" s="31"/>
      <c r="S5" s="31">
        <f>if(G5=9,1,0)+VLOOKUP(B5,'041324'!B:S,18,false)</f>
        <v>3</v>
      </c>
    </row>
    <row r="6">
      <c r="A6" s="26">
        <f t="shared" ref="A6:A69" si="3">A5+1</f>
        <v>2</v>
      </c>
      <c r="B6" s="39" t="s">
        <v>52</v>
      </c>
      <c r="C6" s="28">
        <v>165.0</v>
      </c>
      <c r="D6" s="29">
        <v>19.0</v>
      </c>
      <c r="E6" s="30">
        <v>1.0</v>
      </c>
      <c r="F6" s="31">
        <v>1.0</v>
      </c>
      <c r="G6" s="28">
        <v>0.0</v>
      </c>
      <c r="H6" s="31">
        <v>6.0</v>
      </c>
      <c r="I6" s="31">
        <v>1.0</v>
      </c>
      <c r="J6" s="31">
        <v>4.0</v>
      </c>
      <c r="K6" s="33">
        <v>11.0</v>
      </c>
      <c r="L6" s="31">
        <v>1.0</v>
      </c>
      <c r="M6" s="28">
        <f t="shared" ref="M6:N6" si="2">C6+K6</f>
        <v>176</v>
      </c>
      <c r="N6" s="29">
        <f t="shared" si="2"/>
        <v>20</v>
      </c>
      <c r="O6" s="35" t="s">
        <v>46</v>
      </c>
      <c r="P6" s="35" t="s">
        <v>46</v>
      </c>
      <c r="Q6" s="31">
        <f>if(G6=13,1,0)+VLOOKUP(B6,'041324'!B:Q,16,false)</f>
        <v>0</v>
      </c>
      <c r="R6" s="31"/>
      <c r="S6" s="31">
        <f>if(G6=9,1,0)+VLOOKUP(B6,'041324'!B:S,18,false)</f>
        <v>4</v>
      </c>
    </row>
    <row r="7">
      <c r="A7" s="26">
        <f t="shared" si="3"/>
        <v>3</v>
      </c>
      <c r="B7" s="27" t="s">
        <v>61</v>
      </c>
      <c r="C7" s="28">
        <v>159.0</v>
      </c>
      <c r="D7" s="29">
        <v>15.0</v>
      </c>
      <c r="E7" s="30">
        <v>5.0</v>
      </c>
      <c r="F7" s="31">
        <v>0.0</v>
      </c>
      <c r="G7" s="28">
        <v>13.0</v>
      </c>
      <c r="H7" s="31">
        <v>0.0</v>
      </c>
      <c r="I7" s="31">
        <v>0.0</v>
      </c>
      <c r="J7" s="31">
        <v>0.0</v>
      </c>
      <c r="K7" s="33">
        <v>13.0</v>
      </c>
      <c r="L7" s="31">
        <v>0.0</v>
      </c>
      <c r="M7" s="28">
        <f t="shared" ref="M7:N7" si="4">C7+K7</f>
        <v>172</v>
      </c>
      <c r="N7" s="29">
        <f t="shared" si="4"/>
        <v>15</v>
      </c>
      <c r="O7" s="35" t="s">
        <v>46</v>
      </c>
      <c r="P7" s="35" t="s">
        <v>46</v>
      </c>
      <c r="Q7" s="31">
        <f>if(G7=13,1,0)+VLOOKUP(B7,'041324'!B:Q,16,false)</f>
        <v>2</v>
      </c>
      <c r="R7" s="31"/>
      <c r="S7" s="31">
        <f>if(G7=9,1,0)+VLOOKUP(B7,'041324'!B:S,18,false)</f>
        <v>3</v>
      </c>
    </row>
    <row r="8">
      <c r="A8" s="26">
        <f t="shared" si="3"/>
        <v>4</v>
      </c>
      <c r="B8" s="27" t="s">
        <v>82</v>
      </c>
      <c r="C8" s="28">
        <v>158.0</v>
      </c>
      <c r="D8" s="29">
        <v>15.0</v>
      </c>
      <c r="E8" s="30">
        <v>3.0</v>
      </c>
      <c r="F8" s="31">
        <v>0.0</v>
      </c>
      <c r="G8" s="28">
        <v>9.0</v>
      </c>
      <c r="H8" s="31">
        <v>0.0</v>
      </c>
      <c r="I8" s="31">
        <v>0.0</v>
      </c>
      <c r="J8" s="31">
        <v>0.0</v>
      </c>
      <c r="K8" s="33">
        <v>9.0</v>
      </c>
      <c r="L8" s="31">
        <v>0.0</v>
      </c>
      <c r="M8" s="28">
        <f t="shared" ref="M8:N8" si="5">C8+K8</f>
        <v>167</v>
      </c>
      <c r="N8" s="29">
        <f t="shared" si="5"/>
        <v>15</v>
      </c>
      <c r="O8" s="35" t="s">
        <v>46</v>
      </c>
      <c r="P8" s="35" t="s">
        <v>46</v>
      </c>
      <c r="Q8" s="31">
        <f>if(G8=13,1,0)+VLOOKUP(B8,'041324'!B:Q,16,false)</f>
        <v>1</v>
      </c>
      <c r="R8" s="31"/>
      <c r="S8" s="31">
        <f>if(G8=9,1,0)+VLOOKUP(B8,'041324'!B:S,18,false)</f>
        <v>6</v>
      </c>
    </row>
    <row r="9">
      <c r="A9" s="26">
        <f t="shared" si="3"/>
        <v>5</v>
      </c>
      <c r="B9" s="27" t="s">
        <v>38</v>
      </c>
      <c r="C9" s="28">
        <v>158.0</v>
      </c>
      <c r="D9" s="29">
        <v>15.0</v>
      </c>
      <c r="E9" s="30">
        <v>3.0</v>
      </c>
      <c r="F9" s="31">
        <v>0.0</v>
      </c>
      <c r="G9" s="28">
        <v>9.0</v>
      </c>
      <c r="H9" s="31">
        <v>0.0</v>
      </c>
      <c r="I9" s="31">
        <v>0.0</v>
      </c>
      <c r="J9" s="31">
        <v>0.0</v>
      </c>
      <c r="K9" s="33">
        <v>9.0</v>
      </c>
      <c r="L9" s="31">
        <v>0.0</v>
      </c>
      <c r="M9" s="28">
        <f t="shared" ref="M9:N9" si="6">C9+K9</f>
        <v>167</v>
      </c>
      <c r="N9" s="29">
        <f t="shared" si="6"/>
        <v>15</v>
      </c>
      <c r="O9" s="35" t="s">
        <v>46</v>
      </c>
      <c r="P9" s="35" t="s">
        <v>46</v>
      </c>
      <c r="Q9" s="31">
        <f>if(G9=13,1,0)+VLOOKUP(B9,'041324'!B:Q,16,false)</f>
        <v>1</v>
      </c>
      <c r="R9" s="31"/>
      <c r="S9" s="31">
        <f>if(G9=9,1,0)+VLOOKUP(B9,'041324'!B:S,18,false)</f>
        <v>6</v>
      </c>
    </row>
    <row r="10">
      <c r="A10" s="26">
        <f t="shared" si="3"/>
        <v>6</v>
      </c>
      <c r="B10" s="27" t="s">
        <v>77</v>
      </c>
      <c r="C10" s="28">
        <v>158.0</v>
      </c>
      <c r="D10" s="29">
        <v>10.0</v>
      </c>
      <c r="E10" s="30">
        <v>3.0</v>
      </c>
      <c r="F10" s="31">
        <v>0.0</v>
      </c>
      <c r="G10" s="28">
        <v>9.0</v>
      </c>
      <c r="H10" s="31">
        <v>0.0</v>
      </c>
      <c r="I10" s="31">
        <v>0.0</v>
      </c>
      <c r="J10" s="31">
        <v>0.0</v>
      </c>
      <c r="K10" s="33">
        <v>9.0</v>
      </c>
      <c r="L10" s="31">
        <v>0.0</v>
      </c>
      <c r="M10" s="28">
        <f t="shared" ref="M10:N10" si="7">C10+K10</f>
        <v>167</v>
      </c>
      <c r="N10" s="29">
        <f t="shared" si="7"/>
        <v>10</v>
      </c>
      <c r="O10" s="35" t="s">
        <v>46</v>
      </c>
      <c r="P10" s="35" t="s">
        <v>46</v>
      </c>
      <c r="Q10" s="31">
        <f>if(G10=13,1,0)+VLOOKUP(B10,'041324'!B:Q,16,false)</f>
        <v>2</v>
      </c>
      <c r="R10" s="31"/>
      <c r="S10" s="31">
        <f>if(G10=9,1,0)+VLOOKUP(B10,'041324'!B:S,18,false)</f>
        <v>4</v>
      </c>
    </row>
    <row r="11">
      <c r="A11" s="26">
        <f t="shared" si="3"/>
        <v>7</v>
      </c>
      <c r="B11" s="39" t="s">
        <v>55</v>
      </c>
      <c r="C11" s="28">
        <v>157.0</v>
      </c>
      <c r="D11" s="29">
        <v>15.0</v>
      </c>
      <c r="E11" s="30">
        <v>1.0</v>
      </c>
      <c r="F11" s="31">
        <v>1.0</v>
      </c>
      <c r="G11" s="28">
        <v>0.0</v>
      </c>
      <c r="H11" s="31">
        <v>1.0</v>
      </c>
      <c r="I11" s="31">
        <v>6.0</v>
      </c>
      <c r="J11" s="31">
        <v>4.0</v>
      </c>
      <c r="K11" s="33">
        <v>11.0</v>
      </c>
      <c r="L11" s="31">
        <v>1.0</v>
      </c>
      <c r="M11" s="28">
        <f t="shared" ref="M11:N11" si="8">C11+K11</f>
        <v>168</v>
      </c>
      <c r="N11" s="29">
        <f t="shared" si="8"/>
        <v>16</v>
      </c>
      <c r="O11" s="35" t="s">
        <v>46</v>
      </c>
      <c r="P11" s="35" t="s">
        <v>46</v>
      </c>
      <c r="Q11" s="31">
        <f>if(G11=13,1,0)+VLOOKUP(B11,'041324'!B:Q,16,false)</f>
        <v>1</v>
      </c>
      <c r="R11" s="31"/>
      <c r="S11" s="31">
        <f>if(G11=9,1,0)+VLOOKUP(B11,'041324'!B:S,18,false)</f>
        <v>5</v>
      </c>
    </row>
    <row r="12">
      <c r="A12" s="26">
        <f t="shared" si="3"/>
        <v>8</v>
      </c>
      <c r="B12" s="27" t="s">
        <v>60</v>
      </c>
      <c r="C12" s="28">
        <v>157.0</v>
      </c>
      <c r="D12" s="29">
        <v>11.0</v>
      </c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f t="shared" ref="M12:N12" si="9">C12+K12</f>
        <v>166</v>
      </c>
      <c r="N12" s="29">
        <f t="shared" si="9"/>
        <v>11</v>
      </c>
      <c r="O12" s="35" t="s">
        <v>46</v>
      </c>
      <c r="P12" s="35" t="s">
        <v>46</v>
      </c>
      <c r="Q12" s="31">
        <f>if(G12=13,1,0)+VLOOKUP(B12,'041324'!B:Q,16,false)</f>
        <v>2</v>
      </c>
      <c r="R12" s="31"/>
      <c r="S12" s="31">
        <f>if(G12=9,1,0)+VLOOKUP(B12,'041324'!B:S,18,false)</f>
        <v>6</v>
      </c>
    </row>
    <row r="13">
      <c r="A13" s="26">
        <f t="shared" si="3"/>
        <v>9</v>
      </c>
      <c r="B13" s="27" t="s">
        <v>75</v>
      </c>
      <c r="C13" s="28">
        <v>155.0</v>
      </c>
      <c r="D13" s="29">
        <v>12.0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164</v>
      </c>
      <c r="N13" s="29">
        <f t="shared" si="10"/>
        <v>12</v>
      </c>
      <c r="O13" s="35" t="s">
        <v>46</v>
      </c>
      <c r="P13" s="35" t="s">
        <v>46</v>
      </c>
      <c r="Q13" s="31">
        <f>if(G13=13,1,0)+VLOOKUP(B13,'041324'!B:Q,16,false)</f>
        <v>1</v>
      </c>
      <c r="R13" s="31"/>
      <c r="S13" s="31">
        <f>if(G13=9,1,0)+VLOOKUP(B13,'041324'!B:S,18,false)</f>
        <v>2</v>
      </c>
    </row>
    <row r="14">
      <c r="A14" s="26">
        <f t="shared" si="3"/>
        <v>10</v>
      </c>
      <c r="B14" s="27" t="s">
        <v>96</v>
      </c>
      <c r="C14" s="28">
        <v>153.0</v>
      </c>
      <c r="D14" s="29">
        <v>13.0</v>
      </c>
      <c r="E14" s="30">
        <v>2.0</v>
      </c>
      <c r="F14" s="31">
        <v>1.0</v>
      </c>
      <c r="G14" s="28">
        <v>0.0</v>
      </c>
      <c r="H14" s="31">
        <v>1.0</v>
      </c>
      <c r="I14" s="31">
        <v>1.0</v>
      </c>
      <c r="J14" s="31">
        <v>6.0</v>
      </c>
      <c r="K14" s="33">
        <v>8.0</v>
      </c>
      <c r="L14" s="31">
        <v>1.0</v>
      </c>
      <c r="M14" s="28">
        <f t="shared" ref="M14:N14" si="11">C14+K14</f>
        <v>161</v>
      </c>
      <c r="N14" s="29">
        <f t="shared" si="11"/>
        <v>14</v>
      </c>
      <c r="O14" s="35" t="s">
        <v>46</v>
      </c>
      <c r="P14" s="35" t="s">
        <v>46</v>
      </c>
      <c r="Q14" s="31">
        <f>if(G14=13,1,0)+VLOOKUP(B14,'041324'!B:Q,16,false)</f>
        <v>1</v>
      </c>
      <c r="R14" s="31"/>
      <c r="S14" s="31">
        <f>if(G14=9,1,0)+VLOOKUP(B14,'041324'!B:S,18,false)</f>
        <v>2</v>
      </c>
    </row>
    <row r="15">
      <c r="A15" s="26">
        <f t="shared" si="3"/>
        <v>11</v>
      </c>
      <c r="B15" s="54" t="s">
        <v>95</v>
      </c>
      <c r="C15" s="28">
        <v>144.0</v>
      </c>
      <c r="D15" s="29">
        <v>15.0</v>
      </c>
      <c r="E15" s="30">
        <v>1.0</v>
      </c>
      <c r="F15" s="31">
        <v>2.0</v>
      </c>
      <c r="G15" s="28">
        <v>0.0</v>
      </c>
      <c r="H15" s="31">
        <v>1.0</v>
      </c>
      <c r="I15" s="31">
        <v>2.0</v>
      </c>
      <c r="J15" s="31">
        <v>6.0</v>
      </c>
      <c r="K15" s="33">
        <v>9.0</v>
      </c>
      <c r="L15" s="31">
        <v>1.0</v>
      </c>
      <c r="M15" s="28">
        <f t="shared" ref="M15:N15" si="12">C15+K15</f>
        <v>153</v>
      </c>
      <c r="N15" s="29">
        <f t="shared" si="12"/>
        <v>16</v>
      </c>
      <c r="O15" s="35" t="s">
        <v>46</v>
      </c>
      <c r="P15" s="35" t="s">
        <v>46</v>
      </c>
      <c r="Q15" s="31">
        <f>if(G15=13,1,0)+VLOOKUP(B15,'041324'!B:Q,16,false)</f>
        <v>0</v>
      </c>
      <c r="R15" s="31"/>
      <c r="S15" s="31">
        <f>if(G15=9,1,0)+VLOOKUP(B15,'041324'!B:S,18,false)</f>
        <v>1</v>
      </c>
    </row>
    <row r="16">
      <c r="A16" s="26">
        <f t="shared" si="3"/>
        <v>12</v>
      </c>
      <c r="B16" s="27" t="s">
        <v>90</v>
      </c>
      <c r="C16" s="28">
        <v>144.0</v>
      </c>
      <c r="D16" s="29">
        <v>12.0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153</v>
      </c>
      <c r="N16" s="29">
        <f t="shared" si="13"/>
        <v>12</v>
      </c>
      <c r="O16" s="35" t="s">
        <v>46</v>
      </c>
      <c r="P16" s="35" t="s">
        <v>46</v>
      </c>
      <c r="Q16" s="31">
        <f>if(G16=13,1,0)+VLOOKUP(B16,'041324'!B:Q,16,false)</f>
        <v>0</v>
      </c>
      <c r="R16" s="31"/>
      <c r="S16" s="31">
        <f>if(G16=9,1,0)+VLOOKUP(B16,'041324'!B:S,18,false)</f>
        <v>9</v>
      </c>
    </row>
    <row r="17">
      <c r="A17" s="26">
        <f t="shared" si="3"/>
        <v>13</v>
      </c>
      <c r="B17" s="39" t="s">
        <v>50</v>
      </c>
      <c r="C17" s="28">
        <v>143.0</v>
      </c>
      <c r="D17" s="29">
        <v>13.0</v>
      </c>
      <c r="E17" s="30">
        <v>1.0</v>
      </c>
      <c r="F17" s="31">
        <v>2.0</v>
      </c>
      <c r="G17" s="28">
        <v>0.0</v>
      </c>
      <c r="H17" s="31">
        <v>6.0</v>
      </c>
      <c r="I17" s="31">
        <v>6.0</v>
      </c>
      <c r="J17" s="31">
        <v>6.0</v>
      </c>
      <c r="K17" s="33">
        <v>18.0</v>
      </c>
      <c r="L17" s="31">
        <v>3.0</v>
      </c>
      <c r="M17" s="28">
        <f t="shared" ref="M17:N17" si="14">C17+K17</f>
        <v>161</v>
      </c>
      <c r="N17" s="29">
        <f t="shared" si="14"/>
        <v>16</v>
      </c>
      <c r="O17" s="35" t="s">
        <v>46</v>
      </c>
      <c r="P17" s="35" t="s">
        <v>46</v>
      </c>
      <c r="Q17" s="31">
        <f>if(G17=13,1,0)+VLOOKUP(B17,'041324'!B:Q,16,false)</f>
        <v>0</v>
      </c>
      <c r="R17" s="31"/>
      <c r="S17" s="31">
        <f>if(G17=9,1,0)+VLOOKUP(B17,'041324'!B:S,18,false)</f>
        <v>7</v>
      </c>
    </row>
    <row r="18">
      <c r="A18" s="26">
        <f t="shared" si="3"/>
        <v>14</v>
      </c>
      <c r="B18" s="27" t="s">
        <v>79</v>
      </c>
      <c r="C18" s="28">
        <v>143.0</v>
      </c>
      <c r="D18" s="29">
        <v>12.0</v>
      </c>
      <c r="E18" s="30">
        <v>1.0</v>
      </c>
      <c r="F18" s="31">
        <v>2.0</v>
      </c>
      <c r="G18" s="28">
        <v>0.0</v>
      </c>
      <c r="H18" s="31">
        <v>1.0</v>
      </c>
      <c r="I18" s="31">
        <v>6.0</v>
      </c>
      <c r="J18" s="31">
        <v>2.0</v>
      </c>
      <c r="K18" s="33">
        <v>9.0</v>
      </c>
      <c r="L18" s="31">
        <v>1.0</v>
      </c>
      <c r="M18" s="28">
        <f t="shared" ref="M18:N18" si="15">C18+K18</f>
        <v>152</v>
      </c>
      <c r="N18" s="29">
        <f t="shared" si="15"/>
        <v>13</v>
      </c>
      <c r="O18" s="35" t="s">
        <v>46</v>
      </c>
      <c r="P18" s="35" t="s">
        <v>46</v>
      </c>
      <c r="Q18" s="31">
        <f>if(G18=13,1,0)+VLOOKUP(B18,'041324'!B:Q,16,false)</f>
        <v>0</v>
      </c>
      <c r="R18" s="31"/>
      <c r="S18" s="31">
        <f>if(G18=9,1,0)+VLOOKUP(B18,'041324'!B:S,18,false)</f>
        <v>4</v>
      </c>
    </row>
    <row r="19">
      <c r="A19" s="26">
        <f t="shared" si="3"/>
        <v>15</v>
      </c>
      <c r="B19" s="39" t="s">
        <v>71</v>
      </c>
      <c r="C19" s="28">
        <v>143.0</v>
      </c>
      <c r="D19" s="29">
        <v>11.0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152</v>
      </c>
      <c r="N19" s="29">
        <f t="shared" si="16"/>
        <v>11</v>
      </c>
      <c r="O19" s="35" t="s">
        <v>46</v>
      </c>
      <c r="P19" s="35" t="s">
        <v>46</v>
      </c>
      <c r="Q19" s="31">
        <f>if(G19=13,1,0)+VLOOKUP(B19,'041324'!B:Q,16,false)</f>
        <v>0</v>
      </c>
      <c r="R19" s="31"/>
      <c r="S19" s="31">
        <f>if(G19=9,1,0)+VLOOKUP(B19,'041324'!B:S,18,false)</f>
        <v>7</v>
      </c>
    </row>
    <row r="20">
      <c r="A20" s="26">
        <f t="shared" si="3"/>
        <v>16</v>
      </c>
      <c r="B20" s="27" t="s">
        <v>63</v>
      </c>
      <c r="C20" s="28">
        <v>142.0</v>
      </c>
      <c r="D20" s="29">
        <v>13.0</v>
      </c>
      <c r="E20" s="30">
        <v>5.0</v>
      </c>
      <c r="F20" s="31">
        <v>0.0</v>
      </c>
      <c r="G20" s="28">
        <v>13.0</v>
      </c>
      <c r="H20" s="31">
        <v>0.0</v>
      </c>
      <c r="I20" s="31">
        <v>0.0</v>
      </c>
      <c r="J20" s="31">
        <v>0.0</v>
      </c>
      <c r="K20" s="33">
        <v>13.0</v>
      </c>
      <c r="L20" s="31">
        <v>0.0</v>
      </c>
      <c r="M20" s="28">
        <f t="shared" ref="M20:N20" si="17">C20+K20</f>
        <v>155</v>
      </c>
      <c r="N20" s="29">
        <f t="shared" si="17"/>
        <v>13</v>
      </c>
      <c r="O20" s="35" t="s">
        <v>46</v>
      </c>
      <c r="P20" s="35" t="s">
        <v>46</v>
      </c>
      <c r="Q20" s="31">
        <f>if(G20=13,1,0)+VLOOKUP(B20,'041324'!B:Q,16,false)</f>
        <v>2</v>
      </c>
      <c r="R20" s="31"/>
      <c r="S20" s="31">
        <f>if(G20=9,1,0)+VLOOKUP(B20,'041324'!B:S,18,false)</f>
        <v>0</v>
      </c>
    </row>
    <row r="21">
      <c r="A21" s="26">
        <f t="shared" si="3"/>
        <v>17</v>
      </c>
      <c r="B21" s="27" t="s">
        <v>78</v>
      </c>
      <c r="C21" s="28">
        <v>141.0</v>
      </c>
      <c r="D21" s="29">
        <v>13.0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150</v>
      </c>
      <c r="N21" s="29">
        <f t="shared" si="18"/>
        <v>13</v>
      </c>
      <c r="O21" s="35" t="s">
        <v>46</v>
      </c>
      <c r="P21" s="35" t="s">
        <v>46</v>
      </c>
      <c r="Q21" s="31">
        <f>if(G21=13,1,0)+VLOOKUP(B21,'041324'!B:Q,16,false)</f>
        <v>0</v>
      </c>
      <c r="R21" s="31"/>
      <c r="S21" s="31">
        <f>if(G21=9,1,0)+VLOOKUP(B21,'041324'!B:S,18,false)</f>
        <v>4</v>
      </c>
    </row>
    <row r="22">
      <c r="A22" s="26">
        <f t="shared" si="3"/>
        <v>18</v>
      </c>
      <c r="B22" s="27" t="s">
        <v>84</v>
      </c>
      <c r="C22" s="28">
        <v>141.0</v>
      </c>
      <c r="D22" s="29">
        <v>11.0</v>
      </c>
      <c r="E22" s="30">
        <v>2.0</v>
      </c>
      <c r="F22" s="31">
        <v>2.0</v>
      </c>
      <c r="G22" s="28">
        <v>0.0</v>
      </c>
      <c r="H22" s="31">
        <v>6.0</v>
      </c>
      <c r="I22" s="31">
        <v>2.0</v>
      </c>
      <c r="J22" s="31">
        <v>2.0</v>
      </c>
      <c r="K22" s="33">
        <v>10.0</v>
      </c>
      <c r="L22" s="31">
        <v>1.0</v>
      </c>
      <c r="M22" s="28">
        <f t="shared" ref="M22:N22" si="19">C22+K22</f>
        <v>151</v>
      </c>
      <c r="N22" s="29">
        <f t="shared" si="19"/>
        <v>12</v>
      </c>
      <c r="O22" s="35" t="s">
        <v>46</v>
      </c>
      <c r="P22" s="35" t="s">
        <v>46</v>
      </c>
      <c r="Q22" s="31">
        <f>if(G22=13,1,0)+VLOOKUP(B22,'041324'!B:Q,16,false)</f>
        <v>2</v>
      </c>
      <c r="R22" s="31"/>
      <c r="S22" s="31">
        <f>if(G22=9,1,0)+VLOOKUP(B22,'041324'!B:S,18,false)</f>
        <v>0</v>
      </c>
    </row>
    <row r="23">
      <c r="A23" s="26">
        <f t="shared" si="3"/>
        <v>19</v>
      </c>
      <c r="B23" s="27" t="s">
        <v>57</v>
      </c>
      <c r="C23" s="28">
        <v>140.0</v>
      </c>
      <c r="D23" s="29">
        <v>11.0</v>
      </c>
      <c r="E23" s="30">
        <v>1.0</v>
      </c>
      <c r="F23" s="31">
        <v>3.0</v>
      </c>
      <c r="G23" s="28">
        <v>0.0</v>
      </c>
      <c r="H23" s="31">
        <v>6.0</v>
      </c>
      <c r="I23" s="31">
        <v>6.0</v>
      </c>
      <c r="J23" s="31">
        <v>6.0</v>
      </c>
      <c r="K23" s="33">
        <v>18.0</v>
      </c>
      <c r="L23" s="31">
        <v>2.0</v>
      </c>
      <c r="M23" s="28">
        <f t="shared" ref="M23:N23" si="20">C23+K23</f>
        <v>158</v>
      </c>
      <c r="N23" s="29">
        <f t="shared" si="20"/>
        <v>13</v>
      </c>
      <c r="O23" s="35" t="s">
        <v>46</v>
      </c>
      <c r="P23" s="35" t="s">
        <v>46</v>
      </c>
      <c r="Q23" s="31">
        <f>if(G23=13,1,0)+VLOOKUP(B23,'041324'!B:Q,16,false)</f>
        <v>0</v>
      </c>
      <c r="R23" s="31"/>
      <c r="S23" s="31">
        <f>if(G23=9,1,0)+VLOOKUP(B23,'041324'!B:S,18,false)</f>
        <v>6</v>
      </c>
    </row>
    <row r="24">
      <c r="A24" s="26">
        <f t="shared" si="3"/>
        <v>20</v>
      </c>
      <c r="B24" s="39" t="s">
        <v>111</v>
      </c>
      <c r="C24" s="28">
        <v>139.0</v>
      </c>
      <c r="D24" s="29">
        <v>10.0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148</v>
      </c>
      <c r="N24" s="29">
        <f t="shared" si="21"/>
        <v>10</v>
      </c>
      <c r="O24" s="35" t="s">
        <v>46</v>
      </c>
      <c r="P24" s="35" t="s">
        <v>46</v>
      </c>
      <c r="Q24" s="31">
        <f>if(G24=13,1,0)+VLOOKUP(B24,'041324'!B:Q,16,false)</f>
        <v>0</v>
      </c>
      <c r="R24" s="31"/>
      <c r="S24" s="31">
        <f>if(G24=9,1,0)+VLOOKUP(B24,'041324'!B:S,18,false)</f>
        <v>8</v>
      </c>
    </row>
    <row r="25">
      <c r="A25" s="26">
        <f t="shared" si="3"/>
        <v>21</v>
      </c>
      <c r="B25" s="27" t="s">
        <v>81</v>
      </c>
      <c r="C25" s="28">
        <v>138.0</v>
      </c>
      <c r="D25" s="29">
        <v>12.0</v>
      </c>
      <c r="E25" s="30">
        <v>1.0</v>
      </c>
      <c r="F25" s="31">
        <v>3.0</v>
      </c>
      <c r="G25" s="28">
        <v>0.0</v>
      </c>
      <c r="H25" s="31">
        <v>3.0</v>
      </c>
      <c r="I25" s="31">
        <v>6.0</v>
      </c>
      <c r="J25" s="31">
        <v>7.0</v>
      </c>
      <c r="K25" s="33">
        <v>16.0</v>
      </c>
      <c r="L25" s="31">
        <v>2.0</v>
      </c>
      <c r="M25" s="28">
        <f t="shared" ref="M25:N25" si="22">C25+K25</f>
        <v>154</v>
      </c>
      <c r="N25" s="29">
        <f t="shared" si="22"/>
        <v>14</v>
      </c>
      <c r="O25" s="35" t="s">
        <v>46</v>
      </c>
      <c r="P25" s="35" t="s">
        <v>46</v>
      </c>
      <c r="Q25" s="31">
        <f>if(G25=13,1,0)+VLOOKUP(B25,'041324'!B:Q,16,false)</f>
        <v>0</v>
      </c>
      <c r="R25" s="31"/>
      <c r="S25" s="31">
        <f>if(G25=9,1,0)+VLOOKUP(B25,'041324'!B:S,18,false)</f>
        <v>4</v>
      </c>
    </row>
    <row r="26">
      <c r="A26" s="26">
        <f t="shared" si="3"/>
        <v>22</v>
      </c>
      <c r="B26" s="27" t="s">
        <v>56</v>
      </c>
      <c r="C26" s="28">
        <v>137.0</v>
      </c>
      <c r="D26" s="29">
        <v>9.0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146</v>
      </c>
      <c r="N26" s="29">
        <f t="shared" si="23"/>
        <v>9</v>
      </c>
      <c r="O26" s="35" t="s">
        <v>46</v>
      </c>
      <c r="P26" s="35" t="s">
        <v>46</v>
      </c>
      <c r="Q26" s="31">
        <f>if(G26=13,1,0)+VLOOKUP(B26,'041324'!B:Q,16,false)</f>
        <v>0</v>
      </c>
      <c r="R26" s="31"/>
      <c r="S26" s="31">
        <f>if(G26=9,1,0)+VLOOKUP(B26,'041324'!B:S,18,false)</f>
        <v>10</v>
      </c>
    </row>
    <row r="27">
      <c r="A27" s="26">
        <f t="shared" si="3"/>
        <v>23</v>
      </c>
      <c r="B27" s="27" t="s">
        <v>76</v>
      </c>
      <c r="C27" s="28">
        <v>137.0</v>
      </c>
      <c r="D27" s="29">
        <v>7.0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146</v>
      </c>
      <c r="N27" s="29">
        <f t="shared" si="24"/>
        <v>7</v>
      </c>
      <c r="O27" s="35" t="s">
        <v>46</v>
      </c>
      <c r="P27" s="35" t="s">
        <v>46</v>
      </c>
      <c r="Q27" s="31">
        <f>if(G27=13,1,0)+VLOOKUP(B27,'041324'!B:Q,16,false)</f>
        <v>1</v>
      </c>
      <c r="R27" s="31"/>
      <c r="S27" s="31">
        <f>if(G27=9,1,0)+VLOOKUP(B27,'041324'!B:S,18,false)</f>
        <v>6</v>
      </c>
    </row>
    <row r="28">
      <c r="A28" s="26">
        <f t="shared" si="3"/>
        <v>24</v>
      </c>
      <c r="B28" s="27" t="s">
        <v>102</v>
      </c>
      <c r="C28" s="28">
        <v>136.0</v>
      </c>
      <c r="D28" s="29">
        <v>8.0</v>
      </c>
      <c r="E28" s="30">
        <v>1.0</v>
      </c>
      <c r="F28" s="31">
        <v>3.0</v>
      </c>
      <c r="G28" s="28">
        <v>0.0</v>
      </c>
      <c r="H28" s="31">
        <v>6.0</v>
      </c>
      <c r="I28" s="31">
        <v>4.0</v>
      </c>
      <c r="J28" s="31">
        <v>7.0</v>
      </c>
      <c r="K28" s="33">
        <v>17.0</v>
      </c>
      <c r="L28" s="31">
        <v>2.0</v>
      </c>
      <c r="M28" s="28">
        <f t="shared" ref="M28:N28" si="25">C28+K28</f>
        <v>153</v>
      </c>
      <c r="N28" s="29">
        <f t="shared" si="25"/>
        <v>10</v>
      </c>
      <c r="O28" s="35" t="s">
        <v>46</v>
      </c>
      <c r="P28" s="35" t="s">
        <v>46</v>
      </c>
      <c r="Q28" s="31">
        <f>if(G28=13,1,0)+VLOOKUP(B28,'041324'!B:Q,16,false)</f>
        <v>0</v>
      </c>
      <c r="R28" s="31"/>
      <c r="S28" s="31">
        <f>if(G28=9,1,0)+VLOOKUP(B28,'041324'!B:S,18,false)</f>
        <v>8</v>
      </c>
    </row>
    <row r="29">
      <c r="A29" s="26">
        <f t="shared" si="3"/>
        <v>25</v>
      </c>
      <c r="B29" s="54" t="s">
        <v>73</v>
      </c>
      <c r="C29" s="28">
        <v>135.0</v>
      </c>
      <c r="D29" s="29">
        <v>12.0</v>
      </c>
      <c r="E29" s="30">
        <v>1.0</v>
      </c>
      <c r="F29" s="31">
        <v>3.0</v>
      </c>
      <c r="G29" s="28">
        <v>0.0</v>
      </c>
      <c r="H29" s="31">
        <v>3.0</v>
      </c>
      <c r="I29" s="31">
        <v>4.0</v>
      </c>
      <c r="J29" s="31">
        <v>6.0</v>
      </c>
      <c r="K29" s="33">
        <v>13.0</v>
      </c>
      <c r="L29" s="31">
        <v>0.0</v>
      </c>
      <c r="M29" s="28">
        <f t="shared" ref="M29:N29" si="26">C29+K29</f>
        <v>148</v>
      </c>
      <c r="N29" s="29">
        <f t="shared" si="26"/>
        <v>12</v>
      </c>
      <c r="O29" s="35" t="s">
        <v>46</v>
      </c>
      <c r="P29" s="35" t="s">
        <v>46</v>
      </c>
      <c r="Q29" s="31">
        <f>if(G29=13,1,0)+VLOOKUP(B29,'041324'!B:Q,16,false)</f>
        <v>0</v>
      </c>
      <c r="R29" s="31"/>
      <c r="S29" s="31">
        <f>if(G29=9,1,0)+VLOOKUP(B29,'041324'!B:S,18,false)</f>
        <v>1</v>
      </c>
    </row>
    <row r="30">
      <c r="A30" s="26">
        <f t="shared" si="3"/>
        <v>26</v>
      </c>
      <c r="B30" s="54" t="s">
        <v>100</v>
      </c>
      <c r="C30" s="28">
        <v>134.0</v>
      </c>
      <c r="D30" s="29">
        <v>9.0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143</v>
      </c>
      <c r="N30" s="29">
        <f t="shared" si="27"/>
        <v>9</v>
      </c>
      <c r="O30" s="35" t="s">
        <v>46</v>
      </c>
      <c r="P30" s="35" t="s">
        <v>46</v>
      </c>
      <c r="Q30" s="31">
        <f>if(G30=13,1,0)+VLOOKUP(B30,'041324'!B:Q,16,false)</f>
        <v>1</v>
      </c>
      <c r="R30" s="31"/>
      <c r="S30" s="31">
        <f>if(G30=9,1,0)+VLOOKUP(B30,'041324'!B:S,18,false)</f>
        <v>6</v>
      </c>
    </row>
    <row r="31">
      <c r="A31" s="26">
        <f t="shared" si="3"/>
        <v>27</v>
      </c>
      <c r="B31" s="27" t="s">
        <v>66</v>
      </c>
      <c r="C31" s="28">
        <v>133.0</v>
      </c>
      <c r="D31" s="29">
        <v>8.0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142</v>
      </c>
      <c r="N31" s="29">
        <f t="shared" si="28"/>
        <v>8</v>
      </c>
      <c r="O31" s="35" t="s">
        <v>46</v>
      </c>
      <c r="P31" s="35" t="s">
        <v>46</v>
      </c>
      <c r="Q31" s="31">
        <f>if(G31=13,1,0)+VLOOKUP(B31,'041324'!B:Q,16,false)</f>
        <v>1</v>
      </c>
      <c r="R31" s="31"/>
      <c r="S31" s="31">
        <f>if(G31=9,1,0)+VLOOKUP(B31,'041324'!B:S,18,false)</f>
        <v>3</v>
      </c>
    </row>
    <row r="32">
      <c r="A32" s="26">
        <f t="shared" si="3"/>
        <v>28</v>
      </c>
      <c r="B32" s="27" t="s">
        <v>107</v>
      </c>
      <c r="C32" s="28">
        <v>133.0</v>
      </c>
      <c r="D32" s="29">
        <v>7.0</v>
      </c>
      <c r="E32" s="30">
        <v>1.0</v>
      </c>
      <c r="F32" s="31">
        <v>5.0</v>
      </c>
      <c r="G32" s="28">
        <v>0.0</v>
      </c>
      <c r="H32" s="31">
        <v>6.0</v>
      </c>
      <c r="I32" s="31">
        <v>6.0</v>
      </c>
      <c r="J32" s="31">
        <v>5.0</v>
      </c>
      <c r="K32" s="33">
        <v>17.0</v>
      </c>
      <c r="L32" s="31">
        <v>2.0</v>
      </c>
      <c r="M32" s="28">
        <f t="shared" ref="M32:N32" si="29">C32+K32</f>
        <v>150</v>
      </c>
      <c r="N32" s="29">
        <f t="shared" si="29"/>
        <v>9</v>
      </c>
      <c r="O32" s="35" t="s">
        <v>46</v>
      </c>
      <c r="P32" s="35" t="s">
        <v>46</v>
      </c>
      <c r="Q32" s="31">
        <f>if(G32=13,1,0)+VLOOKUP(B32,'041324'!B:Q,16,false)</f>
        <v>2</v>
      </c>
      <c r="R32" s="31"/>
      <c r="S32" s="31">
        <f>if(G32=9,1,0)+VLOOKUP(B32,'041324'!B:S,18,false)</f>
        <v>6</v>
      </c>
    </row>
    <row r="33">
      <c r="A33" s="26">
        <f t="shared" si="3"/>
        <v>29</v>
      </c>
      <c r="B33" s="27" t="s">
        <v>98</v>
      </c>
      <c r="C33" s="28">
        <v>133.0</v>
      </c>
      <c r="D33" s="29">
        <v>6.0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142</v>
      </c>
      <c r="N33" s="29">
        <f t="shared" si="30"/>
        <v>6</v>
      </c>
      <c r="O33" s="35" t="s">
        <v>46</v>
      </c>
      <c r="P33" s="35" t="s">
        <v>46</v>
      </c>
      <c r="Q33" s="31">
        <f>if(G33=13,1,0)+VLOOKUP(B33,'041324'!B:Q,16,false)</f>
        <v>1</v>
      </c>
      <c r="R33" s="31"/>
      <c r="S33" s="31">
        <f>if(G33=9,1,0)+VLOOKUP(B33,'041324'!B:S,18,false)</f>
        <v>9</v>
      </c>
    </row>
    <row r="34">
      <c r="A34" s="26">
        <f t="shared" si="3"/>
        <v>30</v>
      </c>
      <c r="B34" s="39" t="s">
        <v>86</v>
      </c>
      <c r="C34" s="28">
        <v>132.0</v>
      </c>
      <c r="D34" s="29">
        <v>13.0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141</v>
      </c>
      <c r="N34" s="29">
        <f t="shared" si="31"/>
        <v>13</v>
      </c>
      <c r="O34" s="35" t="s">
        <v>46</v>
      </c>
      <c r="P34" s="35" t="s">
        <v>46</v>
      </c>
      <c r="Q34" s="31">
        <f>if(G34=13,1,0)+VLOOKUP(B34,'041324'!B:Q,16,false)</f>
        <v>1</v>
      </c>
      <c r="R34" s="31"/>
      <c r="S34" s="31">
        <f>if(G34=9,1,0)+VLOOKUP(B34,'041324'!B:S,18,false)</f>
        <v>4</v>
      </c>
    </row>
    <row r="35">
      <c r="A35" s="26">
        <f t="shared" si="3"/>
        <v>31</v>
      </c>
      <c r="B35" s="39" t="s">
        <v>103</v>
      </c>
      <c r="C35" s="28">
        <v>132.0</v>
      </c>
      <c r="D35" s="29">
        <v>6.0</v>
      </c>
      <c r="E35" s="30">
        <v>1.0</v>
      </c>
      <c r="F35" s="31">
        <v>5.0</v>
      </c>
      <c r="G35" s="28">
        <v>0.0</v>
      </c>
      <c r="H35" s="31">
        <v>4.0</v>
      </c>
      <c r="I35" s="31">
        <v>6.0</v>
      </c>
      <c r="J35" s="31">
        <v>7.0</v>
      </c>
      <c r="K35" s="33">
        <v>17.0</v>
      </c>
      <c r="L35" s="31">
        <v>2.0</v>
      </c>
      <c r="M35" s="28">
        <f t="shared" ref="M35:N35" si="32">C35+K35</f>
        <v>149</v>
      </c>
      <c r="N35" s="29">
        <f t="shared" si="32"/>
        <v>8</v>
      </c>
      <c r="O35" s="35" t="s">
        <v>46</v>
      </c>
      <c r="P35" s="35" t="s">
        <v>46</v>
      </c>
      <c r="Q35" s="31">
        <f>if(G35=13,1,0)+VLOOKUP(B35,'041324'!B:Q,16,false)</f>
        <v>1</v>
      </c>
      <c r="R35" s="31"/>
      <c r="S35" s="31">
        <f>if(G35=9,1,0)+VLOOKUP(B35,'041324'!B:S,18,false)</f>
        <v>8</v>
      </c>
    </row>
    <row r="36">
      <c r="A36" s="26">
        <f t="shared" si="3"/>
        <v>32</v>
      </c>
      <c r="B36" s="54" t="s">
        <v>89</v>
      </c>
      <c r="C36" s="28">
        <v>131.0</v>
      </c>
      <c r="D36" s="29">
        <v>13.0</v>
      </c>
      <c r="E36" s="30">
        <v>1.0</v>
      </c>
      <c r="F36" s="31">
        <v>5.0</v>
      </c>
      <c r="G36" s="28">
        <v>0.0</v>
      </c>
      <c r="H36" s="31">
        <v>4.0</v>
      </c>
      <c r="I36" s="31">
        <v>1.0</v>
      </c>
      <c r="J36" s="31">
        <v>5.0</v>
      </c>
      <c r="K36" s="33">
        <v>10.0</v>
      </c>
      <c r="L36" s="31">
        <v>0.0</v>
      </c>
      <c r="M36" s="28">
        <f t="shared" ref="M36:N36" si="33">C36+K36</f>
        <v>141</v>
      </c>
      <c r="N36" s="29">
        <f t="shared" si="33"/>
        <v>13</v>
      </c>
      <c r="O36" s="35" t="s">
        <v>46</v>
      </c>
      <c r="P36" s="35" t="s">
        <v>46</v>
      </c>
      <c r="Q36" s="31">
        <f>if(G36=13,1,0)+VLOOKUP(B36,'041324'!B:Q,16,false)</f>
        <v>0</v>
      </c>
      <c r="R36" s="31"/>
      <c r="S36" s="31">
        <f>if(G36=9,1,0)+VLOOKUP(B36,'041324'!B:S,18,false)</f>
        <v>2</v>
      </c>
    </row>
    <row r="37">
      <c r="A37" s="26">
        <f t="shared" si="3"/>
        <v>33</v>
      </c>
      <c r="B37" s="27" t="s">
        <v>83</v>
      </c>
      <c r="C37" s="28">
        <v>131.0</v>
      </c>
      <c r="D37" s="29">
        <v>10.0</v>
      </c>
      <c r="E37" s="30">
        <v>2.0</v>
      </c>
      <c r="F37" s="31">
        <v>5.0</v>
      </c>
      <c r="G37" s="28">
        <v>0.0</v>
      </c>
      <c r="H37" s="31">
        <v>6.0</v>
      </c>
      <c r="I37" s="31">
        <v>1.0</v>
      </c>
      <c r="J37" s="31">
        <v>7.0</v>
      </c>
      <c r="K37" s="33">
        <v>14.0</v>
      </c>
      <c r="L37" s="31">
        <v>2.0</v>
      </c>
      <c r="M37" s="28">
        <f t="shared" ref="M37:N37" si="34">C37+K37</f>
        <v>145</v>
      </c>
      <c r="N37" s="29">
        <f t="shared" si="34"/>
        <v>12</v>
      </c>
      <c r="O37" s="35" t="s">
        <v>46</v>
      </c>
      <c r="P37" s="35" t="s">
        <v>46</v>
      </c>
      <c r="Q37" s="31">
        <f>if(G37=13,1,0)+VLOOKUP(B37,'041324'!B:Q,16,false)</f>
        <v>1</v>
      </c>
      <c r="R37" s="31"/>
      <c r="S37" s="31">
        <f>if(G37=9,1,0)+VLOOKUP(B37,'041324'!B:S,18,false)</f>
        <v>3</v>
      </c>
    </row>
    <row r="38">
      <c r="A38" s="26">
        <f t="shared" si="3"/>
        <v>34</v>
      </c>
      <c r="B38" s="27" t="s">
        <v>110</v>
      </c>
      <c r="C38" s="28">
        <v>131.0</v>
      </c>
      <c r="D38" s="29">
        <v>7.0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140</v>
      </c>
      <c r="N38" s="29">
        <f t="shared" si="35"/>
        <v>7</v>
      </c>
      <c r="O38" s="35" t="s">
        <v>46</v>
      </c>
      <c r="P38" s="35" t="s">
        <v>46</v>
      </c>
      <c r="Q38" s="31">
        <f>if(G38=13,1,0)+VLOOKUP(B38,'041324'!B:Q,16,false)</f>
        <v>1</v>
      </c>
      <c r="R38" s="31"/>
      <c r="S38" s="31">
        <f>if(G38=9,1,0)+VLOOKUP(B38,'041324'!B:S,18,false)</f>
        <v>7</v>
      </c>
    </row>
    <row r="39">
      <c r="A39" s="26">
        <f t="shared" si="3"/>
        <v>35</v>
      </c>
      <c r="B39" s="27" t="s">
        <v>113</v>
      </c>
      <c r="C39" s="28">
        <v>131.0</v>
      </c>
      <c r="D39" s="29">
        <v>5.0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140</v>
      </c>
      <c r="N39" s="29">
        <f t="shared" si="36"/>
        <v>5</v>
      </c>
      <c r="O39" s="35" t="s">
        <v>46</v>
      </c>
      <c r="P39" s="35" t="s">
        <v>46</v>
      </c>
      <c r="Q39" s="31">
        <f>if(G39=13,1,0)+VLOOKUP(B39,'041324'!B:Q,16,false)</f>
        <v>1</v>
      </c>
      <c r="R39" s="31"/>
      <c r="S39" s="31">
        <f>if(G39=9,1,0)+VLOOKUP(B39,'041324'!B:S,18,false)</f>
        <v>10</v>
      </c>
    </row>
    <row r="40">
      <c r="A40" s="26">
        <f t="shared" si="3"/>
        <v>36</v>
      </c>
      <c r="B40" s="54" t="s">
        <v>94</v>
      </c>
      <c r="C40" s="28">
        <v>130.0</v>
      </c>
      <c r="D40" s="29">
        <v>12.0</v>
      </c>
      <c r="E40" s="30">
        <v>1.0</v>
      </c>
      <c r="F40" s="31">
        <v>6.0</v>
      </c>
      <c r="G40" s="28">
        <v>0.0</v>
      </c>
      <c r="H40" s="31">
        <v>3.0</v>
      </c>
      <c r="I40" s="31">
        <v>2.0</v>
      </c>
      <c r="J40" s="31">
        <v>6.0</v>
      </c>
      <c r="K40" s="33">
        <v>11.0</v>
      </c>
      <c r="L40" s="31">
        <v>1.0</v>
      </c>
      <c r="M40" s="28">
        <f t="shared" ref="M40:N40" si="37">C40+K40</f>
        <v>141</v>
      </c>
      <c r="N40" s="29">
        <f t="shared" si="37"/>
        <v>13</v>
      </c>
      <c r="O40" s="35" t="s">
        <v>46</v>
      </c>
      <c r="P40" s="35" t="s">
        <v>46</v>
      </c>
      <c r="Q40" s="31">
        <f>if(G40=13,1,0)+VLOOKUP(B40,'041324'!B:Q,16,false)</f>
        <v>0</v>
      </c>
      <c r="R40" s="31"/>
      <c r="S40" s="31">
        <f>if(G40=9,1,0)+VLOOKUP(B40,'041324'!B:S,18,false)</f>
        <v>1</v>
      </c>
    </row>
    <row r="41">
      <c r="A41" s="26">
        <f t="shared" si="3"/>
        <v>37</v>
      </c>
      <c r="B41" s="27" t="s">
        <v>42</v>
      </c>
      <c r="C41" s="28">
        <v>129.0</v>
      </c>
      <c r="D41" s="29">
        <v>10.0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138</v>
      </c>
      <c r="N41" s="29">
        <f t="shared" si="38"/>
        <v>10</v>
      </c>
      <c r="O41" s="35" t="s">
        <v>46</v>
      </c>
      <c r="P41" s="35" t="s">
        <v>46</v>
      </c>
      <c r="Q41" s="31">
        <f>if(G41=13,1,0)+VLOOKUP(B41,'041324'!B:Q,16,false)</f>
        <v>0</v>
      </c>
      <c r="R41" s="31"/>
      <c r="S41" s="31">
        <f>if(G41=9,1,0)+VLOOKUP(B41,'041324'!B:S,18,false)</f>
        <v>3</v>
      </c>
    </row>
    <row r="42">
      <c r="A42" s="26">
        <f t="shared" si="3"/>
        <v>38</v>
      </c>
      <c r="B42" s="39" t="s">
        <v>106</v>
      </c>
      <c r="C42" s="28">
        <v>129.0</v>
      </c>
      <c r="D42" s="29">
        <v>7.0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138</v>
      </c>
      <c r="N42" s="29">
        <f t="shared" si="39"/>
        <v>7</v>
      </c>
      <c r="O42" s="35" t="s">
        <v>46</v>
      </c>
      <c r="P42" s="35" t="s">
        <v>46</v>
      </c>
      <c r="Q42" s="31">
        <f>if(G42=13,1,0)+VLOOKUP(B42,'041324'!B:Q,16,false)</f>
        <v>0</v>
      </c>
      <c r="R42" s="31"/>
      <c r="S42" s="31">
        <f>if(G42=9,1,0)+VLOOKUP(B42,'041324'!B:S,18,false)</f>
        <v>8</v>
      </c>
    </row>
    <row r="43">
      <c r="A43" s="26">
        <f t="shared" si="3"/>
        <v>39</v>
      </c>
      <c r="B43" s="54" t="s">
        <v>59</v>
      </c>
      <c r="C43" s="28">
        <v>128.0</v>
      </c>
      <c r="D43" s="29">
        <v>10.0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137</v>
      </c>
      <c r="N43" s="29">
        <f t="shared" si="40"/>
        <v>10</v>
      </c>
      <c r="O43" s="35" t="s">
        <v>46</v>
      </c>
      <c r="P43" s="35" t="s">
        <v>46</v>
      </c>
      <c r="Q43" s="31">
        <f>if(G43=13,1,0)+VLOOKUP(B43,'041324'!B:Q,16,false)</f>
        <v>1</v>
      </c>
      <c r="R43" s="31"/>
      <c r="S43" s="31">
        <f>if(G43=9,1,0)+VLOOKUP(B43,'041324'!B:S,18,false)</f>
        <v>5</v>
      </c>
    </row>
    <row r="44">
      <c r="A44" s="26">
        <f t="shared" si="3"/>
        <v>40</v>
      </c>
      <c r="B44" s="54" t="s">
        <v>47</v>
      </c>
      <c r="C44" s="28">
        <v>128.0</v>
      </c>
      <c r="D44" s="29">
        <v>10.0</v>
      </c>
      <c r="E44" s="30">
        <v>1.0</v>
      </c>
      <c r="F44" s="31">
        <v>6.0</v>
      </c>
      <c r="G44" s="28">
        <v>0.0</v>
      </c>
      <c r="H44" s="31">
        <v>3.0</v>
      </c>
      <c r="I44" s="31">
        <v>6.0</v>
      </c>
      <c r="J44" s="31">
        <v>1.0</v>
      </c>
      <c r="K44" s="33">
        <v>10.0</v>
      </c>
      <c r="L44" s="31">
        <v>1.0</v>
      </c>
      <c r="M44" s="28">
        <f t="shared" ref="M44:N44" si="41">C44+K44</f>
        <v>138</v>
      </c>
      <c r="N44" s="29">
        <f t="shared" si="41"/>
        <v>11</v>
      </c>
      <c r="O44" s="35" t="s">
        <v>46</v>
      </c>
      <c r="P44" s="35" t="s">
        <v>46</v>
      </c>
      <c r="Q44" s="31">
        <f>if(G44=13,1,0)+VLOOKUP(B44,'041324'!B:Q,16,false)</f>
        <v>0</v>
      </c>
      <c r="R44" s="31"/>
      <c r="S44" s="31">
        <f>if(G44=9,1,0)+VLOOKUP(B44,'041324'!B:S,18,false)</f>
        <v>0</v>
      </c>
    </row>
    <row r="45">
      <c r="A45" s="26">
        <f t="shared" si="3"/>
        <v>41</v>
      </c>
      <c r="B45" s="39" t="s">
        <v>105</v>
      </c>
      <c r="C45" s="28">
        <v>126.0</v>
      </c>
      <c r="D45" s="29">
        <v>10.0</v>
      </c>
      <c r="E45" s="30">
        <v>1.0</v>
      </c>
      <c r="F45" s="31">
        <v>6.0</v>
      </c>
      <c r="G45" s="28">
        <v>0.0</v>
      </c>
      <c r="H45" s="31">
        <v>6.0</v>
      </c>
      <c r="I45" s="31">
        <v>2.0</v>
      </c>
      <c r="J45" s="31">
        <v>1.0</v>
      </c>
      <c r="K45" s="33">
        <v>9.0</v>
      </c>
      <c r="L45" s="31">
        <v>1.0</v>
      </c>
      <c r="M45" s="28">
        <f t="shared" ref="M45:N45" si="42">C45+K45</f>
        <v>135</v>
      </c>
      <c r="N45" s="29">
        <f t="shared" si="42"/>
        <v>11</v>
      </c>
      <c r="O45" s="35" t="s">
        <v>46</v>
      </c>
      <c r="P45" s="35" t="s">
        <v>46</v>
      </c>
      <c r="Q45" s="31">
        <f>if(G45=13,1,0)+VLOOKUP(B45,'041324'!B:Q,16,false)</f>
        <v>0</v>
      </c>
      <c r="R45" s="31"/>
      <c r="S45" s="31">
        <f>if(G45=9,1,0)+VLOOKUP(B45,'041324'!B:S,18,false)</f>
        <v>3</v>
      </c>
    </row>
    <row r="46">
      <c r="A46" s="26">
        <f t="shared" si="3"/>
        <v>42</v>
      </c>
      <c r="B46" s="27" t="s">
        <v>65</v>
      </c>
      <c r="C46" s="28">
        <v>126.0</v>
      </c>
      <c r="D46" s="29">
        <v>6.0</v>
      </c>
      <c r="E46" s="30">
        <v>1.0</v>
      </c>
      <c r="F46" s="31">
        <v>6.0</v>
      </c>
      <c r="G46" s="28">
        <v>0.0</v>
      </c>
      <c r="H46" s="31">
        <v>6.0</v>
      </c>
      <c r="I46" s="31">
        <v>6.0</v>
      </c>
      <c r="J46" s="31">
        <v>6.0</v>
      </c>
      <c r="K46" s="33">
        <v>18.0</v>
      </c>
      <c r="L46" s="31">
        <v>3.0</v>
      </c>
      <c r="M46" s="28">
        <f t="shared" ref="M46:N46" si="43">C46+K46</f>
        <v>144</v>
      </c>
      <c r="N46" s="29">
        <f t="shared" si="43"/>
        <v>9</v>
      </c>
      <c r="O46" s="35" t="s">
        <v>46</v>
      </c>
      <c r="P46" s="35" t="s">
        <v>46</v>
      </c>
      <c r="Q46" s="31">
        <f>if(G46=13,1,0)+VLOOKUP(B46,'041324'!B:Q,16,false)</f>
        <v>0</v>
      </c>
      <c r="R46" s="31"/>
      <c r="S46" s="31">
        <f>if(G46=9,1,0)+VLOOKUP(B46,'041324'!B:S,18,false)</f>
        <v>10</v>
      </c>
    </row>
    <row r="47">
      <c r="A47" s="26">
        <f t="shared" si="3"/>
        <v>43</v>
      </c>
      <c r="B47" s="27" t="s">
        <v>68</v>
      </c>
      <c r="C47" s="28">
        <v>126.0</v>
      </c>
      <c r="D47" s="29">
        <v>5.0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135</v>
      </c>
      <c r="N47" s="29">
        <f t="shared" si="44"/>
        <v>5</v>
      </c>
      <c r="O47" s="35" t="s">
        <v>46</v>
      </c>
      <c r="P47" s="35" t="s">
        <v>46</v>
      </c>
      <c r="Q47" s="31">
        <f>if(G47=13,1,0)+VLOOKUP(B47,'041324'!B:Q,16,false)</f>
        <v>2</v>
      </c>
      <c r="R47" s="31"/>
      <c r="S47" s="31">
        <f>if(G47=9,1,0)+VLOOKUP(B47,'041324'!B:S,18,false)</f>
        <v>8</v>
      </c>
    </row>
    <row r="48">
      <c r="A48" s="26">
        <f t="shared" si="3"/>
        <v>44</v>
      </c>
      <c r="B48" s="54" t="s">
        <v>116</v>
      </c>
      <c r="C48" s="28">
        <v>126.0</v>
      </c>
      <c r="D48" s="29">
        <v>5.0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135</v>
      </c>
      <c r="N48" s="29">
        <f t="shared" si="45"/>
        <v>5</v>
      </c>
      <c r="O48" s="35" t="s">
        <v>46</v>
      </c>
      <c r="P48" s="35" t="s">
        <v>46</v>
      </c>
      <c r="Q48" s="31">
        <f>if(G48=13,1,0)+VLOOKUP(B48,'041324'!B:Q,16,false)</f>
        <v>0</v>
      </c>
      <c r="R48" s="31"/>
      <c r="S48" s="31">
        <f>if(G48=9,1,0)+VLOOKUP(B48,'041324'!B:S,18,false)</f>
        <v>9</v>
      </c>
    </row>
    <row r="49">
      <c r="A49" s="26">
        <f t="shared" si="3"/>
        <v>45</v>
      </c>
      <c r="B49" s="27" t="s">
        <v>117</v>
      </c>
      <c r="C49" s="28">
        <v>126.0</v>
      </c>
      <c r="D49" s="29">
        <v>4.0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135</v>
      </c>
      <c r="N49" s="29">
        <f t="shared" si="46"/>
        <v>4</v>
      </c>
      <c r="O49" s="35" t="s">
        <v>46</v>
      </c>
      <c r="P49" s="35" t="s">
        <v>46</v>
      </c>
      <c r="Q49" s="31">
        <f>if(G49=13,1,0)+VLOOKUP(B49,'041324'!B:Q,16,false)</f>
        <v>2</v>
      </c>
      <c r="R49" s="31"/>
      <c r="S49" s="31">
        <f>if(G49=9,1,0)+VLOOKUP(B49,'041324'!B:S,18,false)</f>
        <v>9</v>
      </c>
    </row>
    <row r="50">
      <c r="A50" s="26">
        <f t="shared" si="3"/>
        <v>46</v>
      </c>
      <c r="B50" s="39" t="s">
        <v>45</v>
      </c>
      <c r="C50" s="28">
        <v>125.0</v>
      </c>
      <c r="D50" s="29">
        <v>8.0</v>
      </c>
      <c r="E50" s="30">
        <v>2.0</v>
      </c>
      <c r="F50" s="31">
        <v>7.0</v>
      </c>
      <c r="G50" s="28">
        <v>0.0</v>
      </c>
      <c r="H50" s="31">
        <v>6.0</v>
      </c>
      <c r="I50" s="31">
        <v>3.0</v>
      </c>
      <c r="J50" s="31">
        <v>4.0</v>
      </c>
      <c r="K50" s="33">
        <v>13.0</v>
      </c>
      <c r="L50" s="31">
        <v>1.0</v>
      </c>
      <c r="M50" s="28">
        <f t="shared" ref="M50:N50" si="47">C50+K50</f>
        <v>138</v>
      </c>
      <c r="N50" s="29">
        <f t="shared" si="47"/>
        <v>9</v>
      </c>
      <c r="O50" s="35" t="s">
        <v>46</v>
      </c>
      <c r="P50" s="35" t="s">
        <v>46</v>
      </c>
      <c r="Q50" s="31">
        <f>if(G50=13,1,0)+VLOOKUP(B50,'041324'!B:Q,16,false)</f>
        <v>1</v>
      </c>
      <c r="R50" s="31"/>
      <c r="S50" s="31">
        <f>if(G50=9,1,0)+VLOOKUP(B50,'041324'!B:S,18,false)</f>
        <v>4</v>
      </c>
    </row>
    <row r="51">
      <c r="A51" s="26">
        <f t="shared" si="3"/>
        <v>47</v>
      </c>
      <c r="B51" s="55" t="s">
        <v>39</v>
      </c>
      <c r="C51" s="28">
        <v>124.0</v>
      </c>
      <c r="D51" s="29">
        <v>4.0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133</v>
      </c>
      <c r="N51" s="29">
        <f t="shared" si="48"/>
        <v>4</v>
      </c>
      <c r="O51" s="35" t="s">
        <v>46</v>
      </c>
      <c r="P51" s="35" t="s">
        <v>46</v>
      </c>
      <c r="Q51" s="31">
        <f>if(G51=13,1,0)+VLOOKUP(B51,'041324'!B:Q,16,false)</f>
        <v>0</v>
      </c>
      <c r="R51" s="31"/>
      <c r="S51" s="31">
        <f>if(G51=9,1,0)+VLOOKUP(B51,'041324'!B:S,18,false)</f>
        <v>11</v>
      </c>
    </row>
    <row r="52">
      <c r="A52" s="26">
        <f t="shared" si="3"/>
        <v>48</v>
      </c>
      <c r="B52" s="27" t="s">
        <v>118</v>
      </c>
      <c r="C52" s="28">
        <v>123.0</v>
      </c>
      <c r="D52" s="29">
        <v>2.0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132</v>
      </c>
      <c r="N52" s="29">
        <f t="shared" si="49"/>
        <v>2</v>
      </c>
      <c r="O52" s="35" t="s">
        <v>46</v>
      </c>
      <c r="P52" s="35" t="s">
        <v>46</v>
      </c>
      <c r="Q52" s="31">
        <f>if(G52=13,1,0)+VLOOKUP(B52,'041324'!B:Q,16,false)</f>
        <v>2</v>
      </c>
      <c r="R52" s="31"/>
      <c r="S52" s="31">
        <f>if(G52=9,1,0)+VLOOKUP(B52,'041324'!B:S,18,false)</f>
        <v>10</v>
      </c>
    </row>
    <row r="53">
      <c r="A53" s="26">
        <f t="shared" si="3"/>
        <v>49</v>
      </c>
      <c r="B53" s="27" t="s">
        <v>112</v>
      </c>
      <c r="C53" s="28">
        <v>121.0</v>
      </c>
      <c r="D53" s="29">
        <v>4.0</v>
      </c>
      <c r="E53" s="30">
        <v>1.0</v>
      </c>
      <c r="F53" s="31">
        <v>7.0</v>
      </c>
      <c r="G53" s="28">
        <v>0.0</v>
      </c>
      <c r="H53" s="31">
        <v>6.0</v>
      </c>
      <c r="I53" s="31">
        <v>6.0</v>
      </c>
      <c r="J53" s="31">
        <v>6.0</v>
      </c>
      <c r="K53" s="33">
        <v>18.0</v>
      </c>
      <c r="L53" s="31">
        <v>3.0</v>
      </c>
      <c r="M53" s="28">
        <f t="shared" ref="M53:N53" si="50">C53+K53</f>
        <v>139</v>
      </c>
      <c r="N53" s="29">
        <f t="shared" si="50"/>
        <v>7</v>
      </c>
      <c r="O53" s="35" t="s">
        <v>46</v>
      </c>
      <c r="P53" s="35" t="s">
        <v>46</v>
      </c>
      <c r="Q53" s="31">
        <f>if(G53=13,1,0)+VLOOKUP(B53,'041324'!B:Q,16,false)</f>
        <v>0</v>
      </c>
      <c r="R53" s="31"/>
      <c r="S53" s="31">
        <f>if(G53=9,1,0)+VLOOKUP(B53,'041324'!B:S,18,false)</f>
        <v>9</v>
      </c>
    </row>
    <row r="54">
      <c r="A54" s="26">
        <f t="shared" si="3"/>
        <v>50</v>
      </c>
      <c r="B54" s="27" t="s">
        <v>109</v>
      </c>
      <c r="C54" s="28">
        <v>121.0</v>
      </c>
      <c r="D54" s="29">
        <v>2.0</v>
      </c>
      <c r="E54" s="30">
        <v>2.0</v>
      </c>
      <c r="F54" s="31">
        <v>7.0</v>
      </c>
      <c r="G54" s="28">
        <v>0.0</v>
      </c>
      <c r="H54" s="31">
        <v>4.0</v>
      </c>
      <c r="I54" s="31">
        <v>6.0</v>
      </c>
      <c r="J54" s="31">
        <v>4.0</v>
      </c>
      <c r="K54" s="33">
        <v>14.0</v>
      </c>
      <c r="L54" s="31">
        <v>1.0</v>
      </c>
      <c r="M54" s="28">
        <f t="shared" ref="M54:N54" si="51">C54+K54</f>
        <v>135</v>
      </c>
      <c r="N54" s="29">
        <f t="shared" si="51"/>
        <v>3</v>
      </c>
      <c r="O54" s="35" t="s">
        <v>46</v>
      </c>
      <c r="P54" s="35" t="s">
        <v>46</v>
      </c>
      <c r="Q54" s="31">
        <f>if(G54=13,1,0)+VLOOKUP(B54,'041324'!B:Q,16,false)</f>
        <v>2</v>
      </c>
      <c r="R54" s="31"/>
      <c r="S54" s="31">
        <f>if(G54=9,1,0)+VLOOKUP(B54,'041324'!B:S,18,false)</f>
        <v>8</v>
      </c>
    </row>
    <row r="55">
      <c r="A55" s="26">
        <f t="shared" si="3"/>
        <v>51</v>
      </c>
      <c r="B55" s="54" t="s">
        <v>108</v>
      </c>
      <c r="C55" s="28">
        <v>119.0</v>
      </c>
      <c r="D55" s="29">
        <v>10.0</v>
      </c>
      <c r="E55" s="30">
        <v>1.0</v>
      </c>
      <c r="F55" s="31">
        <v>7.0</v>
      </c>
      <c r="G55" s="28">
        <v>0.0</v>
      </c>
      <c r="H55" s="31">
        <v>4.0</v>
      </c>
      <c r="I55" s="31">
        <v>3.0</v>
      </c>
      <c r="J55" s="31">
        <v>6.0</v>
      </c>
      <c r="K55" s="33">
        <v>13.0</v>
      </c>
      <c r="L55" s="31">
        <v>1.0</v>
      </c>
      <c r="M55" s="28">
        <f t="shared" ref="M55:N55" si="52">C55+K55</f>
        <v>132</v>
      </c>
      <c r="N55" s="29">
        <f t="shared" si="52"/>
        <v>11</v>
      </c>
      <c r="O55" s="35" t="s">
        <v>46</v>
      </c>
      <c r="P55" s="35" t="s">
        <v>46</v>
      </c>
      <c r="Q55" s="31">
        <f>if(G55=13,1,0)+VLOOKUP(B55,'041324'!B:Q,16,false)</f>
        <v>0</v>
      </c>
      <c r="R55" s="31"/>
      <c r="S55" s="31">
        <f>if(G55=9,1,0)+VLOOKUP(B55,'041324'!B:S,18,false)</f>
        <v>2</v>
      </c>
    </row>
    <row r="56">
      <c r="A56" s="26">
        <f t="shared" si="3"/>
        <v>52</v>
      </c>
      <c r="B56" s="54" t="s">
        <v>54</v>
      </c>
      <c r="C56" s="28">
        <v>119.0</v>
      </c>
      <c r="D56" s="29">
        <v>5.0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128</v>
      </c>
      <c r="N56" s="29">
        <f t="shared" si="53"/>
        <v>5</v>
      </c>
      <c r="O56" s="35" t="s">
        <v>46</v>
      </c>
      <c r="P56" s="35" t="s">
        <v>46</v>
      </c>
      <c r="Q56" s="31">
        <f>if(G56=13,1,0)+VLOOKUP(B56,'041324'!B:Q,16,false)</f>
        <v>1</v>
      </c>
      <c r="R56" s="31"/>
      <c r="S56" s="31">
        <f>if(G56=9,1,0)+VLOOKUP(B56,'041324'!B:S,18,false)</f>
        <v>7</v>
      </c>
    </row>
    <row r="57">
      <c r="A57" s="26">
        <f t="shared" si="3"/>
        <v>53</v>
      </c>
      <c r="B57" s="39" t="s">
        <v>119</v>
      </c>
      <c r="C57" s="28">
        <v>118.0</v>
      </c>
      <c r="D57" s="29">
        <v>4.0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127</v>
      </c>
      <c r="N57" s="29">
        <f t="shared" si="54"/>
        <v>4</v>
      </c>
      <c r="O57" s="35" t="s">
        <v>46</v>
      </c>
      <c r="P57" s="35" t="s">
        <v>46</v>
      </c>
      <c r="Q57" s="31">
        <f>if(G57=13,1,0)+VLOOKUP(B57,'041324'!B:Q,16,false)</f>
        <v>0</v>
      </c>
      <c r="R57" s="31"/>
      <c r="S57" s="31">
        <f>if(G57=9,1,0)+VLOOKUP(B57,'041324'!B:S,18,false)</f>
        <v>11</v>
      </c>
    </row>
    <row r="58">
      <c r="A58" s="26">
        <f t="shared" si="3"/>
        <v>54</v>
      </c>
      <c r="B58" s="39" t="s">
        <v>121</v>
      </c>
      <c r="C58" s="28">
        <v>117.0</v>
      </c>
      <c r="D58" s="29">
        <v>3.0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126</v>
      </c>
      <c r="N58" s="29">
        <f t="shared" si="55"/>
        <v>3</v>
      </c>
      <c r="O58" s="35" t="s">
        <v>46</v>
      </c>
      <c r="P58" s="35" t="s">
        <v>46</v>
      </c>
      <c r="Q58" s="31">
        <f>if(G58=13,1,0)+VLOOKUP(B58,'041324'!B:Q,16,false)</f>
        <v>0</v>
      </c>
      <c r="R58" s="31"/>
      <c r="S58" s="31">
        <f>if(G58=9,1,0)+VLOOKUP(B58,'041324'!B:S,18,false)</f>
        <v>11</v>
      </c>
    </row>
    <row r="59">
      <c r="A59" s="26">
        <f t="shared" si="3"/>
        <v>55</v>
      </c>
      <c r="B59" s="54" t="s">
        <v>122</v>
      </c>
      <c r="C59" s="28">
        <v>115.0</v>
      </c>
      <c r="D59" s="29">
        <v>1.0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124</v>
      </c>
      <c r="N59" s="29">
        <f t="shared" si="56"/>
        <v>1</v>
      </c>
      <c r="O59" s="35" t="s">
        <v>46</v>
      </c>
      <c r="P59" s="35" t="s">
        <v>46</v>
      </c>
      <c r="Q59" s="31">
        <f>if(G59=13,1,0)+VLOOKUP(B59,'041324'!B:Q,16,false)</f>
        <v>0</v>
      </c>
      <c r="R59" s="31"/>
      <c r="S59" s="31">
        <f>if(G59=9,1,0)+VLOOKUP(B59,'041324'!B:S,18,false)</f>
        <v>12</v>
      </c>
    </row>
    <row r="60">
      <c r="A60" s="26">
        <f t="shared" si="3"/>
        <v>56</v>
      </c>
      <c r="B60" s="27" t="s">
        <v>115</v>
      </c>
      <c r="C60" s="28">
        <v>114.0</v>
      </c>
      <c r="D60" s="29">
        <v>2.0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123</v>
      </c>
      <c r="N60" s="29">
        <f t="shared" si="57"/>
        <v>2</v>
      </c>
      <c r="O60" s="35" t="s">
        <v>46</v>
      </c>
      <c r="P60" s="35" t="s">
        <v>46</v>
      </c>
      <c r="Q60" s="31">
        <f>if(G60=13,1,0)+VLOOKUP(B60,'041324'!B:Q,16,false)</f>
        <v>0</v>
      </c>
      <c r="R60" s="31"/>
      <c r="S60" s="31">
        <f>if(G60=9,1,0)+VLOOKUP(B60,'041324'!B:S,18,false)</f>
        <v>12</v>
      </c>
    </row>
    <row r="61">
      <c r="A61" s="26">
        <f t="shared" si="3"/>
        <v>57</v>
      </c>
      <c r="B61" s="54" t="s">
        <v>123</v>
      </c>
      <c r="C61" s="28">
        <v>112.0</v>
      </c>
      <c r="D61" s="29">
        <v>2.0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121</v>
      </c>
      <c r="N61" s="29">
        <f t="shared" si="58"/>
        <v>2</v>
      </c>
      <c r="O61" s="35" t="s">
        <v>46</v>
      </c>
      <c r="P61" s="35" t="s">
        <v>46</v>
      </c>
      <c r="Q61" s="31">
        <f>if(G61=13,1,0)+VLOOKUP(B61,'041324'!B:Q,16,false)</f>
        <v>1</v>
      </c>
      <c r="R61" s="31"/>
      <c r="S61" s="31">
        <f>if(G61=9,1,0)+VLOOKUP(B61,'041324'!B:S,18,false)</f>
        <v>11</v>
      </c>
    </row>
    <row r="62">
      <c r="A62" s="26">
        <f t="shared" si="3"/>
        <v>58</v>
      </c>
      <c r="B62" s="27" t="s">
        <v>114</v>
      </c>
      <c r="C62" s="28">
        <v>112.0</v>
      </c>
      <c r="D62" s="29">
        <v>0.0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121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if(G62=13,1,0)+VLOOKUP(B62,'041324'!B:Q,16,false)</f>
        <v>1</v>
      </c>
      <c r="R62" s="31"/>
      <c r="S62" s="31">
        <f>if(G62=9,1,0)+VLOOKUP(B62,'041324'!B:S,18,false)</f>
        <v>12</v>
      </c>
    </row>
    <row r="63">
      <c r="A63" s="26">
        <f t="shared" si="3"/>
        <v>59</v>
      </c>
      <c r="B63" s="27" t="s">
        <v>120</v>
      </c>
      <c r="C63" s="28">
        <v>111.0</v>
      </c>
      <c r="D63" s="29">
        <v>2.0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120</v>
      </c>
      <c r="N63" s="29">
        <f t="shared" si="60"/>
        <v>2</v>
      </c>
      <c r="O63" s="35" t="s">
        <v>46</v>
      </c>
      <c r="P63" s="35" t="s">
        <v>46</v>
      </c>
      <c r="Q63" s="31">
        <f>if(G63=13,1,0)+VLOOKUP(B63,'041324'!B:Q,16,false)</f>
        <v>1</v>
      </c>
      <c r="R63" s="31"/>
      <c r="S63" s="31">
        <f>if(G63=9,1,0)+VLOOKUP(B63,'041324'!B:S,18,false)</f>
        <v>11</v>
      </c>
    </row>
    <row r="64">
      <c r="A64" s="26">
        <f t="shared" si="3"/>
        <v>60</v>
      </c>
      <c r="B64" s="39" t="s">
        <v>97</v>
      </c>
      <c r="C64" s="28">
        <v>109.0</v>
      </c>
      <c r="D64" s="29">
        <v>4.0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118</v>
      </c>
      <c r="N64" s="29">
        <f t="shared" si="61"/>
        <v>4</v>
      </c>
      <c r="O64" s="35" t="s">
        <v>46</v>
      </c>
      <c r="P64" s="35" t="s">
        <v>46</v>
      </c>
      <c r="Q64" s="31">
        <f>if(G64=13,1,0)+VLOOKUP(B64,'041324'!B:Q,16,false)</f>
        <v>0</v>
      </c>
      <c r="R64" s="31"/>
      <c r="S64" s="31">
        <f>if(G64=9,1,0)+VLOOKUP(B64,'041324'!B:S,18,false)</f>
        <v>3</v>
      </c>
    </row>
    <row r="65">
      <c r="A65" s="26">
        <f t="shared" si="3"/>
        <v>61</v>
      </c>
      <c r="B65" s="39" t="s">
        <v>124</v>
      </c>
      <c r="C65" s="28">
        <v>108.0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117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if(G65=13,1,0)+VLOOKUP(B65,'041324'!B:Q,16,false)</f>
        <v>0</v>
      </c>
      <c r="R65" s="31"/>
      <c r="S65" s="31">
        <f>if(G65=9,1,0)+VLOOKUP(B65,'041324'!B:S,18,false)</f>
        <v>13</v>
      </c>
    </row>
    <row r="66">
      <c r="A66" s="26">
        <f t="shared" si="3"/>
        <v>62</v>
      </c>
      <c r="B66" s="39" t="s">
        <v>125</v>
      </c>
      <c r="C66" s="28">
        <v>108.0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117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if(G66=13,1,0)+VLOOKUP(B66,'041324'!B:Q,16,false)</f>
        <v>0</v>
      </c>
      <c r="R66" s="31"/>
      <c r="S66" s="31">
        <f>if(G66=9,1,0)+VLOOKUP(B66,'041324'!B:S,18,false)</f>
        <v>12</v>
      </c>
    </row>
    <row r="67">
      <c r="A67" s="26">
        <f t="shared" si="3"/>
        <v>63</v>
      </c>
      <c r="B67" s="39" t="s">
        <v>126</v>
      </c>
      <c r="C67" s="28">
        <v>107.0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116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if(G67=13,1,0)+VLOOKUP(B67,'041324'!B:Q,16,false)</f>
        <v>0</v>
      </c>
      <c r="R67" s="31"/>
      <c r="S67" s="31">
        <f>if(G67=9,1,0)+VLOOKUP(B67,'041324'!B:S,18,false)</f>
        <v>11</v>
      </c>
    </row>
    <row r="68">
      <c r="A68" s="26">
        <f t="shared" si="3"/>
        <v>64</v>
      </c>
      <c r="B68" s="27" t="s">
        <v>74</v>
      </c>
      <c r="C68" s="28">
        <v>99.0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108</v>
      </c>
      <c r="N68" s="29">
        <f t="shared" si="65"/>
        <v>0</v>
      </c>
      <c r="O68" s="35" t="s">
        <v>46</v>
      </c>
      <c r="P68" s="35" t="s">
        <v>46</v>
      </c>
      <c r="Q68" s="31">
        <f>if(G68=13,1,0)+VLOOKUP(B68,'041324'!B:Q,16,false)</f>
        <v>0</v>
      </c>
      <c r="R68" s="31"/>
      <c r="S68" s="31">
        <f>if(G68=9,1,0)+VLOOKUP(B68,'041324'!B:S,18,false)</f>
        <v>13</v>
      </c>
    </row>
    <row r="69">
      <c r="A69" s="26">
        <f t="shared" si="3"/>
        <v>65</v>
      </c>
      <c r="B69" s="39" t="s">
        <v>127</v>
      </c>
      <c r="C69" s="28">
        <v>98.0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107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if(G69=13,1,0)+VLOOKUP(B69,'041324'!B:Q,16,false)</f>
        <v>0</v>
      </c>
      <c r="R69" s="31"/>
      <c r="S69" s="31">
        <f>if(G69=9,1,0)+VLOOKUP(B69,'041324'!B:S,18,false)</f>
        <v>11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desc"",0)"),"Peter Cheng")</f>
        <v>Peter Cheng</v>
      </c>
      <c r="C79" s="60">
        <f>IFERROR(__xludf.DUMMYFUNCTION("""COMPUTED_VALUE"""),18.0)</f>
        <v>18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IFERROR(__xludf.DUMMYFUNCTION("""COMPUTED_VALUE"""),"Christopher Li")</f>
        <v>Christopher Li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IFERROR(__xludf.DUMMYFUNCTION("""COMPUTED_VALUE"""),"Pulkit Mathur")</f>
        <v>Pulkit Mathur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IFERROR(__xludf.DUMMYFUNCTION("""COMPUTED_VALUE"""),"Vinot Kumar Nagappan")</f>
        <v>Vinot Kumar Nagappan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IFERROR(__xludf.DUMMYFUNCTION("""COMPUTED_VALUE"""),"Peter Homsey")</f>
        <v>Peter Homsey</v>
      </c>
      <c r="C83" s="60">
        <f>IFERROR(__xludf.DUMMYFUNCTION("""COMPUTED_VALUE"""),18.0)</f>
        <v>18</v>
      </c>
      <c r="D83" s="60">
        <f>IFERROR(__xludf.DUMMYFUNCTION("""COMPUTED_VALUE"""),2.0)</f>
        <v>2</v>
      </c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1"")"),"Peter Cheng")</f>
        <v>Peter Cheng</v>
      </c>
      <c r="C92" s="63">
        <f>IFERROR(__xludf.DUMMYFUNCTION("""COMPUTED_VALUE"""),173.0)</f>
        <v>173</v>
      </c>
      <c r="D92" s="64">
        <f>IFERROR(__xludf.DUMMYFUNCTION("""COMPUTED_VALUE"""),17.0)</f>
        <v>17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IFERROR(__xludf.DUMMYFUNCTION("""COMPUTED_VALUE"""),18.0)</f>
        <v>18</v>
      </c>
      <c r="L92" s="65">
        <f>IFERROR(__xludf.DUMMYFUNCTION("""COMPUTED_VALUE"""),3.0)</f>
        <v>3</v>
      </c>
      <c r="M92" s="65">
        <f>IFERROR(__xludf.DUMMYFUNCTION("""COMPUTED_VALUE"""),191.0)</f>
        <v>191</v>
      </c>
      <c r="N92" s="66">
        <f>IFERROR(__xludf.DUMMYFUNCTION("""COMPUTED_VALUE"""),20.0)</f>
        <v>20</v>
      </c>
    </row>
    <row r="93">
      <c r="A93" s="1"/>
      <c r="B93" s="62" t="str">
        <f>IFERROR(__xludf.DUMMYFUNCTION("""COMPUTED_VALUE"""),"Suleman Alidina")</f>
        <v>Suleman Alidina</v>
      </c>
      <c r="C93" s="63">
        <f>IFERROR(__xludf.DUMMYFUNCTION("""COMPUTED_VALUE"""),165.0)</f>
        <v>165</v>
      </c>
      <c r="D93" s="64">
        <f>IFERROR(__xludf.DUMMYFUNCTION("""COMPUTED_VALUE"""),19.0)</f>
        <v>19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IFERROR(__xludf.DUMMYFUNCTION("""COMPUTED_VALUE"""),6.0)</f>
        <v>6</v>
      </c>
      <c r="I93" s="65">
        <f>IFERROR(__xludf.DUMMYFUNCTION("""COMPUTED_VALUE"""),1.0)</f>
        <v>1</v>
      </c>
      <c r="J93" s="65">
        <f>IFERROR(__xludf.DUMMYFUNCTION("""COMPUTED_VALUE"""),4.0)</f>
        <v>4</v>
      </c>
      <c r="K93" s="65">
        <f>IFERROR(__xludf.DUMMYFUNCTION("""COMPUTED_VALUE"""),11.0)</f>
        <v>11</v>
      </c>
      <c r="L93" s="65">
        <f>IFERROR(__xludf.DUMMYFUNCTION("""COMPUTED_VALUE"""),1.0)</f>
        <v>1</v>
      </c>
      <c r="M93" s="65">
        <f>IFERROR(__xludf.DUMMYFUNCTION("""COMPUTED_VALUE"""),176.0)</f>
        <v>176</v>
      </c>
      <c r="N93" s="66">
        <f>IFERROR(__xludf.DUMMYFUNCTION("""COMPUTED_VALUE"""),20.0)</f>
        <v>20</v>
      </c>
    </row>
    <row r="94">
      <c r="A94" s="1"/>
      <c r="B94" s="62" t="str">
        <f>IFERROR(__xludf.DUMMYFUNCTION("""COMPUTED_VALUE"""),"Luis Hsu")</f>
        <v>Luis Hsu</v>
      </c>
      <c r="C94" s="63">
        <f>IFERROR(__xludf.DUMMYFUNCTION("""COMPUTED_VALUE"""),157.0)</f>
        <v>157</v>
      </c>
      <c r="D94" s="64">
        <f>IFERROR(__xludf.DUMMYFUNCTION("""COMPUTED_VALUE"""),15.0)</f>
        <v>15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IFERROR(__xludf.DUMMYFUNCTION("""COMPUTED_VALUE"""),1.0)</f>
        <v>1</v>
      </c>
      <c r="I94" s="65">
        <f>IFERROR(__xludf.DUMMYFUNCTION("""COMPUTED_VALUE"""),6.0)</f>
        <v>6</v>
      </c>
      <c r="J94" s="65">
        <f>IFERROR(__xludf.DUMMYFUNCTION("""COMPUTED_VALUE"""),4.0)</f>
        <v>4</v>
      </c>
      <c r="K94" s="65">
        <f>IFERROR(__xludf.DUMMYFUNCTION("""COMPUTED_VALUE"""),11.0)</f>
        <v>11</v>
      </c>
      <c r="L94" s="65">
        <f>IFERROR(__xludf.DUMMYFUNCTION("""COMPUTED_VALUE"""),1.0)</f>
        <v>1</v>
      </c>
      <c r="M94" s="65">
        <f>IFERROR(__xludf.DUMMYFUNCTION("""COMPUTED_VALUE"""),168.0)</f>
        <v>168</v>
      </c>
      <c r="N94" s="66">
        <f>IFERROR(__xludf.DUMMYFUNCTION("""COMPUTED_VALUE"""),16.0)</f>
        <v>16</v>
      </c>
    </row>
    <row r="95">
      <c r="A95" s="1"/>
      <c r="B95" s="62" t="str">
        <f>IFERROR(__xludf.DUMMYFUNCTION("""COMPUTED_VALUE"""),"Mauricio Palacios")</f>
        <v>Mauricio Palacios</v>
      </c>
      <c r="C95" s="63">
        <f>IFERROR(__xludf.DUMMYFUNCTION("""COMPUTED_VALUE"""),153.0)</f>
        <v>153</v>
      </c>
      <c r="D95" s="64">
        <f>IFERROR(__xludf.DUMMYFUNCTION("""COMPUTED_VALUE"""),13.0)</f>
        <v>13</v>
      </c>
      <c r="E95" s="63">
        <f>IFERROR(__xludf.DUMMYFUNCTION("""COMPUTED_VALUE"""),2.0)</f>
        <v>2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IFERROR(__xludf.DUMMYFUNCTION("""COMPUTED_VALUE"""),1.0)</f>
        <v>1</v>
      </c>
      <c r="I95" s="65">
        <f>IFERROR(__xludf.DUMMYFUNCTION("""COMPUTED_VALUE"""),1.0)</f>
        <v>1</v>
      </c>
      <c r="J95" s="65">
        <f>IFERROR(__xludf.DUMMYFUNCTION("""COMPUTED_VALUE"""),6.0)</f>
        <v>6</v>
      </c>
      <c r="K95" s="65">
        <f>IFERROR(__xludf.DUMMYFUNCTION("""COMPUTED_VALUE"""),8.0)</f>
        <v>8</v>
      </c>
      <c r="L95" s="65">
        <f>IFERROR(__xludf.DUMMYFUNCTION("""COMPUTED_VALUE"""),1.0)</f>
        <v>1</v>
      </c>
      <c r="M95" s="65">
        <f>IFERROR(__xludf.DUMMYFUNCTION("""COMPUTED_VALUE"""),161.0)</f>
        <v>161</v>
      </c>
      <c r="N95" s="66">
        <f>IFERROR(__xludf.DUMMYFUNCTION("""COMPUTED_VALUE"""),14.0)</f>
        <v>14</v>
      </c>
    </row>
    <row r="96">
      <c r="A96" s="1"/>
      <c r="B96" s="67" t="str">
        <f>IFERROR(__xludf.DUMMYFUNCTION("""COMPUTED_VALUE"""),"Andrew Wen")</f>
        <v>Andrew Wen</v>
      </c>
      <c r="C96" s="68">
        <f>IFERROR(__xludf.DUMMYFUNCTION("""COMPUTED_VALUE"""),144.0)</f>
        <v>144</v>
      </c>
      <c r="D96" s="69">
        <f>IFERROR(__xludf.DUMMYFUNCTION("""COMPUTED_VALUE"""),15.0)</f>
        <v>15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IFERROR(__xludf.DUMMYFUNCTION("""COMPUTED_VALUE"""),1.0)</f>
        <v>1</v>
      </c>
      <c r="I96" s="70">
        <f>IFERROR(__xludf.DUMMYFUNCTION("""COMPUTED_VALUE"""),2.0)</f>
        <v>2</v>
      </c>
      <c r="J96" s="70">
        <f>IFERROR(__xludf.DUMMYFUNCTION("""COMPUTED_VALUE"""),6.0)</f>
        <v>6</v>
      </c>
      <c r="K96" s="70">
        <f>IFERROR(__xludf.DUMMYFUNCTION("""COMPUTED_VALUE"""),9.0)</f>
        <v>9</v>
      </c>
      <c r="L96" s="70">
        <f>IFERROR(__xludf.DUMMYFUNCTION("""COMPUTED_VALUE"""),1.0)</f>
        <v>1</v>
      </c>
      <c r="M96" s="70">
        <f>IFERROR(__xludf.DUMMYFUNCTION("""COMPUTED_VALUE"""),153.0)</f>
        <v>153</v>
      </c>
      <c r="N96" s="71">
        <f>IFERROR(__xludf.DUMMYFUNCTION("""COMPUTED_VALUE"""),16.0)</f>
        <v>16</v>
      </c>
    </row>
    <row r="97">
      <c r="A97" s="1"/>
      <c r="B97" s="67" t="str">
        <f>IFERROR(__xludf.DUMMYFUNCTION("""COMPUTED_VALUE"""),"Christopher Li")</f>
        <v>Christopher Li</v>
      </c>
      <c r="C97" s="68">
        <f>IFERROR(__xludf.DUMMYFUNCTION("""COMPUTED_VALUE"""),143.0)</f>
        <v>143</v>
      </c>
      <c r="D97" s="69">
        <f>IFERROR(__xludf.DUMMYFUNCTION("""COMPUTED_VALUE"""),13.0)</f>
        <v>13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IFERROR(__xludf.DUMMYFUNCTION("""COMPUTED_VALUE"""),6.0)</f>
        <v>6</v>
      </c>
      <c r="J97" s="70">
        <f>IFERROR(__xludf.DUMMYFUNCTION("""COMPUTED_VALUE"""),6.0)</f>
        <v>6</v>
      </c>
      <c r="K97" s="70">
        <f>IFERROR(__xludf.DUMMYFUNCTION("""COMPUTED_VALUE"""),18.0)</f>
        <v>18</v>
      </c>
      <c r="L97" s="70">
        <f>IFERROR(__xludf.DUMMYFUNCTION("""COMPUTED_VALUE"""),3.0)</f>
        <v>3</v>
      </c>
      <c r="M97" s="70">
        <f>IFERROR(__xludf.DUMMYFUNCTION("""COMPUTED_VALUE"""),161.0)</f>
        <v>161</v>
      </c>
      <c r="N97" s="71">
        <f>IFERROR(__xludf.DUMMYFUNCTION("""COMPUTED_VALUE"""),16.0)</f>
        <v>16</v>
      </c>
    </row>
    <row r="98">
      <c r="A98" s="1"/>
      <c r="B98" s="67" t="str">
        <f>IFERROR(__xludf.DUMMYFUNCTION("""COMPUTED_VALUE"""),"Rajasekar Ramasamy")</f>
        <v>Rajasekar Ramasamy</v>
      </c>
      <c r="C98" s="68">
        <f>IFERROR(__xludf.DUMMYFUNCTION("""COMPUTED_VALUE"""),143.0)</f>
        <v>143</v>
      </c>
      <c r="D98" s="69">
        <f>IFERROR(__xludf.DUMMYFUNCTION("""COMPUTED_VALUE"""),12.0)</f>
        <v>12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IFERROR(__xludf.DUMMYFUNCTION("""COMPUTED_VALUE"""),1.0)</f>
        <v>1</v>
      </c>
      <c r="I98" s="70">
        <f>IFERROR(__xludf.DUMMYFUNCTION("""COMPUTED_VALUE"""),6.0)</f>
        <v>6</v>
      </c>
      <c r="J98" s="70">
        <f>IFERROR(__xludf.DUMMYFUNCTION("""COMPUTED_VALUE"""),2.0)</f>
        <v>2</v>
      </c>
      <c r="K98" s="70">
        <f>IFERROR(__xludf.DUMMYFUNCTION("""COMPUTED_VALUE"""),9.0)</f>
        <v>9</v>
      </c>
      <c r="L98" s="70">
        <f>IFERROR(__xludf.DUMMYFUNCTION("""COMPUTED_VALUE"""),1.0)</f>
        <v>1</v>
      </c>
      <c r="M98" s="70">
        <f>IFERROR(__xludf.DUMMYFUNCTION("""COMPUTED_VALUE"""),152.0)</f>
        <v>152</v>
      </c>
      <c r="N98" s="71">
        <f>IFERROR(__xludf.DUMMYFUNCTION("""COMPUTED_VALUE"""),13.0)</f>
        <v>13</v>
      </c>
    </row>
    <row r="99">
      <c r="A99" s="1"/>
      <c r="B99" s="67" t="str">
        <f>IFERROR(__xludf.DUMMYFUNCTION("""COMPUTED_VALUE"""),"Joe Luzzi")</f>
        <v>Joe Luzzi</v>
      </c>
      <c r="C99" s="68">
        <f>IFERROR(__xludf.DUMMYFUNCTION("""COMPUTED_VALUE"""),141.0)</f>
        <v>141</v>
      </c>
      <c r="D99" s="69">
        <f>IFERROR(__xludf.DUMMYFUNCTION("""COMPUTED_VALUE"""),11.0)</f>
        <v>11</v>
      </c>
      <c r="E99" s="68">
        <f>IFERROR(__xludf.DUMMYFUNCTION("""COMPUTED_VALUE"""),2.0)</f>
        <v>2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IFERROR(__xludf.DUMMYFUNCTION("""COMPUTED_VALUE"""),6.0)</f>
        <v>6</v>
      </c>
      <c r="I99" s="70">
        <f>IFERROR(__xludf.DUMMYFUNCTION("""COMPUTED_VALUE"""),2.0)</f>
        <v>2</v>
      </c>
      <c r="J99" s="70">
        <f>IFERROR(__xludf.DUMMYFUNCTION("""COMPUTED_VALUE"""),2.0)</f>
        <v>2</v>
      </c>
      <c r="K99" s="70">
        <f>IFERROR(__xludf.DUMMYFUNCTION("""COMPUTED_VALUE"""),10.0)</f>
        <v>10</v>
      </c>
      <c r="L99" s="70">
        <f>IFERROR(__xludf.DUMMYFUNCTION("""COMPUTED_VALUE"""),1.0)</f>
        <v>1</v>
      </c>
      <c r="M99" s="70">
        <f>IFERROR(__xludf.DUMMYFUNCTION("""COMPUTED_VALUE"""),151.0)</f>
        <v>151</v>
      </c>
      <c r="N99" s="71">
        <f>IFERROR(__xludf.DUMMYFUNCTION("""COMPUTED_VALUE"""),12.0)</f>
        <v>12</v>
      </c>
    </row>
    <row r="100">
      <c r="A100" s="1"/>
      <c r="B100" s="62" t="str">
        <f>IFERROR(__xludf.DUMMYFUNCTION("""COMPUTED_VALUE"""),"Peter Homsey")</f>
        <v>Peter Homsey</v>
      </c>
      <c r="C100" s="63">
        <f>IFERROR(__xludf.DUMMYFUNCTION("""COMPUTED_VALUE"""),140.0)</f>
        <v>140</v>
      </c>
      <c r="D100" s="64">
        <f>IFERROR(__xludf.DUMMYFUNCTION("""COMPUTED_VALUE"""),11.0)</f>
        <v>11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IFERROR(__xludf.DUMMYFUNCTION("""COMPUTED_VALUE"""),6.0)</f>
        <v>6</v>
      </c>
      <c r="J100" s="65">
        <f>IFERROR(__xludf.DUMMYFUNCTION("""COMPUTED_VALUE"""),6.0)</f>
        <v>6</v>
      </c>
      <c r="K100" s="65">
        <f>IFERROR(__xludf.DUMMYFUNCTION("""COMPUTED_VALUE"""),18.0)</f>
        <v>18</v>
      </c>
      <c r="L100" s="65">
        <f>IFERROR(__xludf.DUMMYFUNCTION("""COMPUTED_VALUE"""),2.0)</f>
        <v>2</v>
      </c>
      <c r="M100" s="65">
        <f>IFERROR(__xludf.DUMMYFUNCTION("""COMPUTED_VALUE"""),158.0)</f>
        <v>158</v>
      </c>
      <c r="N100" s="66">
        <f>IFERROR(__xludf.DUMMYFUNCTION("""COMPUTED_VALUE"""),13.0)</f>
        <v>13</v>
      </c>
    </row>
    <row r="101">
      <c r="A101" s="1"/>
      <c r="B101" s="62" t="str">
        <f>IFERROR(__xludf.DUMMYFUNCTION("""COMPUTED_VALUE"""),"Pavan Akkimsetty")</f>
        <v>Pavan Akkimsetty</v>
      </c>
      <c r="C101" s="63">
        <f>IFERROR(__xludf.DUMMYFUNCTION("""COMPUTED_VALUE"""),138.0)</f>
        <v>138</v>
      </c>
      <c r="D101" s="64">
        <f>IFERROR(__xludf.DUMMYFUNCTION("""COMPUTED_VALUE"""),12.0)</f>
        <v>12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IFERROR(__xludf.DUMMYFUNCTION("""COMPUTED_VALUE"""),3.0)</f>
        <v>3</v>
      </c>
      <c r="I101" s="65">
        <f>IFERROR(__xludf.DUMMYFUNCTION("""COMPUTED_VALUE"""),6.0)</f>
        <v>6</v>
      </c>
      <c r="J101" s="65">
        <f>IFERROR(__xludf.DUMMYFUNCTION("""COMPUTED_VALUE"""),7.0)</f>
        <v>7</v>
      </c>
      <c r="K101" s="65">
        <f>IFERROR(__xludf.DUMMYFUNCTION("""COMPUTED_VALUE"""),16.0)</f>
        <v>16</v>
      </c>
      <c r="L101" s="65">
        <f>IFERROR(__xludf.DUMMYFUNCTION("""COMPUTED_VALUE"""),2.0)</f>
        <v>2</v>
      </c>
      <c r="M101" s="65">
        <f>IFERROR(__xludf.DUMMYFUNCTION("""COMPUTED_VALUE"""),154.0)</f>
        <v>154</v>
      </c>
      <c r="N101" s="66">
        <f>IFERROR(__xludf.DUMMYFUNCTION("""COMPUTED_VALUE"""),14.0)</f>
        <v>14</v>
      </c>
    </row>
    <row r="102">
      <c r="A102" s="1"/>
      <c r="B102" s="62" t="str">
        <f>IFERROR(__xludf.DUMMYFUNCTION("""COMPUTED_VALUE"""),"Oscar Bonilla")</f>
        <v>Oscar Bonilla</v>
      </c>
      <c r="C102" s="63">
        <f>IFERROR(__xludf.DUMMYFUNCTION("""COMPUTED_VALUE"""),136.0)</f>
        <v>136</v>
      </c>
      <c r="D102" s="64">
        <f>IFERROR(__xludf.DUMMYFUNCTION("""COMPUTED_VALUE"""),8.0)</f>
        <v>8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IFERROR(__xludf.DUMMYFUNCTION("""COMPUTED_VALUE"""),4.0)</f>
        <v>4</v>
      </c>
      <c r="J102" s="65">
        <f>IFERROR(__xludf.DUMMYFUNCTION("""COMPUTED_VALUE"""),7.0)</f>
        <v>7</v>
      </c>
      <c r="K102" s="65">
        <f>IFERROR(__xludf.DUMMYFUNCTION("""COMPUTED_VALUE"""),17.0)</f>
        <v>17</v>
      </c>
      <c r="L102" s="65">
        <f>IFERROR(__xludf.DUMMYFUNCTION("""COMPUTED_VALUE"""),2.0)</f>
        <v>2</v>
      </c>
      <c r="M102" s="65">
        <f>IFERROR(__xludf.DUMMYFUNCTION("""COMPUTED_VALUE"""),153.0)</f>
        <v>153</v>
      </c>
      <c r="N102" s="66">
        <f>IFERROR(__xludf.DUMMYFUNCTION("""COMPUTED_VALUE"""),10.0)</f>
        <v>10</v>
      </c>
    </row>
    <row r="103">
      <c r="A103" s="1"/>
      <c r="B103" s="62" t="str">
        <f>IFERROR(__xludf.DUMMYFUNCTION("""COMPUTED_VALUE"""),"Scott Li")</f>
        <v>Scott Li</v>
      </c>
      <c r="C103" s="63">
        <f>IFERROR(__xludf.DUMMYFUNCTION("""COMPUTED_VALUE"""),135.0)</f>
        <v>135</v>
      </c>
      <c r="D103" s="64">
        <f>IFERROR(__xludf.DUMMYFUNCTION("""COMPUTED_VALUE"""),12.0)</f>
        <v>12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IFERROR(__xludf.DUMMYFUNCTION("""COMPUTED_VALUE"""),3.0)</f>
        <v>3</v>
      </c>
      <c r="I103" s="65">
        <f>IFERROR(__xludf.DUMMYFUNCTION("""COMPUTED_VALUE"""),4.0)</f>
        <v>4</v>
      </c>
      <c r="J103" s="65">
        <f>IFERROR(__xludf.DUMMYFUNCTION("""COMPUTED_VALUE"""),6.0)</f>
        <v>6</v>
      </c>
      <c r="K103" s="65">
        <f>IFERROR(__xludf.DUMMYFUNCTION("""COMPUTED_VALUE"""),13.0)</f>
        <v>13</v>
      </c>
      <c r="L103" s="65">
        <f>IFERROR(__xludf.DUMMYFUNCTION("""COMPUTED_VALUE"""),0.0)</f>
        <v>0</v>
      </c>
      <c r="M103" s="65">
        <f>IFERROR(__xludf.DUMMYFUNCTION("""COMPUTED_VALUE"""),148.0)</f>
        <v>148</v>
      </c>
      <c r="N103" s="66">
        <f>IFERROR(__xludf.DUMMYFUNCTION("""COMPUTED_VALUE"""),12.0)</f>
        <v>12</v>
      </c>
    </row>
    <row r="104">
      <c r="A104" s="1"/>
      <c r="B104" s="67" t="str">
        <f>IFERROR(__xludf.DUMMYFUNCTION("""COMPUTED_VALUE"""),"Matthew Huang")</f>
        <v>Matthew Huang</v>
      </c>
      <c r="C104" s="68">
        <f>IFERROR(__xludf.DUMMYFUNCTION("""COMPUTED_VALUE"""),133.0)</f>
        <v>133</v>
      </c>
      <c r="D104" s="69">
        <f>IFERROR(__xludf.DUMMYFUNCTION("""COMPUTED_VALUE"""),7.0)</f>
        <v>7</v>
      </c>
      <c r="E104" s="68">
        <f>IFERROR(__xludf.DUMMYFUNCTION("""COMPUTED_VALUE"""),1.0)</f>
        <v>1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IFERROR(__xludf.DUMMYFUNCTION("""COMPUTED_VALUE"""),6.0)</f>
        <v>6</v>
      </c>
      <c r="J104" s="70">
        <f>IFERROR(__xludf.DUMMYFUNCTION("""COMPUTED_VALUE"""),5.0)</f>
        <v>5</v>
      </c>
      <c r="K104" s="70">
        <f>IFERROR(__xludf.DUMMYFUNCTION("""COMPUTED_VALUE"""),17.0)</f>
        <v>17</v>
      </c>
      <c r="L104" s="70">
        <f>IFERROR(__xludf.DUMMYFUNCTION("""COMPUTED_VALUE"""),2.0)</f>
        <v>2</v>
      </c>
      <c r="M104" s="70">
        <f>IFERROR(__xludf.DUMMYFUNCTION("""COMPUTED_VALUE"""),150.0)</f>
        <v>150</v>
      </c>
      <c r="N104" s="71">
        <f>IFERROR(__xludf.DUMMYFUNCTION("""COMPUTED_VALUE"""),9.0)</f>
        <v>9</v>
      </c>
    </row>
    <row r="105">
      <c r="A105" s="1"/>
      <c r="B105" s="67" t="str">
        <f>IFERROR(__xludf.DUMMYFUNCTION("""COMPUTED_VALUE"""),"Lloyd Sagar")</f>
        <v>Lloyd Sagar</v>
      </c>
      <c r="C105" s="68">
        <f>IFERROR(__xludf.DUMMYFUNCTION("""COMPUTED_VALUE"""),132.0)</f>
        <v>132</v>
      </c>
      <c r="D105" s="69">
        <f>IFERROR(__xludf.DUMMYFUNCTION("""COMPUTED_VALUE"""),6.0)</f>
        <v>6</v>
      </c>
      <c r="E105" s="68">
        <f>IFERROR(__xludf.DUMMYFUNCTION("""COMPUTED_VALUE"""),1.0)</f>
        <v>1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IFERROR(__xludf.DUMMYFUNCTION("""COMPUTED_VALUE"""),4.0)</f>
        <v>4</v>
      </c>
      <c r="I105" s="70">
        <f>IFERROR(__xludf.DUMMYFUNCTION("""COMPUTED_VALUE"""),6.0)</f>
        <v>6</v>
      </c>
      <c r="J105" s="70">
        <f>IFERROR(__xludf.DUMMYFUNCTION("""COMPUTED_VALUE"""),7.0)</f>
        <v>7</v>
      </c>
      <c r="K105" s="70">
        <f>IFERROR(__xludf.DUMMYFUNCTION("""COMPUTED_VALUE"""),17.0)</f>
        <v>17</v>
      </c>
      <c r="L105" s="70">
        <f>IFERROR(__xludf.DUMMYFUNCTION("""COMPUTED_VALUE"""),2.0)</f>
        <v>2</v>
      </c>
      <c r="M105" s="70">
        <f>IFERROR(__xludf.DUMMYFUNCTION("""COMPUTED_VALUE"""),149.0)</f>
        <v>149</v>
      </c>
      <c r="N105" s="71">
        <f>IFERROR(__xludf.DUMMYFUNCTION("""COMPUTED_VALUE"""),8.0)</f>
        <v>8</v>
      </c>
    </row>
    <row r="106">
      <c r="A106" s="1"/>
      <c r="B106" s="67" t="str">
        <f>IFERROR(__xludf.DUMMYFUNCTION("""COMPUTED_VALUE"""),"Vishnu Amarnath")</f>
        <v>Vishnu Amarnath</v>
      </c>
      <c r="C106" s="68">
        <f>IFERROR(__xludf.DUMMYFUNCTION("""COMPUTED_VALUE"""),131.0)</f>
        <v>131</v>
      </c>
      <c r="D106" s="69">
        <f>IFERROR(__xludf.DUMMYFUNCTION("""COMPUTED_VALUE"""),13.0)</f>
        <v>13</v>
      </c>
      <c r="E106" s="68">
        <f>IFERROR(__xludf.DUMMYFUNCTION("""COMPUTED_VALUE"""),1.0)</f>
        <v>1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IFERROR(__xludf.DUMMYFUNCTION("""COMPUTED_VALUE"""),4.0)</f>
        <v>4</v>
      </c>
      <c r="I106" s="70">
        <f>IFERROR(__xludf.DUMMYFUNCTION("""COMPUTED_VALUE"""),1.0)</f>
        <v>1</v>
      </c>
      <c r="J106" s="70">
        <f>IFERROR(__xludf.DUMMYFUNCTION("""COMPUTED_VALUE"""),5.0)</f>
        <v>5</v>
      </c>
      <c r="K106" s="70">
        <f>IFERROR(__xludf.DUMMYFUNCTION("""COMPUTED_VALUE"""),10.0)</f>
        <v>10</v>
      </c>
      <c r="L106" s="70">
        <f>IFERROR(__xludf.DUMMYFUNCTION("""COMPUTED_VALUE"""),0.0)</f>
        <v>0</v>
      </c>
      <c r="M106" s="70">
        <f>IFERROR(__xludf.DUMMYFUNCTION("""COMPUTED_VALUE"""),141.0)</f>
        <v>141</v>
      </c>
      <c r="N106" s="71">
        <f>IFERROR(__xludf.DUMMYFUNCTION("""COMPUTED_VALUE"""),13.0)</f>
        <v>13</v>
      </c>
    </row>
    <row r="107">
      <c r="A107" s="1"/>
      <c r="B107" s="67" t="str">
        <f>IFERROR(__xludf.DUMMYFUNCTION("""COMPUTED_VALUE"""),"Manuel Rivera")</f>
        <v>Manuel Rivera</v>
      </c>
      <c r="C107" s="68">
        <f>IFERROR(__xludf.DUMMYFUNCTION("""COMPUTED_VALUE"""),131.0)</f>
        <v>131</v>
      </c>
      <c r="D107" s="69">
        <f>IFERROR(__xludf.DUMMYFUNCTION("""COMPUTED_VALUE"""),10.0)</f>
        <v>10</v>
      </c>
      <c r="E107" s="68">
        <f>IFERROR(__xludf.DUMMYFUNCTION("""COMPUTED_VALUE"""),2.0)</f>
        <v>2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IFERROR(__xludf.DUMMYFUNCTION("""COMPUTED_VALUE"""),1.0)</f>
        <v>1</v>
      </c>
      <c r="J107" s="70">
        <f>IFERROR(__xludf.DUMMYFUNCTION("""COMPUTED_VALUE"""),7.0)</f>
        <v>7</v>
      </c>
      <c r="K107" s="70">
        <f>IFERROR(__xludf.DUMMYFUNCTION("""COMPUTED_VALUE"""),14.0)</f>
        <v>14</v>
      </c>
      <c r="L107" s="70">
        <f>IFERROR(__xludf.DUMMYFUNCTION("""COMPUTED_VALUE"""),2.0)</f>
        <v>2</v>
      </c>
      <c r="M107" s="70">
        <f>IFERROR(__xludf.DUMMYFUNCTION("""COMPUTED_VALUE"""),145.0)</f>
        <v>145</v>
      </c>
      <c r="N107" s="71">
        <f>IFERROR(__xludf.DUMMYFUNCTION("""COMPUTED_VALUE"""),12.0)</f>
        <v>12</v>
      </c>
    </row>
    <row r="108">
      <c r="A108" s="1"/>
      <c r="B108" s="62" t="str">
        <f>IFERROR(__xludf.DUMMYFUNCTION("""COMPUTED_VALUE"""),"Eric Tan")</f>
        <v>Eric Tan</v>
      </c>
      <c r="C108" s="63">
        <f>IFERROR(__xludf.DUMMYFUNCTION("""COMPUTED_VALUE"""),130.0)</f>
        <v>130</v>
      </c>
      <c r="D108" s="64">
        <f>IFERROR(__xludf.DUMMYFUNCTION("""COMPUTED_VALUE"""),12.0)</f>
        <v>12</v>
      </c>
      <c r="E108" s="63">
        <f>IFERROR(__xludf.DUMMYFUNCTION("""COMPUTED_VALUE"""),1.0)</f>
        <v>1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IFERROR(__xludf.DUMMYFUNCTION("""COMPUTED_VALUE"""),3.0)</f>
        <v>3</v>
      </c>
      <c r="I108" s="65">
        <f>IFERROR(__xludf.DUMMYFUNCTION("""COMPUTED_VALUE"""),2.0)</f>
        <v>2</v>
      </c>
      <c r="J108" s="65">
        <f>IFERROR(__xludf.DUMMYFUNCTION("""COMPUTED_VALUE"""),6.0)</f>
        <v>6</v>
      </c>
      <c r="K108" s="65">
        <f>IFERROR(__xludf.DUMMYFUNCTION("""COMPUTED_VALUE"""),11.0)</f>
        <v>11</v>
      </c>
      <c r="L108" s="65">
        <f>IFERROR(__xludf.DUMMYFUNCTION("""COMPUTED_VALUE"""),1.0)</f>
        <v>1</v>
      </c>
      <c r="M108" s="65">
        <f>IFERROR(__xludf.DUMMYFUNCTION("""COMPUTED_VALUE"""),141.0)</f>
        <v>141</v>
      </c>
      <c r="N108" s="66">
        <f>IFERROR(__xludf.DUMMYFUNCTION("""COMPUTED_VALUE"""),13.0)</f>
        <v>13</v>
      </c>
    </row>
    <row r="109">
      <c r="A109" s="1"/>
      <c r="B109" s="62" t="str">
        <f>IFERROR(__xludf.DUMMYFUNCTION("""COMPUTED_VALUE"""),"Vinaya Kajla")</f>
        <v>Vinaya Kajla</v>
      </c>
      <c r="C109" s="63">
        <f>IFERROR(__xludf.DUMMYFUNCTION("""COMPUTED_VALUE"""),128.0)</f>
        <v>128</v>
      </c>
      <c r="D109" s="64">
        <f>IFERROR(__xludf.DUMMYFUNCTION("""COMPUTED_VALUE"""),10.0)</f>
        <v>10</v>
      </c>
      <c r="E109" s="63">
        <f>IFERROR(__xludf.DUMMYFUNCTION("""COMPUTED_VALUE"""),1.0)</f>
        <v>1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IFERROR(__xludf.DUMMYFUNCTION("""COMPUTED_VALUE"""),3.0)</f>
        <v>3</v>
      </c>
      <c r="I109" s="65">
        <f>IFERROR(__xludf.DUMMYFUNCTION("""COMPUTED_VALUE"""),6.0)</f>
        <v>6</v>
      </c>
      <c r="J109" s="65">
        <f>IFERROR(__xludf.DUMMYFUNCTION("""COMPUTED_VALUE"""),1.0)</f>
        <v>1</v>
      </c>
      <c r="K109" s="65">
        <f>IFERROR(__xludf.DUMMYFUNCTION("""COMPUTED_VALUE"""),10.0)</f>
        <v>10</v>
      </c>
      <c r="L109" s="65">
        <f>IFERROR(__xludf.DUMMYFUNCTION("""COMPUTED_VALUE"""),1.0)</f>
        <v>1</v>
      </c>
      <c r="M109" s="65">
        <f>IFERROR(__xludf.DUMMYFUNCTION("""COMPUTED_VALUE"""),138.0)</f>
        <v>138</v>
      </c>
      <c r="N109" s="66">
        <f>IFERROR(__xludf.DUMMYFUNCTION("""COMPUTED_VALUE"""),11.0)</f>
        <v>11</v>
      </c>
    </row>
    <row r="110">
      <c r="A110" s="1"/>
      <c r="B110" s="62" t="str">
        <f>IFERROR(__xludf.DUMMYFUNCTION("""COMPUTED_VALUE"""),"Elayaraja Thangaraj ")</f>
        <v>Elayaraja Thangaraj </v>
      </c>
      <c r="C110" s="63">
        <f>IFERROR(__xludf.DUMMYFUNCTION("""COMPUTED_VALUE"""),126.0)</f>
        <v>126</v>
      </c>
      <c r="D110" s="64">
        <f>IFERROR(__xludf.DUMMYFUNCTION("""COMPUTED_VALUE"""),10.0)</f>
        <v>10</v>
      </c>
      <c r="E110" s="63">
        <f>IFERROR(__xludf.DUMMYFUNCTION("""COMPUTED_VALUE"""),1.0)</f>
        <v>1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IFERROR(__xludf.DUMMYFUNCTION("""COMPUTED_VALUE"""),2.0)</f>
        <v>2</v>
      </c>
      <c r="J110" s="65">
        <f>IFERROR(__xludf.DUMMYFUNCTION("""COMPUTED_VALUE"""),1.0)</f>
        <v>1</v>
      </c>
      <c r="K110" s="65">
        <f>IFERROR(__xludf.DUMMYFUNCTION("""COMPUTED_VALUE"""),9.0)</f>
        <v>9</v>
      </c>
      <c r="L110" s="65">
        <f>IFERROR(__xludf.DUMMYFUNCTION("""COMPUTED_VALUE"""),1.0)</f>
        <v>1</v>
      </c>
      <c r="M110" s="65">
        <f>IFERROR(__xludf.DUMMYFUNCTION("""COMPUTED_VALUE"""),135.0)</f>
        <v>135</v>
      </c>
      <c r="N110" s="66">
        <f>IFERROR(__xludf.DUMMYFUNCTION("""COMPUTED_VALUE"""),11.0)</f>
        <v>11</v>
      </c>
    </row>
    <row r="111">
      <c r="A111" s="1"/>
      <c r="B111" s="62" t="str">
        <f>IFERROR(__xludf.DUMMYFUNCTION("""COMPUTED_VALUE"""),"Pulkit Mathur")</f>
        <v>Pulkit Mathur</v>
      </c>
      <c r="C111" s="63">
        <f>IFERROR(__xludf.DUMMYFUNCTION("""COMPUTED_VALUE"""),126.0)</f>
        <v>126</v>
      </c>
      <c r="D111" s="64">
        <f>IFERROR(__xludf.DUMMYFUNCTION("""COMPUTED_VALUE"""),6.0)</f>
        <v>6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IFERROR(__xludf.DUMMYFUNCTION("""COMPUTED_VALUE"""),6.0)</f>
        <v>6</v>
      </c>
      <c r="I111" s="65">
        <f>IFERROR(__xludf.DUMMYFUNCTION("""COMPUTED_VALUE"""),6.0)</f>
        <v>6</v>
      </c>
      <c r="J111" s="65">
        <f>IFERROR(__xludf.DUMMYFUNCTION("""COMPUTED_VALUE"""),6.0)</f>
        <v>6</v>
      </c>
      <c r="K111" s="65">
        <f>IFERROR(__xludf.DUMMYFUNCTION("""COMPUTED_VALUE"""),18.0)</f>
        <v>18</v>
      </c>
      <c r="L111" s="65">
        <f>IFERROR(__xludf.DUMMYFUNCTION("""COMPUTED_VALUE"""),3.0)</f>
        <v>3</v>
      </c>
      <c r="M111" s="65">
        <f>IFERROR(__xludf.DUMMYFUNCTION("""COMPUTED_VALUE"""),144.0)</f>
        <v>144</v>
      </c>
      <c r="N111" s="66">
        <f>IFERROR(__xludf.DUMMYFUNCTION("""COMPUTED_VALUE"""),9.0)</f>
        <v>9</v>
      </c>
    </row>
    <row r="112">
      <c r="A112" s="1"/>
      <c r="B112" s="67" t="str">
        <f>IFERROR(__xludf.DUMMYFUNCTION("""COMPUTED_VALUE"""),"Tony Wong")</f>
        <v>Tony Wong</v>
      </c>
      <c r="C112" s="68">
        <f>IFERROR(__xludf.DUMMYFUNCTION("""COMPUTED_VALUE"""),125.0)</f>
        <v>125</v>
      </c>
      <c r="D112" s="69">
        <f>IFERROR(__xludf.DUMMYFUNCTION("""COMPUTED_VALUE"""),8.0)</f>
        <v>8</v>
      </c>
      <c r="E112" s="68">
        <f>IFERROR(__xludf.DUMMYFUNCTION("""COMPUTED_VALUE"""),2.0)</f>
        <v>2</v>
      </c>
      <c r="F112" s="70">
        <f>IFERROR(__xludf.DUMMYFUNCTION("""COMPUTED_VALUE"""),7.0)</f>
        <v>7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IFERROR(__xludf.DUMMYFUNCTION("""COMPUTED_VALUE"""),3.0)</f>
        <v>3</v>
      </c>
      <c r="J112" s="70">
        <f>IFERROR(__xludf.DUMMYFUNCTION("""COMPUTED_VALUE"""),4.0)</f>
        <v>4</v>
      </c>
      <c r="K112" s="70">
        <f>IFERROR(__xludf.DUMMYFUNCTION("""COMPUTED_VALUE"""),13.0)</f>
        <v>13</v>
      </c>
      <c r="L112" s="70">
        <f>IFERROR(__xludf.DUMMYFUNCTION("""COMPUTED_VALUE"""),1.0)</f>
        <v>1</v>
      </c>
      <c r="M112" s="70">
        <f>IFERROR(__xludf.DUMMYFUNCTION("""COMPUTED_VALUE"""),138.0)</f>
        <v>138</v>
      </c>
      <c r="N112" s="71">
        <f>IFERROR(__xludf.DUMMYFUNCTION("""COMPUTED_VALUE"""),9.0)</f>
        <v>9</v>
      </c>
    </row>
    <row r="113">
      <c r="A113" s="1"/>
      <c r="B113" s="67" t="str">
        <f>IFERROR(__xludf.DUMMYFUNCTION("""COMPUTED_VALUE"""),"Vinot Kumar Nagappan")</f>
        <v>Vinot Kumar Nagappan</v>
      </c>
      <c r="C113" s="68">
        <f>IFERROR(__xludf.DUMMYFUNCTION("""COMPUTED_VALUE"""),121.0)</f>
        <v>121</v>
      </c>
      <c r="D113" s="69">
        <f>IFERROR(__xludf.DUMMYFUNCTION("""COMPUTED_VALUE"""),4.0)</f>
        <v>4</v>
      </c>
      <c r="E113" s="68">
        <f>IFERROR(__xludf.DUMMYFUNCTION("""COMPUTED_VALUE"""),1.0)</f>
        <v>1</v>
      </c>
      <c r="F113" s="70">
        <f>IFERROR(__xludf.DUMMYFUNCTION("""COMPUTED_VALUE"""),7.0)</f>
        <v>7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IFERROR(__xludf.DUMMYFUNCTION("""COMPUTED_VALUE"""),6.0)</f>
        <v>6</v>
      </c>
      <c r="J113" s="70">
        <f>IFERROR(__xludf.DUMMYFUNCTION("""COMPUTED_VALUE"""),6.0)</f>
        <v>6</v>
      </c>
      <c r="K113" s="70">
        <f>IFERROR(__xludf.DUMMYFUNCTION("""COMPUTED_VALUE"""),18.0)</f>
        <v>18</v>
      </c>
      <c r="L113" s="70">
        <f>IFERROR(__xludf.DUMMYFUNCTION("""COMPUTED_VALUE"""),3.0)</f>
        <v>3</v>
      </c>
      <c r="M113" s="70">
        <f>IFERROR(__xludf.DUMMYFUNCTION("""COMPUTED_VALUE"""),139.0)</f>
        <v>139</v>
      </c>
      <c r="N113" s="71">
        <f>IFERROR(__xludf.DUMMYFUNCTION("""COMPUTED_VALUE"""),7.0)</f>
        <v>7</v>
      </c>
    </row>
    <row r="114">
      <c r="A114" s="1"/>
      <c r="B114" s="67" t="str">
        <f>IFERROR(__xludf.DUMMYFUNCTION("""COMPUTED_VALUE"""),"Nohely Mejia")</f>
        <v>Nohely Mejia</v>
      </c>
      <c r="C114" s="68">
        <f>IFERROR(__xludf.DUMMYFUNCTION("""COMPUTED_VALUE"""),121.0)</f>
        <v>121</v>
      </c>
      <c r="D114" s="69">
        <f>IFERROR(__xludf.DUMMYFUNCTION("""COMPUTED_VALUE"""),2.0)</f>
        <v>2</v>
      </c>
      <c r="E114" s="68">
        <f>IFERROR(__xludf.DUMMYFUNCTION("""COMPUTED_VALUE"""),2.0)</f>
        <v>2</v>
      </c>
      <c r="F114" s="70">
        <f>IFERROR(__xludf.DUMMYFUNCTION("""COMPUTED_VALUE"""),7.0)</f>
        <v>7</v>
      </c>
      <c r="G114" s="70">
        <f>IFERROR(__xludf.DUMMYFUNCTION("""COMPUTED_VALUE"""),0.0)</f>
        <v>0</v>
      </c>
      <c r="H114" s="70">
        <f>IFERROR(__xludf.DUMMYFUNCTION("""COMPUTED_VALUE"""),4.0)</f>
        <v>4</v>
      </c>
      <c r="I114" s="70">
        <f>IFERROR(__xludf.DUMMYFUNCTION("""COMPUTED_VALUE"""),6.0)</f>
        <v>6</v>
      </c>
      <c r="J114" s="70">
        <f>IFERROR(__xludf.DUMMYFUNCTION("""COMPUTED_VALUE"""),4.0)</f>
        <v>4</v>
      </c>
      <c r="K114" s="70">
        <f>IFERROR(__xludf.DUMMYFUNCTION("""COMPUTED_VALUE"""),14.0)</f>
        <v>14</v>
      </c>
      <c r="L114" s="70">
        <f>IFERROR(__xludf.DUMMYFUNCTION("""COMPUTED_VALUE"""),1.0)</f>
        <v>1</v>
      </c>
      <c r="M114" s="70">
        <f>IFERROR(__xludf.DUMMYFUNCTION("""COMPUTED_VALUE"""),135.0)</f>
        <v>135</v>
      </c>
      <c r="N114" s="71">
        <f>IFERROR(__xludf.DUMMYFUNCTION("""COMPUTED_VALUE"""),3.0)</f>
        <v>3</v>
      </c>
    </row>
    <row r="115">
      <c r="A115" s="1"/>
      <c r="B115" s="67" t="str">
        <f>IFERROR(__xludf.DUMMYFUNCTION("""COMPUTED_VALUE"""),"Kumar Palakeel")</f>
        <v>Kumar Palakeel</v>
      </c>
      <c r="C115" s="68">
        <f>IFERROR(__xludf.DUMMYFUNCTION("""COMPUTED_VALUE"""),119.0)</f>
        <v>119</v>
      </c>
      <c r="D115" s="69">
        <f>IFERROR(__xludf.DUMMYFUNCTION("""COMPUTED_VALUE"""),10.0)</f>
        <v>10</v>
      </c>
      <c r="E115" s="68">
        <f>IFERROR(__xludf.DUMMYFUNCTION("""COMPUTED_VALUE"""),1.0)</f>
        <v>1</v>
      </c>
      <c r="F115" s="70">
        <f>IFERROR(__xludf.DUMMYFUNCTION("""COMPUTED_VALUE"""),7.0)</f>
        <v>7</v>
      </c>
      <c r="G115" s="70">
        <f>IFERROR(__xludf.DUMMYFUNCTION("""COMPUTED_VALUE"""),0.0)</f>
        <v>0</v>
      </c>
      <c r="H115" s="70">
        <f>IFERROR(__xludf.DUMMYFUNCTION("""COMPUTED_VALUE"""),4.0)</f>
        <v>4</v>
      </c>
      <c r="I115" s="70">
        <f>IFERROR(__xludf.DUMMYFUNCTION("""COMPUTED_VALUE"""),3.0)</f>
        <v>3</v>
      </c>
      <c r="J115" s="70">
        <f>IFERROR(__xludf.DUMMYFUNCTION("""COMPUTED_VALUE"""),6.0)</f>
        <v>6</v>
      </c>
      <c r="K115" s="70">
        <f>IFERROR(__xludf.DUMMYFUNCTION("""COMPUTED_VALUE"""),13.0)</f>
        <v>13</v>
      </c>
      <c r="L115" s="70">
        <f>IFERROR(__xludf.DUMMYFUNCTION("""COMPUTED_VALUE"""),1.0)</f>
        <v>1</v>
      </c>
      <c r="M115" s="70">
        <f>IFERROR(__xludf.DUMMYFUNCTION("""COMPUTED_VALUE"""),132.0)</f>
        <v>132</v>
      </c>
      <c r="N115" s="71">
        <f>IFERROR(__xludf.DUMMYFUNCTION("""COMPUTED_VALUE"""),11.0)</f>
        <v>11</v>
      </c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0"")"),"David Shin")</f>
        <v>David Shin</v>
      </c>
      <c r="C136" s="63">
        <f>IFERROR(__xludf.DUMMYFUNCTION("""COMPUTED_VALUE"""),159.0)</f>
        <v>159</v>
      </c>
      <c r="D136" s="64">
        <f>IFERROR(__xludf.DUMMYFUNCTION("""COMPUTED_VALUE"""),15.0)</f>
        <v>15</v>
      </c>
      <c r="E136" s="63">
        <f>IFERROR(__xludf.DUMMYFUNCTION("""COMPUTED_VALUE"""),5.0)</f>
        <v>5</v>
      </c>
      <c r="F136" s="65">
        <f>IFERROR(__xludf.DUMMYFUNCTION("""COMPUTED_VALUE"""),0.0)</f>
        <v>0</v>
      </c>
      <c r="G136" s="65">
        <f>IFERROR(__xludf.DUMMYFUNCTION("""COMPUTED_VALUE"""),13.0)</f>
        <v>13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IFERROR(__xludf.DUMMYFUNCTION("""COMPUTED_VALUE"""),13.0)</f>
        <v>13</v>
      </c>
      <c r="L136" s="65">
        <f>IFERROR(__xludf.DUMMYFUNCTION("""COMPUTED_VALUE"""),0.0)</f>
        <v>0</v>
      </c>
      <c r="M136" s="65">
        <f>IFERROR(__xludf.DUMMYFUNCTION("""COMPUTED_VALUE"""),172.0)</f>
        <v>172</v>
      </c>
      <c r="N136" s="66">
        <f>IFERROR(__xludf.DUMMYFUNCTION("""COMPUTED_VALUE"""),15.0)</f>
        <v>15</v>
      </c>
    </row>
    <row r="137">
      <c r="A137" s="1"/>
      <c r="B137" s="62" t="str">
        <f>IFERROR(__xludf.DUMMYFUNCTION("""COMPUTED_VALUE"""),"Eric Pan")</f>
        <v>Eric Pan</v>
      </c>
      <c r="C137" s="63">
        <f>IFERROR(__xludf.DUMMYFUNCTION("""COMPUTED_VALUE"""),158.0)</f>
        <v>158</v>
      </c>
      <c r="D137" s="64">
        <f>IFERROR(__xludf.DUMMYFUNCTION("""COMPUTED_VALUE"""),15.0)</f>
        <v>15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IFERROR(__xludf.DUMMYFUNCTION("""COMPUTED_VALUE"""),167.0)</f>
        <v>167</v>
      </c>
      <c r="N137" s="66">
        <f>IFERROR(__xludf.DUMMYFUNCTION("""COMPUTED_VALUE"""),15.0)</f>
        <v>15</v>
      </c>
    </row>
    <row r="138">
      <c r="A138" s="1"/>
      <c r="B138" s="62" t="str">
        <f>IFERROR(__xludf.DUMMYFUNCTION("""COMPUTED_VALUE"""),"Adrian Tay")</f>
        <v>Adrian Tay</v>
      </c>
      <c r="C138" s="63">
        <f>IFERROR(__xludf.DUMMYFUNCTION("""COMPUTED_VALUE"""),158.0)</f>
        <v>158</v>
      </c>
      <c r="D138" s="64">
        <f>IFERROR(__xludf.DUMMYFUNCTION("""COMPUTED_VALUE"""),15.0)</f>
        <v>15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IFERROR(__xludf.DUMMYFUNCTION("""COMPUTED_VALUE"""),167.0)</f>
        <v>167</v>
      </c>
      <c r="N138" s="66">
        <f>IFERROR(__xludf.DUMMYFUNCTION("""COMPUTED_VALUE"""),15.0)</f>
        <v>15</v>
      </c>
    </row>
    <row r="139">
      <c r="A139" s="1"/>
      <c r="B139" s="62" t="str">
        <f>IFERROR(__xludf.DUMMYFUNCTION("""COMPUTED_VALUE"""),"Sean Chang")</f>
        <v>Sean Chang</v>
      </c>
      <c r="C139" s="63">
        <f>IFERROR(__xludf.DUMMYFUNCTION("""COMPUTED_VALUE"""),158.0)</f>
        <v>158</v>
      </c>
      <c r="D139" s="64">
        <f>IFERROR(__xludf.DUMMYFUNCTION("""COMPUTED_VALUE"""),10.0)</f>
        <v>10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IFERROR(__xludf.DUMMYFUNCTION("""COMPUTED_VALUE"""),167.0)</f>
        <v>167</v>
      </c>
      <c r="N139" s="66">
        <f>IFERROR(__xludf.DUMMYFUNCTION("""COMPUTED_VALUE"""),10.0)</f>
        <v>10</v>
      </c>
    </row>
    <row r="140">
      <c r="A140" s="1"/>
      <c r="B140" s="62" t="str">
        <f>IFERROR(__xludf.DUMMYFUNCTION("""COMPUTED_VALUE"""),"Lam Bui")</f>
        <v>Lam Bui</v>
      </c>
      <c r="C140" s="63">
        <f>IFERROR(__xludf.DUMMYFUNCTION("""COMPUTED_VALUE"""),157.0)</f>
        <v>157</v>
      </c>
      <c r="D140" s="64">
        <f>IFERROR(__xludf.DUMMYFUNCTION("""COMPUTED_VALUE"""),11.0)</f>
        <v>11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IFERROR(__xludf.DUMMYFUNCTION("""COMPUTED_VALUE"""),166.0)</f>
        <v>166</v>
      </c>
      <c r="N140" s="66">
        <f>IFERROR(__xludf.DUMMYFUNCTION("""COMPUTED_VALUE"""),11.0)</f>
        <v>11</v>
      </c>
    </row>
    <row r="141">
      <c r="A141" s="1"/>
      <c r="B141" s="62" t="str">
        <f>IFERROR(__xludf.DUMMYFUNCTION("""COMPUTED_VALUE"""),"Jonathan Phan")</f>
        <v>Jonathan Phan</v>
      </c>
      <c r="C141" s="63">
        <f>IFERROR(__xludf.DUMMYFUNCTION("""COMPUTED_VALUE"""),155.0)</f>
        <v>155</v>
      </c>
      <c r="D141" s="64">
        <f>IFERROR(__xludf.DUMMYFUNCTION("""COMPUTED_VALUE"""),12.0)</f>
        <v>12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IFERROR(__xludf.DUMMYFUNCTION("""COMPUTED_VALUE"""),164.0)</f>
        <v>164</v>
      </c>
      <c r="N141" s="66">
        <f>IFERROR(__xludf.DUMMYFUNCTION("""COMPUTED_VALUE"""),12.0)</f>
        <v>12</v>
      </c>
    </row>
    <row r="142">
      <c r="A142" s="1"/>
      <c r="B142" s="62" t="str">
        <f>IFERROR(__xludf.DUMMYFUNCTION("""COMPUTED_VALUE"""),"Tom Le")</f>
        <v>Tom Le</v>
      </c>
      <c r="C142" s="63">
        <f>IFERROR(__xludf.DUMMYFUNCTION("""COMPUTED_VALUE"""),144.0)</f>
        <v>144</v>
      </c>
      <c r="D142" s="64">
        <f>IFERROR(__xludf.DUMMYFUNCTION("""COMPUTED_VALUE"""),12.0)</f>
        <v>12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IFERROR(__xludf.DUMMYFUNCTION("""COMPUTED_VALUE"""),153.0)</f>
        <v>153</v>
      </c>
      <c r="N142" s="66">
        <f>IFERROR(__xludf.DUMMYFUNCTION("""COMPUTED_VALUE"""),12.0)</f>
        <v>12</v>
      </c>
    </row>
    <row r="143">
      <c r="A143" s="1"/>
      <c r="B143" s="62" t="str">
        <f>IFERROR(__xludf.DUMMYFUNCTION("""COMPUTED_VALUE"""),"Kingsley Kuo")</f>
        <v>Kingsley Kuo</v>
      </c>
      <c r="C143" s="63">
        <f>IFERROR(__xludf.DUMMYFUNCTION("""COMPUTED_VALUE"""),143.0)</f>
        <v>143</v>
      </c>
      <c r="D143" s="64">
        <f>IFERROR(__xludf.DUMMYFUNCTION("""COMPUTED_VALUE"""),11.0)</f>
        <v>11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IFERROR(__xludf.DUMMYFUNCTION("""COMPUTED_VALUE"""),152.0)</f>
        <v>152</v>
      </c>
      <c r="N143" s="66">
        <f>IFERROR(__xludf.DUMMYFUNCTION("""COMPUTED_VALUE"""),11.0)</f>
        <v>11</v>
      </c>
    </row>
    <row r="144">
      <c r="A144" s="1"/>
      <c r="B144" s="62" t="str">
        <f>IFERROR(__xludf.DUMMYFUNCTION("""COMPUTED_VALUE"""),"Ted Shen")</f>
        <v>Ted Shen</v>
      </c>
      <c r="C144" s="63">
        <f>IFERROR(__xludf.DUMMYFUNCTION("""COMPUTED_VALUE"""),142.0)</f>
        <v>142</v>
      </c>
      <c r="D144" s="64">
        <f>IFERROR(__xludf.DUMMYFUNCTION("""COMPUTED_VALUE"""),13.0)</f>
        <v>13</v>
      </c>
      <c r="E144" s="63">
        <f>IFERROR(__xludf.DUMMYFUNCTION("""COMPUTED_VALUE"""),5.0)</f>
        <v>5</v>
      </c>
      <c r="F144" s="65">
        <f>IFERROR(__xludf.DUMMYFUNCTION("""COMPUTED_VALUE"""),0.0)</f>
        <v>0</v>
      </c>
      <c r="G144" s="65">
        <f>IFERROR(__xludf.DUMMYFUNCTION("""COMPUTED_VALUE"""),13.0)</f>
        <v>13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IFERROR(__xludf.DUMMYFUNCTION("""COMPUTED_VALUE"""),13.0)</f>
        <v>13</v>
      </c>
      <c r="L144" s="65">
        <f>IFERROR(__xludf.DUMMYFUNCTION("""COMPUTED_VALUE"""),0.0)</f>
        <v>0</v>
      </c>
      <c r="M144" s="65">
        <f>IFERROR(__xludf.DUMMYFUNCTION("""COMPUTED_VALUE"""),155.0)</f>
        <v>155</v>
      </c>
      <c r="N144" s="66">
        <f>IFERROR(__xludf.DUMMYFUNCTION("""COMPUTED_VALUE"""),13.0)</f>
        <v>13</v>
      </c>
    </row>
    <row r="145">
      <c r="A145" s="1"/>
      <c r="B145" s="62" t="str">
        <f>IFERROR(__xludf.DUMMYFUNCTION("""COMPUTED_VALUE"""),"Erik Hoeckmann")</f>
        <v>Erik Hoeckmann</v>
      </c>
      <c r="C145" s="63">
        <f>IFERROR(__xludf.DUMMYFUNCTION("""COMPUTED_VALUE"""),141.0)</f>
        <v>141</v>
      </c>
      <c r="D145" s="64">
        <f>IFERROR(__xludf.DUMMYFUNCTION("""COMPUTED_VALUE"""),13.0)</f>
        <v>13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IFERROR(__xludf.DUMMYFUNCTION("""COMPUTED_VALUE"""),150.0)</f>
        <v>150</v>
      </c>
      <c r="N145" s="66">
        <f>IFERROR(__xludf.DUMMYFUNCTION("""COMPUTED_VALUE"""),13.0)</f>
        <v>13</v>
      </c>
    </row>
    <row r="146">
      <c r="A146" s="1"/>
      <c r="B146" s="62" t="str">
        <f>IFERROR(__xludf.DUMMYFUNCTION("""COMPUTED_VALUE"""),"Andrew Chin")</f>
        <v>Andrew Chin</v>
      </c>
      <c r="C146" s="63">
        <f>IFERROR(__xludf.DUMMYFUNCTION("""COMPUTED_VALUE"""),139.0)</f>
        <v>139</v>
      </c>
      <c r="D146" s="64">
        <f>IFERROR(__xludf.DUMMYFUNCTION("""COMPUTED_VALUE"""),10.0)</f>
        <v>10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IFERROR(__xludf.DUMMYFUNCTION("""COMPUTED_VALUE"""),148.0)</f>
        <v>148</v>
      </c>
      <c r="N146" s="66">
        <f>IFERROR(__xludf.DUMMYFUNCTION("""COMPUTED_VALUE"""),10.0)</f>
        <v>10</v>
      </c>
    </row>
    <row r="147">
      <c r="A147" s="1"/>
      <c r="B147" s="62" t="str">
        <f>IFERROR(__xludf.DUMMYFUNCTION("""COMPUTED_VALUE"""),"Susanta Mishra")</f>
        <v>Susanta Mishra</v>
      </c>
      <c r="C147" s="63">
        <f>IFERROR(__xludf.DUMMYFUNCTION("""COMPUTED_VALUE"""),137.0)</f>
        <v>137</v>
      </c>
      <c r="D147" s="64">
        <f>IFERROR(__xludf.DUMMYFUNCTION("""COMPUTED_VALUE"""),9.0)</f>
        <v>9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IFERROR(__xludf.DUMMYFUNCTION("""COMPUTED_VALUE"""),146.0)</f>
        <v>146</v>
      </c>
      <c r="N147" s="66">
        <f>IFERROR(__xludf.DUMMYFUNCTION("""COMPUTED_VALUE"""),9.0)</f>
        <v>9</v>
      </c>
    </row>
    <row r="148">
      <c r="A148" s="1"/>
      <c r="B148" s="62" t="str">
        <f>IFERROR(__xludf.DUMMYFUNCTION("""COMPUTED_VALUE"""),"Vamsi Lolla ")</f>
        <v>Vamsi Lolla </v>
      </c>
      <c r="C148" s="63">
        <f>IFERROR(__xludf.DUMMYFUNCTION("""COMPUTED_VALUE"""),137.0)</f>
        <v>137</v>
      </c>
      <c r="D148" s="64">
        <f>IFERROR(__xludf.DUMMYFUNCTION("""COMPUTED_VALUE"""),7.0)</f>
        <v>7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IFERROR(__xludf.DUMMYFUNCTION("""COMPUTED_VALUE"""),146.0)</f>
        <v>146</v>
      </c>
      <c r="N148" s="66">
        <f>IFERROR(__xludf.DUMMYFUNCTION("""COMPUTED_VALUE"""),7.0)</f>
        <v>7</v>
      </c>
    </row>
    <row r="149">
      <c r="A149" s="1"/>
      <c r="B149" s="62" t="str">
        <f>IFERROR(__xludf.DUMMYFUNCTION("""COMPUTED_VALUE"""),"Ramesh Bandaru")</f>
        <v>Ramesh Bandaru</v>
      </c>
      <c r="C149" s="63">
        <f>IFERROR(__xludf.DUMMYFUNCTION("""COMPUTED_VALUE"""),134.0)</f>
        <v>134</v>
      </c>
      <c r="D149" s="64">
        <f>IFERROR(__xludf.DUMMYFUNCTION("""COMPUTED_VALUE"""),9.0)</f>
        <v>9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IFERROR(__xludf.DUMMYFUNCTION("""COMPUTED_VALUE"""),143.0)</f>
        <v>143</v>
      </c>
      <c r="N149" s="66">
        <f>IFERROR(__xludf.DUMMYFUNCTION("""COMPUTED_VALUE"""),9.0)</f>
        <v>9</v>
      </c>
    </row>
    <row r="150">
      <c r="A150" s="1"/>
      <c r="B150" s="62" t="str">
        <f>IFERROR(__xludf.DUMMYFUNCTION("""COMPUTED_VALUE"""),"Naveen Raj")</f>
        <v>Naveen Raj</v>
      </c>
      <c r="C150" s="63">
        <f>IFERROR(__xludf.DUMMYFUNCTION("""COMPUTED_VALUE"""),133.0)</f>
        <v>133</v>
      </c>
      <c r="D150" s="64">
        <f>IFERROR(__xludf.DUMMYFUNCTION("""COMPUTED_VALUE"""),8.0)</f>
        <v>8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IFERROR(__xludf.DUMMYFUNCTION("""COMPUTED_VALUE"""),142.0)</f>
        <v>142</v>
      </c>
      <c r="N150" s="66">
        <f>IFERROR(__xludf.DUMMYFUNCTION("""COMPUTED_VALUE"""),8.0)</f>
        <v>8</v>
      </c>
    </row>
    <row r="151">
      <c r="A151" s="1"/>
      <c r="B151" s="62" t="str">
        <f>IFERROR(__xludf.DUMMYFUNCTION("""COMPUTED_VALUE"""),"Balaji Alahari")</f>
        <v>Balaji Alahari</v>
      </c>
      <c r="C151" s="63">
        <f>IFERROR(__xludf.DUMMYFUNCTION("""COMPUTED_VALUE"""),133.0)</f>
        <v>133</v>
      </c>
      <c r="D151" s="64">
        <f>IFERROR(__xludf.DUMMYFUNCTION("""COMPUTED_VALUE"""),6.0)</f>
        <v>6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IFERROR(__xludf.DUMMYFUNCTION("""COMPUTED_VALUE"""),142.0)</f>
        <v>142</v>
      </c>
      <c r="N151" s="66">
        <f>IFERROR(__xludf.DUMMYFUNCTION("""COMPUTED_VALUE"""),6.0)</f>
        <v>6</v>
      </c>
    </row>
    <row r="152">
      <c r="A152" s="1"/>
      <c r="B152" s="62" t="str">
        <f>IFERROR(__xludf.DUMMYFUNCTION("""COMPUTED_VALUE"""),"Chinna Ponnaganti")</f>
        <v>Chinna Ponnaganti</v>
      </c>
      <c r="C152" s="63">
        <f>IFERROR(__xludf.DUMMYFUNCTION("""COMPUTED_VALUE"""),132.0)</f>
        <v>132</v>
      </c>
      <c r="D152" s="64">
        <f>IFERROR(__xludf.DUMMYFUNCTION("""COMPUTED_VALUE"""),13.0)</f>
        <v>13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IFERROR(__xludf.DUMMYFUNCTION("""COMPUTED_VALUE"""),141.0)</f>
        <v>141</v>
      </c>
      <c r="N152" s="66">
        <f>IFERROR(__xludf.DUMMYFUNCTION("""COMPUTED_VALUE"""),13.0)</f>
        <v>13</v>
      </c>
    </row>
    <row r="153">
      <c r="A153" s="1"/>
      <c r="B153" s="62" t="str">
        <f>IFERROR(__xludf.DUMMYFUNCTION("""COMPUTED_VALUE"""),"Manish Anand")</f>
        <v>Manish Anand</v>
      </c>
      <c r="C153" s="63">
        <f>IFERROR(__xludf.DUMMYFUNCTION("""COMPUTED_VALUE"""),131.0)</f>
        <v>131</v>
      </c>
      <c r="D153" s="64">
        <f>IFERROR(__xludf.DUMMYFUNCTION("""COMPUTED_VALUE"""),7.0)</f>
        <v>7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IFERROR(__xludf.DUMMYFUNCTION("""COMPUTED_VALUE"""),140.0)</f>
        <v>140</v>
      </c>
      <c r="N153" s="66">
        <f>IFERROR(__xludf.DUMMYFUNCTION("""COMPUTED_VALUE"""),7.0)</f>
        <v>7</v>
      </c>
    </row>
    <row r="154">
      <c r="A154" s="1"/>
      <c r="B154" s="62" t="str">
        <f>IFERROR(__xludf.DUMMYFUNCTION("""COMPUTED_VALUE"""),"Savay Lieu")</f>
        <v>Savay Lieu</v>
      </c>
      <c r="C154" s="63">
        <f>IFERROR(__xludf.DUMMYFUNCTION("""COMPUTED_VALUE"""),131.0)</f>
        <v>131</v>
      </c>
      <c r="D154" s="64">
        <f>IFERROR(__xludf.DUMMYFUNCTION("""COMPUTED_VALUE"""),5.0)</f>
        <v>5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IFERROR(__xludf.DUMMYFUNCTION("""COMPUTED_VALUE"""),140.0)</f>
        <v>140</v>
      </c>
      <c r="N154" s="66">
        <f>IFERROR(__xludf.DUMMYFUNCTION("""COMPUTED_VALUE"""),5.0)</f>
        <v>5</v>
      </c>
    </row>
    <row r="155">
      <c r="A155" s="1"/>
      <c r="B155" s="62" t="str">
        <f>IFERROR(__xludf.DUMMYFUNCTION("""COMPUTED_VALUE"""),"Jimmy Awolesi")</f>
        <v>Jimmy Awolesi</v>
      </c>
      <c r="C155" s="63">
        <f>IFERROR(__xludf.DUMMYFUNCTION("""COMPUTED_VALUE"""),129.0)</f>
        <v>129</v>
      </c>
      <c r="D155" s="64">
        <f>IFERROR(__xludf.DUMMYFUNCTION("""COMPUTED_VALUE"""),10.0)</f>
        <v>10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IFERROR(__xludf.DUMMYFUNCTION("""COMPUTED_VALUE"""),138.0)</f>
        <v>138</v>
      </c>
      <c r="N155" s="66">
        <f>IFERROR(__xludf.DUMMYFUNCTION("""COMPUTED_VALUE"""),10.0)</f>
        <v>10</v>
      </c>
    </row>
    <row r="156">
      <c r="A156" s="1"/>
      <c r="B156" s="62" t="str">
        <f>IFERROR(__xludf.DUMMYFUNCTION("""COMPUTED_VALUE"""),"Sandy Weyant")</f>
        <v>Sandy Weyant</v>
      </c>
      <c r="C156" s="63">
        <f>IFERROR(__xludf.DUMMYFUNCTION("""COMPUTED_VALUE"""),129.0)</f>
        <v>129</v>
      </c>
      <c r="D156" s="64">
        <f>IFERROR(__xludf.DUMMYFUNCTION("""COMPUTED_VALUE"""),7.0)</f>
        <v>7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IFERROR(__xludf.DUMMYFUNCTION("""COMPUTED_VALUE"""),138.0)</f>
        <v>138</v>
      </c>
      <c r="N156" s="66">
        <f>IFERROR(__xludf.DUMMYFUNCTION("""COMPUTED_VALUE"""),7.0)</f>
        <v>7</v>
      </c>
    </row>
    <row r="157">
      <c r="A157" s="1"/>
      <c r="B157" s="62" t="str">
        <f>IFERROR(__xludf.DUMMYFUNCTION("""COMPUTED_VALUE"""),"David Tam")</f>
        <v>David Tam</v>
      </c>
      <c r="C157" s="63">
        <f>IFERROR(__xludf.DUMMYFUNCTION("""COMPUTED_VALUE"""),128.0)</f>
        <v>128</v>
      </c>
      <c r="D157" s="64">
        <f>IFERROR(__xludf.DUMMYFUNCTION("""COMPUTED_VALUE"""),10.0)</f>
        <v>10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IFERROR(__xludf.DUMMYFUNCTION("""COMPUTED_VALUE"""),137.0)</f>
        <v>137</v>
      </c>
      <c r="N157" s="66">
        <f>IFERROR(__xludf.DUMMYFUNCTION("""COMPUTED_VALUE"""),10.0)</f>
        <v>10</v>
      </c>
    </row>
    <row r="158">
      <c r="A158" s="1"/>
      <c r="B158" s="62" t="str">
        <f>IFERROR(__xludf.DUMMYFUNCTION("""COMPUTED_VALUE"""),"Trinath Goteti")</f>
        <v>Trinath Goteti</v>
      </c>
      <c r="C158" s="63">
        <f>IFERROR(__xludf.DUMMYFUNCTION("""COMPUTED_VALUE"""),126.0)</f>
        <v>126</v>
      </c>
      <c r="D158" s="64">
        <f>IFERROR(__xludf.DUMMYFUNCTION("""COMPUTED_VALUE"""),5.0)</f>
        <v>5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IFERROR(__xludf.DUMMYFUNCTION("""COMPUTED_VALUE"""),135.0)</f>
        <v>135</v>
      </c>
      <c r="N158" s="66">
        <f>IFERROR(__xludf.DUMMYFUNCTION("""COMPUTED_VALUE"""),5.0)</f>
        <v>5</v>
      </c>
    </row>
    <row r="159">
      <c r="A159" s="1"/>
      <c r="B159" s="62" t="str">
        <f>IFERROR(__xludf.DUMMYFUNCTION("""COMPUTED_VALUE"""),"Sudhagar Subbaian")</f>
        <v>Sudhagar Subbaian</v>
      </c>
      <c r="C159" s="63">
        <f>IFERROR(__xludf.DUMMYFUNCTION("""COMPUTED_VALUE"""),126.0)</f>
        <v>126</v>
      </c>
      <c r="D159" s="64">
        <f>IFERROR(__xludf.DUMMYFUNCTION("""COMPUTED_VALUE"""),5.0)</f>
        <v>5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IFERROR(__xludf.DUMMYFUNCTION("""COMPUTED_VALUE"""),135.0)</f>
        <v>135</v>
      </c>
      <c r="N159" s="66">
        <f>IFERROR(__xludf.DUMMYFUNCTION("""COMPUTED_VALUE"""),5.0)</f>
        <v>5</v>
      </c>
    </row>
    <row r="160">
      <c r="A160" s="1"/>
      <c r="B160" s="62" t="str">
        <f>IFERROR(__xludf.DUMMYFUNCTION("""COMPUTED_VALUE"""),"Robert Chang")</f>
        <v>Robert Chang</v>
      </c>
      <c r="C160" s="63">
        <f>IFERROR(__xludf.DUMMYFUNCTION("""COMPUTED_VALUE"""),126.0)</f>
        <v>126</v>
      </c>
      <c r="D160" s="64">
        <f>IFERROR(__xludf.DUMMYFUNCTION("""COMPUTED_VALUE"""),4.0)</f>
        <v>4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IFERROR(__xludf.DUMMYFUNCTION("""COMPUTED_VALUE"""),135.0)</f>
        <v>135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IFERROR(__xludf.DUMMYFUNCTION("""COMPUTED_VALUE"""),"Alejandro Mejia")</f>
        <v>Alejandro Mejia</v>
      </c>
      <c r="C161" s="63">
        <f>IFERROR(__xludf.DUMMYFUNCTION("""COMPUTED_VALUE"""),124.0)</f>
        <v>124</v>
      </c>
      <c r="D161" s="64">
        <f>IFERROR(__xludf.DUMMYFUNCTION("""COMPUTED_VALUE"""),4.0)</f>
        <v>4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IFERROR(__xludf.DUMMYFUNCTION("""COMPUTED_VALUE"""),133.0)</f>
        <v>133</v>
      </c>
      <c r="N161" s="66">
        <f>IFERROR(__xludf.DUMMYFUNCTION("""COMPUTED_VALUE"""),4.0)</f>
        <v>4</v>
      </c>
    </row>
    <row r="162">
      <c r="A162" s="1"/>
      <c r="B162" s="62" t="str">
        <f>IFERROR(__xludf.DUMMYFUNCTION("""COMPUTED_VALUE"""),"Rosie Bonilla")</f>
        <v>Rosie Bonilla</v>
      </c>
      <c r="C162" s="63">
        <f>IFERROR(__xludf.DUMMYFUNCTION("""COMPUTED_VALUE"""),123.0)</f>
        <v>123</v>
      </c>
      <c r="D162" s="64">
        <f>IFERROR(__xludf.DUMMYFUNCTION("""COMPUTED_VALUE"""),2.0)</f>
        <v>2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IFERROR(__xludf.DUMMYFUNCTION("""COMPUTED_VALUE"""),132.0)</f>
        <v>132</v>
      </c>
      <c r="N162" s="66">
        <f>IFERROR(__xludf.DUMMYFUNCTION("""COMPUTED_VALUE"""),2.0)</f>
        <v>2</v>
      </c>
    </row>
    <row r="163">
      <c r="A163" s="1"/>
      <c r="B163" s="62" t="str">
        <f>IFERROR(__xludf.DUMMYFUNCTION("""COMPUTED_VALUE"""),"Ash Nikravan")</f>
        <v>Ash Nikravan</v>
      </c>
      <c r="C163" s="63">
        <f>IFERROR(__xludf.DUMMYFUNCTION("""COMPUTED_VALUE"""),119.0)</f>
        <v>119</v>
      </c>
      <c r="D163" s="64">
        <f>IFERROR(__xludf.DUMMYFUNCTION("""COMPUTED_VALUE"""),5.0)</f>
        <v>5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IFERROR(__xludf.DUMMYFUNCTION("""COMPUTED_VALUE"""),128.0)</f>
        <v>128</v>
      </c>
      <c r="N163" s="66">
        <f>IFERROR(__xludf.DUMMYFUNCTION("""COMPUTED_VALUE"""),5.0)</f>
        <v>5</v>
      </c>
    </row>
    <row r="164">
      <c r="A164" s="1"/>
      <c r="B164" s="62" t="str">
        <f>IFERROR(__xludf.DUMMYFUNCTION("""COMPUTED_VALUE"""),"Troy Wong")</f>
        <v>Troy Wong</v>
      </c>
      <c r="C164" s="63">
        <f>IFERROR(__xludf.DUMMYFUNCTION("""COMPUTED_VALUE"""),118.0)</f>
        <v>118</v>
      </c>
      <c r="D164" s="64">
        <f>IFERROR(__xludf.DUMMYFUNCTION("""COMPUTED_VALUE"""),4.0)</f>
        <v>4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IFERROR(__xludf.DUMMYFUNCTION("""COMPUTED_VALUE"""),127.0)</f>
        <v>127</v>
      </c>
      <c r="N164" s="66">
        <f>IFERROR(__xludf.DUMMYFUNCTION("""COMPUTED_VALUE"""),4.0)</f>
        <v>4</v>
      </c>
    </row>
    <row r="165">
      <c r="A165" s="1"/>
      <c r="B165" s="62" t="str">
        <f>IFERROR(__xludf.DUMMYFUNCTION("""COMPUTED_VALUE"""),"Tony Lin")</f>
        <v>Tony Lin</v>
      </c>
      <c r="C165" s="63">
        <f>IFERROR(__xludf.DUMMYFUNCTION("""COMPUTED_VALUE"""),117.0)</f>
        <v>117</v>
      </c>
      <c r="D165" s="64">
        <f>IFERROR(__xludf.DUMMYFUNCTION("""COMPUTED_VALUE"""),3.0)</f>
        <v>3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IFERROR(__xludf.DUMMYFUNCTION("""COMPUTED_VALUE"""),126.0)</f>
        <v>126</v>
      </c>
      <c r="N165" s="66">
        <f>IFERROR(__xludf.DUMMYFUNCTION("""COMPUTED_VALUE"""),3.0)</f>
        <v>3</v>
      </c>
    </row>
    <row r="166">
      <c r="A166" s="1"/>
      <c r="B166" s="62" t="str">
        <f>IFERROR(__xludf.DUMMYFUNCTION("""COMPUTED_VALUE"""),"Chandrasekar Chinnathambi")</f>
        <v>Chandrasekar Chinnathambi</v>
      </c>
      <c r="C166" s="63">
        <f>IFERROR(__xludf.DUMMYFUNCTION("""COMPUTED_VALUE"""),115.0)</f>
        <v>115</v>
      </c>
      <c r="D166" s="64">
        <f>IFERROR(__xludf.DUMMYFUNCTION("""COMPUTED_VALUE"""),1.0)</f>
        <v>1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IFERROR(__xludf.DUMMYFUNCTION("""COMPUTED_VALUE"""),124.0)</f>
        <v>124</v>
      </c>
      <c r="N166" s="66">
        <f>IFERROR(__xludf.DUMMYFUNCTION("""COMPUTED_VALUE"""),1.0)</f>
        <v>1</v>
      </c>
    </row>
    <row r="167">
      <c r="A167" s="1"/>
      <c r="B167" s="62" t="str">
        <f>IFERROR(__xludf.DUMMYFUNCTION("""COMPUTED_VALUE"""),"Amit Patel")</f>
        <v>Amit Patel</v>
      </c>
      <c r="C167" s="63">
        <f>IFERROR(__xludf.DUMMYFUNCTION("""COMPUTED_VALUE"""),114.0)</f>
        <v>114</v>
      </c>
      <c r="D167" s="64">
        <f>IFERROR(__xludf.DUMMYFUNCTION("""COMPUTED_VALUE"""),2.0)</f>
        <v>2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IFERROR(__xludf.DUMMYFUNCTION("""COMPUTED_VALUE"""),123.0)</f>
        <v>123</v>
      </c>
      <c r="N167" s="66">
        <f>IFERROR(__xludf.DUMMYFUNCTION("""COMPUTED_VALUE"""),2.0)</f>
        <v>2</v>
      </c>
    </row>
    <row r="168">
      <c r="A168" s="1"/>
      <c r="B168" s="62" t="str">
        <f>IFERROR(__xludf.DUMMYFUNCTION("""COMPUTED_VALUE"""),"Marcus Yovas")</f>
        <v>Marcus Yovas</v>
      </c>
      <c r="C168" s="63">
        <f>IFERROR(__xludf.DUMMYFUNCTION("""COMPUTED_VALUE"""),112.0)</f>
        <v>112</v>
      </c>
      <c r="D168" s="64">
        <f>IFERROR(__xludf.DUMMYFUNCTION("""COMPUTED_VALUE"""),2.0)</f>
        <v>2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IFERROR(__xludf.DUMMYFUNCTION("""COMPUTED_VALUE"""),121.0)</f>
        <v>121</v>
      </c>
      <c r="N168" s="66">
        <f>IFERROR(__xludf.DUMMYFUNCTION("""COMPUTED_VALUE"""),2.0)</f>
        <v>2</v>
      </c>
    </row>
    <row r="169">
      <c r="A169" s="1"/>
      <c r="B169" s="62" t="str">
        <f>IFERROR(__xludf.DUMMYFUNCTION("""COMPUTED_VALUE"""),"Sanjaye Elayattu")</f>
        <v>Sanjaye Elayattu</v>
      </c>
      <c r="C169" s="63">
        <f>IFERROR(__xludf.DUMMYFUNCTION("""COMPUTED_VALUE"""),112.0)</f>
        <v>112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IFERROR(__xludf.DUMMYFUNCTION("""COMPUTED_VALUE"""),121.0)</f>
        <v>121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IFERROR(__xludf.DUMMYFUNCTION("""COMPUTED_VALUE"""),"Santosh Sundaresan ")</f>
        <v>Santosh Sundaresan </v>
      </c>
      <c r="C170" s="63">
        <f>IFERROR(__xludf.DUMMYFUNCTION("""COMPUTED_VALUE"""),111.0)</f>
        <v>111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IFERROR(__xludf.DUMMYFUNCTION("""COMPUTED_VALUE"""),120.0)</f>
        <v>120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IFERROR(__xludf.DUMMYFUNCTION("""COMPUTED_VALUE"""),"Joyce Zhu")</f>
        <v>Joyce Zhu</v>
      </c>
      <c r="C171" s="63">
        <f>IFERROR(__xludf.DUMMYFUNCTION("""COMPUTED_VALUE"""),109.0)</f>
        <v>109</v>
      </c>
      <c r="D171" s="64">
        <f>IFERROR(__xludf.DUMMYFUNCTION("""COMPUTED_VALUE"""),4.0)</f>
        <v>4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IFERROR(__xludf.DUMMYFUNCTION("""COMPUTED_VALUE"""),118.0)</f>
        <v>118</v>
      </c>
      <c r="N171" s="66">
        <f>IFERROR(__xludf.DUMMYFUNCTION("""COMPUTED_VALUE"""),4.0)</f>
        <v>4</v>
      </c>
    </row>
    <row r="172">
      <c r="A172" s="1"/>
      <c r="B172" s="62" t="str">
        <f>IFERROR(__xludf.DUMMYFUNCTION("""COMPUTED_VALUE"""),"Vilas Janardhanan")</f>
        <v>Vilas Janardhanan</v>
      </c>
      <c r="C172" s="63">
        <f>IFERROR(__xludf.DUMMYFUNCTION("""COMPUTED_VALUE"""),108.0)</f>
        <v>108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IFERROR(__xludf.DUMMYFUNCTION("""COMPUTED_VALUE"""),117.0)</f>
        <v>117</v>
      </c>
      <c r="N172" s="66">
        <f>IFERROR(__xludf.DUMMYFUNCTION("""COMPUTED_VALUE"""),0.0)</f>
        <v>0</v>
      </c>
    </row>
    <row r="173">
      <c r="A173" s="1"/>
      <c r="B173" s="62" t="str">
        <f>IFERROR(__xludf.DUMMYFUNCTION("""COMPUTED_VALUE"""),"Coco Yan")</f>
        <v>Coco Yan</v>
      </c>
      <c r="C173" s="63">
        <f>IFERROR(__xludf.DUMMYFUNCTION("""COMPUTED_VALUE"""),108.0)</f>
        <v>108</v>
      </c>
      <c r="D173" s="64">
        <f>IFERROR(__xludf.DUMMYFUNCTION("""COMPUTED_VALUE"""),0.0)</f>
        <v>0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IFERROR(__xludf.DUMMYFUNCTION("""COMPUTED_VALUE"""),117.0)</f>
        <v>117</v>
      </c>
      <c r="N173" s="66">
        <f>IFERROR(__xludf.DUMMYFUNCTION("""COMPUTED_VALUE"""),0.0)</f>
        <v>0</v>
      </c>
    </row>
    <row r="174">
      <c r="A174" s="1"/>
      <c r="B174" s="62" t="str">
        <f>IFERROR(__xludf.DUMMYFUNCTION("""COMPUTED_VALUE"""),"Tiffany Yu")</f>
        <v>Tiffany Yu</v>
      </c>
      <c r="C174" s="63">
        <f>IFERROR(__xludf.DUMMYFUNCTION("""COMPUTED_VALUE"""),107.0)</f>
        <v>107</v>
      </c>
      <c r="D174" s="64">
        <f>IFERROR(__xludf.DUMMYFUNCTION("""COMPUTED_VALUE"""),2.0)</f>
        <v>2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IFERROR(__xludf.DUMMYFUNCTION("""COMPUTED_VALUE"""),116.0)</f>
        <v>116</v>
      </c>
      <c r="N174" s="66">
        <f>IFERROR(__xludf.DUMMYFUNCTION("""COMPUTED_VALUE"""),2.0)</f>
        <v>2</v>
      </c>
    </row>
    <row r="175">
      <c r="A175" s="1"/>
      <c r="B175" s="62" t="str">
        <f>IFERROR(__xludf.DUMMYFUNCTION("""COMPUTED_VALUE"""),"Sai Dilip Ponnaganti")</f>
        <v>Sai Dilip Ponnaganti</v>
      </c>
      <c r="C175" s="63">
        <f>IFERROR(__xludf.DUMMYFUNCTION("""COMPUTED_VALUE"""),99.0)</f>
        <v>99</v>
      </c>
      <c r="D175" s="64">
        <f>IFERROR(__xludf.DUMMYFUNCTION("""COMPUTED_VALUE"""),0.0)</f>
        <v>0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IFERROR(__xludf.DUMMYFUNCTION("""COMPUTED_VALUE"""),108.0)</f>
        <v>108</v>
      </c>
      <c r="N175" s="66">
        <f>IFERROR(__xludf.DUMMYFUNCTION("""COMPUTED_VALUE"""),0.0)</f>
        <v>0</v>
      </c>
    </row>
    <row r="176">
      <c r="A176" s="1"/>
      <c r="B176" s="62" t="str">
        <f>IFERROR(__xludf.DUMMYFUNCTION("""COMPUTED_VALUE"""),"Jose Ortiz")</f>
        <v>Jose Ortiz</v>
      </c>
      <c r="C176" s="63">
        <f>IFERROR(__xludf.DUMMYFUNCTION("""COMPUTED_VALUE"""),98.0)</f>
        <v>98</v>
      </c>
      <c r="D176" s="64">
        <f>IFERROR(__xludf.DUMMYFUNCTION("""COMPUTED_VALUE"""),2.0)</f>
        <v>2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IFERROR(__xludf.DUMMYFUNCTION("""COMPUTED_VALUE"""),107.0)</f>
        <v>107</v>
      </c>
      <c r="N176" s="66">
        <f>IFERROR(__xludf.DUMMYFUNCTION("""COMPUTED_VALUE"""),2.0)</f>
        <v>2</v>
      </c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45395.0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12.0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48</v>
      </c>
      <c r="C5" s="77">
        <v>155.0</v>
      </c>
      <c r="D5" s="78">
        <v>16.0</v>
      </c>
      <c r="E5" s="30">
        <v>2.0</v>
      </c>
      <c r="F5" s="31">
        <v>1.0</v>
      </c>
      <c r="G5" s="28">
        <v>0.0</v>
      </c>
      <c r="H5" s="31">
        <v>6.0</v>
      </c>
      <c r="I5" s="31">
        <v>6.0</v>
      </c>
      <c r="J5" s="31">
        <v>6.0</v>
      </c>
      <c r="K5" s="33">
        <v>18.0</v>
      </c>
      <c r="L5" s="31">
        <v>1.0</v>
      </c>
      <c r="M5" s="28">
        <f t="shared" ref="M5:N5" si="1">C5+K5</f>
        <v>173</v>
      </c>
      <c r="N5" s="29">
        <f t="shared" si="1"/>
        <v>17</v>
      </c>
      <c r="O5" s="35" t="s">
        <v>46</v>
      </c>
      <c r="P5" s="35" t="s">
        <v>46</v>
      </c>
      <c r="Q5" s="31">
        <f>if(G5=13,1,0)+VLOOKUP(B5,'040624'!B:Q,16,false)</f>
        <v>2</v>
      </c>
      <c r="R5" s="31"/>
      <c r="S5" s="31">
        <f>if(G5=9,1,0)+VLOOKUP(B5,'040624'!B:S,18,false)</f>
        <v>3</v>
      </c>
    </row>
    <row r="6">
      <c r="A6" s="26">
        <f t="shared" ref="A6:A69" si="3">A5+1</f>
        <v>2</v>
      </c>
      <c r="B6" s="27" t="s">
        <v>61</v>
      </c>
      <c r="C6" s="77">
        <v>150.0</v>
      </c>
      <c r="D6" s="78">
        <v>15.0</v>
      </c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f t="shared" ref="M6:N6" si="2">C6+K6</f>
        <v>159</v>
      </c>
      <c r="N6" s="29">
        <f t="shared" si="2"/>
        <v>15</v>
      </c>
      <c r="O6" s="35" t="s">
        <v>46</v>
      </c>
      <c r="P6" s="35" t="s">
        <v>46</v>
      </c>
      <c r="Q6" s="31">
        <f>if(G6=13,1,0)+VLOOKUP(B6,'040624'!B:Q,16,false)</f>
        <v>1</v>
      </c>
      <c r="R6" s="31"/>
      <c r="S6" s="31">
        <f>if(G6=9,1,0)+VLOOKUP(B6,'040624'!B:S,18,false)</f>
        <v>3</v>
      </c>
    </row>
    <row r="7">
      <c r="A7" s="26">
        <f t="shared" si="3"/>
        <v>3</v>
      </c>
      <c r="B7" s="27" t="s">
        <v>82</v>
      </c>
      <c r="C7" s="77">
        <v>149.0</v>
      </c>
      <c r="D7" s="78">
        <v>15.0</v>
      </c>
      <c r="E7" s="30">
        <v>3.0</v>
      </c>
      <c r="F7" s="31">
        <v>0.0</v>
      </c>
      <c r="G7" s="28">
        <v>9.0</v>
      </c>
      <c r="H7" s="31">
        <v>0.0</v>
      </c>
      <c r="I7" s="31">
        <v>0.0</v>
      </c>
      <c r="J7" s="31">
        <v>0.0</v>
      </c>
      <c r="K7" s="33">
        <v>9.0</v>
      </c>
      <c r="L7" s="31">
        <v>0.0</v>
      </c>
      <c r="M7" s="28">
        <f t="shared" ref="M7:N7" si="4">C7+K7</f>
        <v>158</v>
      </c>
      <c r="N7" s="29">
        <f t="shared" si="4"/>
        <v>15</v>
      </c>
      <c r="O7" s="35" t="s">
        <v>46</v>
      </c>
      <c r="P7" s="35" t="s">
        <v>46</v>
      </c>
      <c r="Q7" s="31">
        <f>if(G7=13,1,0)+VLOOKUP(B7,'040624'!B:Q,16,false)</f>
        <v>1</v>
      </c>
      <c r="R7" s="31"/>
      <c r="S7" s="31">
        <f>if(G7=9,1,0)+VLOOKUP(B7,'040624'!B:S,18,false)</f>
        <v>5</v>
      </c>
    </row>
    <row r="8">
      <c r="A8" s="26">
        <f t="shared" si="3"/>
        <v>4</v>
      </c>
      <c r="B8" s="27" t="s">
        <v>38</v>
      </c>
      <c r="C8" s="77">
        <v>149.0</v>
      </c>
      <c r="D8" s="78">
        <v>15.0</v>
      </c>
      <c r="E8" s="30">
        <v>3.0</v>
      </c>
      <c r="F8" s="31">
        <v>0.0</v>
      </c>
      <c r="G8" s="28">
        <v>9.0</v>
      </c>
      <c r="H8" s="31">
        <v>0.0</v>
      </c>
      <c r="I8" s="31">
        <v>0.0</v>
      </c>
      <c r="J8" s="31">
        <v>0.0</v>
      </c>
      <c r="K8" s="33">
        <v>9.0</v>
      </c>
      <c r="L8" s="31">
        <v>0.0</v>
      </c>
      <c r="M8" s="28">
        <f t="shared" ref="M8:N8" si="5">C8+K8</f>
        <v>158</v>
      </c>
      <c r="N8" s="29">
        <f t="shared" si="5"/>
        <v>15</v>
      </c>
      <c r="O8" s="35" t="s">
        <v>46</v>
      </c>
      <c r="P8" s="35" t="s">
        <v>46</v>
      </c>
      <c r="Q8" s="31">
        <f>if(G8=13,1,0)+VLOOKUP(B8,'040624'!B:Q,16,false)</f>
        <v>1</v>
      </c>
      <c r="R8" s="31"/>
      <c r="S8" s="31">
        <f>if(G8=9,1,0)+VLOOKUP(B8,'040624'!B:S,18,false)</f>
        <v>5</v>
      </c>
    </row>
    <row r="9">
      <c r="A9" s="26">
        <f t="shared" si="3"/>
        <v>5</v>
      </c>
      <c r="B9" s="27" t="s">
        <v>60</v>
      </c>
      <c r="C9" s="77">
        <v>148.0</v>
      </c>
      <c r="D9" s="78">
        <v>11.0</v>
      </c>
      <c r="E9" s="30">
        <v>3.0</v>
      </c>
      <c r="F9" s="31">
        <v>0.0</v>
      </c>
      <c r="G9" s="28">
        <v>9.0</v>
      </c>
      <c r="H9" s="31">
        <v>0.0</v>
      </c>
      <c r="I9" s="31">
        <v>0.0</v>
      </c>
      <c r="J9" s="31">
        <v>0.0</v>
      </c>
      <c r="K9" s="33">
        <v>9.0</v>
      </c>
      <c r="L9" s="31">
        <v>0.0</v>
      </c>
      <c r="M9" s="28">
        <f t="shared" ref="M9:N9" si="6">C9+K9</f>
        <v>157</v>
      </c>
      <c r="N9" s="29">
        <f t="shared" si="6"/>
        <v>11</v>
      </c>
      <c r="O9" s="35" t="s">
        <v>46</v>
      </c>
      <c r="P9" s="35" t="s">
        <v>46</v>
      </c>
      <c r="Q9" s="31">
        <f>if(G9=13,1,0)+VLOOKUP(B9,'040624'!B:Q,16,false)</f>
        <v>2</v>
      </c>
      <c r="R9" s="31"/>
      <c r="S9" s="31">
        <f>if(G9=9,1,0)+VLOOKUP(B9,'040624'!B:S,18,false)</f>
        <v>5</v>
      </c>
    </row>
    <row r="10">
      <c r="A10" s="26">
        <f t="shared" si="3"/>
        <v>6</v>
      </c>
      <c r="B10" s="39" t="s">
        <v>52</v>
      </c>
      <c r="C10" s="77">
        <v>145.0</v>
      </c>
      <c r="D10" s="78">
        <v>16.0</v>
      </c>
      <c r="E10" s="30">
        <v>1.0</v>
      </c>
      <c r="F10" s="31">
        <v>1.0</v>
      </c>
      <c r="G10" s="28">
        <v>0.0</v>
      </c>
      <c r="H10" s="31">
        <v>6.0</v>
      </c>
      <c r="I10" s="31">
        <v>7.0</v>
      </c>
      <c r="J10" s="31">
        <v>7.0</v>
      </c>
      <c r="K10" s="33">
        <v>20.0</v>
      </c>
      <c r="L10" s="31">
        <v>3.0</v>
      </c>
      <c r="M10" s="28">
        <f t="shared" ref="M10:N10" si="7">C10+K10</f>
        <v>165</v>
      </c>
      <c r="N10" s="29">
        <f t="shared" si="7"/>
        <v>19</v>
      </c>
      <c r="O10" s="35" t="s">
        <v>46</v>
      </c>
      <c r="P10" s="35" t="s">
        <v>46</v>
      </c>
      <c r="Q10" s="31">
        <f>if(G10=13,1,0)+VLOOKUP(B10,'040624'!B:Q,16,false)</f>
        <v>0</v>
      </c>
      <c r="R10" s="31"/>
      <c r="S10" s="31">
        <f>if(G10=9,1,0)+VLOOKUP(B10,'040624'!B:S,18,false)</f>
        <v>4</v>
      </c>
    </row>
    <row r="11">
      <c r="A11" s="26">
        <f t="shared" si="3"/>
        <v>7</v>
      </c>
      <c r="B11" s="27" t="s">
        <v>96</v>
      </c>
      <c r="C11" s="77">
        <v>144.0</v>
      </c>
      <c r="D11" s="78">
        <v>13.0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153</v>
      </c>
      <c r="N11" s="29">
        <f t="shared" si="8"/>
        <v>13</v>
      </c>
      <c r="O11" s="35" t="s">
        <v>46</v>
      </c>
      <c r="P11" s="35" t="s">
        <v>46</v>
      </c>
      <c r="Q11" s="31">
        <f>if(G11=13,1,0)+VLOOKUP(B11,'040624'!B:Q,16,false)</f>
        <v>1</v>
      </c>
      <c r="R11" s="31"/>
      <c r="S11" s="31">
        <f>if(G11=9,1,0)+VLOOKUP(B11,'040624'!B:S,18,false)</f>
        <v>2</v>
      </c>
    </row>
    <row r="12">
      <c r="A12" s="26">
        <f t="shared" si="3"/>
        <v>8</v>
      </c>
      <c r="B12" s="27" t="s">
        <v>77</v>
      </c>
      <c r="C12" s="77">
        <v>144.0</v>
      </c>
      <c r="D12" s="78">
        <v>9.0</v>
      </c>
      <c r="E12" s="30">
        <v>2.0</v>
      </c>
      <c r="F12" s="31">
        <v>1.0</v>
      </c>
      <c r="G12" s="28">
        <v>0.0</v>
      </c>
      <c r="H12" s="31">
        <v>1.0</v>
      </c>
      <c r="I12" s="31">
        <v>7.0</v>
      </c>
      <c r="J12" s="31">
        <v>6.0</v>
      </c>
      <c r="K12" s="33">
        <v>14.0</v>
      </c>
      <c r="L12" s="31">
        <v>1.0</v>
      </c>
      <c r="M12" s="28">
        <f t="shared" ref="M12:N12" si="9">C12+K12</f>
        <v>158</v>
      </c>
      <c r="N12" s="29">
        <f t="shared" si="9"/>
        <v>10</v>
      </c>
      <c r="O12" s="35" t="s">
        <v>46</v>
      </c>
      <c r="P12" s="35" t="s">
        <v>46</v>
      </c>
      <c r="Q12" s="31">
        <f>if(G12=13,1,0)+VLOOKUP(B12,'040624'!B:Q,16,false)</f>
        <v>2</v>
      </c>
      <c r="R12" s="31"/>
      <c r="S12" s="31">
        <f>if(G12=9,1,0)+VLOOKUP(B12,'040624'!B:S,18,false)</f>
        <v>3</v>
      </c>
    </row>
    <row r="13">
      <c r="A13" s="26">
        <f t="shared" si="3"/>
        <v>9</v>
      </c>
      <c r="B13" s="27" t="s">
        <v>75</v>
      </c>
      <c r="C13" s="77">
        <v>141.0</v>
      </c>
      <c r="D13" s="78">
        <v>11.0</v>
      </c>
      <c r="E13" s="30">
        <v>1.0</v>
      </c>
      <c r="F13" s="31">
        <v>1.0</v>
      </c>
      <c r="G13" s="28">
        <v>0.0</v>
      </c>
      <c r="H13" s="31">
        <v>1.0</v>
      </c>
      <c r="I13" s="31">
        <v>6.0</v>
      </c>
      <c r="J13" s="31">
        <v>7.0</v>
      </c>
      <c r="K13" s="33">
        <v>14.0</v>
      </c>
      <c r="L13" s="31">
        <v>1.0</v>
      </c>
      <c r="M13" s="28">
        <f t="shared" ref="M13:N13" si="10">C13+K13</f>
        <v>155</v>
      </c>
      <c r="N13" s="29">
        <f t="shared" si="10"/>
        <v>12</v>
      </c>
      <c r="O13" s="35" t="s">
        <v>46</v>
      </c>
      <c r="P13" s="35" t="s">
        <v>46</v>
      </c>
      <c r="Q13" s="31">
        <f>if(G13=13,1,0)+VLOOKUP(B13,'040624'!B:Q,16,false)</f>
        <v>1</v>
      </c>
      <c r="R13" s="31"/>
      <c r="S13" s="31">
        <f>if(G13=9,1,0)+VLOOKUP(B13,'040624'!B:S,18,false)</f>
        <v>1</v>
      </c>
    </row>
    <row r="14">
      <c r="A14" s="26">
        <f t="shared" si="3"/>
        <v>10</v>
      </c>
      <c r="B14" s="39" t="s">
        <v>55</v>
      </c>
      <c r="C14" s="77">
        <v>139.0</v>
      </c>
      <c r="D14" s="78">
        <v>12.0</v>
      </c>
      <c r="E14" s="30">
        <v>2.0</v>
      </c>
      <c r="F14" s="31">
        <v>2.0</v>
      </c>
      <c r="G14" s="28">
        <v>0.0</v>
      </c>
      <c r="H14" s="31">
        <v>6.0</v>
      </c>
      <c r="I14" s="31">
        <v>6.0</v>
      </c>
      <c r="J14" s="31">
        <v>6.0</v>
      </c>
      <c r="K14" s="33">
        <v>18.0</v>
      </c>
      <c r="L14" s="31">
        <v>3.0</v>
      </c>
      <c r="M14" s="28">
        <f t="shared" ref="M14:N14" si="11">C14+K14</f>
        <v>157</v>
      </c>
      <c r="N14" s="29">
        <f t="shared" si="11"/>
        <v>15</v>
      </c>
      <c r="O14" s="35" t="s">
        <v>46</v>
      </c>
      <c r="P14" s="35" t="s">
        <v>46</v>
      </c>
      <c r="Q14" s="31">
        <f>if(G14=13,1,0)+VLOOKUP(B14,'040624'!B:Q,16,false)</f>
        <v>1</v>
      </c>
      <c r="R14" s="31"/>
      <c r="S14" s="31">
        <f>if(G14=9,1,0)+VLOOKUP(B14,'040624'!B:S,18,false)</f>
        <v>5</v>
      </c>
    </row>
    <row r="15">
      <c r="A15" s="26">
        <f t="shared" si="3"/>
        <v>11</v>
      </c>
      <c r="B15" s="54" t="s">
        <v>95</v>
      </c>
      <c r="C15" s="77">
        <v>135.0</v>
      </c>
      <c r="D15" s="78">
        <v>15.0</v>
      </c>
      <c r="E15" s="30">
        <v>3.0</v>
      </c>
      <c r="F15" s="31">
        <v>0.0</v>
      </c>
      <c r="G15" s="28">
        <v>9.0</v>
      </c>
      <c r="H15" s="31">
        <v>0.0</v>
      </c>
      <c r="I15" s="31">
        <v>0.0</v>
      </c>
      <c r="J15" s="31">
        <v>0.0</v>
      </c>
      <c r="K15" s="33">
        <v>9.0</v>
      </c>
      <c r="L15" s="31">
        <v>0.0</v>
      </c>
      <c r="M15" s="28">
        <f t="shared" ref="M15:N15" si="12">C15+K15</f>
        <v>144</v>
      </c>
      <c r="N15" s="29">
        <f t="shared" si="12"/>
        <v>15</v>
      </c>
      <c r="O15" s="35" t="s">
        <v>46</v>
      </c>
      <c r="P15" s="35" t="s">
        <v>46</v>
      </c>
      <c r="Q15" s="31">
        <f>if(G15=13,1,0)+VLOOKUP(B15,'040624'!B:Q,16,false)</f>
        <v>0</v>
      </c>
      <c r="R15" s="31"/>
      <c r="S15" s="31">
        <f>if(G15=9,1,0)+VLOOKUP(B15,'040624'!B:S,18,false)</f>
        <v>1</v>
      </c>
    </row>
    <row r="16">
      <c r="A16" s="26">
        <f t="shared" si="3"/>
        <v>12</v>
      </c>
      <c r="B16" s="39" t="s">
        <v>71</v>
      </c>
      <c r="C16" s="77">
        <v>134.0</v>
      </c>
      <c r="D16" s="78">
        <v>11.0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143</v>
      </c>
      <c r="N16" s="29">
        <f t="shared" si="13"/>
        <v>11</v>
      </c>
      <c r="O16" s="35" t="s">
        <v>46</v>
      </c>
      <c r="P16" s="35" t="s">
        <v>46</v>
      </c>
      <c r="Q16" s="31">
        <f>if(G16=13,1,0)+VLOOKUP(B16,'040624'!B:Q,16,false)</f>
        <v>0</v>
      </c>
      <c r="R16" s="31"/>
      <c r="S16" s="31">
        <f>if(G16=9,1,0)+VLOOKUP(B16,'040624'!B:S,18,false)</f>
        <v>6</v>
      </c>
    </row>
    <row r="17">
      <c r="A17" s="26">
        <f t="shared" si="3"/>
        <v>13</v>
      </c>
      <c r="B17" s="27" t="s">
        <v>63</v>
      </c>
      <c r="C17" s="77">
        <v>132.0</v>
      </c>
      <c r="D17" s="78">
        <v>12.0</v>
      </c>
      <c r="E17" s="30">
        <v>1.0</v>
      </c>
      <c r="F17" s="31">
        <v>2.0</v>
      </c>
      <c r="G17" s="28">
        <v>0.0</v>
      </c>
      <c r="H17" s="31">
        <v>6.0</v>
      </c>
      <c r="I17" s="31">
        <v>1.0</v>
      </c>
      <c r="J17" s="31">
        <v>3.0</v>
      </c>
      <c r="K17" s="33">
        <v>10.0</v>
      </c>
      <c r="L17" s="31">
        <v>1.0</v>
      </c>
      <c r="M17" s="28">
        <f t="shared" ref="M17:N17" si="14">C17+K17</f>
        <v>142</v>
      </c>
      <c r="N17" s="29">
        <f t="shared" si="14"/>
        <v>13</v>
      </c>
      <c r="O17" s="35" t="s">
        <v>46</v>
      </c>
      <c r="P17" s="35" t="s">
        <v>46</v>
      </c>
      <c r="Q17" s="31">
        <f>if(G17=13,1,0)+VLOOKUP(B17,'040624'!B:Q,16,false)</f>
        <v>1</v>
      </c>
      <c r="R17" s="31"/>
      <c r="S17" s="31">
        <f>if(G17=9,1,0)+VLOOKUP(B17,'040624'!B:S,18,false)</f>
        <v>0</v>
      </c>
    </row>
    <row r="18">
      <c r="A18" s="26">
        <f t="shared" si="3"/>
        <v>14</v>
      </c>
      <c r="B18" s="27" t="s">
        <v>78</v>
      </c>
      <c r="C18" s="77">
        <v>132.0</v>
      </c>
      <c r="D18" s="78">
        <v>12.0</v>
      </c>
      <c r="E18" s="30">
        <v>1.0</v>
      </c>
      <c r="F18" s="31">
        <v>2.0</v>
      </c>
      <c r="G18" s="28">
        <v>0.0</v>
      </c>
      <c r="H18" s="31">
        <v>2.0</v>
      </c>
      <c r="I18" s="31">
        <v>1.0</v>
      </c>
      <c r="J18" s="31">
        <v>6.0</v>
      </c>
      <c r="K18" s="33">
        <v>9.0</v>
      </c>
      <c r="L18" s="31">
        <v>1.0</v>
      </c>
      <c r="M18" s="28">
        <f t="shared" ref="M18:N18" si="15">C18+K18</f>
        <v>141</v>
      </c>
      <c r="N18" s="29">
        <f t="shared" si="15"/>
        <v>13</v>
      </c>
      <c r="O18" s="35" t="s">
        <v>46</v>
      </c>
      <c r="P18" s="35" t="s">
        <v>46</v>
      </c>
      <c r="Q18" s="31">
        <f>if(G18=13,1,0)+VLOOKUP(B18,'040624'!B:Q,16,false)</f>
        <v>0</v>
      </c>
      <c r="R18" s="31"/>
      <c r="S18" s="31">
        <f>if(G18=9,1,0)+VLOOKUP(B18,'040624'!B:S,18,false)</f>
        <v>3</v>
      </c>
    </row>
    <row r="19">
      <c r="A19" s="26">
        <f t="shared" si="3"/>
        <v>15</v>
      </c>
      <c r="B19" s="27" t="s">
        <v>79</v>
      </c>
      <c r="C19" s="77">
        <v>132.0</v>
      </c>
      <c r="D19" s="78">
        <v>11.0</v>
      </c>
      <c r="E19" s="30">
        <v>1.0</v>
      </c>
      <c r="F19" s="31">
        <v>2.0</v>
      </c>
      <c r="G19" s="28">
        <v>0.0</v>
      </c>
      <c r="H19" s="31">
        <v>2.0</v>
      </c>
      <c r="I19" s="31">
        <v>6.0</v>
      </c>
      <c r="J19" s="31">
        <v>3.0</v>
      </c>
      <c r="K19" s="33">
        <v>11.0</v>
      </c>
      <c r="L19" s="31">
        <v>1.0</v>
      </c>
      <c r="M19" s="28">
        <f t="shared" ref="M19:N19" si="16">C19+K19</f>
        <v>143</v>
      </c>
      <c r="N19" s="29">
        <f t="shared" si="16"/>
        <v>12</v>
      </c>
      <c r="O19" s="35" t="s">
        <v>46</v>
      </c>
      <c r="P19" s="35" t="s">
        <v>46</v>
      </c>
      <c r="Q19" s="31">
        <f>if(G19=13,1,0)+VLOOKUP(B19,'040624'!B:Q,16,false)</f>
        <v>0</v>
      </c>
      <c r="R19" s="31"/>
      <c r="S19" s="31">
        <f>if(G19=9,1,0)+VLOOKUP(B19,'040624'!B:S,18,false)</f>
        <v>4</v>
      </c>
    </row>
    <row r="20">
      <c r="A20" s="26">
        <f t="shared" si="3"/>
        <v>16</v>
      </c>
      <c r="B20" s="27" t="s">
        <v>84</v>
      </c>
      <c r="C20" s="77">
        <v>132.0</v>
      </c>
      <c r="D20" s="78">
        <v>10.0</v>
      </c>
      <c r="E20" s="30">
        <v>2.0</v>
      </c>
      <c r="F20" s="31">
        <v>3.0</v>
      </c>
      <c r="G20" s="28">
        <v>0.0</v>
      </c>
      <c r="H20" s="31">
        <v>6.0</v>
      </c>
      <c r="I20" s="31">
        <v>0.0</v>
      </c>
      <c r="J20" s="31">
        <v>3.0</v>
      </c>
      <c r="K20" s="33">
        <v>9.0</v>
      </c>
      <c r="L20" s="31">
        <v>1.0</v>
      </c>
      <c r="M20" s="28">
        <f t="shared" ref="M20:N20" si="17">C20+K20</f>
        <v>141</v>
      </c>
      <c r="N20" s="29">
        <f t="shared" si="17"/>
        <v>11</v>
      </c>
      <c r="O20" s="35" t="s">
        <v>46</v>
      </c>
      <c r="P20" s="35" t="s">
        <v>46</v>
      </c>
      <c r="Q20" s="31">
        <f>if(G20=13,1,0)+VLOOKUP(B20,'040624'!B:Q,16,false)</f>
        <v>2</v>
      </c>
      <c r="R20" s="31"/>
      <c r="S20" s="31">
        <f>if(G20=9,1,0)+VLOOKUP(B20,'040624'!B:S,18,false)</f>
        <v>0</v>
      </c>
    </row>
    <row r="21">
      <c r="A21" s="26">
        <f t="shared" si="3"/>
        <v>17</v>
      </c>
      <c r="B21" s="27" t="s">
        <v>57</v>
      </c>
      <c r="C21" s="77">
        <v>131.0</v>
      </c>
      <c r="D21" s="78">
        <v>11.0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140</v>
      </c>
      <c r="N21" s="29">
        <f t="shared" si="18"/>
        <v>11</v>
      </c>
      <c r="O21" s="35" t="s">
        <v>46</v>
      </c>
      <c r="P21" s="35" t="s">
        <v>46</v>
      </c>
      <c r="Q21" s="31">
        <f>if(G21=13,1,0)+VLOOKUP(B21,'040624'!B:Q,16,false)</f>
        <v>0</v>
      </c>
      <c r="R21" s="31"/>
      <c r="S21" s="31">
        <f>if(G21=9,1,0)+VLOOKUP(B21,'040624'!B:S,18,false)</f>
        <v>6</v>
      </c>
    </row>
    <row r="22">
      <c r="A22" s="26">
        <f t="shared" si="3"/>
        <v>18</v>
      </c>
      <c r="B22" s="39" t="s">
        <v>111</v>
      </c>
      <c r="C22" s="77">
        <v>130.0</v>
      </c>
      <c r="D22" s="78">
        <v>10.0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139</v>
      </c>
      <c r="N22" s="29">
        <f t="shared" si="19"/>
        <v>10</v>
      </c>
      <c r="O22" s="35" t="s">
        <v>46</v>
      </c>
      <c r="P22" s="35" t="s">
        <v>46</v>
      </c>
      <c r="Q22" s="31">
        <f>if(G22=13,1,0)+VLOOKUP(B22,'040624'!B:Q,16,false)</f>
        <v>0</v>
      </c>
      <c r="R22" s="31"/>
      <c r="S22" s="31">
        <f>if(G22=9,1,0)+VLOOKUP(B22,'040624'!B:S,18,false)</f>
        <v>7</v>
      </c>
    </row>
    <row r="23">
      <c r="A23" s="26">
        <f t="shared" si="3"/>
        <v>19</v>
      </c>
      <c r="B23" s="27" t="s">
        <v>81</v>
      </c>
      <c r="C23" s="77">
        <v>129.0</v>
      </c>
      <c r="D23" s="78">
        <v>11.0</v>
      </c>
      <c r="E23" s="30">
        <v>1.0</v>
      </c>
      <c r="F23" s="31">
        <v>3.0</v>
      </c>
      <c r="G23" s="28">
        <v>0.0</v>
      </c>
      <c r="H23" s="31">
        <v>0.0</v>
      </c>
      <c r="I23" s="31">
        <v>6.0</v>
      </c>
      <c r="J23" s="31">
        <v>3.0</v>
      </c>
      <c r="K23" s="33">
        <v>9.0</v>
      </c>
      <c r="L23" s="31">
        <v>1.0</v>
      </c>
      <c r="M23" s="28">
        <f t="shared" ref="M23:N23" si="20">C23+K23</f>
        <v>138</v>
      </c>
      <c r="N23" s="29">
        <f t="shared" si="20"/>
        <v>12</v>
      </c>
      <c r="O23" s="35" t="s">
        <v>46</v>
      </c>
      <c r="P23" s="35" t="s">
        <v>46</v>
      </c>
      <c r="Q23" s="31">
        <f>if(G23=13,1,0)+VLOOKUP(B23,'040624'!B:Q,16,false)</f>
        <v>0</v>
      </c>
      <c r="R23" s="31"/>
      <c r="S23" s="31">
        <f>if(G23=9,1,0)+VLOOKUP(B23,'040624'!B:S,18,false)</f>
        <v>4</v>
      </c>
    </row>
    <row r="24">
      <c r="A24" s="26">
        <f t="shared" si="3"/>
        <v>20</v>
      </c>
      <c r="B24" s="27" t="s">
        <v>102</v>
      </c>
      <c r="C24" s="77">
        <v>127.0</v>
      </c>
      <c r="D24" s="78">
        <v>8.0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136</v>
      </c>
      <c r="N24" s="29">
        <f t="shared" si="21"/>
        <v>8</v>
      </c>
      <c r="O24" s="35" t="s">
        <v>46</v>
      </c>
      <c r="P24" s="35" t="s">
        <v>46</v>
      </c>
      <c r="Q24" s="31">
        <f>if(G24=13,1,0)+VLOOKUP(B24,'040624'!B:Q,16,false)</f>
        <v>0</v>
      </c>
      <c r="R24" s="31"/>
      <c r="S24" s="31">
        <f>if(G24=9,1,0)+VLOOKUP(B24,'040624'!B:S,18,false)</f>
        <v>8</v>
      </c>
    </row>
    <row r="25">
      <c r="A25" s="26">
        <f t="shared" si="3"/>
        <v>21</v>
      </c>
      <c r="B25" s="39" t="s">
        <v>86</v>
      </c>
      <c r="C25" s="77">
        <v>126.0</v>
      </c>
      <c r="D25" s="78">
        <v>12.0</v>
      </c>
      <c r="E25" s="30">
        <v>2.0</v>
      </c>
      <c r="F25" s="31">
        <v>3.0</v>
      </c>
      <c r="G25" s="28">
        <v>0.0</v>
      </c>
      <c r="H25" s="31">
        <v>0.0</v>
      </c>
      <c r="I25" s="31">
        <v>0.0</v>
      </c>
      <c r="J25" s="31">
        <v>6.0</v>
      </c>
      <c r="K25" s="33">
        <v>6.0</v>
      </c>
      <c r="L25" s="31">
        <v>1.0</v>
      </c>
      <c r="M25" s="28">
        <f t="shared" ref="M25:N25" si="22">C25+K25</f>
        <v>132</v>
      </c>
      <c r="N25" s="29">
        <f t="shared" si="22"/>
        <v>13</v>
      </c>
      <c r="O25" s="35" t="s">
        <v>46</v>
      </c>
      <c r="P25" s="35" t="s">
        <v>46</v>
      </c>
      <c r="Q25" s="31">
        <f>if(G25=13,1,0)+VLOOKUP(B25,'040624'!B:Q,16,false)</f>
        <v>1</v>
      </c>
      <c r="R25" s="31"/>
      <c r="S25" s="31">
        <f>if(G25=9,1,0)+VLOOKUP(B25,'040624'!B:S,18,false)</f>
        <v>3</v>
      </c>
    </row>
    <row r="26">
      <c r="A26" s="26">
        <f t="shared" si="3"/>
        <v>22</v>
      </c>
      <c r="B26" s="27" t="s">
        <v>90</v>
      </c>
      <c r="C26" s="77">
        <v>126.0</v>
      </c>
      <c r="D26" s="78">
        <v>9.0</v>
      </c>
      <c r="E26" s="30">
        <v>1.0</v>
      </c>
      <c r="F26" s="31">
        <v>3.0</v>
      </c>
      <c r="G26" s="28">
        <v>0.0</v>
      </c>
      <c r="H26" s="31">
        <v>6.0</v>
      </c>
      <c r="I26" s="31">
        <v>6.0</v>
      </c>
      <c r="J26" s="31">
        <v>6.0</v>
      </c>
      <c r="K26" s="33">
        <v>18.0</v>
      </c>
      <c r="L26" s="31">
        <v>3.0</v>
      </c>
      <c r="M26" s="28">
        <f t="shared" ref="M26:N26" si="23">C26+K26</f>
        <v>144</v>
      </c>
      <c r="N26" s="29">
        <f t="shared" si="23"/>
        <v>12</v>
      </c>
      <c r="O26" s="35" t="s">
        <v>46</v>
      </c>
      <c r="P26" s="35" t="s">
        <v>46</v>
      </c>
      <c r="Q26" s="31">
        <f>if(G26=13,1,0)+VLOOKUP(B26,'040624'!B:Q,16,false)</f>
        <v>0</v>
      </c>
      <c r="R26" s="31"/>
      <c r="S26" s="31">
        <f>if(G26=9,1,0)+VLOOKUP(B26,'040624'!B:S,18,false)</f>
        <v>8</v>
      </c>
    </row>
    <row r="27">
      <c r="A27" s="26">
        <f t="shared" si="3"/>
        <v>23</v>
      </c>
      <c r="B27" s="54" t="s">
        <v>73</v>
      </c>
      <c r="C27" s="77">
        <v>125.0</v>
      </c>
      <c r="D27" s="78">
        <v>11.0</v>
      </c>
      <c r="E27" s="30">
        <v>1.0</v>
      </c>
      <c r="F27" s="31">
        <v>5.0</v>
      </c>
      <c r="G27" s="28">
        <v>0.0</v>
      </c>
      <c r="H27" s="31">
        <v>6.0</v>
      </c>
      <c r="I27" s="31">
        <v>4.0</v>
      </c>
      <c r="J27" s="31">
        <v>0.0</v>
      </c>
      <c r="K27" s="33">
        <v>10.0</v>
      </c>
      <c r="L27" s="31">
        <v>1.0</v>
      </c>
      <c r="M27" s="28">
        <f t="shared" ref="M27:N27" si="24">C27+K27</f>
        <v>135</v>
      </c>
      <c r="N27" s="29">
        <f t="shared" si="24"/>
        <v>12</v>
      </c>
      <c r="O27" s="35" t="s">
        <v>46</v>
      </c>
      <c r="P27" s="35" t="s">
        <v>46</v>
      </c>
      <c r="Q27" s="31">
        <f>if(G27=13,1,0)+VLOOKUP(B27,'040624'!B:Q,16,false)</f>
        <v>0</v>
      </c>
      <c r="R27" s="31"/>
      <c r="S27" s="31">
        <f>if(G27=9,1,0)+VLOOKUP(B27,'040624'!B:S,18,false)</f>
        <v>1</v>
      </c>
    </row>
    <row r="28">
      <c r="A28" s="26">
        <f t="shared" si="3"/>
        <v>24</v>
      </c>
      <c r="B28" s="39" t="s">
        <v>50</v>
      </c>
      <c r="C28" s="77">
        <v>125.0</v>
      </c>
      <c r="D28" s="78">
        <v>10.0</v>
      </c>
      <c r="E28" s="30">
        <v>1.0</v>
      </c>
      <c r="F28" s="31">
        <v>5.0</v>
      </c>
      <c r="G28" s="28">
        <v>0.0</v>
      </c>
      <c r="H28" s="31">
        <v>6.0</v>
      </c>
      <c r="I28" s="31">
        <v>6.0</v>
      </c>
      <c r="J28" s="31">
        <v>6.0</v>
      </c>
      <c r="K28" s="33">
        <v>18.0</v>
      </c>
      <c r="L28" s="31">
        <v>3.0</v>
      </c>
      <c r="M28" s="28">
        <f t="shared" ref="M28:N28" si="25">C28+K28</f>
        <v>143</v>
      </c>
      <c r="N28" s="29">
        <f t="shared" si="25"/>
        <v>13</v>
      </c>
      <c r="O28" s="35" t="s">
        <v>46</v>
      </c>
      <c r="P28" s="35" t="s">
        <v>46</v>
      </c>
      <c r="Q28" s="31">
        <f>if(G28=13,1,0)+VLOOKUP(B28,'040624'!B:Q,16,false)</f>
        <v>0</v>
      </c>
      <c r="R28" s="31"/>
      <c r="S28" s="31">
        <f>if(G28=9,1,0)+VLOOKUP(B28,'040624'!B:S,18,false)</f>
        <v>7</v>
      </c>
    </row>
    <row r="29">
      <c r="A29" s="26">
        <f t="shared" si="3"/>
        <v>25</v>
      </c>
      <c r="B29" s="27" t="s">
        <v>76</v>
      </c>
      <c r="C29" s="77">
        <v>125.0</v>
      </c>
      <c r="D29" s="78">
        <v>6.0</v>
      </c>
      <c r="E29" s="30">
        <v>2.0</v>
      </c>
      <c r="F29" s="31">
        <v>5.0</v>
      </c>
      <c r="G29" s="28">
        <v>0.0</v>
      </c>
      <c r="H29" s="31">
        <v>2.0</v>
      </c>
      <c r="I29" s="31">
        <v>4.0</v>
      </c>
      <c r="J29" s="31">
        <v>6.0</v>
      </c>
      <c r="K29" s="33">
        <v>12.0</v>
      </c>
      <c r="L29" s="31">
        <v>1.0</v>
      </c>
      <c r="M29" s="28">
        <f t="shared" ref="M29:N29" si="26">C29+K29</f>
        <v>137</v>
      </c>
      <c r="N29" s="29">
        <f t="shared" si="26"/>
        <v>7</v>
      </c>
      <c r="O29" s="35" t="s">
        <v>46</v>
      </c>
      <c r="P29" s="35" t="s">
        <v>46</v>
      </c>
      <c r="Q29" s="31">
        <f>if(G29=13,1,0)+VLOOKUP(B29,'040624'!B:Q,16,false)</f>
        <v>1</v>
      </c>
      <c r="R29" s="31"/>
      <c r="S29" s="31">
        <f>if(G29=9,1,0)+VLOOKUP(B29,'040624'!B:S,18,false)</f>
        <v>5</v>
      </c>
    </row>
    <row r="30">
      <c r="A30" s="26">
        <f t="shared" si="3"/>
        <v>26</v>
      </c>
      <c r="B30" s="27" t="s">
        <v>107</v>
      </c>
      <c r="C30" s="77">
        <v>124.0</v>
      </c>
      <c r="D30" s="78">
        <v>7.0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133</v>
      </c>
      <c r="N30" s="29">
        <f t="shared" si="27"/>
        <v>7</v>
      </c>
      <c r="O30" s="35" t="s">
        <v>46</v>
      </c>
      <c r="P30" s="35" t="s">
        <v>46</v>
      </c>
      <c r="Q30" s="31">
        <f>if(G30=13,1,0)+VLOOKUP(B30,'040624'!B:Q,16,false)</f>
        <v>2</v>
      </c>
      <c r="R30" s="31"/>
      <c r="S30" s="31">
        <f>if(G30=9,1,0)+VLOOKUP(B30,'040624'!B:S,18,false)</f>
        <v>6</v>
      </c>
    </row>
    <row r="31">
      <c r="A31" s="26">
        <f t="shared" si="3"/>
        <v>27</v>
      </c>
      <c r="B31" s="27" t="s">
        <v>98</v>
      </c>
      <c r="C31" s="77">
        <v>124.0</v>
      </c>
      <c r="D31" s="78">
        <v>6.0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133</v>
      </c>
      <c r="N31" s="29">
        <f t="shared" si="28"/>
        <v>6</v>
      </c>
      <c r="O31" s="35" t="s">
        <v>46</v>
      </c>
      <c r="P31" s="35" t="s">
        <v>46</v>
      </c>
      <c r="Q31" s="31">
        <f>if(G31=13,1,0)+VLOOKUP(B31,'040624'!B:Q,16,false)</f>
        <v>1</v>
      </c>
      <c r="R31" s="31"/>
      <c r="S31" s="31">
        <f>if(G31=9,1,0)+VLOOKUP(B31,'040624'!B:S,18,false)</f>
        <v>8</v>
      </c>
    </row>
    <row r="32">
      <c r="A32" s="26">
        <f t="shared" si="3"/>
        <v>28</v>
      </c>
      <c r="B32" s="39" t="s">
        <v>103</v>
      </c>
      <c r="C32" s="77">
        <v>123.0</v>
      </c>
      <c r="D32" s="78">
        <v>6.0</v>
      </c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f t="shared" ref="M32:N32" si="29">C32+K32</f>
        <v>132</v>
      </c>
      <c r="N32" s="29">
        <f t="shared" si="29"/>
        <v>6</v>
      </c>
      <c r="O32" s="35" t="s">
        <v>46</v>
      </c>
      <c r="P32" s="35" t="s">
        <v>46</v>
      </c>
      <c r="Q32" s="31">
        <f>if(G32=13,1,0)+VLOOKUP(B32,'040624'!B:Q,16,false)</f>
        <v>1</v>
      </c>
      <c r="R32" s="31"/>
      <c r="S32" s="31">
        <f>if(G32=9,1,0)+VLOOKUP(B32,'040624'!B:S,18,false)</f>
        <v>8</v>
      </c>
    </row>
    <row r="33">
      <c r="A33" s="26">
        <f t="shared" si="3"/>
        <v>29</v>
      </c>
      <c r="B33" s="54" t="s">
        <v>94</v>
      </c>
      <c r="C33" s="77">
        <v>122.0</v>
      </c>
      <c r="D33" s="78">
        <v>11.0</v>
      </c>
      <c r="E33" s="30">
        <v>1.0</v>
      </c>
      <c r="F33" s="31">
        <v>5.0</v>
      </c>
      <c r="G33" s="28">
        <v>0.0</v>
      </c>
      <c r="H33" s="31">
        <v>2.0</v>
      </c>
      <c r="I33" s="31">
        <v>6.0</v>
      </c>
      <c r="J33" s="31">
        <v>0.0</v>
      </c>
      <c r="K33" s="33">
        <v>8.0</v>
      </c>
      <c r="L33" s="31">
        <v>1.0</v>
      </c>
      <c r="M33" s="28">
        <f t="shared" ref="M33:N33" si="30">C33+K33</f>
        <v>130</v>
      </c>
      <c r="N33" s="29">
        <f t="shared" si="30"/>
        <v>12</v>
      </c>
      <c r="O33" s="35" t="s">
        <v>46</v>
      </c>
      <c r="P33" s="35" t="s">
        <v>46</v>
      </c>
      <c r="Q33" s="31">
        <f>if(G33=13,1,0)+VLOOKUP(B33,'040624'!B:Q,16,false)</f>
        <v>0</v>
      </c>
      <c r="R33" s="31"/>
      <c r="S33" s="31">
        <f>if(G33=9,1,0)+VLOOKUP(B33,'040624'!B:S,18,false)</f>
        <v>1</v>
      </c>
    </row>
    <row r="34">
      <c r="A34" s="26">
        <f t="shared" si="3"/>
        <v>30</v>
      </c>
      <c r="B34" s="27" t="s">
        <v>83</v>
      </c>
      <c r="C34" s="77">
        <v>122.0</v>
      </c>
      <c r="D34" s="78">
        <v>10.0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131</v>
      </c>
      <c r="N34" s="29">
        <f t="shared" si="31"/>
        <v>10</v>
      </c>
      <c r="O34" s="35" t="s">
        <v>46</v>
      </c>
      <c r="P34" s="35" t="s">
        <v>46</v>
      </c>
      <c r="Q34" s="31">
        <f>if(G34=13,1,0)+VLOOKUP(B34,'040624'!B:Q,16,false)</f>
        <v>1</v>
      </c>
      <c r="R34" s="31"/>
      <c r="S34" s="31">
        <f>if(G34=9,1,0)+VLOOKUP(B34,'040624'!B:S,18,false)</f>
        <v>3</v>
      </c>
    </row>
    <row r="35">
      <c r="A35" s="26">
        <f t="shared" si="3"/>
        <v>31</v>
      </c>
      <c r="B35" s="27" t="s">
        <v>110</v>
      </c>
      <c r="C35" s="77">
        <v>122.0</v>
      </c>
      <c r="D35" s="78">
        <v>7.0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131</v>
      </c>
      <c r="N35" s="29">
        <f t="shared" si="32"/>
        <v>7</v>
      </c>
      <c r="O35" s="35" t="s">
        <v>46</v>
      </c>
      <c r="P35" s="35" t="s">
        <v>46</v>
      </c>
      <c r="Q35" s="31">
        <f>if(G35=13,1,0)+VLOOKUP(B35,'040624'!B:Q,16,false)</f>
        <v>1</v>
      </c>
      <c r="R35" s="31"/>
      <c r="S35" s="31">
        <f>if(G35=9,1,0)+VLOOKUP(B35,'040624'!B:S,18,false)</f>
        <v>6</v>
      </c>
    </row>
    <row r="36">
      <c r="A36" s="26">
        <f t="shared" si="3"/>
        <v>32</v>
      </c>
      <c r="B36" s="27" t="s">
        <v>113</v>
      </c>
      <c r="C36" s="77">
        <v>122.0</v>
      </c>
      <c r="D36" s="78">
        <v>5.0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131</v>
      </c>
      <c r="N36" s="29">
        <f t="shared" si="33"/>
        <v>5</v>
      </c>
      <c r="O36" s="35" t="s">
        <v>46</v>
      </c>
      <c r="P36" s="35" t="s">
        <v>46</v>
      </c>
      <c r="Q36" s="31">
        <f>if(G36=13,1,0)+VLOOKUP(B36,'040624'!B:Q,16,false)</f>
        <v>1</v>
      </c>
      <c r="R36" s="31"/>
      <c r="S36" s="31">
        <f>if(G36=9,1,0)+VLOOKUP(B36,'040624'!B:S,18,false)</f>
        <v>9</v>
      </c>
    </row>
    <row r="37">
      <c r="A37" s="26">
        <f t="shared" si="3"/>
        <v>33</v>
      </c>
      <c r="B37" s="54" t="s">
        <v>100</v>
      </c>
      <c r="C37" s="77">
        <v>121.0</v>
      </c>
      <c r="D37" s="78">
        <v>8.0</v>
      </c>
      <c r="E37" s="30">
        <v>2.0</v>
      </c>
      <c r="F37" s="31">
        <v>6.0</v>
      </c>
      <c r="G37" s="28">
        <v>0.0</v>
      </c>
      <c r="H37" s="31">
        <v>6.0</v>
      </c>
      <c r="I37" s="31">
        <v>1.0</v>
      </c>
      <c r="J37" s="31">
        <v>6.0</v>
      </c>
      <c r="K37" s="33">
        <v>13.0</v>
      </c>
      <c r="L37" s="31">
        <v>1.0</v>
      </c>
      <c r="M37" s="28">
        <f t="shared" ref="M37:N37" si="34">C37+K37</f>
        <v>134</v>
      </c>
      <c r="N37" s="29">
        <f t="shared" si="34"/>
        <v>9</v>
      </c>
      <c r="O37" s="35" t="s">
        <v>46</v>
      </c>
      <c r="P37" s="35" t="s">
        <v>46</v>
      </c>
      <c r="Q37" s="31">
        <f>if(G37=13,1,0)+VLOOKUP(B37,'040624'!B:Q,16,false)</f>
        <v>1</v>
      </c>
      <c r="R37" s="31"/>
      <c r="S37" s="31">
        <f>if(G37=9,1,0)+VLOOKUP(B37,'040624'!B:S,18,false)</f>
        <v>5</v>
      </c>
    </row>
    <row r="38">
      <c r="A38" s="26">
        <f t="shared" si="3"/>
        <v>34</v>
      </c>
      <c r="B38" s="39" t="s">
        <v>106</v>
      </c>
      <c r="C38" s="77">
        <v>120.0</v>
      </c>
      <c r="D38" s="78">
        <v>7.0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129</v>
      </c>
      <c r="N38" s="29">
        <f t="shared" si="35"/>
        <v>7</v>
      </c>
      <c r="O38" s="35" t="s">
        <v>46</v>
      </c>
      <c r="P38" s="35" t="s">
        <v>46</v>
      </c>
      <c r="Q38" s="31">
        <f>if(G38=13,1,0)+VLOOKUP(B38,'040624'!B:Q,16,false)</f>
        <v>0</v>
      </c>
      <c r="R38" s="31"/>
      <c r="S38" s="31">
        <f>if(G38=9,1,0)+VLOOKUP(B38,'040624'!B:S,18,false)</f>
        <v>7</v>
      </c>
    </row>
    <row r="39">
      <c r="A39" s="26">
        <f t="shared" si="3"/>
        <v>35</v>
      </c>
      <c r="B39" s="54" t="s">
        <v>59</v>
      </c>
      <c r="C39" s="77">
        <v>119.0</v>
      </c>
      <c r="D39" s="78">
        <v>10.0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128</v>
      </c>
      <c r="N39" s="29">
        <f t="shared" si="36"/>
        <v>10</v>
      </c>
      <c r="O39" s="35" t="s">
        <v>46</v>
      </c>
      <c r="P39" s="35" t="s">
        <v>46</v>
      </c>
      <c r="Q39" s="31">
        <f>if(G39=13,1,0)+VLOOKUP(B39,'040624'!B:Q,16,false)</f>
        <v>1</v>
      </c>
      <c r="R39" s="31"/>
      <c r="S39" s="31">
        <f>if(G39=9,1,0)+VLOOKUP(B39,'040624'!B:S,18,false)</f>
        <v>4</v>
      </c>
    </row>
    <row r="40">
      <c r="A40" s="26">
        <f t="shared" si="3"/>
        <v>36</v>
      </c>
      <c r="B40" s="27" t="s">
        <v>66</v>
      </c>
      <c r="C40" s="77">
        <v>119.0</v>
      </c>
      <c r="D40" s="78">
        <v>7.0</v>
      </c>
      <c r="E40" s="30">
        <v>2.0</v>
      </c>
      <c r="F40" s="31">
        <v>6.0</v>
      </c>
      <c r="G40" s="28">
        <v>0.0</v>
      </c>
      <c r="H40" s="31">
        <v>2.0</v>
      </c>
      <c r="I40" s="31">
        <v>6.0</v>
      </c>
      <c r="J40" s="31">
        <v>6.0</v>
      </c>
      <c r="K40" s="33">
        <v>14.0</v>
      </c>
      <c r="L40" s="31">
        <v>1.0</v>
      </c>
      <c r="M40" s="28">
        <f t="shared" ref="M40:N40" si="37">C40+K40</f>
        <v>133</v>
      </c>
      <c r="N40" s="29">
        <f t="shared" si="37"/>
        <v>8</v>
      </c>
      <c r="O40" s="35" t="s">
        <v>46</v>
      </c>
      <c r="P40" s="35" t="s">
        <v>46</v>
      </c>
      <c r="Q40" s="31">
        <f>if(G40=13,1,0)+VLOOKUP(B40,'040624'!B:Q,16,false)</f>
        <v>1</v>
      </c>
      <c r="R40" s="31"/>
      <c r="S40" s="31">
        <f>if(G40=9,1,0)+VLOOKUP(B40,'040624'!B:S,18,false)</f>
        <v>2</v>
      </c>
    </row>
    <row r="41">
      <c r="A41" s="26">
        <f t="shared" si="3"/>
        <v>37</v>
      </c>
      <c r="B41" s="54" t="s">
        <v>47</v>
      </c>
      <c r="C41" s="77">
        <v>118.0</v>
      </c>
      <c r="D41" s="78">
        <v>9.0</v>
      </c>
      <c r="E41" s="30">
        <v>1.0</v>
      </c>
      <c r="F41" s="31">
        <v>6.0</v>
      </c>
      <c r="G41" s="28">
        <v>0.0</v>
      </c>
      <c r="H41" s="31">
        <v>2.0</v>
      </c>
      <c r="I41" s="31">
        <v>1.0</v>
      </c>
      <c r="J41" s="31">
        <v>7.0</v>
      </c>
      <c r="K41" s="33">
        <v>10.0</v>
      </c>
      <c r="L41" s="31">
        <v>1.0</v>
      </c>
      <c r="M41" s="28">
        <f t="shared" ref="M41:N41" si="38">C41+K41</f>
        <v>128</v>
      </c>
      <c r="N41" s="29">
        <f t="shared" si="38"/>
        <v>10</v>
      </c>
      <c r="O41" s="35" t="s">
        <v>46</v>
      </c>
      <c r="P41" s="35" t="s">
        <v>46</v>
      </c>
      <c r="Q41" s="31">
        <f>if(G41=13,1,0)+VLOOKUP(B41,'040624'!B:Q,16,false)</f>
        <v>0</v>
      </c>
      <c r="R41" s="31"/>
      <c r="S41" s="31">
        <f>if(G41=9,1,0)+VLOOKUP(B41,'040624'!B:S,18,false)</f>
        <v>0</v>
      </c>
    </row>
    <row r="42">
      <c r="A42" s="26">
        <f t="shared" si="3"/>
        <v>38</v>
      </c>
      <c r="B42" s="27" t="s">
        <v>56</v>
      </c>
      <c r="C42" s="77">
        <v>118.0</v>
      </c>
      <c r="D42" s="78">
        <v>6.0</v>
      </c>
      <c r="E42" s="30">
        <v>1.0</v>
      </c>
      <c r="F42" s="31">
        <v>6.0</v>
      </c>
      <c r="G42" s="28">
        <v>0.0</v>
      </c>
      <c r="H42" s="31">
        <v>6.0</v>
      </c>
      <c r="I42" s="31">
        <v>6.0</v>
      </c>
      <c r="J42" s="31">
        <v>7.0</v>
      </c>
      <c r="K42" s="33">
        <v>19.0</v>
      </c>
      <c r="L42" s="31">
        <v>3.0</v>
      </c>
      <c r="M42" s="28">
        <f t="shared" ref="M42:N42" si="39">C42+K42</f>
        <v>137</v>
      </c>
      <c r="N42" s="29">
        <f t="shared" si="39"/>
        <v>9</v>
      </c>
      <c r="O42" s="35" t="s">
        <v>46</v>
      </c>
      <c r="P42" s="35" t="s">
        <v>46</v>
      </c>
      <c r="Q42" s="31">
        <f>if(G42=13,1,0)+VLOOKUP(B42,'040624'!B:Q,16,false)</f>
        <v>0</v>
      </c>
      <c r="R42" s="31"/>
      <c r="S42" s="31">
        <f>if(G42=9,1,0)+VLOOKUP(B42,'040624'!B:S,18,false)</f>
        <v>9</v>
      </c>
    </row>
    <row r="43">
      <c r="A43" s="26">
        <f t="shared" si="3"/>
        <v>39</v>
      </c>
      <c r="B43" s="39" t="s">
        <v>105</v>
      </c>
      <c r="C43" s="77">
        <v>117.0</v>
      </c>
      <c r="D43" s="78">
        <v>10.0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126</v>
      </c>
      <c r="N43" s="29">
        <f t="shared" si="40"/>
        <v>10</v>
      </c>
      <c r="O43" s="35" t="s">
        <v>46</v>
      </c>
      <c r="P43" s="35" t="s">
        <v>46</v>
      </c>
      <c r="Q43" s="31">
        <f>if(G43=13,1,0)+VLOOKUP(B43,'040624'!B:Q,16,false)</f>
        <v>0</v>
      </c>
      <c r="R43" s="31"/>
      <c r="S43" s="31">
        <f>if(G43=9,1,0)+VLOOKUP(B43,'040624'!B:S,18,false)</f>
        <v>3</v>
      </c>
    </row>
    <row r="44">
      <c r="A44" s="26">
        <f t="shared" si="3"/>
        <v>40</v>
      </c>
      <c r="B44" s="27" t="s">
        <v>65</v>
      </c>
      <c r="C44" s="77">
        <v>117.0</v>
      </c>
      <c r="D44" s="78">
        <v>6.0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126</v>
      </c>
      <c r="N44" s="29">
        <f t="shared" si="41"/>
        <v>6</v>
      </c>
      <c r="O44" s="35" t="s">
        <v>46</v>
      </c>
      <c r="P44" s="35" t="s">
        <v>46</v>
      </c>
      <c r="Q44" s="31">
        <f>if(G44=13,1,0)+VLOOKUP(B44,'040624'!B:Q,16,false)</f>
        <v>0</v>
      </c>
      <c r="R44" s="31"/>
      <c r="S44" s="31">
        <f>if(G44=9,1,0)+VLOOKUP(B44,'040624'!B:S,18,false)</f>
        <v>10</v>
      </c>
    </row>
    <row r="45">
      <c r="A45" s="26">
        <f t="shared" si="3"/>
        <v>41</v>
      </c>
      <c r="B45" s="27" t="s">
        <v>68</v>
      </c>
      <c r="C45" s="77">
        <v>117.0</v>
      </c>
      <c r="D45" s="78">
        <v>5.0</v>
      </c>
      <c r="E45" s="30">
        <v>4.0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126</v>
      </c>
      <c r="N45" s="29">
        <f t="shared" si="42"/>
        <v>5</v>
      </c>
      <c r="O45" s="35" t="s">
        <v>46</v>
      </c>
      <c r="P45" s="35" t="s">
        <v>46</v>
      </c>
      <c r="Q45" s="31">
        <f>if(G45=13,1,0)+VLOOKUP(B45,'040624'!B:Q,16,false)</f>
        <v>2</v>
      </c>
      <c r="R45" s="31"/>
      <c r="S45" s="31">
        <f>if(G45=9,1,0)+VLOOKUP(B45,'040624'!B:S,18,false)</f>
        <v>7</v>
      </c>
    </row>
    <row r="46">
      <c r="A46" s="26">
        <f t="shared" si="3"/>
        <v>42</v>
      </c>
      <c r="B46" s="54" t="s">
        <v>116</v>
      </c>
      <c r="C46" s="77">
        <v>117.0</v>
      </c>
      <c r="D46" s="78">
        <v>5.0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126</v>
      </c>
      <c r="N46" s="29">
        <f t="shared" si="43"/>
        <v>5</v>
      </c>
      <c r="O46" s="35" t="s">
        <v>46</v>
      </c>
      <c r="P46" s="35" t="s">
        <v>46</v>
      </c>
      <c r="Q46" s="31">
        <f>if(G46=13,1,0)+VLOOKUP(B46,'040624'!B:Q,16,false)</f>
        <v>0</v>
      </c>
      <c r="R46" s="31"/>
      <c r="S46" s="31">
        <f>if(G46=9,1,0)+VLOOKUP(B46,'040624'!B:S,18,false)</f>
        <v>8</v>
      </c>
    </row>
    <row r="47">
      <c r="A47" s="26">
        <f t="shared" si="3"/>
        <v>43</v>
      </c>
      <c r="B47" s="27" t="s">
        <v>117</v>
      </c>
      <c r="C47" s="77">
        <v>117.0</v>
      </c>
      <c r="D47" s="78">
        <v>4.0</v>
      </c>
      <c r="E47" s="30">
        <v>4.0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126</v>
      </c>
      <c r="N47" s="29">
        <f t="shared" si="44"/>
        <v>4</v>
      </c>
      <c r="O47" s="35" t="s">
        <v>46</v>
      </c>
      <c r="P47" s="35" t="s">
        <v>46</v>
      </c>
      <c r="Q47" s="31">
        <f>if(G47=13,1,0)+VLOOKUP(B47,'040624'!B:Q,16,false)</f>
        <v>2</v>
      </c>
      <c r="R47" s="31"/>
      <c r="S47" s="31">
        <f>if(G47=9,1,0)+VLOOKUP(B47,'040624'!B:S,18,false)</f>
        <v>8</v>
      </c>
    </row>
    <row r="48">
      <c r="A48" s="26">
        <f t="shared" si="3"/>
        <v>44</v>
      </c>
      <c r="B48" s="39" t="s">
        <v>45</v>
      </c>
      <c r="C48" s="77">
        <v>116.0</v>
      </c>
      <c r="D48" s="78">
        <v>8.0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125</v>
      </c>
      <c r="N48" s="29">
        <f t="shared" si="45"/>
        <v>8</v>
      </c>
      <c r="O48" s="35" t="s">
        <v>46</v>
      </c>
      <c r="P48" s="35" t="s">
        <v>46</v>
      </c>
      <c r="Q48" s="31">
        <f>if(G48=13,1,0)+VLOOKUP(B48,'040624'!B:Q,16,false)</f>
        <v>1</v>
      </c>
      <c r="R48" s="31"/>
      <c r="S48" s="31">
        <f>if(G48=9,1,0)+VLOOKUP(B48,'040624'!B:S,18,false)</f>
        <v>4</v>
      </c>
    </row>
    <row r="49">
      <c r="A49" s="26">
        <f t="shared" si="3"/>
        <v>45</v>
      </c>
      <c r="B49" s="27" t="s">
        <v>42</v>
      </c>
      <c r="C49" s="77">
        <v>115.0</v>
      </c>
      <c r="D49" s="78">
        <v>9.0</v>
      </c>
      <c r="E49" s="30">
        <v>1.0</v>
      </c>
      <c r="F49" s="31">
        <v>7.0</v>
      </c>
      <c r="G49" s="28">
        <v>0.0</v>
      </c>
      <c r="H49" s="31">
        <v>3.0</v>
      </c>
      <c r="I49" s="31">
        <v>5.0</v>
      </c>
      <c r="J49" s="31">
        <v>6.0</v>
      </c>
      <c r="K49" s="33">
        <v>14.0</v>
      </c>
      <c r="L49" s="31">
        <v>1.0</v>
      </c>
      <c r="M49" s="28">
        <f t="shared" ref="M49:N49" si="46">C49+K49</f>
        <v>129</v>
      </c>
      <c r="N49" s="29">
        <f t="shared" si="46"/>
        <v>10</v>
      </c>
      <c r="O49" s="35" t="s">
        <v>46</v>
      </c>
      <c r="P49" s="35" t="s">
        <v>46</v>
      </c>
      <c r="Q49" s="31">
        <f>if(G49=13,1,0)+VLOOKUP(B49,'040624'!B:Q,16,false)</f>
        <v>0</v>
      </c>
      <c r="R49" s="31"/>
      <c r="S49" s="31">
        <f>if(G49=9,1,0)+VLOOKUP(B49,'040624'!B:S,18,false)</f>
        <v>2</v>
      </c>
    </row>
    <row r="50">
      <c r="A50" s="26">
        <f t="shared" si="3"/>
        <v>46</v>
      </c>
      <c r="B50" s="27" t="s">
        <v>39</v>
      </c>
      <c r="C50" s="77">
        <v>115.0</v>
      </c>
      <c r="D50" s="78">
        <v>4.0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124</v>
      </c>
      <c r="N50" s="29">
        <f t="shared" si="47"/>
        <v>4</v>
      </c>
      <c r="O50" s="35" t="s">
        <v>46</v>
      </c>
      <c r="P50" s="35" t="s">
        <v>46</v>
      </c>
      <c r="Q50" s="31">
        <f>if(G50=13,1,0)+VLOOKUP(B50,'040624'!B:Q,16,false)</f>
        <v>0</v>
      </c>
      <c r="R50" s="31"/>
      <c r="S50" s="31">
        <f>if(G50=9,1,0)+VLOOKUP(B50,'040624'!B:S,18,false)</f>
        <v>10</v>
      </c>
    </row>
    <row r="51">
      <c r="A51" s="26">
        <f t="shared" si="3"/>
        <v>47</v>
      </c>
      <c r="B51" s="55" t="s">
        <v>118</v>
      </c>
      <c r="C51" s="77">
        <v>114.0</v>
      </c>
      <c r="D51" s="78">
        <v>2.0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123</v>
      </c>
      <c r="N51" s="29">
        <f t="shared" si="48"/>
        <v>2</v>
      </c>
      <c r="O51" s="35" t="s">
        <v>46</v>
      </c>
      <c r="P51" s="35" t="s">
        <v>46</v>
      </c>
      <c r="Q51" s="31">
        <f>if(G51=13,1,0)+VLOOKUP(B51,'040624'!B:Q,16,false)</f>
        <v>2</v>
      </c>
      <c r="R51" s="31"/>
      <c r="S51" s="31">
        <f>if(G51=9,1,0)+VLOOKUP(B51,'040624'!B:S,18,false)</f>
        <v>9</v>
      </c>
    </row>
    <row r="52">
      <c r="A52" s="26">
        <f t="shared" si="3"/>
        <v>48</v>
      </c>
      <c r="B52" s="54" t="s">
        <v>89</v>
      </c>
      <c r="C52" s="77">
        <v>112.0</v>
      </c>
      <c r="D52" s="78">
        <v>10.0</v>
      </c>
      <c r="E52" s="30">
        <v>1.0</v>
      </c>
      <c r="F52" s="31">
        <v>7.0</v>
      </c>
      <c r="G52" s="28">
        <v>0.0</v>
      </c>
      <c r="H52" s="31">
        <v>6.0</v>
      </c>
      <c r="I52" s="31">
        <v>7.0</v>
      </c>
      <c r="J52" s="31">
        <v>6.0</v>
      </c>
      <c r="K52" s="33">
        <v>19.0</v>
      </c>
      <c r="L52" s="31">
        <v>3.0</v>
      </c>
      <c r="M52" s="28">
        <f t="shared" ref="M52:N52" si="49">C52+K52</f>
        <v>131</v>
      </c>
      <c r="N52" s="29">
        <f t="shared" si="49"/>
        <v>13</v>
      </c>
      <c r="O52" s="35" t="s">
        <v>46</v>
      </c>
      <c r="P52" s="35" t="s">
        <v>46</v>
      </c>
      <c r="Q52" s="31">
        <f>if(G52=13,1,0)+VLOOKUP(B52,'040624'!B:Q,16,false)</f>
        <v>0</v>
      </c>
      <c r="R52" s="31"/>
      <c r="S52" s="31">
        <f>if(G52=9,1,0)+VLOOKUP(B52,'040624'!B:S,18,false)</f>
        <v>2</v>
      </c>
    </row>
    <row r="53">
      <c r="A53" s="26">
        <f t="shared" si="3"/>
        <v>49</v>
      </c>
      <c r="B53" s="54" t="s">
        <v>123</v>
      </c>
      <c r="C53" s="77">
        <v>112.0</v>
      </c>
      <c r="D53" s="78">
        <v>2.0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121</v>
      </c>
      <c r="N53" s="29">
        <f t="shared" si="50"/>
        <v>2</v>
      </c>
      <c r="O53" s="35" t="s">
        <v>46</v>
      </c>
      <c r="P53" s="35" t="s">
        <v>46</v>
      </c>
      <c r="Q53" s="31">
        <f>if(G53=13,1,0)+VLOOKUP(B53,'040624'!B:Q,16,false)</f>
        <v>1</v>
      </c>
      <c r="R53" s="31"/>
      <c r="S53" s="31">
        <f>if(G53=9,1,0)+VLOOKUP(B53,'040624'!B:S,18,false)</f>
        <v>10</v>
      </c>
    </row>
    <row r="54">
      <c r="A54" s="26">
        <f t="shared" si="3"/>
        <v>50</v>
      </c>
      <c r="B54" s="27" t="s">
        <v>109</v>
      </c>
      <c r="C54" s="77">
        <v>112.0</v>
      </c>
      <c r="D54" s="78">
        <v>2.0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121</v>
      </c>
      <c r="N54" s="29">
        <f t="shared" si="51"/>
        <v>2</v>
      </c>
      <c r="O54" s="35" t="s">
        <v>46</v>
      </c>
      <c r="P54" s="35" t="s">
        <v>46</v>
      </c>
      <c r="Q54" s="31">
        <f>if(G54=13,1,0)+VLOOKUP(B54,'040624'!B:Q,16,false)</f>
        <v>2</v>
      </c>
      <c r="R54" s="31"/>
      <c r="S54" s="31">
        <f>if(G54=9,1,0)+VLOOKUP(B54,'040624'!B:S,18,false)</f>
        <v>8</v>
      </c>
    </row>
    <row r="55">
      <c r="A55" s="26">
        <f t="shared" si="3"/>
        <v>51</v>
      </c>
      <c r="B55" s="27" t="s">
        <v>120</v>
      </c>
      <c r="C55" s="77">
        <v>111.0</v>
      </c>
      <c r="D55" s="78">
        <v>2.0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120</v>
      </c>
      <c r="N55" s="29">
        <f t="shared" si="52"/>
        <v>2</v>
      </c>
      <c r="O55" s="35" t="s">
        <v>46</v>
      </c>
      <c r="P55" s="35" t="s">
        <v>46</v>
      </c>
      <c r="Q55" s="31">
        <f>if(G55=13,1,0)+VLOOKUP(B55,'040624'!B:Q,16,false)</f>
        <v>1</v>
      </c>
      <c r="R55" s="31"/>
      <c r="S55" s="31">
        <f>if(G55=9,1,0)+VLOOKUP(B55,'040624'!B:S,18,false)</f>
        <v>10</v>
      </c>
    </row>
    <row r="56">
      <c r="A56" s="26">
        <f t="shared" si="3"/>
        <v>52</v>
      </c>
      <c r="B56" s="54" t="s">
        <v>108</v>
      </c>
      <c r="C56" s="77">
        <v>110.0</v>
      </c>
      <c r="D56" s="78">
        <v>10.0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119</v>
      </c>
      <c r="N56" s="29">
        <f t="shared" si="53"/>
        <v>10</v>
      </c>
      <c r="O56" s="35" t="s">
        <v>46</v>
      </c>
      <c r="P56" s="35" t="s">
        <v>46</v>
      </c>
      <c r="Q56" s="31">
        <f>if(G56=13,1,0)+VLOOKUP(B56,'040624'!B:Q,16,false)</f>
        <v>0</v>
      </c>
      <c r="R56" s="31"/>
      <c r="S56" s="31">
        <f>if(G56=9,1,0)+VLOOKUP(B56,'040624'!B:S,18,false)</f>
        <v>2</v>
      </c>
    </row>
    <row r="57">
      <c r="A57" s="26">
        <f t="shared" si="3"/>
        <v>53</v>
      </c>
      <c r="B57" s="54" t="s">
        <v>54</v>
      </c>
      <c r="C57" s="77">
        <v>110.0</v>
      </c>
      <c r="D57" s="78">
        <v>5.0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119</v>
      </c>
      <c r="N57" s="29">
        <f t="shared" si="54"/>
        <v>5</v>
      </c>
      <c r="O57" s="35" t="s">
        <v>46</v>
      </c>
      <c r="P57" s="35" t="s">
        <v>46</v>
      </c>
      <c r="Q57" s="31">
        <f>if(G57=13,1,0)+VLOOKUP(B57,'040624'!B:Q,16,false)</f>
        <v>1</v>
      </c>
      <c r="R57" s="31"/>
      <c r="S57" s="31">
        <f>if(G57=9,1,0)+VLOOKUP(B57,'040624'!B:S,18,false)</f>
        <v>6</v>
      </c>
    </row>
    <row r="58">
      <c r="A58" s="26">
        <f t="shared" si="3"/>
        <v>54</v>
      </c>
      <c r="B58" s="39" t="s">
        <v>119</v>
      </c>
      <c r="C58" s="77">
        <v>109.0</v>
      </c>
      <c r="D58" s="78">
        <v>4.0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118</v>
      </c>
      <c r="N58" s="29">
        <f t="shared" si="55"/>
        <v>4</v>
      </c>
      <c r="O58" s="35" t="s">
        <v>46</v>
      </c>
      <c r="P58" s="35" t="s">
        <v>46</v>
      </c>
      <c r="Q58" s="31">
        <f>if(G58=13,1,0)+VLOOKUP(B58,'040624'!B:Q,16,false)</f>
        <v>0</v>
      </c>
      <c r="R58" s="31"/>
      <c r="S58" s="31">
        <f>if(G58=9,1,0)+VLOOKUP(B58,'040624'!B:S,18,false)</f>
        <v>10</v>
      </c>
    </row>
    <row r="59">
      <c r="A59" s="26">
        <f t="shared" si="3"/>
        <v>55</v>
      </c>
      <c r="B59" s="39" t="s">
        <v>121</v>
      </c>
      <c r="C59" s="77">
        <v>108.0</v>
      </c>
      <c r="D59" s="78">
        <v>3.0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117</v>
      </c>
      <c r="N59" s="29">
        <f t="shared" si="56"/>
        <v>3</v>
      </c>
      <c r="O59" s="35" t="s">
        <v>46</v>
      </c>
      <c r="P59" s="35" t="s">
        <v>46</v>
      </c>
      <c r="Q59" s="31">
        <f>if(G59=13,1,0)+VLOOKUP(B59,'040624'!B:Q,16,false)</f>
        <v>0</v>
      </c>
      <c r="R59" s="31"/>
      <c r="S59" s="31">
        <f>if(G59=9,1,0)+VLOOKUP(B59,'040624'!B:S,18,false)</f>
        <v>10</v>
      </c>
    </row>
    <row r="60">
      <c r="A60" s="26">
        <f t="shared" si="3"/>
        <v>56</v>
      </c>
      <c r="B60" s="27" t="s">
        <v>112</v>
      </c>
      <c r="C60" s="77">
        <v>108.0</v>
      </c>
      <c r="D60" s="78">
        <v>3.0</v>
      </c>
      <c r="E60" s="30">
        <v>1.0</v>
      </c>
      <c r="F60" s="31">
        <v>7.0</v>
      </c>
      <c r="G60" s="28">
        <v>0.0</v>
      </c>
      <c r="H60" s="31">
        <v>6.0</v>
      </c>
      <c r="I60" s="31">
        <v>5.0</v>
      </c>
      <c r="J60" s="31">
        <v>2.0</v>
      </c>
      <c r="K60" s="33">
        <v>13.0</v>
      </c>
      <c r="L60" s="31">
        <v>1.0</v>
      </c>
      <c r="M60" s="28">
        <f t="shared" ref="M60:N60" si="57">C60+K60</f>
        <v>121</v>
      </c>
      <c r="N60" s="29">
        <f t="shared" si="57"/>
        <v>4</v>
      </c>
      <c r="O60" s="35" t="s">
        <v>46</v>
      </c>
      <c r="P60" s="35" t="s">
        <v>46</v>
      </c>
      <c r="Q60" s="31">
        <f>if(G60=13,1,0)+VLOOKUP(B60,'040624'!B:Q,16,false)</f>
        <v>0</v>
      </c>
      <c r="R60" s="31"/>
      <c r="S60" s="31">
        <f>if(G60=9,1,0)+VLOOKUP(B60,'040624'!B:S,18,false)</f>
        <v>9</v>
      </c>
    </row>
    <row r="61">
      <c r="A61" s="26">
        <f t="shared" si="3"/>
        <v>57</v>
      </c>
      <c r="B61" s="54" t="s">
        <v>122</v>
      </c>
      <c r="C61" s="77">
        <v>106.0</v>
      </c>
      <c r="D61" s="78">
        <v>1.0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115</v>
      </c>
      <c r="N61" s="29">
        <f t="shared" si="58"/>
        <v>1</v>
      </c>
      <c r="O61" s="35" t="s">
        <v>46</v>
      </c>
      <c r="P61" s="35" t="s">
        <v>46</v>
      </c>
      <c r="Q61" s="31">
        <f>if(G61=13,1,0)+VLOOKUP(B61,'040624'!B:Q,16,false)</f>
        <v>0</v>
      </c>
      <c r="R61" s="31"/>
      <c r="S61" s="31">
        <f>if(G61=9,1,0)+VLOOKUP(B61,'040624'!B:S,18,false)</f>
        <v>11</v>
      </c>
    </row>
    <row r="62">
      <c r="A62" s="26">
        <f t="shared" si="3"/>
        <v>58</v>
      </c>
      <c r="B62" s="27" t="s">
        <v>115</v>
      </c>
      <c r="C62" s="77">
        <v>105.0</v>
      </c>
      <c r="D62" s="78">
        <v>2.0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114</v>
      </c>
      <c r="N62" s="29">
        <f t="shared" si="59"/>
        <v>2</v>
      </c>
      <c r="O62" s="35" t="s">
        <v>46</v>
      </c>
      <c r="P62" s="35" t="s">
        <v>46</v>
      </c>
      <c r="Q62" s="31">
        <f>if(G62=13,1,0)+VLOOKUP(B62,'040624'!B:Q,16,false)</f>
        <v>0</v>
      </c>
      <c r="R62" s="31"/>
      <c r="S62" s="31">
        <f>if(G62=9,1,0)+VLOOKUP(B62,'040624'!B:S,18,false)</f>
        <v>11</v>
      </c>
    </row>
    <row r="63">
      <c r="A63" s="26">
        <f t="shared" si="3"/>
        <v>59</v>
      </c>
      <c r="B63" s="27" t="s">
        <v>114</v>
      </c>
      <c r="C63" s="77">
        <v>103.0</v>
      </c>
      <c r="D63" s="78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112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if(G63=13,1,0)+VLOOKUP(B63,'040624'!B:Q,16,false)</f>
        <v>1</v>
      </c>
      <c r="R63" s="31"/>
      <c r="S63" s="31">
        <f>if(G63=9,1,0)+VLOOKUP(B63,'040624'!B:S,18,false)</f>
        <v>11</v>
      </c>
    </row>
    <row r="64">
      <c r="A64" s="26">
        <f t="shared" si="3"/>
        <v>60</v>
      </c>
      <c r="B64" s="27" t="s">
        <v>74</v>
      </c>
      <c r="C64" s="77">
        <v>99.0</v>
      </c>
      <c r="D64" s="78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108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if(G64=13,1,0)+VLOOKUP(B64,'040624'!B:Q,16,false)</f>
        <v>0</v>
      </c>
      <c r="R64" s="31"/>
      <c r="S64" s="31">
        <f>if(G64=9,1,0)+VLOOKUP(B64,'040624'!B:S,18,false)</f>
        <v>12</v>
      </c>
    </row>
    <row r="65">
      <c r="A65" s="26">
        <f t="shared" si="3"/>
        <v>61</v>
      </c>
      <c r="B65" s="39" t="s">
        <v>124</v>
      </c>
      <c r="C65" s="77">
        <v>99.0</v>
      </c>
      <c r="D65" s="78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108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if(G65=13,1,0)+VLOOKUP(B65,'040624'!B:Q,16,false)</f>
        <v>0</v>
      </c>
      <c r="R65" s="31"/>
      <c r="S65" s="31">
        <f>if(G65=9,1,0)+VLOOKUP(B65,'040624'!B:S,18,false)</f>
        <v>12</v>
      </c>
    </row>
    <row r="66">
      <c r="A66" s="26">
        <f t="shared" si="3"/>
        <v>62</v>
      </c>
      <c r="B66" s="39" t="s">
        <v>125</v>
      </c>
      <c r="C66" s="77">
        <v>99.0</v>
      </c>
      <c r="D66" s="78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108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if(G66=13,1,0)+VLOOKUP(B66,'040624'!B:Q,16,false)</f>
        <v>0</v>
      </c>
      <c r="R66" s="31"/>
      <c r="S66" s="31">
        <f>if(G66=9,1,0)+VLOOKUP(B66,'040624'!B:S,18,false)</f>
        <v>11</v>
      </c>
    </row>
    <row r="67">
      <c r="A67" s="26">
        <f t="shared" si="3"/>
        <v>63</v>
      </c>
      <c r="B67" s="39" t="s">
        <v>126</v>
      </c>
      <c r="C67" s="77">
        <v>98.0</v>
      </c>
      <c r="D67" s="78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107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if(G67=13,1,0)+VLOOKUP(B67,'040624'!B:Q,16,false)</f>
        <v>0</v>
      </c>
      <c r="R67" s="31"/>
      <c r="S67" s="31">
        <f>if(G67=9,1,0)+VLOOKUP(B67,'040624'!B:S,18,false)</f>
        <v>10</v>
      </c>
    </row>
    <row r="68">
      <c r="A68" s="26">
        <f t="shared" si="3"/>
        <v>64</v>
      </c>
      <c r="B68" s="39" t="s">
        <v>127</v>
      </c>
      <c r="C68" s="77">
        <v>98.0</v>
      </c>
      <c r="D68" s="78">
        <v>2.0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107</v>
      </c>
      <c r="N68" s="29">
        <f t="shared" si="65"/>
        <v>2</v>
      </c>
      <c r="O68" s="35" t="s">
        <v>46</v>
      </c>
      <c r="P68" s="35" t="s">
        <v>46</v>
      </c>
      <c r="Q68" s="31">
        <f>if(G68=13,1,0)+VLOOKUP(B68,'040624'!B:Q,16,false)</f>
        <v>0</v>
      </c>
      <c r="R68" s="31"/>
      <c r="S68" s="31">
        <f>if(G68=9,1,0)+VLOOKUP(B68,'040624'!B:S,18,false)</f>
        <v>10</v>
      </c>
    </row>
    <row r="69">
      <c r="A69" s="26">
        <f t="shared" si="3"/>
        <v>65</v>
      </c>
      <c r="B69" s="39" t="s">
        <v>97</v>
      </c>
      <c r="C69" s="77">
        <v>97.0</v>
      </c>
      <c r="D69" s="78">
        <v>3.0</v>
      </c>
      <c r="E69" s="30">
        <v>1.0</v>
      </c>
      <c r="F69" s="31">
        <v>7.0</v>
      </c>
      <c r="G69" s="28">
        <v>0.0</v>
      </c>
      <c r="H69" s="31">
        <v>3.0</v>
      </c>
      <c r="I69" s="31">
        <v>7.0</v>
      </c>
      <c r="J69" s="31">
        <v>2.0</v>
      </c>
      <c r="K69" s="33">
        <v>12.0</v>
      </c>
      <c r="L69" s="31">
        <v>1.0</v>
      </c>
      <c r="M69" s="28">
        <f t="shared" ref="M69:N69" si="66">C69+K69</f>
        <v>109</v>
      </c>
      <c r="N69" s="29">
        <f t="shared" si="66"/>
        <v>4</v>
      </c>
      <c r="O69" s="35" t="s">
        <v>46</v>
      </c>
      <c r="P69" s="35" t="s">
        <v>46</v>
      </c>
      <c r="Q69" s="31">
        <f>if(G69=13,1,0)+VLOOKUP(B69,'040624'!B:Q,16,false)</f>
        <v>0</v>
      </c>
      <c r="R69" s="31"/>
      <c r="S69" s="31">
        <f>if(G69=9,1,0)+VLOOKUP(B69,'040624'!B:S,18,false)</f>
        <v>2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desc"",0)"),"Suleman Alidina")</f>
        <v>Suleman Alidina</v>
      </c>
      <c r="C79" s="60">
        <f>IFERROR(__xludf.DUMMYFUNCTION("""COMPUTED_VALUE"""),20.0)</f>
        <v>20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IFERROR(__xludf.DUMMYFUNCTION("""COMPUTED_VALUE"""),"Susanta Mishra")</f>
        <v>Susanta Mishra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IFERROR(__xludf.DUMMYFUNCTION("""COMPUTED_VALUE"""),"Vishnu Amarnath")</f>
        <v>Vishnu Amarnath</v>
      </c>
      <c r="C81" s="60">
        <f>IFERROR(__xludf.DUMMYFUNCTION("""COMPUTED_VALUE"""),19.0)</f>
        <v>19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IFERROR(__xludf.DUMMYFUNCTION("""COMPUTED_VALUE"""),"Luis Hsu")</f>
        <v>Luis Hsu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IFERROR(__xludf.DUMMYFUNCTION("""COMPUTED_VALUE"""),"Tom Le")</f>
        <v>Tom Le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  <c r="K83" s="9"/>
    </row>
    <row r="84">
      <c r="A84" s="1"/>
      <c r="B84" s="39" t="str">
        <f>IFERROR(__xludf.DUMMYFUNCTION("""COMPUTED_VALUE"""),"Christopher Li")</f>
        <v>Christopher Li</v>
      </c>
      <c r="C84" s="60">
        <f>IFERROR(__xludf.DUMMYFUNCTION("""COMPUTED_VALUE"""),18.0)</f>
        <v>18</v>
      </c>
      <c r="D84" s="60">
        <f>IFERROR(__xludf.DUMMYFUNCTION("""COMPUTED_VALUE"""),3.0)</f>
        <v>3</v>
      </c>
      <c r="E84" s="1"/>
      <c r="K84" s="9"/>
    </row>
    <row r="85">
      <c r="A85" s="1"/>
      <c r="B85" s="39" t="str">
        <f>IFERROR(__xludf.DUMMYFUNCTION("""COMPUTED_VALUE"""),"Peter Cheng")</f>
        <v>Peter Cheng</v>
      </c>
      <c r="C85" s="60">
        <f>IFERROR(__xludf.DUMMYFUNCTION("""COMPUTED_VALUE"""),18.0)</f>
        <v>18</v>
      </c>
      <c r="D85" s="60">
        <f>IFERROR(__xludf.DUMMYFUNCTION("""COMPUTED_VALUE"""),1.0)</f>
        <v>1</v>
      </c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1"")"),"Peter Cheng")</f>
        <v>Peter Cheng</v>
      </c>
      <c r="C92" s="63">
        <f>IFERROR(__xludf.DUMMYFUNCTION("""COMPUTED_VALUE"""),155.0)</f>
        <v>155</v>
      </c>
      <c r="D92" s="64">
        <f>IFERROR(__xludf.DUMMYFUNCTION("""COMPUTED_VALUE"""),16.0)</f>
        <v>16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IFERROR(__xludf.DUMMYFUNCTION("""COMPUTED_VALUE"""),18.0)</f>
        <v>18</v>
      </c>
      <c r="L92" s="65">
        <f>IFERROR(__xludf.DUMMYFUNCTION("""COMPUTED_VALUE"""),1.0)</f>
        <v>1</v>
      </c>
      <c r="M92" s="65">
        <f>IFERROR(__xludf.DUMMYFUNCTION("""COMPUTED_VALUE"""),173.0)</f>
        <v>173</v>
      </c>
      <c r="N92" s="66">
        <f>IFERROR(__xludf.DUMMYFUNCTION("""COMPUTED_VALUE"""),17.0)</f>
        <v>17</v>
      </c>
    </row>
    <row r="93">
      <c r="A93" s="1"/>
      <c r="B93" s="62" t="str">
        <f>IFERROR(__xludf.DUMMYFUNCTION("""COMPUTED_VALUE"""),"Suleman Alidina")</f>
        <v>Suleman Alidina</v>
      </c>
      <c r="C93" s="63">
        <f>IFERROR(__xludf.DUMMYFUNCTION("""COMPUTED_VALUE"""),145.0)</f>
        <v>145</v>
      </c>
      <c r="D93" s="64">
        <f>IFERROR(__xludf.DUMMYFUNCTION("""COMPUTED_VALUE"""),16.0)</f>
        <v>16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IFERROR(__xludf.DUMMYFUNCTION("""COMPUTED_VALUE"""),6.0)</f>
        <v>6</v>
      </c>
      <c r="I93" s="65">
        <f>IFERROR(__xludf.DUMMYFUNCTION("""COMPUTED_VALUE"""),7.0)</f>
        <v>7</v>
      </c>
      <c r="J93" s="65">
        <f>IFERROR(__xludf.DUMMYFUNCTION("""COMPUTED_VALUE"""),7.0)</f>
        <v>7</v>
      </c>
      <c r="K93" s="65">
        <f>IFERROR(__xludf.DUMMYFUNCTION("""COMPUTED_VALUE"""),20.0)</f>
        <v>20</v>
      </c>
      <c r="L93" s="65">
        <f>IFERROR(__xludf.DUMMYFUNCTION("""COMPUTED_VALUE"""),3.0)</f>
        <v>3</v>
      </c>
      <c r="M93" s="65">
        <f>IFERROR(__xludf.DUMMYFUNCTION("""COMPUTED_VALUE"""),165.0)</f>
        <v>165</v>
      </c>
      <c r="N93" s="66">
        <f>IFERROR(__xludf.DUMMYFUNCTION("""COMPUTED_VALUE"""),19.0)</f>
        <v>19</v>
      </c>
    </row>
    <row r="94">
      <c r="A94" s="1"/>
      <c r="B94" s="62" t="str">
        <f>IFERROR(__xludf.DUMMYFUNCTION("""COMPUTED_VALUE"""),"Sean Chang")</f>
        <v>Sean Chang</v>
      </c>
      <c r="C94" s="63">
        <f>IFERROR(__xludf.DUMMYFUNCTION("""COMPUTED_VALUE"""),144.0)</f>
        <v>144</v>
      </c>
      <c r="D94" s="64">
        <f>IFERROR(__xludf.DUMMYFUNCTION("""COMPUTED_VALUE"""),9.0)</f>
        <v>9</v>
      </c>
      <c r="E94" s="63">
        <f>IFERROR(__xludf.DUMMYFUNCTION("""COMPUTED_VALUE"""),2.0)</f>
        <v>2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IFERROR(__xludf.DUMMYFUNCTION("""COMPUTED_VALUE"""),1.0)</f>
        <v>1</v>
      </c>
      <c r="I94" s="65">
        <f>IFERROR(__xludf.DUMMYFUNCTION("""COMPUTED_VALUE"""),7.0)</f>
        <v>7</v>
      </c>
      <c r="J94" s="65">
        <f>IFERROR(__xludf.DUMMYFUNCTION("""COMPUTED_VALUE"""),6.0)</f>
        <v>6</v>
      </c>
      <c r="K94" s="65">
        <f>IFERROR(__xludf.DUMMYFUNCTION("""COMPUTED_VALUE"""),14.0)</f>
        <v>14</v>
      </c>
      <c r="L94" s="65">
        <f>IFERROR(__xludf.DUMMYFUNCTION("""COMPUTED_VALUE"""),1.0)</f>
        <v>1</v>
      </c>
      <c r="M94" s="65">
        <f>IFERROR(__xludf.DUMMYFUNCTION("""COMPUTED_VALUE"""),158.0)</f>
        <v>158</v>
      </c>
      <c r="N94" s="66">
        <f>IFERROR(__xludf.DUMMYFUNCTION("""COMPUTED_VALUE"""),10.0)</f>
        <v>10</v>
      </c>
    </row>
    <row r="95">
      <c r="A95" s="1"/>
      <c r="B95" s="62" t="str">
        <f>IFERROR(__xludf.DUMMYFUNCTION("""COMPUTED_VALUE"""),"Jonathan Phan")</f>
        <v>Jonathan Phan</v>
      </c>
      <c r="C95" s="63">
        <f>IFERROR(__xludf.DUMMYFUNCTION("""COMPUTED_VALUE"""),141.0)</f>
        <v>141</v>
      </c>
      <c r="D95" s="64">
        <f>IFERROR(__xludf.DUMMYFUNCTION("""COMPUTED_VALUE"""),11.0)</f>
        <v>11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IFERROR(__xludf.DUMMYFUNCTION("""COMPUTED_VALUE"""),1.0)</f>
        <v>1</v>
      </c>
      <c r="I95" s="65">
        <f>IFERROR(__xludf.DUMMYFUNCTION("""COMPUTED_VALUE"""),6.0)</f>
        <v>6</v>
      </c>
      <c r="J95" s="65">
        <f>IFERROR(__xludf.DUMMYFUNCTION("""COMPUTED_VALUE"""),7.0)</f>
        <v>7</v>
      </c>
      <c r="K95" s="65">
        <f>IFERROR(__xludf.DUMMYFUNCTION("""COMPUTED_VALUE"""),14.0)</f>
        <v>14</v>
      </c>
      <c r="L95" s="65">
        <f>IFERROR(__xludf.DUMMYFUNCTION("""COMPUTED_VALUE"""),1.0)</f>
        <v>1</v>
      </c>
      <c r="M95" s="65">
        <f>IFERROR(__xludf.DUMMYFUNCTION("""COMPUTED_VALUE"""),155.0)</f>
        <v>155</v>
      </c>
      <c r="N95" s="66">
        <f>IFERROR(__xludf.DUMMYFUNCTION("""COMPUTED_VALUE"""),12.0)</f>
        <v>12</v>
      </c>
    </row>
    <row r="96">
      <c r="A96" s="1"/>
      <c r="B96" s="67" t="str">
        <f>IFERROR(__xludf.DUMMYFUNCTION("""COMPUTED_VALUE"""),"Luis Hsu")</f>
        <v>Luis Hsu</v>
      </c>
      <c r="C96" s="68">
        <f>IFERROR(__xludf.DUMMYFUNCTION("""COMPUTED_VALUE"""),139.0)</f>
        <v>139</v>
      </c>
      <c r="D96" s="69">
        <f>IFERROR(__xludf.DUMMYFUNCTION("""COMPUTED_VALUE"""),12.0)</f>
        <v>12</v>
      </c>
      <c r="E96" s="68">
        <f>IFERROR(__xludf.DUMMYFUNCTION("""COMPUTED_VALUE"""),2.0)</f>
        <v>2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IFERROR(__xludf.DUMMYFUNCTION("""COMPUTED_VALUE"""),6.0)</f>
        <v>6</v>
      </c>
      <c r="K96" s="70">
        <f>IFERROR(__xludf.DUMMYFUNCTION("""COMPUTED_VALUE"""),18.0)</f>
        <v>18</v>
      </c>
      <c r="L96" s="70">
        <f>IFERROR(__xludf.DUMMYFUNCTION("""COMPUTED_VALUE"""),3.0)</f>
        <v>3</v>
      </c>
      <c r="M96" s="70">
        <f>IFERROR(__xludf.DUMMYFUNCTION("""COMPUTED_VALUE"""),157.0)</f>
        <v>157</v>
      </c>
      <c r="N96" s="71">
        <f>IFERROR(__xludf.DUMMYFUNCTION("""COMPUTED_VALUE"""),15.0)</f>
        <v>15</v>
      </c>
    </row>
    <row r="97">
      <c r="A97" s="1"/>
      <c r="B97" s="67" t="str">
        <f>IFERROR(__xludf.DUMMYFUNCTION("""COMPUTED_VALUE"""),"Ted Shen")</f>
        <v>Ted Shen</v>
      </c>
      <c r="C97" s="68">
        <f>IFERROR(__xludf.DUMMYFUNCTION("""COMPUTED_VALUE"""),132.0)</f>
        <v>132</v>
      </c>
      <c r="D97" s="69">
        <f>IFERROR(__xludf.DUMMYFUNCTION("""COMPUTED_VALUE"""),12.0)</f>
        <v>12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IFERROR(__xludf.DUMMYFUNCTION("""COMPUTED_VALUE"""),1.0)</f>
        <v>1</v>
      </c>
      <c r="J97" s="70">
        <f>IFERROR(__xludf.DUMMYFUNCTION("""COMPUTED_VALUE"""),3.0)</f>
        <v>3</v>
      </c>
      <c r="K97" s="70">
        <f>IFERROR(__xludf.DUMMYFUNCTION("""COMPUTED_VALUE"""),10.0)</f>
        <v>10</v>
      </c>
      <c r="L97" s="70">
        <f>IFERROR(__xludf.DUMMYFUNCTION("""COMPUTED_VALUE"""),1.0)</f>
        <v>1</v>
      </c>
      <c r="M97" s="70">
        <f>IFERROR(__xludf.DUMMYFUNCTION("""COMPUTED_VALUE"""),142.0)</f>
        <v>142</v>
      </c>
      <c r="N97" s="71">
        <f>IFERROR(__xludf.DUMMYFUNCTION("""COMPUTED_VALUE"""),13.0)</f>
        <v>13</v>
      </c>
    </row>
    <row r="98">
      <c r="A98" s="1"/>
      <c r="B98" s="67" t="str">
        <f>IFERROR(__xludf.DUMMYFUNCTION("""COMPUTED_VALUE"""),"Erik Hoeckmann")</f>
        <v>Erik Hoeckmann</v>
      </c>
      <c r="C98" s="68">
        <f>IFERROR(__xludf.DUMMYFUNCTION("""COMPUTED_VALUE"""),132.0)</f>
        <v>132</v>
      </c>
      <c r="D98" s="69">
        <f>IFERROR(__xludf.DUMMYFUNCTION("""COMPUTED_VALUE"""),12.0)</f>
        <v>12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IFERROR(__xludf.DUMMYFUNCTION("""COMPUTED_VALUE"""),2.0)</f>
        <v>2</v>
      </c>
      <c r="I98" s="70">
        <f>IFERROR(__xludf.DUMMYFUNCTION("""COMPUTED_VALUE"""),1.0)</f>
        <v>1</v>
      </c>
      <c r="J98" s="70">
        <f>IFERROR(__xludf.DUMMYFUNCTION("""COMPUTED_VALUE"""),6.0)</f>
        <v>6</v>
      </c>
      <c r="K98" s="70">
        <f>IFERROR(__xludf.DUMMYFUNCTION("""COMPUTED_VALUE"""),9.0)</f>
        <v>9</v>
      </c>
      <c r="L98" s="70">
        <f>IFERROR(__xludf.DUMMYFUNCTION("""COMPUTED_VALUE"""),1.0)</f>
        <v>1</v>
      </c>
      <c r="M98" s="70">
        <f>IFERROR(__xludf.DUMMYFUNCTION("""COMPUTED_VALUE"""),141.0)</f>
        <v>141</v>
      </c>
      <c r="N98" s="71">
        <f>IFERROR(__xludf.DUMMYFUNCTION("""COMPUTED_VALUE"""),13.0)</f>
        <v>13</v>
      </c>
    </row>
    <row r="99">
      <c r="A99" s="1"/>
      <c r="B99" s="67" t="str">
        <f>IFERROR(__xludf.DUMMYFUNCTION("""COMPUTED_VALUE"""),"Rajasekar Ramasamy")</f>
        <v>Rajasekar Ramasamy</v>
      </c>
      <c r="C99" s="68">
        <f>IFERROR(__xludf.DUMMYFUNCTION("""COMPUTED_VALUE"""),132.0)</f>
        <v>132</v>
      </c>
      <c r="D99" s="69">
        <f>IFERROR(__xludf.DUMMYFUNCTION("""COMPUTED_VALUE"""),11.0)</f>
        <v>11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IFERROR(__xludf.DUMMYFUNCTION("""COMPUTED_VALUE"""),2.0)</f>
        <v>2</v>
      </c>
      <c r="I99" s="70">
        <f>IFERROR(__xludf.DUMMYFUNCTION("""COMPUTED_VALUE"""),6.0)</f>
        <v>6</v>
      </c>
      <c r="J99" s="70">
        <f>IFERROR(__xludf.DUMMYFUNCTION("""COMPUTED_VALUE"""),3.0)</f>
        <v>3</v>
      </c>
      <c r="K99" s="70">
        <f>IFERROR(__xludf.DUMMYFUNCTION("""COMPUTED_VALUE"""),11.0)</f>
        <v>11</v>
      </c>
      <c r="L99" s="70">
        <f>IFERROR(__xludf.DUMMYFUNCTION("""COMPUTED_VALUE"""),1.0)</f>
        <v>1</v>
      </c>
      <c r="M99" s="70">
        <f>IFERROR(__xludf.DUMMYFUNCTION("""COMPUTED_VALUE"""),143.0)</f>
        <v>143</v>
      </c>
      <c r="N99" s="71">
        <f>IFERROR(__xludf.DUMMYFUNCTION("""COMPUTED_VALUE"""),12.0)</f>
        <v>12</v>
      </c>
    </row>
    <row r="100">
      <c r="A100" s="1"/>
      <c r="B100" s="67" t="str">
        <f>IFERROR(__xludf.DUMMYFUNCTION("""COMPUTED_VALUE"""),"Joe Luzzi")</f>
        <v>Joe Luzzi</v>
      </c>
      <c r="C100" s="63">
        <f>IFERROR(__xludf.DUMMYFUNCTION("""COMPUTED_VALUE"""),132.0)</f>
        <v>132</v>
      </c>
      <c r="D100" s="64">
        <f>IFERROR(__xludf.DUMMYFUNCTION("""COMPUTED_VALUE"""),10.0)</f>
        <v>10</v>
      </c>
      <c r="E100" s="63">
        <f>IFERROR(__xludf.DUMMYFUNCTION("""COMPUTED_VALUE"""),2.0)</f>
        <v>2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IFERROR(__xludf.DUMMYFUNCTION("""COMPUTED_VALUE"""),0.0)</f>
        <v>0</v>
      </c>
      <c r="J100" s="65">
        <f>IFERROR(__xludf.DUMMYFUNCTION("""COMPUTED_VALUE"""),3.0)</f>
        <v>3</v>
      </c>
      <c r="K100" s="65">
        <f>IFERROR(__xludf.DUMMYFUNCTION("""COMPUTED_VALUE"""),9.0)</f>
        <v>9</v>
      </c>
      <c r="L100" s="65">
        <f>IFERROR(__xludf.DUMMYFUNCTION("""COMPUTED_VALUE"""),1.0)</f>
        <v>1</v>
      </c>
      <c r="M100" s="65">
        <f>IFERROR(__xludf.DUMMYFUNCTION("""COMPUTED_VALUE"""),141.0)</f>
        <v>141</v>
      </c>
      <c r="N100" s="66">
        <f>IFERROR(__xludf.DUMMYFUNCTION("""COMPUTED_VALUE"""),11.0)</f>
        <v>11</v>
      </c>
    </row>
    <row r="101">
      <c r="A101" s="1"/>
      <c r="B101" s="67" t="str">
        <f>IFERROR(__xludf.DUMMYFUNCTION("""COMPUTED_VALUE"""),"Pavan Akkimsetty")</f>
        <v>Pavan Akkimsetty</v>
      </c>
      <c r="C101" s="63">
        <f>IFERROR(__xludf.DUMMYFUNCTION("""COMPUTED_VALUE"""),129.0)</f>
        <v>129</v>
      </c>
      <c r="D101" s="64">
        <f>IFERROR(__xludf.DUMMYFUNCTION("""COMPUTED_VALUE"""),11.0)</f>
        <v>11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IFERROR(__xludf.DUMMYFUNCTION("""COMPUTED_VALUE"""),0.0)</f>
        <v>0</v>
      </c>
      <c r="I101" s="65">
        <f>IFERROR(__xludf.DUMMYFUNCTION("""COMPUTED_VALUE"""),6.0)</f>
        <v>6</v>
      </c>
      <c r="J101" s="65">
        <f>IFERROR(__xludf.DUMMYFUNCTION("""COMPUTED_VALUE"""),3.0)</f>
        <v>3</v>
      </c>
      <c r="K101" s="65">
        <f>IFERROR(__xludf.DUMMYFUNCTION("""COMPUTED_VALUE"""),9.0)</f>
        <v>9</v>
      </c>
      <c r="L101" s="65">
        <f>IFERROR(__xludf.DUMMYFUNCTION("""COMPUTED_VALUE"""),1.0)</f>
        <v>1</v>
      </c>
      <c r="M101" s="65">
        <f>IFERROR(__xludf.DUMMYFUNCTION("""COMPUTED_VALUE"""),138.0)</f>
        <v>138</v>
      </c>
      <c r="N101" s="66">
        <f>IFERROR(__xludf.DUMMYFUNCTION("""COMPUTED_VALUE"""),12.0)</f>
        <v>12</v>
      </c>
    </row>
    <row r="102">
      <c r="A102" s="1"/>
      <c r="B102" s="62" t="str">
        <f>IFERROR(__xludf.DUMMYFUNCTION("""COMPUTED_VALUE"""),"Chinna Ponnaganti")</f>
        <v>Chinna Ponnaganti</v>
      </c>
      <c r="C102" s="63">
        <f>IFERROR(__xludf.DUMMYFUNCTION("""COMPUTED_VALUE"""),126.0)</f>
        <v>126</v>
      </c>
      <c r="D102" s="64">
        <f>IFERROR(__xludf.DUMMYFUNCTION("""COMPUTED_VALUE"""),12.0)</f>
        <v>12</v>
      </c>
      <c r="E102" s="63">
        <f>IFERROR(__xludf.DUMMYFUNCTION("""COMPUTED_VALUE"""),2.0)</f>
        <v>2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IFERROR(__xludf.DUMMYFUNCTION("""COMPUTED_VALUE"""),0.0)</f>
        <v>0</v>
      </c>
      <c r="I102" s="65">
        <f>IFERROR(__xludf.DUMMYFUNCTION("""COMPUTED_VALUE"""),0.0)</f>
        <v>0</v>
      </c>
      <c r="J102" s="65">
        <f>IFERROR(__xludf.DUMMYFUNCTION("""COMPUTED_VALUE"""),6.0)</f>
        <v>6</v>
      </c>
      <c r="K102" s="65">
        <f>IFERROR(__xludf.DUMMYFUNCTION("""COMPUTED_VALUE"""),6.0)</f>
        <v>6</v>
      </c>
      <c r="L102" s="65">
        <f>IFERROR(__xludf.DUMMYFUNCTION("""COMPUTED_VALUE"""),1.0)</f>
        <v>1</v>
      </c>
      <c r="M102" s="65">
        <f>IFERROR(__xludf.DUMMYFUNCTION("""COMPUTED_VALUE"""),132.0)</f>
        <v>132</v>
      </c>
      <c r="N102" s="66">
        <f>IFERROR(__xludf.DUMMYFUNCTION("""COMPUTED_VALUE"""),13.0)</f>
        <v>13</v>
      </c>
    </row>
    <row r="103">
      <c r="A103" s="1"/>
      <c r="B103" s="62" t="str">
        <f>IFERROR(__xludf.DUMMYFUNCTION("""COMPUTED_VALUE"""),"Tom Le")</f>
        <v>Tom Le</v>
      </c>
      <c r="C103" s="63">
        <f>IFERROR(__xludf.DUMMYFUNCTION("""COMPUTED_VALUE"""),126.0)</f>
        <v>126</v>
      </c>
      <c r="D103" s="64">
        <f>IFERROR(__xludf.DUMMYFUNCTION("""COMPUTED_VALUE"""),9.0)</f>
        <v>9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IFERROR(__xludf.DUMMYFUNCTION("""COMPUTED_VALUE"""),6.0)</f>
        <v>6</v>
      </c>
      <c r="I103" s="65">
        <f>IFERROR(__xludf.DUMMYFUNCTION("""COMPUTED_VALUE"""),6.0)</f>
        <v>6</v>
      </c>
      <c r="J103" s="65">
        <f>IFERROR(__xludf.DUMMYFUNCTION("""COMPUTED_VALUE"""),6.0)</f>
        <v>6</v>
      </c>
      <c r="K103" s="65">
        <f>IFERROR(__xludf.DUMMYFUNCTION("""COMPUTED_VALUE"""),18.0)</f>
        <v>18</v>
      </c>
      <c r="L103" s="65">
        <f>IFERROR(__xludf.DUMMYFUNCTION("""COMPUTED_VALUE"""),3.0)</f>
        <v>3</v>
      </c>
      <c r="M103" s="65">
        <f>IFERROR(__xludf.DUMMYFUNCTION("""COMPUTED_VALUE"""),144.0)</f>
        <v>144</v>
      </c>
      <c r="N103" s="66">
        <f>IFERROR(__xludf.DUMMYFUNCTION("""COMPUTED_VALUE"""),12.0)</f>
        <v>12</v>
      </c>
    </row>
    <row r="104">
      <c r="A104" s="1"/>
      <c r="B104" s="67" t="str">
        <f>IFERROR(__xludf.DUMMYFUNCTION("""COMPUTED_VALUE"""),"Scott Li")</f>
        <v>Scott Li</v>
      </c>
      <c r="C104" s="68">
        <f>IFERROR(__xludf.DUMMYFUNCTION("""COMPUTED_VALUE"""),125.0)</f>
        <v>125</v>
      </c>
      <c r="D104" s="69">
        <f>IFERROR(__xludf.DUMMYFUNCTION("""COMPUTED_VALUE"""),11.0)</f>
        <v>11</v>
      </c>
      <c r="E104" s="68">
        <f>IFERROR(__xludf.DUMMYFUNCTION("""COMPUTED_VALUE"""),1.0)</f>
        <v>1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IFERROR(__xludf.DUMMYFUNCTION("""COMPUTED_VALUE"""),4.0)</f>
        <v>4</v>
      </c>
      <c r="J104" s="70">
        <f>IFERROR(__xludf.DUMMYFUNCTION("""COMPUTED_VALUE"""),0.0)</f>
        <v>0</v>
      </c>
      <c r="K104" s="70">
        <f>IFERROR(__xludf.DUMMYFUNCTION("""COMPUTED_VALUE"""),10.0)</f>
        <v>10</v>
      </c>
      <c r="L104" s="70">
        <f>IFERROR(__xludf.DUMMYFUNCTION("""COMPUTED_VALUE"""),1.0)</f>
        <v>1</v>
      </c>
      <c r="M104" s="70">
        <f>IFERROR(__xludf.DUMMYFUNCTION("""COMPUTED_VALUE"""),135.0)</f>
        <v>135</v>
      </c>
      <c r="N104" s="71">
        <f>IFERROR(__xludf.DUMMYFUNCTION("""COMPUTED_VALUE"""),12.0)</f>
        <v>12</v>
      </c>
    </row>
    <row r="105">
      <c r="A105" s="1"/>
      <c r="B105" s="67" t="str">
        <f>IFERROR(__xludf.DUMMYFUNCTION("""COMPUTED_VALUE"""),"Christopher Li")</f>
        <v>Christopher Li</v>
      </c>
      <c r="C105" s="68">
        <f>IFERROR(__xludf.DUMMYFUNCTION("""COMPUTED_VALUE"""),125.0)</f>
        <v>125</v>
      </c>
      <c r="D105" s="69">
        <f>IFERROR(__xludf.DUMMYFUNCTION("""COMPUTED_VALUE"""),10.0)</f>
        <v>10</v>
      </c>
      <c r="E105" s="68">
        <f>IFERROR(__xludf.DUMMYFUNCTION("""COMPUTED_VALUE"""),1.0)</f>
        <v>1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IFERROR(__xludf.DUMMYFUNCTION("""COMPUTED_VALUE"""),18.0)</f>
        <v>18</v>
      </c>
      <c r="L105" s="70">
        <f>IFERROR(__xludf.DUMMYFUNCTION("""COMPUTED_VALUE"""),3.0)</f>
        <v>3</v>
      </c>
      <c r="M105" s="70">
        <f>IFERROR(__xludf.DUMMYFUNCTION("""COMPUTED_VALUE"""),143.0)</f>
        <v>143</v>
      </c>
      <c r="N105" s="71">
        <f>IFERROR(__xludf.DUMMYFUNCTION("""COMPUTED_VALUE"""),13.0)</f>
        <v>13</v>
      </c>
    </row>
    <row r="106">
      <c r="A106" s="1"/>
      <c r="B106" s="67" t="str">
        <f>IFERROR(__xludf.DUMMYFUNCTION("""COMPUTED_VALUE"""),"Vamsi Lolla ")</f>
        <v>Vamsi Lolla </v>
      </c>
      <c r="C106" s="68">
        <f>IFERROR(__xludf.DUMMYFUNCTION("""COMPUTED_VALUE"""),125.0)</f>
        <v>125</v>
      </c>
      <c r="D106" s="69">
        <f>IFERROR(__xludf.DUMMYFUNCTION("""COMPUTED_VALUE"""),6.0)</f>
        <v>6</v>
      </c>
      <c r="E106" s="68">
        <f>IFERROR(__xludf.DUMMYFUNCTION("""COMPUTED_VALUE"""),2.0)</f>
        <v>2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IFERROR(__xludf.DUMMYFUNCTION("""COMPUTED_VALUE"""),2.0)</f>
        <v>2</v>
      </c>
      <c r="I106" s="70">
        <f>IFERROR(__xludf.DUMMYFUNCTION("""COMPUTED_VALUE"""),4.0)</f>
        <v>4</v>
      </c>
      <c r="J106" s="70">
        <f>IFERROR(__xludf.DUMMYFUNCTION("""COMPUTED_VALUE"""),6.0)</f>
        <v>6</v>
      </c>
      <c r="K106" s="70">
        <f>IFERROR(__xludf.DUMMYFUNCTION("""COMPUTED_VALUE"""),12.0)</f>
        <v>12</v>
      </c>
      <c r="L106" s="70">
        <f>IFERROR(__xludf.DUMMYFUNCTION("""COMPUTED_VALUE"""),1.0)</f>
        <v>1</v>
      </c>
      <c r="M106" s="70">
        <f>IFERROR(__xludf.DUMMYFUNCTION("""COMPUTED_VALUE"""),137.0)</f>
        <v>137</v>
      </c>
      <c r="N106" s="71">
        <f>IFERROR(__xludf.DUMMYFUNCTION("""COMPUTED_VALUE"""),7.0)</f>
        <v>7</v>
      </c>
    </row>
    <row r="107">
      <c r="A107" s="1"/>
      <c r="B107" s="67" t="str">
        <f>IFERROR(__xludf.DUMMYFUNCTION("""COMPUTED_VALUE"""),"Eric Tan")</f>
        <v>Eric Tan</v>
      </c>
      <c r="C107" s="68">
        <f>IFERROR(__xludf.DUMMYFUNCTION("""COMPUTED_VALUE"""),122.0)</f>
        <v>122</v>
      </c>
      <c r="D107" s="69">
        <f>IFERROR(__xludf.DUMMYFUNCTION("""COMPUTED_VALUE"""),11.0)</f>
        <v>11</v>
      </c>
      <c r="E107" s="68">
        <f>IFERROR(__xludf.DUMMYFUNCTION("""COMPUTED_VALUE"""),1.0)</f>
        <v>1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IFERROR(__xludf.DUMMYFUNCTION("""COMPUTED_VALUE"""),2.0)</f>
        <v>2</v>
      </c>
      <c r="I107" s="70">
        <f>IFERROR(__xludf.DUMMYFUNCTION("""COMPUTED_VALUE"""),6.0)</f>
        <v>6</v>
      </c>
      <c r="J107" s="70">
        <f>IFERROR(__xludf.DUMMYFUNCTION("""COMPUTED_VALUE"""),0.0)</f>
        <v>0</v>
      </c>
      <c r="K107" s="70">
        <f>IFERROR(__xludf.DUMMYFUNCTION("""COMPUTED_VALUE"""),8.0)</f>
        <v>8</v>
      </c>
      <c r="L107" s="70">
        <f>IFERROR(__xludf.DUMMYFUNCTION("""COMPUTED_VALUE"""),1.0)</f>
        <v>1</v>
      </c>
      <c r="M107" s="70">
        <f>IFERROR(__xludf.DUMMYFUNCTION("""COMPUTED_VALUE"""),130.0)</f>
        <v>130</v>
      </c>
      <c r="N107" s="71">
        <f>IFERROR(__xludf.DUMMYFUNCTION("""COMPUTED_VALUE"""),12.0)</f>
        <v>12</v>
      </c>
    </row>
    <row r="108">
      <c r="A108" s="1"/>
      <c r="B108" s="62" t="str">
        <f>IFERROR(__xludf.DUMMYFUNCTION("""COMPUTED_VALUE"""),"Ramesh Bandaru")</f>
        <v>Ramesh Bandaru</v>
      </c>
      <c r="C108" s="63">
        <f>IFERROR(__xludf.DUMMYFUNCTION("""COMPUTED_VALUE"""),121.0)</f>
        <v>121</v>
      </c>
      <c r="D108" s="64">
        <f>IFERROR(__xludf.DUMMYFUNCTION("""COMPUTED_VALUE"""),8.0)</f>
        <v>8</v>
      </c>
      <c r="E108" s="63">
        <f>IFERROR(__xludf.DUMMYFUNCTION("""COMPUTED_VALUE"""),2.0)</f>
        <v>2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IFERROR(__xludf.DUMMYFUNCTION("""COMPUTED_VALUE"""),1.0)</f>
        <v>1</v>
      </c>
      <c r="J108" s="65">
        <f>IFERROR(__xludf.DUMMYFUNCTION("""COMPUTED_VALUE"""),6.0)</f>
        <v>6</v>
      </c>
      <c r="K108" s="65">
        <f>IFERROR(__xludf.DUMMYFUNCTION("""COMPUTED_VALUE"""),13.0)</f>
        <v>13</v>
      </c>
      <c r="L108" s="65">
        <f>IFERROR(__xludf.DUMMYFUNCTION("""COMPUTED_VALUE"""),1.0)</f>
        <v>1</v>
      </c>
      <c r="M108" s="65">
        <f>IFERROR(__xludf.DUMMYFUNCTION("""COMPUTED_VALUE"""),134.0)</f>
        <v>134</v>
      </c>
      <c r="N108" s="66">
        <f>IFERROR(__xludf.DUMMYFUNCTION("""COMPUTED_VALUE"""),9.0)</f>
        <v>9</v>
      </c>
    </row>
    <row r="109">
      <c r="A109" s="1"/>
      <c r="B109" s="62" t="str">
        <f>IFERROR(__xludf.DUMMYFUNCTION("""COMPUTED_VALUE"""),"Naveen Raj")</f>
        <v>Naveen Raj</v>
      </c>
      <c r="C109" s="63">
        <f>IFERROR(__xludf.DUMMYFUNCTION("""COMPUTED_VALUE"""),119.0)</f>
        <v>119</v>
      </c>
      <c r="D109" s="64">
        <f>IFERROR(__xludf.DUMMYFUNCTION("""COMPUTED_VALUE"""),7.0)</f>
        <v>7</v>
      </c>
      <c r="E109" s="63">
        <f>IFERROR(__xludf.DUMMYFUNCTION("""COMPUTED_VALUE"""),2.0)</f>
        <v>2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IFERROR(__xludf.DUMMYFUNCTION("""COMPUTED_VALUE"""),2.0)</f>
        <v>2</v>
      </c>
      <c r="I109" s="65">
        <f>IFERROR(__xludf.DUMMYFUNCTION("""COMPUTED_VALUE"""),6.0)</f>
        <v>6</v>
      </c>
      <c r="J109" s="65">
        <f>IFERROR(__xludf.DUMMYFUNCTION("""COMPUTED_VALUE"""),6.0)</f>
        <v>6</v>
      </c>
      <c r="K109" s="65">
        <f>IFERROR(__xludf.DUMMYFUNCTION("""COMPUTED_VALUE"""),14.0)</f>
        <v>14</v>
      </c>
      <c r="L109" s="65">
        <f>IFERROR(__xludf.DUMMYFUNCTION("""COMPUTED_VALUE"""),1.0)</f>
        <v>1</v>
      </c>
      <c r="M109" s="65">
        <f>IFERROR(__xludf.DUMMYFUNCTION("""COMPUTED_VALUE"""),133.0)</f>
        <v>133</v>
      </c>
      <c r="N109" s="66">
        <f>IFERROR(__xludf.DUMMYFUNCTION("""COMPUTED_VALUE"""),8.0)</f>
        <v>8</v>
      </c>
    </row>
    <row r="110">
      <c r="A110" s="1"/>
      <c r="B110" s="62" t="str">
        <f>IFERROR(__xludf.DUMMYFUNCTION("""COMPUTED_VALUE"""),"Vinaya Kajla")</f>
        <v>Vinaya Kajla</v>
      </c>
      <c r="C110" s="63">
        <f>IFERROR(__xludf.DUMMYFUNCTION("""COMPUTED_VALUE"""),118.0)</f>
        <v>118</v>
      </c>
      <c r="D110" s="64">
        <f>IFERROR(__xludf.DUMMYFUNCTION("""COMPUTED_VALUE"""),9.0)</f>
        <v>9</v>
      </c>
      <c r="E110" s="63">
        <f>IFERROR(__xludf.DUMMYFUNCTION("""COMPUTED_VALUE"""),1.0)</f>
        <v>1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IFERROR(__xludf.DUMMYFUNCTION("""COMPUTED_VALUE"""),2.0)</f>
        <v>2</v>
      </c>
      <c r="I110" s="65">
        <f>IFERROR(__xludf.DUMMYFUNCTION("""COMPUTED_VALUE"""),1.0)</f>
        <v>1</v>
      </c>
      <c r="J110" s="65">
        <f>IFERROR(__xludf.DUMMYFUNCTION("""COMPUTED_VALUE"""),7.0)</f>
        <v>7</v>
      </c>
      <c r="K110" s="65">
        <f>IFERROR(__xludf.DUMMYFUNCTION("""COMPUTED_VALUE"""),10.0)</f>
        <v>10</v>
      </c>
      <c r="L110" s="65">
        <f>IFERROR(__xludf.DUMMYFUNCTION("""COMPUTED_VALUE"""),1.0)</f>
        <v>1</v>
      </c>
      <c r="M110" s="65">
        <f>IFERROR(__xludf.DUMMYFUNCTION("""COMPUTED_VALUE"""),128.0)</f>
        <v>128</v>
      </c>
      <c r="N110" s="66">
        <f>IFERROR(__xludf.DUMMYFUNCTION("""COMPUTED_VALUE"""),10.0)</f>
        <v>10</v>
      </c>
    </row>
    <row r="111">
      <c r="A111" s="1"/>
      <c r="B111" s="62" t="str">
        <f>IFERROR(__xludf.DUMMYFUNCTION("""COMPUTED_VALUE"""),"Susanta Mishra")</f>
        <v>Susanta Mishra</v>
      </c>
      <c r="C111" s="63">
        <f>IFERROR(__xludf.DUMMYFUNCTION("""COMPUTED_VALUE"""),118.0)</f>
        <v>118</v>
      </c>
      <c r="D111" s="64">
        <f>IFERROR(__xludf.DUMMYFUNCTION("""COMPUTED_VALUE"""),6.0)</f>
        <v>6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IFERROR(__xludf.DUMMYFUNCTION("""COMPUTED_VALUE"""),6.0)</f>
        <v>6</v>
      </c>
      <c r="I111" s="65">
        <f>IFERROR(__xludf.DUMMYFUNCTION("""COMPUTED_VALUE"""),6.0)</f>
        <v>6</v>
      </c>
      <c r="J111" s="65">
        <f>IFERROR(__xludf.DUMMYFUNCTION("""COMPUTED_VALUE"""),7.0)</f>
        <v>7</v>
      </c>
      <c r="K111" s="65">
        <f>IFERROR(__xludf.DUMMYFUNCTION("""COMPUTED_VALUE"""),19.0)</f>
        <v>19</v>
      </c>
      <c r="L111" s="65">
        <f>IFERROR(__xludf.DUMMYFUNCTION("""COMPUTED_VALUE"""),3.0)</f>
        <v>3</v>
      </c>
      <c r="M111" s="65">
        <f>IFERROR(__xludf.DUMMYFUNCTION("""COMPUTED_VALUE"""),137.0)</f>
        <v>137</v>
      </c>
      <c r="N111" s="66">
        <f>IFERROR(__xludf.DUMMYFUNCTION("""COMPUTED_VALUE"""),9.0)</f>
        <v>9</v>
      </c>
    </row>
    <row r="112">
      <c r="A112" s="1"/>
      <c r="B112" s="67" t="str">
        <f>IFERROR(__xludf.DUMMYFUNCTION("""COMPUTED_VALUE"""),"Jimmy Awolesi")</f>
        <v>Jimmy Awolesi</v>
      </c>
      <c r="C112" s="68">
        <f>IFERROR(__xludf.DUMMYFUNCTION("""COMPUTED_VALUE"""),115.0)</f>
        <v>115</v>
      </c>
      <c r="D112" s="69">
        <f>IFERROR(__xludf.DUMMYFUNCTION("""COMPUTED_VALUE"""),9.0)</f>
        <v>9</v>
      </c>
      <c r="E112" s="68">
        <f>IFERROR(__xludf.DUMMYFUNCTION("""COMPUTED_VALUE"""),1.0)</f>
        <v>1</v>
      </c>
      <c r="F112" s="70">
        <f>IFERROR(__xludf.DUMMYFUNCTION("""COMPUTED_VALUE"""),7.0)</f>
        <v>7</v>
      </c>
      <c r="G112" s="70">
        <f>IFERROR(__xludf.DUMMYFUNCTION("""COMPUTED_VALUE"""),0.0)</f>
        <v>0</v>
      </c>
      <c r="H112" s="70">
        <f>IFERROR(__xludf.DUMMYFUNCTION("""COMPUTED_VALUE"""),3.0)</f>
        <v>3</v>
      </c>
      <c r="I112" s="70">
        <f>IFERROR(__xludf.DUMMYFUNCTION("""COMPUTED_VALUE"""),5.0)</f>
        <v>5</v>
      </c>
      <c r="J112" s="70">
        <f>IFERROR(__xludf.DUMMYFUNCTION("""COMPUTED_VALUE"""),6.0)</f>
        <v>6</v>
      </c>
      <c r="K112" s="70">
        <f>IFERROR(__xludf.DUMMYFUNCTION("""COMPUTED_VALUE"""),14.0)</f>
        <v>14</v>
      </c>
      <c r="L112" s="70">
        <f>IFERROR(__xludf.DUMMYFUNCTION("""COMPUTED_VALUE"""),1.0)</f>
        <v>1</v>
      </c>
      <c r="M112" s="70">
        <f>IFERROR(__xludf.DUMMYFUNCTION("""COMPUTED_VALUE"""),129.0)</f>
        <v>129</v>
      </c>
      <c r="N112" s="71">
        <f>IFERROR(__xludf.DUMMYFUNCTION("""COMPUTED_VALUE"""),10.0)</f>
        <v>10</v>
      </c>
    </row>
    <row r="113">
      <c r="A113" s="1"/>
      <c r="B113" s="67" t="str">
        <f>IFERROR(__xludf.DUMMYFUNCTION("""COMPUTED_VALUE"""),"Vishnu Amarnath")</f>
        <v>Vishnu Amarnath</v>
      </c>
      <c r="C113" s="68">
        <f>IFERROR(__xludf.DUMMYFUNCTION("""COMPUTED_VALUE"""),112.0)</f>
        <v>112</v>
      </c>
      <c r="D113" s="69">
        <f>IFERROR(__xludf.DUMMYFUNCTION("""COMPUTED_VALUE"""),10.0)</f>
        <v>10</v>
      </c>
      <c r="E113" s="68">
        <f>IFERROR(__xludf.DUMMYFUNCTION("""COMPUTED_VALUE"""),1.0)</f>
        <v>1</v>
      </c>
      <c r="F113" s="70">
        <f>IFERROR(__xludf.DUMMYFUNCTION("""COMPUTED_VALUE"""),7.0)</f>
        <v>7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IFERROR(__xludf.DUMMYFUNCTION("""COMPUTED_VALUE"""),7.0)</f>
        <v>7</v>
      </c>
      <c r="J113" s="70">
        <f>IFERROR(__xludf.DUMMYFUNCTION("""COMPUTED_VALUE"""),6.0)</f>
        <v>6</v>
      </c>
      <c r="K113" s="70">
        <f>IFERROR(__xludf.DUMMYFUNCTION("""COMPUTED_VALUE"""),19.0)</f>
        <v>19</v>
      </c>
      <c r="L113" s="70">
        <f>IFERROR(__xludf.DUMMYFUNCTION("""COMPUTED_VALUE"""),3.0)</f>
        <v>3</v>
      </c>
      <c r="M113" s="70">
        <f>IFERROR(__xludf.DUMMYFUNCTION("""COMPUTED_VALUE"""),131.0)</f>
        <v>131</v>
      </c>
      <c r="N113" s="71">
        <f>IFERROR(__xludf.DUMMYFUNCTION("""COMPUTED_VALUE"""),13.0)</f>
        <v>13</v>
      </c>
    </row>
    <row r="114">
      <c r="A114" s="1"/>
      <c r="B114" s="67" t="str">
        <f>IFERROR(__xludf.DUMMYFUNCTION("""COMPUTED_VALUE"""),"Vinot Kumar Nagappan")</f>
        <v>Vinot Kumar Nagappan</v>
      </c>
      <c r="C114" s="68">
        <f>IFERROR(__xludf.DUMMYFUNCTION("""COMPUTED_VALUE"""),108.0)</f>
        <v>108</v>
      </c>
      <c r="D114" s="69">
        <f>IFERROR(__xludf.DUMMYFUNCTION("""COMPUTED_VALUE"""),3.0)</f>
        <v>3</v>
      </c>
      <c r="E114" s="68">
        <f>IFERROR(__xludf.DUMMYFUNCTION("""COMPUTED_VALUE"""),1.0)</f>
        <v>1</v>
      </c>
      <c r="F114" s="70">
        <f>IFERROR(__xludf.DUMMYFUNCTION("""COMPUTED_VALUE"""),7.0)</f>
        <v>7</v>
      </c>
      <c r="G114" s="70">
        <f>IFERROR(__xludf.DUMMYFUNCTION("""COMPUTED_VALUE"""),0.0)</f>
        <v>0</v>
      </c>
      <c r="H114" s="70">
        <f>IFERROR(__xludf.DUMMYFUNCTION("""COMPUTED_VALUE"""),6.0)</f>
        <v>6</v>
      </c>
      <c r="I114" s="70">
        <f>IFERROR(__xludf.DUMMYFUNCTION("""COMPUTED_VALUE"""),5.0)</f>
        <v>5</v>
      </c>
      <c r="J114" s="70">
        <f>IFERROR(__xludf.DUMMYFUNCTION("""COMPUTED_VALUE"""),2.0)</f>
        <v>2</v>
      </c>
      <c r="K114" s="70">
        <f>IFERROR(__xludf.DUMMYFUNCTION("""COMPUTED_VALUE"""),13.0)</f>
        <v>13</v>
      </c>
      <c r="L114" s="70">
        <f>IFERROR(__xludf.DUMMYFUNCTION("""COMPUTED_VALUE"""),1.0)</f>
        <v>1</v>
      </c>
      <c r="M114" s="70">
        <f>IFERROR(__xludf.DUMMYFUNCTION("""COMPUTED_VALUE"""),121.0)</f>
        <v>121</v>
      </c>
      <c r="N114" s="71">
        <f>IFERROR(__xludf.DUMMYFUNCTION("""COMPUTED_VALUE"""),4.0)</f>
        <v>4</v>
      </c>
    </row>
    <row r="115">
      <c r="A115" s="1"/>
      <c r="B115" s="67" t="str">
        <f>IFERROR(__xludf.DUMMYFUNCTION("""COMPUTED_VALUE"""),"Joyce Zhu")</f>
        <v>Joyce Zhu</v>
      </c>
      <c r="C115" s="68">
        <f>IFERROR(__xludf.DUMMYFUNCTION("""COMPUTED_VALUE"""),97.0)</f>
        <v>97</v>
      </c>
      <c r="D115" s="69">
        <f>IFERROR(__xludf.DUMMYFUNCTION("""COMPUTED_VALUE"""),3.0)</f>
        <v>3</v>
      </c>
      <c r="E115" s="68">
        <f>IFERROR(__xludf.DUMMYFUNCTION("""COMPUTED_VALUE"""),1.0)</f>
        <v>1</v>
      </c>
      <c r="F115" s="70">
        <f>IFERROR(__xludf.DUMMYFUNCTION("""COMPUTED_VALUE"""),7.0)</f>
        <v>7</v>
      </c>
      <c r="G115" s="70">
        <f>IFERROR(__xludf.DUMMYFUNCTION("""COMPUTED_VALUE"""),0.0)</f>
        <v>0</v>
      </c>
      <c r="H115" s="70">
        <f>IFERROR(__xludf.DUMMYFUNCTION("""COMPUTED_VALUE"""),3.0)</f>
        <v>3</v>
      </c>
      <c r="I115" s="70">
        <f>IFERROR(__xludf.DUMMYFUNCTION("""COMPUTED_VALUE"""),7.0)</f>
        <v>7</v>
      </c>
      <c r="J115" s="70">
        <f>IFERROR(__xludf.DUMMYFUNCTION("""COMPUTED_VALUE"""),2.0)</f>
        <v>2</v>
      </c>
      <c r="K115" s="70">
        <f>IFERROR(__xludf.DUMMYFUNCTION("""COMPUTED_VALUE"""),12.0)</f>
        <v>12</v>
      </c>
      <c r="L115" s="70">
        <f>IFERROR(__xludf.DUMMYFUNCTION("""COMPUTED_VALUE"""),1.0)</f>
        <v>1</v>
      </c>
      <c r="M115" s="70">
        <f>IFERROR(__xludf.DUMMYFUNCTION("""COMPUTED_VALUE"""),109.0)</f>
        <v>109</v>
      </c>
      <c r="N115" s="71">
        <f>IFERROR(__xludf.DUMMYFUNCTION("""COMPUTED_VALUE"""),4.0)</f>
        <v>4</v>
      </c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0"")"),"David Shin")</f>
        <v>David Shin</v>
      </c>
      <c r="C136" s="63">
        <f>IFERROR(__xludf.DUMMYFUNCTION("""COMPUTED_VALUE"""),150.0)</f>
        <v>150</v>
      </c>
      <c r="D136" s="64">
        <f>IFERROR(__xludf.DUMMYFUNCTION("""COMPUTED_VALUE"""),15.0)</f>
        <v>15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IFERROR(__xludf.DUMMYFUNCTION("""COMPUTED_VALUE"""),159.0)</f>
        <v>159</v>
      </c>
      <c r="N136" s="66">
        <f>IFERROR(__xludf.DUMMYFUNCTION("""COMPUTED_VALUE"""),15.0)</f>
        <v>15</v>
      </c>
    </row>
    <row r="137">
      <c r="A137" s="1"/>
      <c r="B137" s="62" t="str">
        <f>IFERROR(__xludf.DUMMYFUNCTION("""COMPUTED_VALUE"""),"Eric Pan")</f>
        <v>Eric Pan</v>
      </c>
      <c r="C137" s="63">
        <f>IFERROR(__xludf.DUMMYFUNCTION("""COMPUTED_VALUE"""),149.0)</f>
        <v>149</v>
      </c>
      <c r="D137" s="64">
        <f>IFERROR(__xludf.DUMMYFUNCTION("""COMPUTED_VALUE"""),15.0)</f>
        <v>15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IFERROR(__xludf.DUMMYFUNCTION("""COMPUTED_VALUE"""),158.0)</f>
        <v>158</v>
      </c>
      <c r="N137" s="66">
        <f>IFERROR(__xludf.DUMMYFUNCTION("""COMPUTED_VALUE"""),15.0)</f>
        <v>15</v>
      </c>
    </row>
    <row r="138">
      <c r="A138" s="1"/>
      <c r="B138" s="62" t="str">
        <f>IFERROR(__xludf.DUMMYFUNCTION("""COMPUTED_VALUE"""),"Adrian Tay")</f>
        <v>Adrian Tay</v>
      </c>
      <c r="C138" s="63">
        <f>IFERROR(__xludf.DUMMYFUNCTION("""COMPUTED_VALUE"""),149.0)</f>
        <v>149</v>
      </c>
      <c r="D138" s="64">
        <f>IFERROR(__xludf.DUMMYFUNCTION("""COMPUTED_VALUE"""),15.0)</f>
        <v>15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IFERROR(__xludf.DUMMYFUNCTION("""COMPUTED_VALUE"""),158.0)</f>
        <v>158</v>
      </c>
      <c r="N138" s="66">
        <f>IFERROR(__xludf.DUMMYFUNCTION("""COMPUTED_VALUE"""),15.0)</f>
        <v>15</v>
      </c>
    </row>
    <row r="139">
      <c r="A139" s="1"/>
      <c r="B139" s="62" t="str">
        <f>IFERROR(__xludf.DUMMYFUNCTION("""COMPUTED_VALUE"""),"Lam Bui")</f>
        <v>Lam Bui</v>
      </c>
      <c r="C139" s="63">
        <f>IFERROR(__xludf.DUMMYFUNCTION("""COMPUTED_VALUE"""),148.0)</f>
        <v>148</v>
      </c>
      <c r="D139" s="64">
        <f>IFERROR(__xludf.DUMMYFUNCTION("""COMPUTED_VALUE"""),11.0)</f>
        <v>11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IFERROR(__xludf.DUMMYFUNCTION("""COMPUTED_VALUE"""),157.0)</f>
        <v>157</v>
      </c>
      <c r="N139" s="66">
        <f>IFERROR(__xludf.DUMMYFUNCTION("""COMPUTED_VALUE"""),11.0)</f>
        <v>11</v>
      </c>
    </row>
    <row r="140">
      <c r="A140" s="1"/>
      <c r="B140" s="62" t="str">
        <f>IFERROR(__xludf.DUMMYFUNCTION("""COMPUTED_VALUE"""),"Mauricio Palacios")</f>
        <v>Mauricio Palacios</v>
      </c>
      <c r="C140" s="63">
        <f>IFERROR(__xludf.DUMMYFUNCTION("""COMPUTED_VALUE"""),144.0)</f>
        <v>144</v>
      </c>
      <c r="D140" s="64">
        <f>IFERROR(__xludf.DUMMYFUNCTION("""COMPUTED_VALUE"""),13.0)</f>
        <v>13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IFERROR(__xludf.DUMMYFUNCTION("""COMPUTED_VALUE"""),153.0)</f>
        <v>153</v>
      </c>
      <c r="N140" s="66">
        <f>IFERROR(__xludf.DUMMYFUNCTION("""COMPUTED_VALUE"""),13.0)</f>
        <v>13</v>
      </c>
    </row>
    <row r="141">
      <c r="A141" s="1"/>
      <c r="B141" s="62" t="str">
        <f>IFERROR(__xludf.DUMMYFUNCTION("""COMPUTED_VALUE"""),"Andrew Wen")</f>
        <v>Andrew Wen</v>
      </c>
      <c r="C141" s="63">
        <f>IFERROR(__xludf.DUMMYFUNCTION("""COMPUTED_VALUE"""),135.0)</f>
        <v>135</v>
      </c>
      <c r="D141" s="64">
        <f>IFERROR(__xludf.DUMMYFUNCTION("""COMPUTED_VALUE"""),15.0)</f>
        <v>15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IFERROR(__xludf.DUMMYFUNCTION("""COMPUTED_VALUE"""),144.0)</f>
        <v>144</v>
      </c>
      <c r="N141" s="66">
        <f>IFERROR(__xludf.DUMMYFUNCTION("""COMPUTED_VALUE"""),15.0)</f>
        <v>15</v>
      </c>
    </row>
    <row r="142">
      <c r="A142" s="1"/>
      <c r="B142" s="62" t="str">
        <f>IFERROR(__xludf.DUMMYFUNCTION("""COMPUTED_VALUE"""),"Kingsley Kuo")</f>
        <v>Kingsley Kuo</v>
      </c>
      <c r="C142" s="63">
        <f>IFERROR(__xludf.DUMMYFUNCTION("""COMPUTED_VALUE"""),134.0)</f>
        <v>134</v>
      </c>
      <c r="D142" s="64">
        <f>IFERROR(__xludf.DUMMYFUNCTION("""COMPUTED_VALUE"""),11.0)</f>
        <v>11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IFERROR(__xludf.DUMMYFUNCTION("""COMPUTED_VALUE"""),143.0)</f>
        <v>143</v>
      </c>
      <c r="N142" s="66">
        <f>IFERROR(__xludf.DUMMYFUNCTION("""COMPUTED_VALUE"""),11.0)</f>
        <v>11</v>
      </c>
    </row>
    <row r="143">
      <c r="A143" s="1"/>
      <c r="B143" s="62" t="str">
        <f>IFERROR(__xludf.DUMMYFUNCTION("""COMPUTED_VALUE"""),"Peter Homsey")</f>
        <v>Peter Homsey</v>
      </c>
      <c r="C143" s="63">
        <f>IFERROR(__xludf.DUMMYFUNCTION("""COMPUTED_VALUE"""),131.0)</f>
        <v>131</v>
      </c>
      <c r="D143" s="64">
        <f>IFERROR(__xludf.DUMMYFUNCTION("""COMPUTED_VALUE"""),11.0)</f>
        <v>11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IFERROR(__xludf.DUMMYFUNCTION("""COMPUTED_VALUE"""),140.0)</f>
        <v>140</v>
      </c>
      <c r="N143" s="66">
        <f>IFERROR(__xludf.DUMMYFUNCTION("""COMPUTED_VALUE"""),11.0)</f>
        <v>11</v>
      </c>
    </row>
    <row r="144">
      <c r="A144" s="1"/>
      <c r="B144" s="62" t="str">
        <f>IFERROR(__xludf.DUMMYFUNCTION("""COMPUTED_VALUE"""),"Andrew Chin")</f>
        <v>Andrew Chin</v>
      </c>
      <c r="C144" s="63">
        <f>IFERROR(__xludf.DUMMYFUNCTION("""COMPUTED_VALUE"""),130.0)</f>
        <v>130</v>
      </c>
      <c r="D144" s="64">
        <f>IFERROR(__xludf.DUMMYFUNCTION("""COMPUTED_VALUE"""),10.0)</f>
        <v>10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IFERROR(__xludf.DUMMYFUNCTION("""COMPUTED_VALUE"""),139.0)</f>
        <v>139</v>
      </c>
      <c r="N144" s="66">
        <f>IFERROR(__xludf.DUMMYFUNCTION("""COMPUTED_VALUE"""),10.0)</f>
        <v>10</v>
      </c>
    </row>
    <row r="145">
      <c r="A145" s="1"/>
      <c r="B145" s="62" t="str">
        <f>IFERROR(__xludf.DUMMYFUNCTION("""COMPUTED_VALUE"""),"Oscar Bonilla")</f>
        <v>Oscar Bonilla</v>
      </c>
      <c r="C145" s="63">
        <f>IFERROR(__xludf.DUMMYFUNCTION("""COMPUTED_VALUE"""),127.0)</f>
        <v>127</v>
      </c>
      <c r="D145" s="64">
        <f>IFERROR(__xludf.DUMMYFUNCTION("""COMPUTED_VALUE"""),8.0)</f>
        <v>8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IFERROR(__xludf.DUMMYFUNCTION("""COMPUTED_VALUE"""),136.0)</f>
        <v>136</v>
      </c>
      <c r="N145" s="66">
        <f>IFERROR(__xludf.DUMMYFUNCTION("""COMPUTED_VALUE"""),8.0)</f>
        <v>8</v>
      </c>
    </row>
    <row r="146">
      <c r="A146" s="1"/>
      <c r="B146" s="62" t="str">
        <f>IFERROR(__xludf.DUMMYFUNCTION("""COMPUTED_VALUE"""),"Matthew Huang")</f>
        <v>Matthew Huang</v>
      </c>
      <c r="C146" s="63">
        <f>IFERROR(__xludf.DUMMYFUNCTION("""COMPUTED_VALUE"""),124.0)</f>
        <v>124</v>
      </c>
      <c r="D146" s="64">
        <f>IFERROR(__xludf.DUMMYFUNCTION("""COMPUTED_VALUE"""),7.0)</f>
        <v>7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IFERROR(__xludf.DUMMYFUNCTION("""COMPUTED_VALUE"""),133.0)</f>
        <v>133</v>
      </c>
      <c r="N146" s="66">
        <f>IFERROR(__xludf.DUMMYFUNCTION("""COMPUTED_VALUE"""),7.0)</f>
        <v>7</v>
      </c>
    </row>
    <row r="147">
      <c r="A147" s="1"/>
      <c r="B147" s="62" t="str">
        <f>IFERROR(__xludf.DUMMYFUNCTION("""COMPUTED_VALUE"""),"Balaji Alahari")</f>
        <v>Balaji Alahari</v>
      </c>
      <c r="C147" s="63">
        <f>IFERROR(__xludf.DUMMYFUNCTION("""COMPUTED_VALUE"""),124.0)</f>
        <v>124</v>
      </c>
      <c r="D147" s="64">
        <f>IFERROR(__xludf.DUMMYFUNCTION("""COMPUTED_VALUE"""),6.0)</f>
        <v>6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IFERROR(__xludf.DUMMYFUNCTION("""COMPUTED_VALUE"""),133.0)</f>
        <v>133</v>
      </c>
      <c r="N147" s="66">
        <f>IFERROR(__xludf.DUMMYFUNCTION("""COMPUTED_VALUE"""),6.0)</f>
        <v>6</v>
      </c>
    </row>
    <row r="148">
      <c r="A148" s="1"/>
      <c r="B148" s="62" t="str">
        <f>IFERROR(__xludf.DUMMYFUNCTION("""COMPUTED_VALUE"""),"Lloyd Sagar")</f>
        <v>Lloyd Sagar</v>
      </c>
      <c r="C148" s="63">
        <f>IFERROR(__xludf.DUMMYFUNCTION("""COMPUTED_VALUE"""),123.0)</f>
        <v>123</v>
      </c>
      <c r="D148" s="64">
        <f>IFERROR(__xludf.DUMMYFUNCTION("""COMPUTED_VALUE"""),6.0)</f>
        <v>6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IFERROR(__xludf.DUMMYFUNCTION("""COMPUTED_VALUE"""),132.0)</f>
        <v>132</v>
      </c>
      <c r="N148" s="66">
        <f>IFERROR(__xludf.DUMMYFUNCTION("""COMPUTED_VALUE"""),6.0)</f>
        <v>6</v>
      </c>
    </row>
    <row r="149">
      <c r="A149" s="1"/>
      <c r="B149" s="62" t="str">
        <f>IFERROR(__xludf.DUMMYFUNCTION("""COMPUTED_VALUE"""),"Manuel Rivera")</f>
        <v>Manuel Rivera</v>
      </c>
      <c r="C149" s="63">
        <f>IFERROR(__xludf.DUMMYFUNCTION("""COMPUTED_VALUE"""),122.0)</f>
        <v>122</v>
      </c>
      <c r="D149" s="64">
        <f>IFERROR(__xludf.DUMMYFUNCTION("""COMPUTED_VALUE"""),10.0)</f>
        <v>10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IFERROR(__xludf.DUMMYFUNCTION("""COMPUTED_VALUE"""),131.0)</f>
        <v>131</v>
      </c>
      <c r="N149" s="66">
        <f>IFERROR(__xludf.DUMMYFUNCTION("""COMPUTED_VALUE"""),10.0)</f>
        <v>10</v>
      </c>
    </row>
    <row r="150">
      <c r="A150" s="1"/>
      <c r="B150" s="62" t="str">
        <f>IFERROR(__xludf.DUMMYFUNCTION("""COMPUTED_VALUE"""),"Manish Anand")</f>
        <v>Manish Anand</v>
      </c>
      <c r="C150" s="63">
        <f>IFERROR(__xludf.DUMMYFUNCTION("""COMPUTED_VALUE"""),122.0)</f>
        <v>122</v>
      </c>
      <c r="D150" s="64">
        <f>IFERROR(__xludf.DUMMYFUNCTION("""COMPUTED_VALUE"""),7.0)</f>
        <v>7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IFERROR(__xludf.DUMMYFUNCTION("""COMPUTED_VALUE"""),131.0)</f>
        <v>131</v>
      </c>
      <c r="N150" s="66">
        <f>IFERROR(__xludf.DUMMYFUNCTION("""COMPUTED_VALUE"""),7.0)</f>
        <v>7</v>
      </c>
    </row>
    <row r="151">
      <c r="A151" s="1"/>
      <c r="B151" s="62" t="str">
        <f>IFERROR(__xludf.DUMMYFUNCTION("""COMPUTED_VALUE"""),"Savay Lieu")</f>
        <v>Savay Lieu</v>
      </c>
      <c r="C151" s="63">
        <f>IFERROR(__xludf.DUMMYFUNCTION("""COMPUTED_VALUE"""),122.0)</f>
        <v>122</v>
      </c>
      <c r="D151" s="64">
        <f>IFERROR(__xludf.DUMMYFUNCTION("""COMPUTED_VALUE"""),5.0)</f>
        <v>5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IFERROR(__xludf.DUMMYFUNCTION("""COMPUTED_VALUE"""),131.0)</f>
        <v>131</v>
      </c>
      <c r="N151" s="66">
        <f>IFERROR(__xludf.DUMMYFUNCTION("""COMPUTED_VALUE"""),5.0)</f>
        <v>5</v>
      </c>
    </row>
    <row r="152">
      <c r="A152" s="1"/>
      <c r="B152" s="62" t="str">
        <f>IFERROR(__xludf.DUMMYFUNCTION("""COMPUTED_VALUE"""),"Sandy Weyant")</f>
        <v>Sandy Weyant</v>
      </c>
      <c r="C152" s="63">
        <f>IFERROR(__xludf.DUMMYFUNCTION("""COMPUTED_VALUE"""),120.0)</f>
        <v>120</v>
      </c>
      <c r="D152" s="64">
        <f>IFERROR(__xludf.DUMMYFUNCTION("""COMPUTED_VALUE"""),7.0)</f>
        <v>7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IFERROR(__xludf.DUMMYFUNCTION("""COMPUTED_VALUE"""),129.0)</f>
        <v>129</v>
      </c>
      <c r="N152" s="66">
        <f>IFERROR(__xludf.DUMMYFUNCTION("""COMPUTED_VALUE"""),7.0)</f>
        <v>7</v>
      </c>
    </row>
    <row r="153">
      <c r="A153" s="1"/>
      <c r="B153" s="62" t="str">
        <f>IFERROR(__xludf.DUMMYFUNCTION("""COMPUTED_VALUE"""),"David Tam")</f>
        <v>David Tam</v>
      </c>
      <c r="C153" s="63">
        <f>IFERROR(__xludf.DUMMYFUNCTION("""COMPUTED_VALUE"""),119.0)</f>
        <v>119</v>
      </c>
      <c r="D153" s="64">
        <f>IFERROR(__xludf.DUMMYFUNCTION("""COMPUTED_VALUE"""),10.0)</f>
        <v>10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IFERROR(__xludf.DUMMYFUNCTION("""COMPUTED_VALUE"""),128.0)</f>
        <v>128</v>
      </c>
      <c r="N153" s="66">
        <f>IFERROR(__xludf.DUMMYFUNCTION("""COMPUTED_VALUE"""),10.0)</f>
        <v>10</v>
      </c>
    </row>
    <row r="154">
      <c r="A154" s="1"/>
      <c r="B154" s="62" t="str">
        <f>IFERROR(__xludf.DUMMYFUNCTION("""COMPUTED_VALUE"""),"Elayaraja Thangaraj ")</f>
        <v>Elayaraja Thangaraj </v>
      </c>
      <c r="C154" s="63">
        <f>IFERROR(__xludf.DUMMYFUNCTION("""COMPUTED_VALUE"""),117.0)</f>
        <v>117</v>
      </c>
      <c r="D154" s="64">
        <f>IFERROR(__xludf.DUMMYFUNCTION("""COMPUTED_VALUE"""),10.0)</f>
        <v>10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IFERROR(__xludf.DUMMYFUNCTION("""COMPUTED_VALUE"""),126.0)</f>
        <v>126</v>
      </c>
      <c r="N154" s="66">
        <f>IFERROR(__xludf.DUMMYFUNCTION("""COMPUTED_VALUE"""),10.0)</f>
        <v>10</v>
      </c>
    </row>
    <row r="155">
      <c r="A155" s="1"/>
      <c r="B155" s="62" t="str">
        <f>IFERROR(__xludf.DUMMYFUNCTION("""COMPUTED_VALUE"""),"Pulkit Mathur")</f>
        <v>Pulkit Mathur</v>
      </c>
      <c r="C155" s="63">
        <f>IFERROR(__xludf.DUMMYFUNCTION("""COMPUTED_VALUE"""),117.0)</f>
        <v>117</v>
      </c>
      <c r="D155" s="64">
        <f>IFERROR(__xludf.DUMMYFUNCTION("""COMPUTED_VALUE"""),6.0)</f>
        <v>6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IFERROR(__xludf.DUMMYFUNCTION("""COMPUTED_VALUE"""),126.0)</f>
        <v>126</v>
      </c>
      <c r="N155" s="66">
        <f>IFERROR(__xludf.DUMMYFUNCTION("""COMPUTED_VALUE"""),6.0)</f>
        <v>6</v>
      </c>
    </row>
    <row r="156">
      <c r="A156" s="1"/>
      <c r="B156" s="62" t="str">
        <f>IFERROR(__xludf.DUMMYFUNCTION("""COMPUTED_VALUE"""),"Trinath Goteti")</f>
        <v>Trinath Goteti</v>
      </c>
      <c r="C156" s="63">
        <f>IFERROR(__xludf.DUMMYFUNCTION("""COMPUTED_VALUE"""),117.0)</f>
        <v>117</v>
      </c>
      <c r="D156" s="64">
        <f>IFERROR(__xludf.DUMMYFUNCTION("""COMPUTED_VALUE"""),5.0)</f>
        <v>5</v>
      </c>
      <c r="E156" s="63">
        <f>IFERROR(__xludf.DUMMYFUNCTION("""COMPUTED_VALUE"""),4.0)</f>
        <v>4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IFERROR(__xludf.DUMMYFUNCTION("""COMPUTED_VALUE"""),126.0)</f>
        <v>126</v>
      </c>
      <c r="N156" s="66">
        <f>IFERROR(__xludf.DUMMYFUNCTION("""COMPUTED_VALUE"""),5.0)</f>
        <v>5</v>
      </c>
    </row>
    <row r="157">
      <c r="A157" s="1"/>
      <c r="B157" s="62" t="str">
        <f>IFERROR(__xludf.DUMMYFUNCTION("""COMPUTED_VALUE"""),"Sudhagar Subbaian")</f>
        <v>Sudhagar Subbaian</v>
      </c>
      <c r="C157" s="63">
        <f>IFERROR(__xludf.DUMMYFUNCTION("""COMPUTED_VALUE"""),117.0)</f>
        <v>117</v>
      </c>
      <c r="D157" s="64">
        <f>IFERROR(__xludf.DUMMYFUNCTION("""COMPUTED_VALUE"""),5.0)</f>
        <v>5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IFERROR(__xludf.DUMMYFUNCTION("""COMPUTED_VALUE"""),126.0)</f>
        <v>126</v>
      </c>
      <c r="N157" s="66">
        <f>IFERROR(__xludf.DUMMYFUNCTION("""COMPUTED_VALUE"""),5.0)</f>
        <v>5</v>
      </c>
    </row>
    <row r="158">
      <c r="A158" s="1"/>
      <c r="B158" s="62" t="str">
        <f>IFERROR(__xludf.DUMMYFUNCTION("""COMPUTED_VALUE"""),"Robert Chang")</f>
        <v>Robert Chang</v>
      </c>
      <c r="C158" s="63">
        <f>IFERROR(__xludf.DUMMYFUNCTION("""COMPUTED_VALUE"""),117.0)</f>
        <v>117</v>
      </c>
      <c r="D158" s="64">
        <f>IFERROR(__xludf.DUMMYFUNCTION("""COMPUTED_VALUE"""),4.0)</f>
        <v>4</v>
      </c>
      <c r="E158" s="63">
        <f>IFERROR(__xludf.DUMMYFUNCTION("""COMPUTED_VALUE"""),4.0)</f>
        <v>4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IFERROR(__xludf.DUMMYFUNCTION("""COMPUTED_VALUE"""),126.0)</f>
        <v>126</v>
      </c>
      <c r="N158" s="66">
        <f>IFERROR(__xludf.DUMMYFUNCTION("""COMPUTED_VALUE"""),4.0)</f>
        <v>4</v>
      </c>
    </row>
    <row r="159">
      <c r="A159" s="1"/>
      <c r="B159" s="62" t="str">
        <f>IFERROR(__xludf.DUMMYFUNCTION("""COMPUTED_VALUE"""),"Tony Wong")</f>
        <v>Tony Wong</v>
      </c>
      <c r="C159" s="63">
        <f>IFERROR(__xludf.DUMMYFUNCTION("""COMPUTED_VALUE"""),116.0)</f>
        <v>116</v>
      </c>
      <c r="D159" s="64">
        <f>IFERROR(__xludf.DUMMYFUNCTION("""COMPUTED_VALUE"""),8.0)</f>
        <v>8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IFERROR(__xludf.DUMMYFUNCTION("""COMPUTED_VALUE"""),125.0)</f>
        <v>125</v>
      </c>
      <c r="N159" s="66">
        <f>IFERROR(__xludf.DUMMYFUNCTION("""COMPUTED_VALUE"""),8.0)</f>
        <v>8</v>
      </c>
    </row>
    <row r="160">
      <c r="A160" s="1"/>
      <c r="B160" s="62" t="str">
        <f>IFERROR(__xludf.DUMMYFUNCTION("""COMPUTED_VALUE"""),"Alejandro Mejia")</f>
        <v>Alejandro Mejia</v>
      </c>
      <c r="C160" s="63">
        <f>IFERROR(__xludf.DUMMYFUNCTION("""COMPUTED_VALUE"""),115.0)</f>
        <v>115</v>
      </c>
      <c r="D160" s="64">
        <f>IFERROR(__xludf.DUMMYFUNCTION("""COMPUTED_VALUE"""),4.0)</f>
        <v>4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IFERROR(__xludf.DUMMYFUNCTION("""COMPUTED_VALUE"""),124.0)</f>
        <v>124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IFERROR(__xludf.DUMMYFUNCTION("""COMPUTED_VALUE"""),"Rosie Bonilla")</f>
        <v>Rosie Bonilla</v>
      </c>
      <c r="C161" s="63">
        <f>IFERROR(__xludf.DUMMYFUNCTION("""COMPUTED_VALUE"""),114.0)</f>
        <v>114</v>
      </c>
      <c r="D161" s="64">
        <f>IFERROR(__xludf.DUMMYFUNCTION("""COMPUTED_VALUE"""),2.0)</f>
        <v>2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IFERROR(__xludf.DUMMYFUNCTION("""COMPUTED_VALUE"""),123.0)</f>
        <v>123</v>
      </c>
      <c r="N161" s="66">
        <f>IFERROR(__xludf.DUMMYFUNCTION("""COMPUTED_VALUE"""),2.0)</f>
        <v>2</v>
      </c>
    </row>
    <row r="162">
      <c r="A162" s="1"/>
      <c r="B162" s="62" t="str">
        <f>IFERROR(__xludf.DUMMYFUNCTION("""COMPUTED_VALUE"""),"Marcus Yovas")</f>
        <v>Marcus Yovas</v>
      </c>
      <c r="C162" s="63">
        <f>IFERROR(__xludf.DUMMYFUNCTION("""COMPUTED_VALUE"""),112.0)</f>
        <v>112</v>
      </c>
      <c r="D162" s="64">
        <f>IFERROR(__xludf.DUMMYFUNCTION("""COMPUTED_VALUE"""),2.0)</f>
        <v>2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IFERROR(__xludf.DUMMYFUNCTION("""COMPUTED_VALUE"""),121.0)</f>
        <v>121</v>
      </c>
      <c r="N162" s="66">
        <f>IFERROR(__xludf.DUMMYFUNCTION("""COMPUTED_VALUE"""),2.0)</f>
        <v>2</v>
      </c>
    </row>
    <row r="163">
      <c r="A163" s="1"/>
      <c r="B163" s="62" t="str">
        <f>IFERROR(__xludf.DUMMYFUNCTION("""COMPUTED_VALUE"""),"Nohely Mejia")</f>
        <v>Nohely Mejia</v>
      </c>
      <c r="C163" s="63">
        <f>IFERROR(__xludf.DUMMYFUNCTION("""COMPUTED_VALUE"""),112.0)</f>
        <v>112</v>
      </c>
      <c r="D163" s="64">
        <f>IFERROR(__xludf.DUMMYFUNCTION("""COMPUTED_VALUE"""),2.0)</f>
        <v>2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IFERROR(__xludf.DUMMYFUNCTION("""COMPUTED_VALUE"""),121.0)</f>
        <v>121</v>
      </c>
      <c r="N163" s="66">
        <f>IFERROR(__xludf.DUMMYFUNCTION("""COMPUTED_VALUE"""),2.0)</f>
        <v>2</v>
      </c>
    </row>
    <row r="164">
      <c r="A164" s="1"/>
      <c r="B164" s="62" t="str">
        <f>IFERROR(__xludf.DUMMYFUNCTION("""COMPUTED_VALUE"""),"Santosh Sundaresan ")</f>
        <v>Santosh Sundaresan </v>
      </c>
      <c r="C164" s="63">
        <f>IFERROR(__xludf.DUMMYFUNCTION("""COMPUTED_VALUE"""),111.0)</f>
        <v>111</v>
      </c>
      <c r="D164" s="64">
        <f>IFERROR(__xludf.DUMMYFUNCTION("""COMPUTED_VALUE"""),2.0)</f>
        <v>2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IFERROR(__xludf.DUMMYFUNCTION("""COMPUTED_VALUE"""),120.0)</f>
        <v>120</v>
      </c>
      <c r="N164" s="66">
        <f>IFERROR(__xludf.DUMMYFUNCTION("""COMPUTED_VALUE"""),2.0)</f>
        <v>2</v>
      </c>
    </row>
    <row r="165">
      <c r="A165" s="1"/>
      <c r="B165" s="62" t="str">
        <f>IFERROR(__xludf.DUMMYFUNCTION("""COMPUTED_VALUE"""),"Kumar Palakeel")</f>
        <v>Kumar Palakeel</v>
      </c>
      <c r="C165" s="63">
        <f>IFERROR(__xludf.DUMMYFUNCTION("""COMPUTED_VALUE"""),110.0)</f>
        <v>110</v>
      </c>
      <c r="D165" s="64">
        <f>IFERROR(__xludf.DUMMYFUNCTION("""COMPUTED_VALUE"""),10.0)</f>
        <v>10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IFERROR(__xludf.DUMMYFUNCTION("""COMPUTED_VALUE"""),119.0)</f>
        <v>119</v>
      </c>
      <c r="N165" s="66">
        <f>IFERROR(__xludf.DUMMYFUNCTION("""COMPUTED_VALUE"""),10.0)</f>
        <v>10</v>
      </c>
    </row>
    <row r="166">
      <c r="A166" s="1"/>
      <c r="B166" s="62" t="str">
        <f>IFERROR(__xludf.DUMMYFUNCTION("""COMPUTED_VALUE"""),"Ash Nikravan")</f>
        <v>Ash Nikravan</v>
      </c>
      <c r="C166" s="63">
        <f>IFERROR(__xludf.DUMMYFUNCTION("""COMPUTED_VALUE"""),110.0)</f>
        <v>110</v>
      </c>
      <c r="D166" s="64">
        <f>IFERROR(__xludf.DUMMYFUNCTION("""COMPUTED_VALUE"""),5.0)</f>
        <v>5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IFERROR(__xludf.DUMMYFUNCTION("""COMPUTED_VALUE"""),119.0)</f>
        <v>119</v>
      </c>
      <c r="N166" s="66">
        <f>IFERROR(__xludf.DUMMYFUNCTION("""COMPUTED_VALUE"""),5.0)</f>
        <v>5</v>
      </c>
    </row>
    <row r="167">
      <c r="A167" s="1"/>
      <c r="B167" s="62" t="str">
        <f>IFERROR(__xludf.DUMMYFUNCTION("""COMPUTED_VALUE"""),"Troy Wong")</f>
        <v>Troy Wong</v>
      </c>
      <c r="C167" s="63">
        <f>IFERROR(__xludf.DUMMYFUNCTION("""COMPUTED_VALUE"""),109.0)</f>
        <v>109</v>
      </c>
      <c r="D167" s="64">
        <f>IFERROR(__xludf.DUMMYFUNCTION("""COMPUTED_VALUE"""),4.0)</f>
        <v>4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IFERROR(__xludf.DUMMYFUNCTION("""COMPUTED_VALUE"""),118.0)</f>
        <v>118</v>
      </c>
      <c r="N167" s="66">
        <f>IFERROR(__xludf.DUMMYFUNCTION("""COMPUTED_VALUE"""),4.0)</f>
        <v>4</v>
      </c>
    </row>
    <row r="168">
      <c r="A168" s="1"/>
      <c r="B168" s="62" t="str">
        <f>IFERROR(__xludf.DUMMYFUNCTION("""COMPUTED_VALUE"""),"Tony Lin")</f>
        <v>Tony Lin</v>
      </c>
      <c r="C168" s="63">
        <f>IFERROR(__xludf.DUMMYFUNCTION("""COMPUTED_VALUE"""),108.0)</f>
        <v>108</v>
      </c>
      <c r="D168" s="64">
        <f>IFERROR(__xludf.DUMMYFUNCTION("""COMPUTED_VALUE"""),3.0)</f>
        <v>3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IFERROR(__xludf.DUMMYFUNCTION("""COMPUTED_VALUE"""),117.0)</f>
        <v>117</v>
      </c>
      <c r="N168" s="66">
        <f>IFERROR(__xludf.DUMMYFUNCTION("""COMPUTED_VALUE"""),3.0)</f>
        <v>3</v>
      </c>
    </row>
    <row r="169">
      <c r="A169" s="1"/>
      <c r="B169" s="62" t="str">
        <f>IFERROR(__xludf.DUMMYFUNCTION("""COMPUTED_VALUE"""),"Chandrasekar Chinnathambi")</f>
        <v>Chandrasekar Chinnathambi</v>
      </c>
      <c r="C169" s="63">
        <f>IFERROR(__xludf.DUMMYFUNCTION("""COMPUTED_VALUE"""),106.0)</f>
        <v>106</v>
      </c>
      <c r="D169" s="64">
        <f>IFERROR(__xludf.DUMMYFUNCTION("""COMPUTED_VALUE"""),1.0)</f>
        <v>1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IFERROR(__xludf.DUMMYFUNCTION("""COMPUTED_VALUE"""),115.0)</f>
        <v>115</v>
      </c>
      <c r="N169" s="66">
        <f>IFERROR(__xludf.DUMMYFUNCTION("""COMPUTED_VALUE"""),1.0)</f>
        <v>1</v>
      </c>
    </row>
    <row r="170">
      <c r="A170" s="1"/>
      <c r="B170" s="62" t="str">
        <f>IFERROR(__xludf.DUMMYFUNCTION("""COMPUTED_VALUE"""),"Amit Patel")</f>
        <v>Amit Patel</v>
      </c>
      <c r="C170" s="63">
        <f>IFERROR(__xludf.DUMMYFUNCTION("""COMPUTED_VALUE"""),105.0)</f>
        <v>105</v>
      </c>
      <c r="D170" s="64">
        <f>IFERROR(__xludf.DUMMYFUNCTION("""COMPUTED_VALUE"""),2.0)</f>
        <v>2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IFERROR(__xludf.DUMMYFUNCTION("""COMPUTED_VALUE"""),114.0)</f>
        <v>114</v>
      </c>
      <c r="N170" s="66">
        <f>IFERROR(__xludf.DUMMYFUNCTION("""COMPUTED_VALUE"""),2.0)</f>
        <v>2</v>
      </c>
    </row>
    <row r="171">
      <c r="A171" s="1"/>
      <c r="B171" s="62" t="str">
        <f>IFERROR(__xludf.DUMMYFUNCTION("""COMPUTED_VALUE"""),"Sanjaye Elayattu")</f>
        <v>Sanjaye Elayattu</v>
      </c>
      <c r="C171" s="63">
        <f>IFERROR(__xludf.DUMMYFUNCTION("""COMPUTED_VALUE"""),103.0)</f>
        <v>103</v>
      </c>
      <c r="D171" s="64">
        <f>IFERROR(__xludf.DUMMYFUNCTION("""COMPUTED_VALUE"""),0.0)</f>
        <v>0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IFERROR(__xludf.DUMMYFUNCTION("""COMPUTED_VALUE"""),112.0)</f>
        <v>112</v>
      </c>
      <c r="N171" s="66">
        <f>IFERROR(__xludf.DUMMYFUNCTION("""COMPUTED_VALUE"""),0.0)</f>
        <v>0</v>
      </c>
    </row>
    <row r="172">
      <c r="A172" s="1"/>
      <c r="B172" s="62" t="str">
        <f>IFERROR(__xludf.DUMMYFUNCTION("""COMPUTED_VALUE"""),"Sai Dilip Ponnaganti")</f>
        <v>Sai Dilip Ponnaganti</v>
      </c>
      <c r="C172" s="63">
        <f>IFERROR(__xludf.DUMMYFUNCTION("""COMPUTED_VALUE"""),99.0)</f>
        <v>99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IFERROR(__xludf.DUMMYFUNCTION("""COMPUTED_VALUE"""),108.0)</f>
        <v>108</v>
      </c>
      <c r="N172" s="66">
        <f>IFERROR(__xludf.DUMMYFUNCTION("""COMPUTED_VALUE"""),0.0)</f>
        <v>0</v>
      </c>
    </row>
    <row r="173">
      <c r="A173" s="1"/>
      <c r="B173" s="62" t="str">
        <f>IFERROR(__xludf.DUMMYFUNCTION("""COMPUTED_VALUE"""),"Vilas Janardhanan")</f>
        <v>Vilas Janardhanan</v>
      </c>
      <c r="C173" s="63">
        <f>IFERROR(__xludf.DUMMYFUNCTION("""COMPUTED_VALUE"""),99.0)</f>
        <v>99</v>
      </c>
      <c r="D173" s="64">
        <f>IFERROR(__xludf.DUMMYFUNCTION("""COMPUTED_VALUE"""),0.0)</f>
        <v>0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IFERROR(__xludf.DUMMYFUNCTION("""COMPUTED_VALUE"""),108.0)</f>
        <v>108</v>
      </c>
      <c r="N173" s="66">
        <f>IFERROR(__xludf.DUMMYFUNCTION("""COMPUTED_VALUE"""),0.0)</f>
        <v>0</v>
      </c>
    </row>
    <row r="174">
      <c r="A174" s="1"/>
      <c r="B174" s="62" t="str">
        <f>IFERROR(__xludf.DUMMYFUNCTION("""COMPUTED_VALUE"""),"Coco Yan")</f>
        <v>Coco Yan</v>
      </c>
      <c r="C174" s="63">
        <f>IFERROR(__xludf.DUMMYFUNCTION("""COMPUTED_VALUE"""),99.0)</f>
        <v>99</v>
      </c>
      <c r="D174" s="64">
        <f>IFERROR(__xludf.DUMMYFUNCTION("""COMPUTED_VALUE"""),0.0)</f>
        <v>0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IFERROR(__xludf.DUMMYFUNCTION("""COMPUTED_VALUE"""),108.0)</f>
        <v>108</v>
      </c>
      <c r="N174" s="66">
        <f>IFERROR(__xludf.DUMMYFUNCTION("""COMPUTED_VALUE"""),0.0)</f>
        <v>0</v>
      </c>
    </row>
    <row r="175">
      <c r="A175" s="1"/>
      <c r="B175" s="62" t="str">
        <f>IFERROR(__xludf.DUMMYFUNCTION("""COMPUTED_VALUE"""),"Tiffany Yu")</f>
        <v>Tiffany Yu</v>
      </c>
      <c r="C175" s="63">
        <f>IFERROR(__xludf.DUMMYFUNCTION("""COMPUTED_VALUE"""),98.0)</f>
        <v>98</v>
      </c>
      <c r="D175" s="64">
        <f>IFERROR(__xludf.DUMMYFUNCTION("""COMPUTED_VALUE"""),2.0)</f>
        <v>2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IFERROR(__xludf.DUMMYFUNCTION("""COMPUTED_VALUE"""),107.0)</f>
        <v>107</v>
      </c>
      <c r="N175" s="66">
        <f>IFERROR(__xludf.DUMMYFUNCTION("""COMPUTED_VALUE"""),2.0)</f>
        <v>2</v>
      </c>
    </row>
    <row r="176">
      <c r="A176" s="1"/>
      <c r="B176" s="62" t="str">
        <f>IFERROR(__xludf.DUMMYFUNCTION("""COMPUTED_VALUE"""),"Jose Ortiz")</f>
        <v>Jose Ortiz</v>
      </c>
      <c r="C176" s="63">
        <f>IFERROR(__xludf.DUMMYFUNCTION("""COMPUTED_VALUE"""),98.0)</f>
        <v>98</v>
      </c>
      <c r="D176" s="64">
        <f>IFERROR(__xludf.DUMMYFUNCTION("""COMPUTED_VALUE"""),2.0)</f>
        <v>2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IFERROR(__xludf.DUMMYFUNCTION("""COMPUTED_VALUE"""),107.0)</f>
        <v>107</v>
      </c>
      <c r="N176" s="66">
        <f>IFERROR(__xludf.DUMMYFUNCTION("""COMPUTED_VALUE"""),2.0)</f>
        <v>2</v>
      </c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45388.0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11.0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82</v>
      </c>
      <c r="C5" s="28">
        <v>140.0</v>
      </c>
      <c r="D5" s="29">
        <v>15.0</v>
      </c>
      <c r="E5" s="30">
        <v>3.0</v>
      </c>
      <c r="F5" s="31">
        <v>0.0</v>
      </c>
      <c r="G5" s="28">
        <v>9.0</v>
      </c>
      <c r="H5" s="31">
        <v>0.0</v>
      </c>
      <c r="I5" s="31">
        <v>0.0</v>
      </c>
      <c r="J5" s="31">
        <v>0.0</v>
      </c>
      <c r="K5" s="33">
        <v>9.0</v>
      </c>
      <c r="L5" s="31">
        <v>0.0</v>
      </c>
      <c r="M5" s="28">
        <f t="shared" ref="M5:N5" si="1">C5+K5</f>
        <v>149</v>
      </c>
      <c r="N5" s="29">
        <f t="shared" si="1"/>
        <v>15</v>
      </c>
      <c r="O5" s="35" t="s">
        <v>46</v>
      </c>
      <c r="P5" s="35" t="s">
        <v>46</v>
      </c>
      <c r="Q5" s="31">
        <f>if(G5=13,1,0)+VLOOKUP(B5,'031624'!B:Q,16,false)</f>
        <v>1</v>
      </c>
      <c r="R5" s="31"/>
      <c r="S5" s="31">
        <f>if(G5=9,1,0)+VLOOKUP(B5,'031624'!B:S,18,false)</f>
        <v>4</v>
      </c>
    </row>
    <row r="6">
      <c r="A6" s="26">
        <f t="shared" ref="A6:A69" si="3">A5+1</f>
        <v>2</v>
      </c>
      <c r="B6" s="27" t="s">
        <v>38</v>
      </c>
      <c r="C6" s="28">
        <v>140.0</v>
      </c>
      <c r="D6" s="29">
        <v>15.0</v>
      </c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f t="shared" ref="M6:N6" si="2">C6+K6</f>
        <v>149</v>
      </c>
      <c r="N6" s="29">
        <f t="shared" si="2"/>
        <v>15</v>
      </c>
      <c r="O6" s="35" t="s">
        <v>46</v>
      </c>
      <c r="P6" s="35" t="s">
        <v>46</v>
      </c>
      <c r="Q6" s="31">
        <f>if(G6=13,1,0)+VLOOKUP(B6,'031624'!B:Q,16,false)</f>
        <v>1</v>
      </c>
      <c r="R6" s="31"/>
      <c r="S6" s="31">
        <f>if(G6=9,1,0)+VLOOKUP(B6,'031624'!B:S,18,false)</f>
        <v>4</v>
      </c>
    </row>
    <row r="7">
      <c r="A7" s="26">
        <f t="shared" si="3"/>
        <v>3</v>
      </c>
      <c r="B7" s="27" t="s">
        <v>60</v>
      </c>
      <c r="C7" s="28">
        <v>139.0</v>
      </c>
      <c r="D7" s="29">
        <v>11.0</v>
      </c>
      <c r="E7" s="30">
        <v>3.0</v>
      </c>
      <c r="F7" s="31">
        <v>0.0</v>
      </c>
      <c r="G7" s="28">
        <v>9.0</v>
      </c>
      <c r="H7" s="31">
        <v>0.0</v>
      </c>
      <c r="I7" s="31">
        <v>0.0</v>
      </c>
      <c r="J7" s="31">
        <v>0.0</v>
      </c>
      <c r="K7" s="33">
        <v>9.0</v>
      </c>
      <c r="L7" s="31">
        <v>0.0</v>
      </c>
      <c r="M7" s="28">
        <f t="shared" ref="M7:N7" si="4">C7+K7</f>
        <v>148</v>
      </c>
      <c r="N7" s="29">
        <f t="shared" si="4"/>
        <v>11</v>
      </c>
      <c r="O7" s="35" t="s">
        <v>46</v>
      </c>
      <c r="P7" s="35" t="s">
        <v>46</v>
      </c>
      <c r="Q7" s="31">
        <f>if(G7=13,1,0)+VLOOKUP(B7,'031624'!B:Q,16,false)</f>
        <v>2</v>
      </c>
      <c r="R7" s="31"/>
      <c r="S7" s="31">
        <f>if(G7=9,1,0)+VLOOKUP(B7,'031624'!B:S,18,false)</f>
        <v>4</v>
      </c>
    </row>
    <row r="8">
      <c r="A8" s="26">
        <f t="shared" si="3"/>
        <v>4</v>
      </c>
      <c r="B8" s="27" t="s">
        <v>48</v>
      </c>
      <c r="C8" s="28">
        <v>137.0</v>
      </c>
      <c r="D8" s="29">
        <v>13.0</v>
      </c>
      <c r="E8" s="30">
        <v>2.0</v>
      </c>
      <c r="F8" s="31">
        <v>1.0</v>
      </c>
      <c r="G8" s="28">
        <v>0.0</v>
      </c>
      <c r="H8" s="31">
        <v>6.0</v>
      </c>
      <c r="I8" s="31">
        <v>6.0</v>
      </c>
      <c r="J8" s="31">
        <v>6.0</v>
      </c>
      <c r="K8" s="33">
        <v>18.0</v>
      </c>
      <c r="L8" s="31">
        <v>3.0</v>
      </c>
      <c r="M8" s="28">
        <f t="shared" ref="M8:N8" si="5">C8+K8</f>
        <v>155</v>
      </c>
      <c r="N8" s="29">
        <f t="shared" si="5"/>
        <v>16</v>
      </c>
      <c r="O8" s="35" t="s">
        <v>46</v>
      </c>
      <c r="P8" s="35" t="s">
        <v>46</v>
      </c>
      <c r="Q8" s="31">
        <f>if(G8=13,1,0)+VLOOKUP(B8,'031624'!B:Q,16,false)</f>
        <v>2</v>
      </c>
      <c r="R8" s="31"/>
      <c r="S8" s="31">
        <f>if(G8=9,1,0)+VLOOKUP(B8,'031624'!B:S,18,false)</f>
        <v>3</v>
      </c>
    </row>
    <row r="9">
      <c r="A9" s="26">
        <f t="shared" si="3"/>
        <v>5</v>
      </c>
      <c r="B9" s="27" t="s">
        <v>61</v>
      </c>
      <c r="C9" s="28">
        <v>136.0</v>
      </c>
      <c r="D9" s="29">
        <v>14.0</v>
      </c>
      <c r="E9" s="30">
        <v>2.0</v>
      </c>
      <c r="F9" s="31">
        <v>1.0</v>
      </c>
      <c r="G9" s="28">
        <v>0.0</v>
      </c>
      <c r="H9" s="31">
        <v>4.0</v>
      </c>
      <c r="I9" s="31">
        <v>4.0</v>
      </c>
      <c r="J9" s="31">
        <v>6.0</v>
      </c>
      <c r="K9" s="33">
        <v>14.0</v>
      </c>
      <c r="L9" s="31">
        <v>1.0</v>
      </c>
      <c r="M9" s="28">
        <f t="shared" ref="M9:N9" si="6">C9+K9</f>
        <v>150</v>
      </c>
      <c r="N9" s="29">
        <f t="shared" si="6"/>
        <v>15</v>
      </c>
      <c r="O9" s="35" t="s">
        <v>46</v>
      </c>
      <c r="P9" s="35" t="s">
        <v>46</v>
      </c>
      <c r="Q9" s="31">
        <f>if(G9=13,1,0)+VLOOKUP(B9,'031624'!B:Q,16,false)</f>
        <v>1</v>
      </c>
      <c r="R9" s="31"/>
      <c r="S9" s="31">
        <f>if(G9=9,1,0)+VLOOKUP(B9,'031624'!B:S,18,false)</f>
        <v>2</v>
      </c>
    </row>
    <row r="10">
      <c r="A10" s="26">
        <f t="shared" si="3"/>
        <v>6</v>
      </c>
      <c r="B10" s="27" t="s">
        <v>96</v>
      </c>
      <c r="C10" s="28">
        <v>132.0</v>
      </c>
      <c r="D10" s="29">
        <v>12.0</v>
      </c>
      <c r="E10" s="30">
        <v>2.0</v>
      </c>
      <c r="F10" s="31">
        <v>1.0</v>
      </c>
      <c r="G10" s="28">
        <v>0.0</v>
      </c>
      <c r="H10" s="31">
        <v>4.0</v>
      </c>
      <c r="I10" s="31">
        <v>6.0</v>
      </c>
      <c r="J10" s="31">
        <v>2.0</v>
      </c>
      <c r="K10" s="33">
        <v>12.0</v>
      </c>
      <c r="L10" s="31">
        <v>1.0</v>
      </c>
      <c r="M10" s="28">
        <f t="shared" ref="M10:N10" si="7">C10+K10</f>
        <v>144</v>
      </c>
      <c r="N10" s="29">
        <f t="shared" si="7"/>
        <v>13</v>
      </c>
      <c r="O10" s="35" t="s">
        <v>46</v>
      </c>
      <c r="P10" s="35" t="s">
        <v>46</v>
      </c>
      <c r="Q10" s="31">
        <f>if(G10=13,1,0)+VLOOKUP(B10,'031624'!B:Q,16,false)</f>
        <v>1</v>
      </c>
      <c r="R10" s="31"/>
      <c r="S10" s="31">
        <f>if(G10=9,1,0)+VLOOKUP(B10,'031624'!B:S,18,false)</f>
        <v>1</v>
      </c>
    </row>
    <row r="11">
      <c r="A11" s="26">
        <f t="shared" si="3"/>
        <v>7</v>
      </c>
      <c r="B11" s="27" t="s">
        <v>75</v>
      </c>
      <c r="C11" s="28">
        <v>132.0</v>
      </c>
      <c r="D11" s="29">
        <v>11.0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141</v>
      </c>
      <c r="N11" s="29">
        <f t="shared" si="8"/>
        <v>11</v>
      </c>
      <c r="O11" s="35" t="s">
        <v>46</v>
      </c>
      <c r="P11" s="35" t="s">
        <v>46</v>
      </c>
      <c r="Q11" s="31">
        <f>if(G11=13,1,0)+VLOOKUP(B11,'031624'!B:Q,16,false)</f>
        <v>1</v>
      </c>
      <c r="R11" s="31"/>
      <c r="S11" s="31">
        <f>if(G11=9,1,0)+VLOOKUP(B11,'031624'!B:S,18,false)</f>
        <v>1</v>
      </c>
    </row>
    <row r="12">
      <c r="A12" s="26">
        <f t="shared" si="3"/>
        <v>8</v>
      </c>
      <c r="B12" s="27" t="s">
        <v>77</v>
      </c>
      <c r="C12" s="28">
        <v>132.0</v>
      </c>
      <c r="D12" s="29">
        <v>8.0</v>
      </c>
      <c r="E12" s="30">
        <v>1.0</v>
      </c>
      <c r="F12" s="31">
        <v>1.0</v>
      </c>
      <c r="G12" s="28">
        <v>0.0</v>
      </c>
      <c r="H12" s="31">
        <v>6.0</v>
      </c>
      <c r="I12" s="31">
        <v>4.0</v>
      </c>
      <c r="J12" s="31">
        <v>2.0</v>
      </c>
      <c r="K12" s="33">
        <v>12.0</v>
      </c>
      <c r="L12" s="31">
        <v>1.0</v>
      </c>
      <c r="M12" s="28">
        <f t="shared" ref="M12:N12" si="9">C12+K12</f>
        <v>144</v>
      </c>
      <c r="N12" s="29">
        <f t="shared" si="9"/>
        <v>9</v>
      </c>
      <c r="O12" s="35" t="s">
        <v>46</v>
      </c>
      <c r="P12" s="35" t="s">
        <v>46</v>
      </c>
      <c r="Q12" s="31">
        <f>if(G12=13,1,0)+VLOOKUP(B12,'031624'!B:Q,16,false)</f>
        <v>2</v>
      </c>
      <c r="R12" s="31"/>
      <c r="S12" s="31">
        <f>if(G12=9,1,0)+VLOOKUP(B12,'031624'!B:S,18,false)</f>
        <v>3</v>
      </c>
    </row>
    <row r="13">
      <c r="A13" s="26">
        <f t="shared" si="3"/>
        <v>9</v>
      </c>
      <c r="B13" s="39" t="s">
        <v>52</v>
      </c>
      <c r="C13" s="28">
        <v>127.0</v>
      </c>
      <c r="D13" s="29">
        <v>13.0</v>
      </c>
      <c r="E13" s="30">
        <v>1.0</v>
      </c>
      <c r="F13" s="31">
        <v>2.0</v>
      </c>
      <c r="G13" s="28">
        <v>0.0</v>
      </c>
      <c r="H13" s="31">
        <v>6.0</v>
      </c>
      <c r="I13" s="31">
        <v>6.0</v>
      </c>
      <c r="J13" s="31">
        <v>6.0</v>
      </c>
      <c r="K13" s="33">
        <v>18.0</v>
      </c>
      <c r="L13" s="31">
        <v>3.0</v>
      </c>
      <c r="M13" s="28">
        <f t="shared" ref="M13:N13" si="10">C13+K13</f>
        <v>145</v>
      </c>
      <c r="N13" s="29">
        <f t="shared" si="10"/>
        <v>16</v>
      </c>
      <c r="O13" s="35" t="s">
        <v>46</v>
      </c>
      <c r="P13" s="35" t="s">
        <v>46</v>
      </c>
      <c r="Q13" s="31">
        <f>if(G13=13,1,0)+VLOOKUP(B13,'031624'!B:Q,16,false)</f>
        <v>0</v>
      </c>
      <c r="R13" s="31"/>
      <c r="S13" s="31">
        <f>if(G13=9,1,0)+VLOOKUP(B13,'031624'!B:S,18,false)</f>
        <v>4</v>
      </c>
    </row>
    <row r="14">
      <c r="A14" s="26">
        <f t="shared" si="3"/>
        <v>10</v>
      </c>
      <c r="B14" s="39" t="s">
        <v>71</v>
      </c>
      <c r="C14" s="28">
        <v>125.0</v>
      </c>
      <c r="D14" s="29">
        <v>11.0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134</v>
      </c>
      <c r="N14" s="29">
        <f t="shared" si="11"/>
        <v>11</v>
      </c>
      <c r="O14" s="35" t="s">
        <v>46</v>
      </c>
      <c r="P14" s="35" t="s">
        <v>46</v>
      </c>
      <c r="Q14" s="31">
        <f>if(G14=13,1,0)+VLOOKUP(B14,'031624'!B:Q,16,false)</f>
        <v>0</v>
      </c>
      <c r="R14" s="31"/>
      <c r="S14" s="31">
        <f>if(G14=9,1,0)+VLOOKUP(B14,'031624'!B:S,18,false)</f>
        <v>5</v>
      </c>
    </row>
    <row r="15">
      <c r="A15" s="26">
        <f t="shared" si="3"/>
        <v>11</v>
      </c>
      <c r="B15" s="54" t="s">
        <v>95</v>
      </c>
      <c r="C15" s="28">
        <v>123.0</v>
      </c>
      <c r="D15" s="29">
        <v>14.0</v>
      </c>
      <c r="E15" s="30">
        <v>1.0</v>
      </c>
      <c r="F15" s="31">
        <v>2.0</v>
      </c>
      <c r="G15" s="28">
        <v>0.0</v>
      </c>
      <c r="H15" s="31">
        <v>6.0</v>
      </c>
      <c r="I15" s="31">
        <v>3.0</v>
      </c>
      <c r="J15" s="31">
        <v>3.0</v>
      </c>
      <c r="K15" s="33">
        <v>12.0</v>
      </c>
      <c r="L15" s="31">
        <v>1.0</v>
      </c>
      <c r="M15" s="28">
        <f t="shared" ref="M15:N15" si="12">C15+K15</f>
        <v>135</v>
      </c>
      <c r="N15" s="29">
        <f t="shared" si="12"/>
        <v>15</v>
      </c>
      <c r="O15" s="35" t="s">
        <v>46</v>
      </c>
      <c r="P15" s="35" t="s">
        <v>46</v>
      </c>
      <c r="Q15" s="31">
        <f>if(G15=13,1,0)+VLOOKUP(B15,'031624'!B:Q,16,false)</f>
        <v>0</v>
      </c>
      <c r="R15" s="31"/>
      <c r="S15" s="31">
        <f>if(G15=9,1,0)+VLOOKUP(B15,'031624'!B:S,18,false)</f>
        <v>0</v>
      </c>
    </row>
    <row r="16">
      <c r="A16" s="26">
        <f t="shared" si="3"/>
        <v>12</v>
      </c>
      <c r="B16" s="27" t="s">
        <v>63</v>
      </c>
      <c r="C16" s="28">
        <v>121.0</v>
      </c>
      <c r="D16" s="29">
        <v>11.0</v>
      </c>
      <c r="E16" s="30">
        <v>2.0</v>
      </c>
      <c r="F16" s="31">
        <v>2.0</v>
      </c>
      <c r="G16" s="28">
        <v>0.0</v>
      </c>
      <c r="H16" s="31">
        <v>2.0</v>
      </c>
      <c r="I16" s="31">
        <v>3.0</v>
      </c>
      <c r="J16" s="31">
        <v>6.0</v>
      </c>
      <c r="K16" s="33">
        <v>11.0</v>
      </c>
      <c r="L16" s="31">
        <v>1.0</v>
      </c>
      <c r="M16" s="28">
        <f t="shared" ref="M16:N16" si="13">C16+K16</f>
        <v>132</v>
      </c>
      <c r="N16" s="29">
        <f t="shared" si="13"/>
        <v>12</v>
      </c>
      <c r="O16" s="35" t="s">
        <v>46</v>
      </c>
      <c r="P16" s="35" t="s">
        <v>46</v>
      </c>
      <c r="Q16" s="31">
        <f>if(G16=13,1,0)+VLOOKUP(B16,'031624'!B:Q,16,false)</f>
        <v>1</v>
      </c>
      <c r="R16" s="31"/>
      <c r="S16" s="31">
        <f>if(G16=9,1,0)+VLOOKUP(B16,'031624'!B:S,18,false)</f>
        <v>0</v>
      </c>
    </row>
    <row r="17">
      <c r="A17" s="26">
        <f t="shared" si="3"/>
        <v>13</v>
      </c>
      <c r="B17" s="39" t="s">
        <v>111</v>
      </c>
      <c r="C17" s="28">
        <v>121.0</v>
      </c>
      <c r="D17" s="29">
        <v>10.0</v>
      </c>
      <c r="E17" s="30">
        <v>3.0</v>
      </c>
      <c r="F17" s="31">
        <v>0.0</v>
      </c>
      <c r="G17" s="28">
        <v>9.0</v>
      </c>
      <c r="H17" s="31">
        <v>0.0</v>
      </c>
      <c r="I17" s="31">
        <v>0.0</v>
      </c>
      <c r="J17" s="31">
        <v>0.0</v>
      </c>
      <c r="K17" s="33">
        <v>9.0</v>
      </c>
      <c r="L17" s="31">
        <v>0.0</v>
      </c>
      <c r="M17" s="28">
        <f t="shared" ref="M17:N17" si="14">C17+K17</f>
        <v>130</v>
      </c>
      <c r="N17" s="29">
        <f t="shared" si="14"/>
        <v>10</v>
      </c>
      <c r="O17" s="35" t="s">
        <v>46</v>
      </c>
      <c r="P17" s="35" t="s">
        <v>46</v>
      </c>
      <c r="Q17" s="31">
        <f>if(G17=13,1,0)+VLOOKUP(B17,'031624'!B:Q,16,false)</f>
        <v>0</v>
      </c>
      <c r="R17" s="31"/>
      <c r="S17" s="31">
        <f>if(G17=9,1,0)+VLOOKUP(B17,'031624'!B:S,18,false)</f>
        <v>6</v>
      </c>
    </row>
    <row r="18">
      <c r="A18" s="26">
        <f t="shared" si="3"/>
        <v>14</v>
      </c>
      <c r="B18" s="27" t="s">
        <v>84</v>
      </c>
      <c r="C18" s="28">
        <v>121.0</v>
      </c>
      <c r="D18" s="29">
        <v>9.0</v>
      </c>
      <c r="E18" s="30">
        <v>2.0</v>
      </c>
      <c r="F18" s="31">
        <v>2.0</v>
      </c>
      <c r="G18" s="28">
        <v>0.0</v>
      </c>
      <c r="H18" s="31">
        <v>2.0</v>
      </c>
      <c r="I18" s="31">
        <v>6.0</v>
      </c>
      <c r="J18" s="31">
        <v>3.0</v>
      </c>
      <c r="K18" s="33">
        <v>11.0</v>
      </c>
      <c r="L18" s="31">
        <v>1.0</v>
      </c>
      <c r="M18" s="28">
        <f t="shared" ref="M18:N18" si="15">C18+K18</f>
        <v>132</v>
      </c>
      <c r="N18" s="29">
        <f t="shared" si="15"/>
        <v>10</v>
      </c>
      <c r="O18" s="35" t="s">
        <v>46</v>
      </c>
      <c r="P18" s="35" t="s">
        <v>46</v>
      </c>
      <c r="Q18" s="31">
        <f>if(G18=13,1,0)+VLOOKUP(B18,'031624'!B:Q,16,false)</f>
        <v>2</v>
      </c>
      <c r="R18" s="31"/>
      <c r="S18" s="31">
        <f>if(G18=9,1,0)+VLOOKUP(B18,'031624'!B:S,18,false)</f>
        <v>0</v>
      </c>
    </row>
    <row r="19">
      <c r="A19" s="26">
        <f t="shared" si="3"/>
        <v>15</v>
      </c>
      <c r="B19" s="27" t="s">
        <v>78</v>
      </c>
      <c r="C19" s="28">
        <v>120.0</v>
      </c>
      <c r="D19" s="29">
        <v>11.0</v>
      </c>
      <c r="E19" s="30">
        <v>1.0</v>
      </c>
      <c r="F19" s="31">
        <v>3.0</v>
      </c>
      <c r="G19" s="28">
        <v>0.0</v>
      </c>
      <c r="H19" s="31">
        <v>1.0</v>
      </c>
      <c r="I19" s="31">
        <v>5.0</v>
      </c>
      <c r="J19" s="31">
        <v>6.0</v>
      </c>
      <c r="K19" s="33">
        <v>12.0</v>
      </c>
      <c r="L19" s="31">
        <v>1.0</v>
      </c>
      <c r="M19" s="28">
        <f t="shared" ref="M19:N19" si="16">C19+K19</f>
        <v>132</v>
      </c>
      <c r="N19" s="29">
        <f t="shared" si="16"/>
        <v>12</v>
      </c>
      <c r="O19" s="35" t="s">
        <v>46</v>
      </c>
      <c r="P19" s="35" t="s">
        <v>46</v>
      </c>
      <c r="Q19" s="31">
        <f>if(G19=13,1,0)+VLOOKUP(B19,'031624'!B:Q,16,false)</f>
        <v>0</v>
      </c>
      <c r="R19" s="31"/>
      <c r="S19" s="31">
        <f>if(G19=9,1,0)+VLOOKUP(B19,'031624'!B:S,18,false)</f>
        <v>3</v>
      </c>
    </row>
    <row r="20">
      <c r="A20" s="26">
        <f t="shared" si="3"/>
        <v>16</v>
      </c>
      <c r="B20" s="27" t="s">
        <v>81</v>
      </c>
      <c r="C20" s="28">
        <v>120.0</v>
      </c>
      <c r="D20" s="29">
        <v>11.0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129</v>
      </c>
      <c r="N20" s="29">
        <f t="shared" si="17"/>
        <v>11</v>
      </c>
      <c r="O20" s="35" t="s">
        <v>46</v>
      </c>
      <c r="P20" s="35" t="s">
        <v>46</v>
      </c>
      <c r="Q20" s="31">
        <f>if(G20=13,1,0)+VLOOKUP(B20,'031624'!B:Q,16,false)</f>
        <v>0</v>
      </c>
      <c r="R20" s="31"/>
      <c r="S20" s="31">
        <f>if(G20=9,1,0)+VLOOKUP(B20,'031624'!B:S,18,false)</f>
        <v>4</v>
      </c>
    </row>
    <row r="21">
      <c r="A21" s="26">
        <f t="shared" si="3"/>
        <v>17</v>
      </c>
      <c r="B21" s="39" t="s">
        <v>55</v>
      </c>
      <c r="C21" s="28">
        <v>120.0</v>
      </c>
      <c r="D21" s="29">
        <v>9.0</v>
      </c>
      <c r="E21" s="30">
        <v>1.0</v>
      </c>
      <c r="F21" s="31">
        <v>3.0</v>
      </c>
      <c r="G21" s="28">
        <v>0.0</v>
      </c>
      <c r="H21" s="31">
        <v>6.0</v>
      </c>
      <c r="I21" s="31">
        <v>7.0</v>
      </c>
      <c r="J21" s="31">
        <v>6.0</v>
      </c>
      <c r="K21" s="33">
        <v>19.0</v>
      </c>
      <c r="L21" s="31">
        <v>3.0</v>
      </c>
      <c r="M21" s="28">
        <f t="shared" ref="M21:N21" si="18">C21+K21</f>
        <v>139</v>
      </c>
      <c r="N21" s="29">
        <f t="shared" si="18"/>
        <v>12</v>
      </c>
      <c r="O21" s="35" t="s">
        <v>46</v>
      </c>
      <c r="P21" s="35" t="s">
        <v>46</v>
      </c>
      <c r="Q21" s="31">
        <f>if(G21=13,1,0)+VLOOKUP(B21,'031624'!B:Q,16,false)</f>
        <v>1</v>
      </c>
      <c r="R21" s="31"/>
      <c r="S21" s="31">
        <f>if(G21=9,1,0)+VLOOKUP(B21,'031624'!B:S,18,false)</f>
        <v>5</v>
      </c>
    </row>
    <row r="22">
      <c r="A22" s="26">
        <f t="shared" si="3"/>
        <v>18</v>
      </c>
      <c r="B22" s="27" t="s">
        <v>57</v>
      </c>
      <c r="C22" s="28">
        <v>118.0</v>
      </c>
      <c r="D22" s="29">
        <v>10.0</v>
      </c>
      <c r="E22" s="30">
        <v>1.0</v>
      </c>
      <c r="F22" s="31">
        <v>3.0</v>
      </c>
      <c r="G22" s="28">
        <v>0.0</v>
      </c>
      <c r="H22" s="31">
        <v>6.0</v>
      </c>
      <c r="I22" s="31">
        <v>5.0</v>
      </c>
      <c r="J22" s="31">
        <v>2.0</v>
      </c>
      <c r="K22" s="33">
        <v>13.0</v>
      </c>
      <c r="L22" s="31">
        <v>1.0</v>
      </c>
      <c r="M22" s="28">
        <f t="shared" ref="M22:N22" si="19">C22+K22</f>
        <v>131</v>
      </c>
      <c r="N22" s="29">
        <f t="shared" si="19"/>
        <v>11</v>
      </c>
      <c r="O22" s="35" t="s">
        <v>46</v>
      </c>
      <c r="P22" s="35" t="s">
        <v>46</v>
      </c>
      <c r="Q22" s="31">
        <f>if(G22=13,1,0)+VLOOKUP(B22,'031624'!B:Q,16,false)</f>
        <v>0</v>
      </c>
      <c r="R22" s="31"/>
      <c r="S22" s="31">
        <f>if(G22=9,1,0)+VLOOKUP(B22,'031624'!B:S,18,false)</f>
        <v>5</v>
      </c>
    </row>
    <row r="23">
      <c r="A23" s="26">
        <f t="shared" si="3"/>
        <v>19</v>
      </c>
      <c r="B23" s="27" t="s">
        <v>102</v>
      </c>
      <c r="C23" s="28">
        <v>118.0</v>
      </c>
      <c r="D23" s="29">
        <v>8.0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127</v>
      </c>
      <c r="N23" s="29">
        <f t="shared" si="20"/>
        <v>8</v>
      </c>
      <c r="O23" s="35" t="s">
        <v>46</v>
      </c>
      <c r="P23" s="35" t="s">
        <v>46</v>
      </c>
      <c r="Q23" s="31">
        <f>if(G23=13,1,0)+VLOOKUP(B23,'031624'!B:Q,16,false)</f>
        <v>0</v>
      </c>
      <c r="R23" s="31"/>
      <c r="S23" s="31">
        <f>if(G23=9,1,0)+VLOOKUP(B23,'031624'!B:S,18,false)</f>
        <v>7</v>
      </c>
    </row>
    <row r="24">
      <c r="A24" s="26">
        <f t="shared" si="3"/>
        <v>20</v>
      </c>
      <c r="B24" s="39" t="s">
        <v>86</v>
      </c>
      <c r="C24" s="28">
        <v>116.0</v>
      </c>
      <c r="D24" s="29">
        <v>11.0</v>
      </c>
      <c r="E24" s="30">
        <v>1.0</v>
      </c>
      <c r="F24" s="31">
        <v>3.0</v>
      </c>
      <c r="G24" s="28">
        <v>0.0</v>
      </c>
      <c r="H24" s="31">
        <v>1.0</v>
      </c>
      <c r="I24" s="31">
        <v>7.0</v>
      </c>
      <c r="J24" s="31">
        <v>2.0</v>
      </c>
      <c r="K24" s="33">
        <v>10.0</v>
      </c>
      <c r="L24" s="31">
        <v>1.0</v>
      </c>
      <c r="M24" s="28">
        <f t="shared" ref="M24:N24" si="21">C24+K24</f>
        <v>126</v>
      </c>
      <c r="N24" s="29">
        <f t="shared" si="21"/>
        <v>12</v>
      </c>
      <c r="O24" s="35" t="s">
        <v>46</v>
      </c>
      <c r="P24" s="35" t="s">
        <v>46</v>
      </c>
      <c r="Q24" s="31">
        <f>if(G24=13,1,0)+VLOOKUP(B24,'031624'!B:Q,16,false)</f>
        <v>1</v>
      </c>
      <c r="R24" s="31"/>
      <c r="S24" s="31">
        <f>if(G24=9,1,0)+VLOOKUP(B24,'031624'!B:S,18,false)</f>
        <v>3</v>
      </c>
    </row>
    <row r="25">
      <c r="A25" s="26">
        <f t="shared" si="3"/>
        <v>21</v>
      </c>
      <c r="B25" s="54" t="s">
        <v>73</v>
      </c>
      <c r="C25" s="28">
        <v>116.0</v>
      </c>
      <c r="D25" s="29">
        <v>11.0</v>
      </c>
      <c r="E25" s="30">
        <v>0.0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125</v>
      </c>
      <c r="N25" s="29">
        <f t="shared" si="22"/>
        <v>11</v>
      </c>
      <c r="O25" s="35" t="s">
        <v>46</v>
      </c>
      <c r="P25" s="35" t="s">
        <v>46</v>
      </c>
      <c r="Q25" s="31">
        <f>if(G25=13,1,0)+VLOOKUP(B25,'031624'!B:Q,16,false)</f>
        <v>0</v>
      </c>
      <c r="R25" s="31"/>
      <c r="S25" s="31">
        <f>if(G25=9,1,0)+VLOOKUP(B25,'031624'!B:S,18,false)</f>
        <v>1</v>
      </c>
    </row>
    <row r="26">
      <c r="A26" s="26">
        <f t="shared" si="3"/>
        <v>22</v>
      </c>
      <c r="B26" s="39" t="s">
        <v>50</v>
      </c>
      <c r="C26" s="28">
        <v>116.0</v>
      </c>
      <c r="D26" s="29">
        <v>10.0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125</v>
      </c>
      <c r="N26" s="29">
        <f t="shared" si="23"/>
        <v>10</v>
      </c>
      <c r="O26" s="35" t="s">
        <v>46</v>
      </c>
      <c r="P26" s="35" t="s">
        <v>46</v>
      </c>
      <c r="Q26" s="31">
        <f>if(G26=13,1,0)+VLOOKUP(B26,'031624'!B:Q,16,false)</f>
        <v>0</v>
      </c>
      <c r="R26" s="31"/>
      <c r="S26" s="31">
        <f>if(G26=9,1,0)+VLOOKUP(B26,'031624'!B:S,18,false)</f>
        <v>7</v>
      </c>
    </row>
    <row r="27">
      <c r="A27" s="26">
        <f t="shared" si="3"/>
        <v>23</v>
      </c>
      <c r="B27" s="27" t="s">
        <v>107</v>
      </c>
      <c r="C27" s="28">
        <v>115.0</v>
      </c>
      <c r="D27" s="29">
        <v>7.0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124</v>
      </c>
      <c r="N27" s="29">
        <f t="shared" si="24"/>
        <v>7</v>
      </c>
      <c r="O27" s="35" t="s">
        <v>46</v>
      </c>
      <c r="P27" s="35" t="s">
        <v>46</v>
      </c>
      <c r="Q27" s="31">
        <f>if(G27=13,1,0)+VLOOKUP(B27,'031624'!B:Q,16,false)</f>
        <v>2</v>
      </c>
      <c r="R27" s="31"/>
      <c r="S27" s="31">
        <f>if(G27=9,1,0)+VLOOKUP(B27,'031624'!B:S,18,false)</f>
        <v>5</v>
      </c>
    </row>
    <row r="28">
      <c r="A28" s="26">
        <f t="shared" si="3"/>
        <v>24</v>
      </c>
      <c r="B28" s="27" t="s">
        <v>79</v>
      </c>
      <c r="C28" s="28">
        <v>114.0</v>
      </c>
      <c r="D28" s="29">
        <v>8.0</v>
      </c>
      <c r="E28" s="30">
        <v>1.0</v>
      </c>
      <c r="F28" s="31">
        <v>4.0</v>
      </c>
      <c r="G28" s="28">
        <v>0.0</v>
      </c>
      <c r="H28" s="31">
        <v>6.0</v>
      </c>
      <c r="I28" s="31">
        <v>6.0</v>
      </c>
      <c r="J28" s="31">
        <v>6.0</v>
      </c>
      <c r="K28" s="33">
        <v>18.0</v>
      </c>
      <c r="L28" s="31">
        <v>3.0</v>
      </c>
      <c r="M28" s="28">
        <f t="shared" ref="M28:N28" si="25">C28+K28</f>
        <v>132</v>
      </c>
      <c r="N28" s="29">
        <f t="shared" si="25"/>
        <v>11</v>
      </c>
      <c r="O28" s="35" t="s">
        <v>46</v>
      </c>
      <c r="P28" s="35" t="s">
        <v>46</v>
      </c>
      <c r="Q28" s="31">
        <f>if(G28=13,1,0)+VLOOKUP(B28,'031624'!B:Q,16,false)</f>
        <v>0</v>
      </c>
      <c r="R28" s="31"/>
      <c r="S28" s="31">
        <f>if(G28=9,1,0)+VLOOKUP(B28,'031624'!B:S,18,false)</f>
        <v>4</v>
      </c>
    </row>
    <row r="29">
      <c r="A29" s="26">
        <f t="shared" si="3"/>
        <v>25</v>
      </c>
      <c r="B29" s="27" t="s">
        <v>113</v>
      </c>
      <c r="C29" s="28">
        <v>113.0</v>
      </c>
      <c r="D29" s="29">
        <v>5.0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122</v>
      </c>
      <c r="N29" s="29">
        <f t="shared" si="26"/>
        <v>5</v>
      </c>
      <c r="O29" s="35" t="s">
        <v>46</v>
      </c>
      <c r="P29" s="35" t="s">
        <v>46</v>
      </c>
      <c r="Q29" s="31">
        <f>if(G29=13,1,0)+VLOOKUP(B29,'031624'!B:Q,16,false)</f>
        <v>1</v>
      </c>
      <c r="R29" s="31"/>
      <c r="S29" s="31">
        <f>if(G29=9,1,0)+VLOOKUP(B29,'031624'!B:S,18,false)</f>
        <v>8</v>
      </c>
    </row>
    <row r="30">
      <c r="A30" s="26">
        <f t="shared" si="3"/>
        <v>26</v>
      </c>
      <c r="B30" s="27" t="s">
        <v>83</v>
      </c>
      <c r="C30" s="28">
        <v>111.0</v>
      </c>
      <c r="D30" s="29">
        <v>9.0</v>
      </c>
      <c r="E30" s="30">
        <v>2.0</v>
      </c>
      <c r="F30" s="31">
        <v>4.0</v>
      </c>
      <c r="G30" s="28">
        <v>0.0</v>
      </c>
      <c r="H30" s="31">
        <v>6.0</v>
      </c>
      <c r="I30" s="31">
        <v>4.0</v>
      </c>
      <c r="J30" s="31">
        <v>1.0</v>
      </c>
      <c r="K30" s="33">
        <v>11.0</v>
      </c>
      <c r="L30" s="31">
        <v>1.0</v>
      </c>
      <c r="M30" s="28">
        <f t="shared" ref="M30:N30" si="27">C30+K30</f>
        <v>122</v>
      </c>
      <c r="N30" s="29">
        <f t="shared" si="27"/>
        <v>10</v>
      </c>
      <c r="O30" s="35" t="s">
        <v>46</v>
      </c>
      <c r="P30" s="35" t="s">
        <v>46</v>
      </c>
      <c r="Q30" s="31">
        <f>if(G30=13,1,0)+VLOOKUP(B30,'031624'!B:Q,16,false)</f>
        <v>1</v>
      </c>
      <c r="R30" s="31"/>
      <c r="S30" s="31">
        <f>if(G30=9,1,0)+VLOOKUP(B30,'031624'!B:S,18,false)</f>
        <v>2</v>
      </c>
    </row>
    <row r="31">
      <c r="A31" s="26">
        <f t="shared" si="3"/>
        <v>27</v>
      </c>
      <c r="B31" s="39" t="s">
        <v>106</v>
      </c>
      <c r="C31" s="28">
        <v>111.0</v>
      </c>
      <c r="D31" s="29">
        <v>7.0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120</v>
      </c>
      <c r="N31" s="29">
        <f t="shared" si="28"/>
        <v>7</v>
      </c>
      <c r="O31" s="35" t="s">
        <v>46</v>
      </c>
      <c r="P31" s="35" t="s">
        <v>46</v>
      </c>
      <c r="Q31" s="31">
        <f>if(G31=13,1,0)+VLOOKUP(B31,'031624'!B:Q,16,false)</f>
        <v>0</v>
      </c>
      <c r="R31" s="31"/>
      <c r="S31" s="31">
        <f>if(G31=9,1,0)+VLOOKUP(B31,'031624'!B:S,18,false)</f>
        <v>6</v>
      </c>
    </row>
    <row r="32">
      <c r="A32" s="26">
        <f t="shared" si="3"/>
        <v>28</v>
      </c>
      <c r="B32" s="54" t="s">
        <v>100</v>
      </c>
      <c r="C32" s="28">
        <v>111.0</v>
      </c>
      <c r="D32" s="29">
        <v>7.0</v>
      </c>
      <c r="E32" s="30">
        <v>1.0</v>
      </c>
      <c r="F32" s="31">
        <v>4.0</v>
      </c>
      <c r="G32" s="28">
        <v>0.0</v>
      </c>
      <c r="H32" s="31">
        <v>3.0</v>
      </c>
      <c r="I32" s="31">
        <v>6.0</v>
      </c>
      <c r="J32" s="31">
        <v>1.0</v>
      </c>
      <c r="K32" s="33">
        <v>10.0</v>
      </c>
      <c r="L32" s="31">
        <v>1.0</v>
      </c>
      <c r="M32" s="28">
        <f t="shared" ref="M32:N32" si="29">C32+K32</f>
        <v>121</v>
      </c>
      <c r="N32" s="29">
        <f t="shared" si="29"/>
        <v>8</v>
      </c>
      <c r="O32" s="35" t="s">
        <v>46</v>
      </c>
      <c r="P32" s="35" t="s">
        <v>46</v>
      </c>
      <c r="Q32" s="31">
        <f>if(G32=13,1,0)+VLOOKUP(B32,'031624'!B:Q,16,false)</f>
        <v>1</v>
      </c>
      <c r="R32" s="31"/>
      <c r="S32" s="31">
        <f>if(G32=9,1,0)+VLOOKUP(B32,'031624'!B:S,18,false)</f>
        <v>5</v>
      </c>
    </row>
    <row r="33">
      <c r="A33" s="26">
        <f t="shared" si="3"/>
        <v>29</v>
      </c>
      <c r="B33" s="27" t="s">
        <v>98</v>
      </c>
      <c r="C33" s="28">
        <v>111.0</v>
      </c>
      <c r="D33" s="29">
        <v>5.0</v>
      </c>
      <c r="E33" s="30">
        <v>1.0</v>
      </c>
      <c r="F33" s="31">
        <v>4.0</v>
      </c>
      <c r="G33" s="28">
        <v>0.0</v>
      </c>
      <c r="H33" s="31">
        <v>3.0</v>
      </c>
      <c r="I33" s="31">
        <v>4.0</v>
      </c>
      <c r="J33" s="31">
        <v>6.0</v>
      </c>
      <c r="K33" s="33">
        <v>13.0</v>
      </c>
      <c r="L33" s="31">
        <v>1.0</v>
      </c>
      <c r="M33" s="28">
        <f t="shared" ref="M33:N33" si="30">C33+K33</f>
        <v>124</v>
      </c>
      <c r="N33" s="29">
        <f t="shared" si="30"/>
        <v>6</v>
      </c>
      <c r="O33" s="35" t="s">
        <v>46</v>
      </c>
      <c r="P33" s="35" t="s">
        <v>46</v>
      </c>
      <c r="Q33" s="31">
        <f>if(G33=13,1,0)+VLOOKUP(B33,'031624'!B:Q,16,false)</f>
        <v>1</v>
      </c>
      <c r="R33" s="31"/>
      <c r="S33" s="31">
        <f>if(G33=9,1,0)+VLOOKUP(B33,'031624'!B:S,18,false)</f>
        <v>7</v>
      </c>
    </row>
    <row r="34">
      <c r="A34" s="26">
        <f t="shared" si="3"/>
        <v>30</v>
      </c>
      <c r="B34" s="54" t="s">
        <v>59</v>
      </c>
      <c r="C34" s="28">
        <v>110.0</v>
      </c>
      <c r="D34" s="29">
        <v>10.0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119</v>
      </c>
      <c r="N34" s="29">
        <f t="shared" si="31"/>
        <v>10</v>
      </c>
      <c r="O34" s="35" t="s">
        <v>46</v>
      </c>
      <c r="P34" s="35" t="s">
        <v>46</v>
      </c>
      <c r="Q34" s="31">
        <f>if(G34=13,1,0)+VLOOKUP(B34,'031624'!B:Q,16,false)</f>
        <v>1</v>
      </c>
      <c r="R34" s="31"/>
      <c r="S34" s="31">
        <f>if(G34=9,1,0)+VLOOKUP(B34,'031624'!B:S,18,false)</f>
        <v>3</v>
      </c>
    </row>
    <row r="35">
      <c r="A35" s="26">
        <f t="shared" si="3"/>
        <v>31</v>
      </c>
      <c r="B35" s="27" t="s">
        <v>66</v>
      </c>
      <c r="C35" s="28">
        <v>110.0</v>
      </c>
      <c r="D35" s="29">
        <v>7.0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119</v>
      </c>
      <c r="N35" s="29">
        <f t="shared" si="32"/>
        <v>7</v>
      </c>
      <c r="O35" s="35" t="s">
        <v>46</v>
      </c>
      <c r="P35" s="35" t="s">
        <v>46</v>
      </c>
      <c r="Q35" s="31">
        <f>if(G35=13,1,0)+VLOOKUP(B35,'031624'!B:Q,16,false)</f>
        <v>1</v>
      </c>
      <c r="R35" s="31"/>
      <c r="S35" s="31">
        <f>if(G35=9,1,0)+VLOOKUP(B35,'031624'!B:S,18,false)</f>
        <v>2</v>
      </c>
    </row>
    <row r="36">
      <c r="A36" s="26">
        <f t="shared" si="3"/>
        <v>32</v>
      </c>
      <c r="B36" s="27" t="s">
        <v>65</v>
      </c>
      <c r="C36" s="28">
        <v>108.0</v>
      </c>
      <c r="D36" s="29">
        <v>6.0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117</v>
      </c>
      <c r="N36" s="29">
        <f t="shared" si="33"/>
        <v>6</v>
      </c>
      <c r="O36" s="35" t="s">
        <v>46</v>
      </c>
      <c r="P36" s="35" t="s">
        <v>46</v>
      </c>
      <c r="Q36" s="31">
        <f>if(G36=13,1,0)+VLOOKUP(B36,'031624'!B:Q,16,false)</f>
        <v>0</v>
      </c>
      <c r="R36" s="31"/>
      <c r="S36" s="31">
        <f>if(G36=9,1,0)+VLOOKUP(B36,'031624'!B:S,18,false)</f>
        <v>9</v>
      </c>
    </row>
    <row r="37">
      <c r="A37" s="26">
        <f t="shared" si="3"/>
        <v>33</v>
      </c>
      <c r="B37" s="27" t="s">
        <v>110</v>
      </c>
      <c r="C37" s="28">
        <v>108.0</v>
      </c>
      <c r="D37" s="29">
        <v>6.0</v>
      </c>
      <c r="E37" s="30">
        <v>1.0</v>
      </c>
      <c r="F37" s="31">
        <v>5.0</v>
      </c>
      <c r="G37" s="28">
        <v>0.0</v>
      </c>
      <c r="H37" s="31">
        <v>4.0</v>
      </c>
      <c r="I37" s="31">
        <v>6.0</v>
      </c>
      <c r="J37" s="31">
        <v>4.0</v>
      </c>
      <c r="K37" s="33">
        <v>14.0</v>
      </c>
      <c r="L37" s="31">
        <v>1.0</v>
      </c>
      <c r="M37" s="28">
        <f t="shared" ref="M37:N37" si="34">C37+K37</f>
        <v>122</v>
      </c>
      <c r="N37" s="29">
        <f t="shared" si="34"/>
        <v>7</v>
      </c>
      <c r="O37" s="35" t="s">
        <v>46</v>
      </c>
      <c r="P37" s="35" t="s">
        <v>46</v>
      </c>
      <c r="Q37" s="31">
        <f>if(G37=13,1,0)+VLOOKUP(B37,'031624'!B:Q,16,false)</f>
        <v>1</v>
      </c>
      <c r="R37" s="31"/>
      <c r="S37" s="31">
        <f>if(G37=9,1,0)+VLOOKUP(B37,'031624'!B:S,18,false)</f>
        <v>5</v>
      </c>
    </row>
    <row r="38">
      <c r="A38" s="26">
        <f t="shared" si="3"/>
        <v>34</v>
      </c>
      <c r="B38" s="27" t="s">
        <v>90</v>
      </c>
      <c r="C38" s="28">
        <v>108.0</v>
      </c>
      <c r="D38" s="29">
        <v>6.0</v>
      </c>
      <c r="E38" s="30">
        <v>1.0</v>
      </c>
      <c r="F38" s="31">
        <v>5.0</v>
      </c>
      <c r="G38" s="28">
        <v>0.0</v>
      </c>
      <c r="H38" s="31">
        <v>6.0</v>
      </c>
      <c r="I38" s="31">
        <v>6.0</v>
      </c>
      <c r="J38" s="31">
        <v>6.0</v>
      </c>
      <c r="K38" s="33">
        <v>18.0</v>
      </c>
      <c r="L38" s="31">
        <v>3.0</v>
      </c>
      <c r="M38" s="28">
        <f t="shared" ref="M38:N38" si="35">C38+K38</f>
        <v>126</v>
      </c>
      <c r="N38" s="29">
        <f t="shared" si="35"/>
        <v>9</v>
      </c>
      <c r="O38" s="35" t="s">
        <v>46</v>
      </c>
      <c r="P38" s="35" t="s">
        <v>46</v>
      </c>
      <c r="Q38" s="31">
        <f>if(G38=13,1,0)+VLOOKUP(B38,'031624'!B:Q,16,false)</f>
        <v>0</v>
      </c>
      <c r="R38" s="31"/>
      <c r="S38" s="31">
        <f>if(G38=9,1,0)+VLOOKUP(B38,'031624'!B:S,18,false)</f>
        <v>8</v>
      </c>
    </row>
    <row r="39">
      <c r="A39" s="26">
        <f t="shared" si="3"/>
        <v>35</v>
      </c>
      <c r="B39" s="27" t="s">
        <v>68</v>
      </c>
      <c r="C39" s="28">
        <v>108.0</v>
      </c>
      <c r="D39" s="29">
        <v>5.0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117</v>
      </c>
      <c r="N39" s="29">
        <f t="shared" si="36"/>
        <v>5</v>
      </c>
      <c r="O39" s="35" t="s">
        <v>46</v>
      </c>
      <c r="P39" s="35" t="s">
        <v>46</v>
      </c>
      <c r="Q39" s="31">
        <f>if(G39=13,1,0)+VLOOKUP(B39,'031624'!B:Q,16,false)</f>
        <v>2</v>
      </c>
      <c r="R39" s="31"/>
      <c r="S39" s="31">
        <f>if(G39=9,1,0)+VLOOKUP(B39,'031624'!B:S,18,false)</f>
        <v>6</v>
      </c>
    </row>
    <row r="40">
      <c r="A40" s="26">
        <f t="shared" si="3"/>
        <v>36</v>
      </c>
      <c r="B40" s="27" t="s">
        <v>117</v>
      </c>
      <c r="C40" s="28">
        <v>108.0</v>
      </c>
      <c r="D40" s="29">
        <v>4.0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117</v>
      </c>
      <c r="N40" s="29">
        <f t="shared" si="37"/>
        <v>4</v>
      </c>
      <c r="O40" s="35" t="s">
        <v>46</v>
      </c>
      <c r="P40" s="35" t="s">
        <v>46</v>
      </c>
      <c r="Q40" s="31">
        <f>if(G40=13,1,0)+VLOOKUP(B40,'031624'!B:Q,16,false)</f>
        <v>2</v>
      </c>
      <c r="R40" s="31"/>
      <c r="S40" s="31">
        <f>if(G40=9,1,0)+VLOOKUP(B40,'031624'!B:S,18,false)</f>
        <v>7</v>
      </c>
    </row>
    <row r="41">
      <c r="A41" s="26">
        <f t="shared" si="3"/>
        <v>37</v>
      </c>
      <c r="B41" s="39" t="s">
        <v>105</v>
      </c>
      <c r="C41" s="28">
        <v>107.0</v>
      </c>
      <c r="D41" s="29">
        <v>9.0</v>
      </c>
      <c r="E41" s="30">
        <v>1.0</v>
      </c>
      <c r="F41" s="31">
        <v>5.0</v>
      </c>
      <c r="G41" s="28">
        <v>0.0</v>
      </c>
      <c r="H41" s="31">
        <v>4.0</v>
      </c>
      <c r="I41" s="31">
        <v>0.0</v>
      </c>
      <c r="J41" s="31">
        <v>6.0</v>
      </c>
      <c r="K41" s="33">
        <v>10.0</v>
      </c>
      <c r="L41" s="31">
        <v>1.0</v>
      </c>
      <c r="M41" s="28">
        <f t="shared" ref="M41:N41" si="38">C41+K41</f>
        <v>117</v>
      </c>
      <c r="N41" s="29">
        <f t="shared" si="38"/>
        <v>10</v>
      </c>
      <c r="O41" s="35" t="s">
        <v>46</v>
      </c>
      <c r="P41" s="35" t="s">
        <v>46</v>
      </c>
      <c r="Q41" s="31">
        <f>if(G41=13,1,0)+VLOOKUP(B41,'031624'!B:Q,16,false)</f>
        <v>0</v>
      </c>
      <c r="R41" s="31"/>
      <c r="S41" s="31">
        <f>if(G41=9,1,0)+VLOOKUP(B41,'031624'!B:S,18,false)</f>
        <v>2</v>
      </c>
    </row>
    <row r="42">
      <c r="A42" s="26">
        <f t="shared" si="3"/>
        <v>38</v>
      </c>
      <c r="B42" s="39" t="s">
        <v>45</v>
      </c>
      <c r="C42" s="28">
        <v>106.0</v>
      </c>
      <c r="D42" s="29">
        <v>7.0</v>
      </c>
      <c r="E42" s="30">
        <v>2.0</v>
      </c>
      <c r="F42" s="31">
        <v>5.0</v>
      </c>
      <c r="G42" s="28">
        <v>0.0</v>
      </c>
      <c r="H42" s="31">
        <v>6.0</v>
      </c>
      <c r="I42" s="31">
        <v>0.0</v>
      </c>
      <c r="J42" s="31">
        <v>4.0</v>
      </c>
      <c r="K42" s="33">
        <v>10.0</v>
      </c>
      <c r="L42" s="31">
        <v>1.0</v>
      </c>
      <c r="M42" s="28">
        <f t="shared" ref="M42:N42" si="39">C42+K42</f>
        <v>116</v>
      </c>
      <c r="N42" s="29">
        <f t="shared" si="39"/>
        <v>8</v>
      </c>
      <c r="O42" s="35" t="s">
        <v>46</v>
      </c>
      <c r="P42" s="35" t="s">
        <v>46</v>
      </c>
      <c r="Q42" s="31">
        <f>if(G42=13,1,0)+VLOOKUP(B42,'031624'!B:Q,16,false)</f>
        <v>1</v>
      </c>
      <c r="R42" s="31"/>
      <c r="S42" s="31">
        <f>if(G42=9,1,0)+VLOOKUP(B42,'031624'!B:S,18,false)</f>
        <v>3</v>
      </c>
    </row>
    <row r="43">
      <c r="A43" s="26">
        <f t="shared" si="3"/>
        <v>39</v>
      </c>
      <c r="B43" s="27" t="s">
        <v>39</v>
      </c>
      <c r="C43" s="28">
        <v>106.0</v>
      </c>
      <c r="D43" s="29">
        <v>4.0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115</v>
      </c>
      <c r="N43" s="29">
        <f t="shared" si="40"/>
        <v>4</v>
      </c>
      <c r="O43" s="35" t="s">
        <v>46</v>
      </c>
      <c r="P43" s="35" t="s">
        <v>46</v>
      </c>
      <c r="Q43" s="31">
        <f>if(G43=13,1,0)+VLOOKUP(B43,'031624'!B:Q,16,false)</f>
        <v>0</v>
      </c>
      <c r="R43" s="31"/>
      <c r="S43" s="31">
        <f>if(G43=9,1,0)+VLOOKUP(B43,'031624'!B:S,18,false)</f>
        <v>9</v>
      </c>
    </row>
    <row r="44">
      <c r="A44" s="26">
        <f t="shared" si="3"/>
        <v>40</v>
      </c>
      <c r="B44" s="27" t="s">
        <v>76</v>
      </c>
      <c r="C44" s="28">
        <v>106.0</v>
      </c>
      <c r="D44" s="29">
        <v>4.0</v>
      </c>
      <c r="E44" s="30">
        <v>2.0</v>
      </c>
      <c r="F44" s="31">
        <v>6.0</v>
      </c>
      <c r="G44" s="28">
        <v>0.0</v>
      </c>
      <c r="H44" s="31">
        <v>7.0</v>
      </c>
      <c r="I44" s="31">
        <v>6.0</v>
      </c>
      <c r="J44" s="31">
        <v>6.0</v>
      </c>
      <c r="K44" s="33">
        <v>19.0</v>
      </c>
      <c r="L44" s="31">
        <v>2.0</v>
      </c>
      <c r="M44" s="28">
        <f t="shared" ref="M44:N44" si="41">C44+K44</f>
        <v>125</v>
      </c>
      <c r="N44" s="29">
        <f t="shared" si="41"/>
        <v>6</v>
      </c>
      <c r="O44" s="35" t="s">
        <v>46</v>
      </c>
      <c r="P44" s="35" t="s">
        <v>46</v>
      </c>
      <c r="Q44" s="31">
        <f>if(G44=13,1,0)+VLOOKUP(B44,'031624'!B:Q,16,false)</f>
        <v>1</v>
      </c>
      <c r="R44" s="31"/>
      <c r="S44" s="31">
        <f>if(G44=9,1,0)+VLOOKUP(B44,'031624'!B:S,18,false)</f>
        <v>5</v>
      </c>
    </row>
    <row r="45">
      <c r="A45" s="26">
        <f t="shared" si="3"/>
        <v>41</v>
      </c>
      <c r="B45" s="54" t="s">
        <v>94</v>
      </c>
      <c r="C45" s="28">
        <v>105.0</v>
      </c>
      <c r="D45" s="29">
        <v>9.0</v>
      </c>
      <c r="E45" s="30">
        <v>1.0</v>
      </c>
      <c r="F45" s="31">
        <v>6.0</v>
      </c>
      <c r="G45" s="28">
        <v>0.0</v>
      </c>
      <c r="H45" s="31">
        <v>7.0</v>
      </c>
      <c r="I45" s="31">
        <v>7.0</v>
      </c>
      <c r="J45" s="31">
        <v>3.0</v>
      </c>
      <c r="K45" s="33">
        <v>17.0</v>
      </c>
      <c r="L45" s="31">
        <v>2.0</v>
      </c>
      <c r="M45" s="28">
        <f t="shared" ref="M45:N45" si="42">C45+K45</f>
        <v>122</v>
      </c>
      <c r="N45" s="29">
        <f t="shared" si="42"/>
        <v>11</v>
      </c>
      <c r="O45" s="35" t="s">
        <v>46</v>
      </c>
      <c r="P45" s="35" t="s">
        <v>46</v>
      </c>
      <c r="Q45" s="31">
        <f>if(G45=13,1,0)+VLOOKUP(B45,'031624'!B:Q,16,false)</f>
        <v>0</v>
      </c>
      <c r="R45" s="31"/>
      <c r="S45" s="31">
        <f>if(G45=9,1,0)+VLOOKUP(B45,'031624'!B:S,18,false)</f>
        <v>1</v>
      </c>
    </row>
    <row r="46">
      <c r="A46" s="26">
        <f t="shared" si="3"/>
        <v>42</v>
      </c>
      <c r="B46" s="27" t="s">
        <v>118</v>
      </c>
      <c r="C46" s="28">
        <v>105.0</v>
      </c>
      <c r="D46" s="29">
        <v>2.0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114</v>
      </c>
      <c r="N46" s="29">
        <f t="shared" si="43"/>
        <v>2</v>
      </c>
      <c r="O46" s="35" t="s">
        <v>46</v>
      </c>
      <c r="P46" s="35" t="s">
        <v>46</v>
      </c>
      <c r="Q46" s="31">
        <f>if(G46=13,1,0)+VLOOKUP(B46,'031624'!B:Q,16,false)</f>
        <v>2</v>
      </c>
      <c r="R46" s="31"/>
      <c r="S46" s="31">
        <f>if(G46=9,1,0)+VLOOKUP(B46,'031624'!B:S,18,false)</f>
        <v>8</v>
      </c>
    </row>
    <row r="47">
      <c r="A47" s="26">
        <f t="shared" si="3"/>
        <v>43</v>
      </c>
      <c r="B47" s="39" t="s">
        <v>103</v>
      </c>
      <c r="C47" s="28">
        <v>104.0</v>
      </c>
      <c r="D47" s="29">
        <v>4.0</v>
      </c>
      <c r="E47" s="30">
        <v>1.0</v>
      </c>
      <c r="F47" s="31">
        <v>6.0</v>
      </c>
      <c r="G47" s="28">
        <v>0.0</v>
      </c>
      <c r="H47" s="31">
        <v>6.0</v>
      </c>
      <c r="I47" s="31">
        <v>7.0</v>
      </c>
      <c r="J47" s="31">
        <v>6.0</v>
      </c>
      <c r="K47" s="33">
        <v>19.0</v>
      </c>
      <c r="L47" s="31">
        <v>2.0</v>
      </c>
      <c r="M47" s="28">
        <f t="shared" ref="M47:N47" si="44">C47+K47</f>
        <v>123</v>
      </c>
      <c r="N47" s="29">
        <f t="shared" si="44"/>
        <v>6</v>
      </c>
      <c r="O47" s="35" t="s">
        <v>46</v>
      </c>
      <c r="P47" s="35" t="s">
        <v>46</v>
      </c>
      <c r="Q47" s="31">
        <f>if(G47=13,1,0)+VLOOKUP(B47,'031624'!B:Q,16,false)</f>
        <v>1</v>
      </c>
      <c r="R47" s="31"/>
      <c r="S47" s="31">
        <f>if(G47=9,1,0)+VLOOKUP(B47,'031624'!B:S,18,false)</f>
        <v>7</v>
      </c>
    </row>
    <row r="48">
      <c r="A48" s="26">
        <f t="shared" si="3"/>
        <v>44</v>
      </c>
      <c r="B48" s="54" t="s">
        <v>47</v>
      </c>
      <c r="C48" s="28">
        <v>103.0</v>
      </c>
      <c r="D48" s="29">
        <v>9.0</v>
      </c>
      <c r="E48" s="30">
        <v>1.0</v>
      </c>
      <c r="F48" s="31">
        <v>6.0</v>
      </c>
      <c r="G48" s="28">
        <v>0.0</v>
      </c>
      <c r="H48" s="31">
        <v>6.0</v>
      </c>
      <c r="I48" s="31">
        <v>6.0</v>
      </c>
      <c r="J48" s="31">
        <v>3.0</v>
      </c>
      <c r="K48" s="33">
        <v>15.0</v>
      </c>
      <c r="L48" s="31">
        <v>0.0</v>
      </c>
      <c r="M48" s="28">
        <f t="shared" ref="M48:N48" si="45">C48+K48</f>
        <v>118</v>
      </c>
      <c r="N48" s="29">
        <f t="shared" si="45"/>
        <v>9</v>
      </c>
      <c r="O48" s="35" t="s">
        <v>46</v>
      </c>
      <c r="P48" s="35" t="s">
        <v>46</v>
      </c>
      <c r="Q48" s="31">
        <f>if(G48=13,1,0)+VLOOKUP(B48,'031624'!B:Q,16,false)</f>
        <v>0</v>
      </c>
      <c r="R48" s="31"/>
      <c r="S48" s="31">
        <f>if(G48=9,1,0)+VLOOKUP(B48,'031624'!B:S,18,false)</f>
        <v>0</v>
      </c>
    </row>
    <row r="49">
      <c r="A49" s="26">
        <f t="shared" si="3"/>
        <v>45</v>
      </c>
      <c r="B49" s="27" t="s">
        <v>42</v>
      </c>
      <c r="C49" s="28">
        <v>103.0</v>
      </c>
      <c r="D49" s="29">
        <v>8.0</v>
      </c>
      <c r="E49" s="30">
        <v>1.0</v>
      </c>
      <c r="F49" s="31">
        <v>7.0</v>
      </c>
      <c r="G49" s="28">
        <v>0.0</v>
      </c>
      <c r="H49" s="31">
        <v>7.0</v>
      </c>
      <c r="I49" s="31">
        <v>4.0</v>
      </c>
      <c r="J49" s="31">
        <v>1.0</v>
      </c>
      <c r="K49" s="33">
        <v>12.0</v>
      </c>
      <c r="L49" s="31">
        <v>1.0</v>
      </c>
      <c r="M49" s="28">
        <f t="shared" ref="M49:N49" si="46">C49+K49</f>
        <v>115</v>
      </c>
      <c r="N49" s="29">
        <f t="shared" si="46"/>
        <v>9</v>
      </c>
      <c r="O49" s="35" t="s">
        <v>46</v>
      </c>
      <c r="P49" s="35" t="s">
        <v>46</v>
      </c>
      <c r="Q49" s="31">
        <f>if(G49=13,1,0)+VLOOKUP(B49,'031624'!B:Q,16,false)</f>
        <v>0</v>
      </c>
      <c r="R49" s="31"/>
      <c r="S49" s="31">
        <f>if(G49=9,1,0)+VLOOKUP(B49,'031624'!B:S,18,false)</f>
        <v>2</v>
      </c>
    </row>
    <row r="50">
      <c r="A50" s="26">
        <f t="shared" si="3"/>
        <v>46</v>
      </c>
      <c r="B50" s="54" t="s">
        <v>123</v>
      </c>
      <c r="C50" s="28">
        <v>103.0</v>
      </c>
      <c r="D50" s="29">
        <v>2.0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112</v>
      </c>
      <c r="N50" s="29">
        <f t="shared" si="47"/>
        <v>2</v>
      </c>
      <c r="O50" s="35" t="s">
        <v>46</v>
      </c>
      <c r="P50" s="35" t="s">
        <v>46</v>
      </c>
      <c r="Q50" s="31">
        <f>if(G50=13,1,0)+VLOOKUP(B50,'031624'!B:Q,16,false)</f>
        <v>1</v>
      </c>
      <c r="R50" s="31"/>
      <c r="S50" s="31">
        <f>if(G50=9,1,0)+VLOOKUP(B50,'031624'!B:S,18,false)</f>
        <v>9</v>
      </c>
    </row>
    <row r="51">
      <c r="A51" s="26">
        <f t="shared" si="3"/>
        <v>47</v>
      </c>
      <c r="B51" s="55" t="s">
        <v>109</v>
      </c>
      <c r="C51" s="28">
        <v>103.0</v>
      </c>
      <c r="D51" s="29">
        <v>2.0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112</v>
      </c>
      <c r="N51" s="29">
        <f t="shared" si="48"/>
        <v>2</v>
      </c>
      <c r="O51" s="35" t="s">
        <v>46</v>
      </c>
      <c r="P51" s="35" t="s">
        <v>46</v>
      </c>
      <c r="Q51" s="31">
        <f>if(G51=13,1,0)+VLOOKUP(B51,'031624'!B:Q,16,false)</f>
        <v>2</v>
      </c>
      <c r="R51" s="31"/>
      <c r="S51" s="31">
        <f>if(G51=9,1,0)+VLOOKUP(B51,'031624'!B:S,18,false)</f>
        <v>7</v>
      </c>
    </row>
    <row r="52">
      <c r="A52" s="26">
        <f t="shared" si="3"/>
        <v>48</v>
      </c>
      <c r="B52" s="54" t="s">
        <v>116</v>
      </c>
      <c r="C52" s="28">
        <v>102.0</v>
      </c>
      <c r="D52" s="29">
        <v>4.0</v>
      </c>
      <c r="E52" s="30">
        <v>1.0</v>
      </c>
      <c r="F52" s="31">
        <v>7.0</v>
      </c>
      <c r="G52" s="28">
        <v>0.0</v>
      </c>
      <c r="H52" s="31">
        <v>5.0</v>
      </c>
      <c r="I52" s="31">
        <v>4.0</v>
      </c>
      <c r="J52" s="31">
        <v>6.0</v>
      </c>
      <c r="K52" s="33">
        <v>15.0</v>
      </c>
      <c r="L52" s="31">
        <v>1.0</v>
      </c>
      <c r="M52" s="28">
        <f t="shared" ref="M52:N52" si="49">C52+K52</f>
        <v>117</v>
      </c>
      <c r="N52" s="29">
        <f t="shared" si="49"/>
        <v>5</v>
      </c>
      <c r="O52" s="35" t="s">
        <v>46</v>
      </c>
      <c r="P52" s="35" t="s">
        <v>46</v>
      </c>
      <c r="Q52" s="31">
        <f>if(G52=13,1,0)+VLOOKUP(B52,'031624'!B:Q,16,false)</f>
        <v>0</v>
      </c>
      <c r="R52" s="31"/>
      <c r="S52" s="31">
        <f>if(G52=9,1,0)+VLOOKUP(B52,'031624'!B:S,18,false)</f>
        <v>7</v>
      </c>
    </row>
    <row r="53">
      <c r="A53" s="26">
        <f t="shared" si="3"/>
        <v>49</v>
      </c>
      <c r="B53" s="27" t="s">
        <v>120</v>
      </c>
      <c r="C53" s="28">
        <v>102.0</v>
      </c>
      <c r="D53" s="29">
        <v>2.0</v>
      </c>
      <c r="E53" s="30">
        <v>0.0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111</v>
      </c>
      <c r="N53" s="29">
        <f t="shared" si="50"/>
        <v>2</v>
      </c>
      <c r="O53" s="35" t="s">
        <v>46</v>
      </c>
      <c r="P53" s="35" t="s">
        <v>46</v>
      </c>
      <c r="Q53" s="31">
        <f>if(G53=13,1,0)+VLOOKUP(B53,'031624'!B:Q,16,false)</f>
        <v>1</v>
      </c>
      <c r="R53" s="31"/>
      <c r="S53" s="31">
        <f>if(G53=9,1,0)+VLOOKUP(B53,'031624'!B:S,18,false)</f>
        <v>9</v>
      </c>
    </row>
    <row r="54">
      <c r="A54" s="26">
        <f t="shared" si="3"/>
        <v>50</v>
      </c>
      <c r="B54" s="54" t="s">
        <v>54</v>
      </c>
      <c r="C54" s="28">
        <v>101.0</v>
      </c>
      <c r="D54" s="29">
        <v>5.0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110</v>
      </c>
      <c r="N54" s="29">
        <f t="shared" si="51"/>
        <v>5</v>
      </c>
      <c r="O54" s="35" t="s">
        <v>46</v>
      </c>
      <c r="P54" s="35" t="s">
        <v>46</v>
      </c>
      <c r="Q54" s="31">
        <f>if(G54=13,1,0)+VLOOKUP(B54,'031624'!B:Q,16,false)</f>
        <v>1</v>
      </c>
      <c r="R54" s="31"/>
      <c r="S54" s="31">
        <f>if(G54=9,1,0)+VLOOKUP(B54,'031624'!B:S,18,false)</f>
        <v>5</v>
      </c>
    </row>
    <row r="55">
      <c r="A55" s="26">
        <f t="shared" si="3"/>
        <v>51</v>
      </c>
      <c r="B55" s="39" t="s">
        <v>119</v>
      </c>
      <c r="C55" s="28">
        <v>100.0</v>
      </c>
      <c r="D55" s="29">
        <v>4.0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109</v>
      </c>
      <c r="N55" s="29">
        <f t="shared" si="52"/>
        <v>4</v>
      </c>
      <c r="O55" s="35" t="s">
        <v>46</v>
      </c>
      <c r="P55" s="35" t="s">
        <v>46</v>
      </c>
      <c r="Q55" s="31">
        <f>if(G55=13,1,0)+VLOOKUP(B55,'031624'!B:Q,16,false)</f>
        <v>0</v>
      </c>
      <c r="R55" s="31"/>
      <c r="S55" s="31">
        <f>if(G55=9,1,0)+VLOOKUP(B55,'031624'!B:S,18,false)</f>
        <v>9</v>
      </c>
    </row>
    <row r="56">
      <c r="A56" s="26">
        <f t="shared" si="3"/>
        <v>52</v>
      </c>
      <c r="B56" s="39" t="s">
        <v>121</v>
      </c>
      <c r="C56" s="28">
        <v>99.0</v>
      </c>
      <c r="D56" s="29">
        <v>3.0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108</v>
      </c>
      <c r="N56" s="29">
        <f t="shared" si="53"/>
        <v>3</v>
      </c>
      <c r="O56" s="35" t="s">
        <v>46</v>
      </c>
      <c r="P56" s="35" t="s">
        <v>46</v>
      </c>
      <c r="Q56" s="31">
        <f>if(G56=13,1,0)+VLOOKUP(B56,'031624'!B:Q,16,false)</f>
        <v>0</v>
      </c>
      <c r="R56" s="31"/>
      <c r="S56" s="31">
        <f>if(G56=9,1,0)+VLOOKUP(B56,'031624'!B:S,18,false)</f>
        <v>9</v>
      </c>
    </row>
    <row r="57">
      <c r="A57" s="26">
        <f t="shared" si="3"/>
        <v>53</v>
      </c>
      <c r="B57" s="27" t="s">
        <v>56</v>
      </c>
      <c r="C57" s="28">
        <v>99.0</v>
      </c>
      <c r="D57" s="29">
        <v>3.0</v>
      </c>
      <c r="E57" s="30">
        <v>1.0</v>
      </c>
      <c r="F57" s="31">
        <v>7.0</v>
      </c>
      <c r="G57" s="28">
        <v>0.0</v>
      </c>
      <c r="H57" s="31">
        <v>7.0</v>
      </c>
      <c r="I57" s="31">
        <v>6.0</v>
      </c>
      <c r="J57" s="31">
        <v>6.0</v>
      </c>
      <c r="K57" s="33">
        <v>19.0</v>
      </c>
      <c r="L57" s="31">
        <v>3.0</v>
      </c>
      <c r="M57" s="28">
        <f t="shared" ref="M57:N57" si="54">C57+K57</f>
        <v>118</v>
      </c>
      <c r="N57" s="29">
        <f t="shared" si="54"/>
        <v>6</v>
      </c>
      <c r="O57" s="35" t="s">
        <v>46</v>
      </c>
      <c r="P57" s="35" t="s">
        <v>46</v>
      </c>
      <c r="Q57" s="31">
        <f>if(G57=13,1,0)+VLOOKUP(B57,'031624'!B:Q,16,false)</f>
        <v>0</v>
      </c>
      <c r="R57" s="31"/>
      <c r="S57" s="31">
        <f>if(G57=9,1,0)+VLOOKUP(B57,'031624'!B:S,18,false)</f>
        <v>9</v>
      </c>
    </row>
    <row r="58">
      <c r="A58" s="26">
        <f t="shared" si="3"/>
        <v>54</v>
      </c>
      <c r="B58" s="54" t="s">
        <v>108</v>
      </c>
      <c r="C58" s="28">
        <v>98.0</v>
      </c>
      <c r="D58" s="29">
        <v>9.0</v>
      </c>
      <c r="E58" s="30">
        <v>1.0</v>
      </c>
      <c r="F58" s="31">
        <v>7.0</v>
      </c>
      <c r="G58" s="28">
        <v>0.0</v>
      </c>
      <c r="H58" s="31">
        <v>5.0</v>
      </c>
      <c r="I58" s="31">
        <v>6.0</v>
      </c>
      <c r="J58" s="31">
        <v>1.0</v>
      </c>
      <c r="K58" s="33">
        <v>12.0</v>
      </c>
      <c r="L58" s="31">
        <v>1.0</v>
      </c>
      <c r="M58" s="28">
        <f t="shared" ref="M58:N58" si="55">C58+K58</f>
        <v>110</v>
      </c>
      <c r="N58" s="29">
        <f t="shared" si="55"/>
        <v>10</v>
      </c>
      <c r="O58" s="35" t="s">
        <v>46</v>
      </c>
      <c r="P58" s="35" t="s">
        <v>46</v>
      </c>
      <c r="Q58" s="31">
        <f>if(G58=13,1,0)+VLOOKUP(B58,'031624'!B:Q,16,false)</f>
        <v>0</v>
      </c>
      <c r="R58" s="31"/>
      <c r="S58" s="31">
        <f>if(G58=9,1,0)+VLOOKUP(B58,'031624'!B:S,18,false)</f>
        <v>1</v>
      </c>
    </row>
    <row r="59">
      <c r="A59" s="26">
        <f t="shared" si="3"/>
        <v>55</v>
      </c>
      <c r="B59" s="54" t="s">
        <v>89</v>
      </c>
      <c r="C59" s="28">
        <v>98.0</v>
      </c>
      <c r="D59" s="29">
        <v>8.0</v>
      </c>
      <c r="E59" s="30">
        <v>2.0</v>
      </c>
      <c r="F59" s="31">
        <v>8.0</v>
      </c>
      <c r="G59" s="28">
        <v>0.0</v>
      </c>
      <c r="H59" s="31">
        <v>6.0</v>
      </c>
      <c r="I59" s="31">
        <v>2.0</v>
      </c>
      <c r="J59" s="31">
        <v>6.0</v>
      </c>
      <c r="K59" s="33">
        <v>14.0</v>
      </c>
      <c r="L59" s="31">
        <v>2.0</v>
      </c>
      <c r="M59" s="28">
        <f t="shared" ref="M59:N59" si="56">C59+K59</f>
        <v>112</v>
      </c>
      <c r="N59" s="29">
        <f t="shared" si="56"/>
        <v>10</v>
      </c>
      <c r="O59" s="35" t="s">
        <v>46</v>
      </c>
      <c r="P59" s="35" t="s">
        <v>46</v>
      </c>
      <c r="Q59" s="31">
        <f>if(G59=13,1,0)+VLOOKUP(B59,'031624'!B:Q,16,false)</f>
        <v>0</v>
      </c>
      <c r="R59" s="31"/>
      <c r="S59" s="31">
        <f>if(G59=9,1,0)+VLOOKUP(B59,'031624'!B:S,18,false)</f>
        <v>2</v>
      </c>
    </row>
    <row r="60">
      <c r="A60" s="26">
        <f t="shared" si="3"/>
        <v>56</v>
      </c>
      <c r="B60" s="54" t="s">
        <v>122</v>
      </c>
      <c r="C60" s="28">
        <v>97.0</v>
      </c>
      <c r="D60" s="29">
        <v>1.0</v>
      </c>
      <c r="E60" s="30">
        <v>0.0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106</v>
      </c>
      <c r="N60" s="29">
        <f t="shared" si="57"/>
        <v>1</v>
      </c>
      <c r="O60" s="35" t="s">
        <v>46</v>
      </c>
      <c r="P60" s="35" t="s">
        <v>46</v>
      </c>
      <c r="Q60" s="31">
        <f>if(G60=13,1,0)+VLOOKUP(B60,'031624'!B:Q,16,false)</f>
        <v>0</v>
      </c>
      <c r="R60" s="31"/>
      <c r="S60" s="31">
        <f>if(G60=9,1,0)+VLOOKUP(B60,'031624'!B:S,18,false)</f>
        <v>10</v>
      </c>
    </row>
    <row r="61">
      <c r="A61" s="26">
        <f t="shared" si="3"/>
        <v>57</v>
      </c>
      <c r="B61" s="27" t="s">
        <v>114</v>
      </c>
      <c r="C61" s="28">
        <v>94.0</v>
      </c>
      <c r="D61" s="29">
        <v>0.0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103</v>
      </c>
      <c r="N61" s="29">
        <f t="shared" si="58"/>
        <v>0</v>
      </c>
      <c r="O61" s="35" t="s">
        <v>46</v>
      </c>
      <c r="P61" s="35" t="s">
        <v>46</v>
      </c>
      <c r="Q61" s="31">
        <f>if(G61=13,1,0)+VLOOKUP(B61,'031624'!B:Q,16,false)</f>
        <v>1</v>
      </c>
      <c r="R61" s="31"/>
      <c r="S61" s="31">
        <f>if(G61=9,1,0)+VLOOKUP(B61,'031624'!B:S,18,false)</f>
        <v>10</v>
      </c>
    </row>
    <row r="62">
      <c r="A62" s="26">
        <f t="shared" si="3"/>
        <v>58</v>
      </c>
      <c r="B62" s="27" t="s">
        <v>112</v>
      </c>
      <c r="C62" s="28">
        <v>93.0</v>
      </c>
      <c r="D62" s="29">
        <v>1.0</v>
      </c>
      <c r="E62" s="30">
        <v>1.0</v>
      </c>
      <c r="F62" s="31">
        <v>8.0</v>
      </c>
      <c r="G62" s="28">
        <v>0.0</v>
      </c>
      <c r="H62" s="31">
        <v>6.0</v>
      </c>
      <c r="I62" s="31">
        <v>6.0</v>
      </c>
      <c r="J62" s="31">
        <v>3.0</v>
      </c>
      <c r="K62" s="33">
        <v>15.0</v>
      </c>
      <c r="L62" s="31">
        <v>2.0</v>
      </c>
      <c r="M62" s="28">
        <f t="shared" ref="M62:N62" si="59">C62+K62</f>
        <v>108</v>
      </c>
      <c r="N62" s="29">
        <f t="shared" si="59"/>
        <v>3</v>
      </c>
      <c r="O62" s="35" t="s">
        <v>46</v>
      </c>
      <c r="P62" s="35" t="s">
        <v>46</v>
      </c>
      <c r="Q62" s="31">
        <f>if(G62=13,1,0)+VLOOKUP(B62,'031624'!B:Q,16,false)</f>
        <v>0</v>
      </c>
      <c r="R62" s="31"/>
      <c r="S62" s="31">
        <f>if(G62=9,1,0)+VLOOKUP(B62,'031624'!B:S,18,false)</f>
        <v>9</v>
      </c>
    </row>
    <row r="63">
      <c r="A63" s="26">
        <f t="shared" si="3"/>
        <v>59</v>
      </c>
      <c r="B63" s="27" t="s">
        <v>74</v>
      </c>
      <c r="C63" s="28">
        <v>90.0</v>
      </c>
      <c r="D63" s="29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99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if(G63=13,1,0)+VLOOKUP(B63,'031624'!B:Q,16,false)</f>
        <v>0</v>
      </c>
      <c r="R63" s="31"/>
      <c r="S63" s="31">
        <f>if(G63=9,1,0)+VLOOKUP(B63,'031624'!B:S,18,false)</f>
        <v>11</v>
      </c>
    </row>
    <row r="64">
      <c r="A64" s="26">
        <f t="shared" si="3"/>
        <v>60</v>
      </c>
      <c r="B64" s="39" t="s">
        <v>124</v>
      </c>
      <c r="C64" s="28">
        <v>90.0</v>
      </c>
      <c r="D64" s="29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99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if(G64=13,1,0)+VLOOKUP(B64,'031624'!B:Q,16,false)</f>
        <v>0</v>
      </c>
      <c r="R64" s="31"/>
      <c r="S64" s="31">
        <f>if(G64=9,1,0)+VLOOKUP(B64,'031624'!B:S,18,false)</f>
        <v>11</v>
      </c>
    </row>
    <row r="65">
      <c r="A65" s="26">
        <f t="shared" si="3"/>
        <v>61</v>
      </c>
      <c r="B65" s="27" t="s">
        <v>115</v>
      </c>
      <c r="C65" s="28">
        <v>90.0</v>
      </c>
      <c r="D65" s="29">
        <v>0.0</v>
      </c>
      <c r="E65" s="30">
        <v>1.0</v>
      </c>
      <c r="F65" s="31">
        <v>8.0</v>
      </c>
      <c r="G65" s="28">
        <v>0.0</v>
      </c>
      <c r="H65" s="31">
        <v>3.0</v>
      </c>
      <c r="I65" s="31">
        <v>6.0</v>
      </c>
      <c r="J65" s="31">
        <v>6.0</v>
      </c>
      <c r="K65" s="33">
        <v>15.0</v>
      </c>
      <c r="L65" s="31">
        <v>2.0</v>
      </c>
      <c r="M65" s="28">
        <f t="shared" ref="M65:N65" si="62">C65+K65</f>
        <v>105</v>
      </c>
      <c r="N65" s="29">
        <f t="shared" si="62"/>
        <v>2</v>
      </c>
      <c r="O65" s="35" t="s">
        <v>46</v>
      </c>
      <c r="P65" s="35" t="s">
        <v>46</v>
      </c>
      <c r="Q65" s="31">
        <f>if(G65=13,1,0)+VLOOKUP(B65,'031624'!B:Q,16,false)</f>
        <v>0</v>
      </c>
      <c r="R65" s="31"/>
      <c r="S65" s="31">
        <f>if(G65=9,1,0)+VLOOKUP(B65,'031624'!B:S,18,false)</f>
        <v>10</v>
      </c>
    </row>
    <row r="66">
      <c r="A66" s="26">
        <f t="shared" si="3"/>
        <v>62</v>
      </c>
      <c r="B66" s="39" t="s">
        <v>125</v>
      </c>
      <c r="C66" s="28">
        <v>90.0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99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if(G66=13,1,0)+VLOOKUP(B66,'031624'!B:Q,16,false)</f>
        <v>0</v>
      </c>
      <c r="R66" s="31"/>
      <c r="S66" s="31">
        <f>if(G66=9,1,0)+VLOOKUP(B66,'031624'!B:S,18,false)</f>
        <v>10</v>
      </c>
    </row>
    <row r="67">
      <c r="A67" s="26">
        <f t="shared" si="3"/>
        <v>63</v>
      </c>
      <c r="B67" s="39" t="s">
        <v>97</v>
      </c>
      <c r="C67" s="28">
        <v>89.0</v>
      </c>
      <c r="D67" s="29">
        <v>3.0</v>
      </c>
      <c r="E67" s="30">
        <v>1.0</v>
      </c>
      <c r="F67" s="31">
        <v>8.0</v>
      </c>
      <c r="G67" s="28">
        <v>0.0</v>
      </c>
      <c r="H67" s="31">
        <v>3.0</v>
      </c>
      <c r="I67" s="31">
        <v>2.0</v>
      </c>
      <c r="J67" s="31">
        <v>3.0</v>
      </c>
      <c r="K67" s="33">
        <v>8.0</v>
      </c>
      <c r="L67" s="31"/>
      <c r="M67" s="28">
        <f t="shared" ref="M67:N67" si="64">C67+K67</f>
        <v>97</v>
      </c>
      <c r="N67" s="29">
        <f t="shared" si="64"/>
        <v>3</v>
      </c>
      <c r="O67" s="35" t="s">
        <v>46</v>
      </c>
      <c r="P67" s="35" t="s">
        <v>46</v>
      </c>
      <c r="Q67" s="31">
        <f>if(G67=13,1,0)+VLOOKUP(B67,'031624'!B:Q,16,false)</f>
        <v>0</v>
      </c>
      <c r="R67" s="31"/>
      <c r="S67" s="31">
        <f>if(G67=9,1,0)+VLOOKUP(B67,'031624'!B:S,18,false)</f>
        <v>2</v>
      </c>
    </row>
    <row r="68">
      <c r="A68" s="26">
        <f t="shared" si="3"/>
        <v>64</v>
      </c>
      <c r="B68" s="39" t="s">
        <v>126</v>
      </c>
      <c r="C68" s="28">
        <v>89.0</v>
      </c>
      <c r="D68" s="29">
        <v>2.0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98</v>
      </c>
      <c r="N68" s="29">
        <f t="shared" si="65"/>
        <v>2</v>
      </c>
      <c r="O68" s="35" t="s">
        <v>46</v>
      </c>
      <c r="P68" s="35" t="s">
        <v>46</v>
      </c>
      <c r="Q68" s="31">
        <f>if(G68=13,1,0)+VLOOKUP(B68,'031624'!B:Q,16,false)</f>
        <v>0</v>
      </c>
      <c r="R68" s="31"/>
      <c r="S68" s="31">
        <f>if(G68=9,1,0)+VLOOKUP(B68,'031624'!B:S,18,false)</f>
        <v>9</v>
      </c>
    </row>
    <row r="69">
      <c r="A69" s="26">
        <f t="shared" si="3"/>
        <v>65</v>
      </c>
      <c r="B69" s="39" t="s">
        <v>127</v>
      </c>
      <c r="C69" s="28">
        <v>89.0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98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if(G69=13,1,0)+VLOOKUP(B69,'031624'!B:Q,16,false)</f>
        <v>0</v>
      </c>
      <c r="R69" s="31"/>
      <c r="S69" s="31">
        <f>if(G69=9,1,0)+VLOOKUP(B69,'031624'!B:S,18,false)</f>
        <v>9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desc"",0)"),"Luis Hsu")</f>
        <v>Luis Hsu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IFERROR(__xludf.DUMMYFUNCTION("""COMPUTED_VALUE"""),"Susanta Mishra")</f>
        <v>Susanta Mishra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IFERROR(__xludf.DUMMYFUNCTION("""COMPUTED_VALUE"""),"Vamsi Lolla ")</f>
        <v>Vamsi Lolla </v>
      </c>
      <c r="C81" s="60">
        <f>IFERROR(__xludf.DUMMYFUNCTION("""COMPUTED_VALUE"""),19.0)</f>
        <v>19</v>
      </c>
      <c r="D81" s="60">
        <f>IFERROR(__xludf.DUMMYFUNCTION("""COMPUTED_VALUE"""),2.0)</f>
        <v>2</v>
      </c>
      <c r="E81" s="1"/>
    </row>
    <row r="82">
      <c r="A82" s="1"/>
      <c r="B82" s="39" t="str">
        <f>IFERROR(__xludf.DUMMYFUNCTION("""COMPUTED_VALUE"""),"Lloyd Sagar")</f>
        <v>Lloyd Sagar</v>
      </c>
      <c r="C82" s="60">
        <f>IFERROR(__xludf.DUMMYFUNCTION("""COMPUTED_VALUE"""),19.0)</f>
        <v>19</v>
      </c>
      <c r="D82" s="60">
        <f>IFERROR(__xludf.DUMMYFUNCTION("""COMPUTED_VALUE"""),2.0)</f>
        <v>2</v>
      </c>
      <c r="E82" s="1"/>
    </row>
    <row r="83">
      <c r="A83" s="1"/>
      <c r="B83" s="39" t="str">
        <f>IFERROR(__xludf.DUMMYFUNCTION("""COMPUTED_VALUE"""),"Peter Cheng")</f>
        <v>Peter Cheng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  <c r="K83" s="9"/>
    </row>
    <row r="84">
      <c r="A84" s="1"/>
      <c r="B84" s="39" t="str">
        <f>IFERROR(__xludf.DUMMYFUNCTION("""COMPUTED_VALUE"""),"Suleman Alidina")</f>
        <v>Suleman Alidina</v>
      </c>
      <c r="C84" s="60">
        <f>IFERROR(__xludf.DUMMYFUNCTION("""COMPUTED_VALUE"""),18.0)</f>
        <v>18</v>
      </c>
      <c r="D84" s="60">
        <f>IFERROR(__xludf.DUMMYFUNCTION("""COMPUTED_VALUE"""),3.0)</f>
        <v>3</v>
      </c>
      <c r="E84" s="1"/>
      <c r="K84" s="9"/>
    </row>
    <row r="85">
      <c r="A85" s="1"/>
      <c r="B85" s="39" t="str">
        <f>IFERROR(__xludf.DUMMYFUNCTION("""COMPUTED_VALUE"""),"Rajasekar Ramasamy")</f>
        <v>Rajasekar Ramasamy</v>
      </c>
      <c r="C85" s="60">
        <f>IFERROR(__xludf.DUMMYFUNCTION("""COMPUTED_VALUE"""),18.0)</f>
        <v>18</v>
      </c>
      <c r="D85" s="60">
        <f>IFERROR(__xludf.DUMMYFUNCTION("""COMPUTED_VALUE"""),3.0)</f>
        <v>3</v>
      </c>
      <c r="E85" s="1"/>
      <c r="K85" s="9"/>
    </row>
    <row r="86">
      <c r="A86" s="1"/>
      <c r="B86" s="39" t="str">
        <f>IFERROR(__xludf.DUMMYFUNCTION("""COMPUTED_VALUE"""),"Tom Le")</f>
        <v>Tom Le</v>
      </c>
      <c r="C86" s="60">
        <f>IFERROR(__xludf.DUMMYFUNCTION("""COMPUTED_VALUE"""),18.0)</f>
        <v>18</v>
      </c>
      <c r="D86" s="60">
        <f>IFERROR(__xludf.DUMMYFUNCTION("""COMPUTED_VALUE"""),3.0)</f>
        <v>3</v>
      </c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1"")"),"Peter Cheng")</f>
        <v>Peter Cheng</v>
      </c>
      <c r="C92" s="63">
        <f>IFERROR(__xludf.DUMMYFUNCTION("""COMPUTED_VALUE"""),137.0)</f>
        <v>137</v>
      </c>
      <c r="D92" s="64">
        <f>IFERROR(__xludf.DUMMYFUNCTION("""COMPUTED_VALUE"""),13.0)</f>
        <v>13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IFERROR(__xludf.DUMMYFUNCTION("""COMPUTED_VALUE"""),18.0)</f>
        <v>18</v>
      </c>
      <c r="L92" s="65">
        <f>IFERROR(__xludf.DUMMYFUNCTION("""COMPUTED_VALUE"""),3.0)</f>
        <v>3</v>
      </c>
      <c r="M92" s="65">
        <f>IFERROR(__xludf.DUMMYFUNCTION("""COMPUTED_VALUE"""),155.0)</f>
        <v>155</v>
      </c>
      <c r="N92" s="66">
        <f>IFERROR(__xludf.DUMMYFUNCTION("""COMPUTED_VALUE"""),16.0)</f>
        <v>16</v>
      </c>
    </row>
    <row r="93">
      <c r="A93" s="1"/>
      <c r="B93" s="62" t="str">
        <f>IFERROR(__xludf.DUMMYFUNCTION("""COMPUTED_VALUE"""),"David Shin")</f>
        <v>David Shin</v>
      </c>
      <c r="C93" s="63">
        <f>IFERROR(__xludf.DUMMYFUNCTION("""COMPUTED_VALUE"""),136.0)</f>
        <v>136</v>
      </c>
      <c r="D93" s="64">
        <f>IFERROR(__xludf.DUMMYFUNCTION("""COMPUTED_VALUE"""),14.0)</f>
        <v>14</v>
      </c>
      <c r="E93" s="63">
        <f>IFERROR(__xludf.DUMMYFUNCTION("""COMPUTED_VALUE"""),2.0)</f>
        <v>2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IFERROR(__xludf.DUMMYFUNCTION("""COMPUTED_VALUE"""),4.0)</f>
        <v>4</v>
      </c>
      <c r="I93" s="65">
        <f>IFERROR(__xludf.DUMMYFUNCTION("""COMPUTED_VALUE"""),4.0)</f>
        <v>4</v>
      </c>
      <c r="J93" s="65">
        <f>IFERROR(__xludf.DUMMYFUNCTION("""COMPUTED_VALUE"""),6.0)</f>
        <v>6</v>
      </c>
      <c r="K93" s="65">
        <f>IFERROR(__xludf.DUMMYFUNCTION("""COMPUTED_VALUE"""),14.0)</f>
        <v>14</v>
      </c>
      <c r="L93" s="65">
        <f>IFERROR(__xludf.DUMMYFUNCTION("""COMPUTED_VALUE"""),1.0)</f>
        <v>1</v>
      </c>
      <c r="M93" s="65">
        <f>IFERROR(__xludf.DUMMYFUNCTION("""COMPUTED_VALUE"""),150.0)</f>
        <v>150</v>
      </c>
      <c r="N93" s="66">
        <f>IFERROR(__xludf.DUMMYFUNCTION("""COMPUTED_VALUE"""),15.0)</f>
        <v>15</v>
      </c>
    </row>
    <row r="94">
      <c r="A94" s="1"/>
      <c r="B94" s="62" t="str">
        <f>IFERROR(__xludf.DUMMYFUNCTION("""COMPUTED_VALUE"""),"Mauricio Palacios")</f>
        <v>Mauricio Palacios</v>
      </c>
      <c r="C94" s="63">
        <f>IFERROR(__xludf.DUMMYFUNCTION("""COMPUTED_VALUE"""),132.0)</f>
        <v>132</v>
      </c>
      <c r="D94" s="64">
        <f>IFERROR(__xludf.DUMMYFUNCTION("""COMPUTED_VALUE"""),12.0)</f>
        <v>12</v>
      </c>
      <c r="E94" s="63">
        <f>IFERROR(__xludf.DUMMYFUNCTION("""COMPUTED_VALUE"""),2.0)</f>
        <v>2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IFERROR(__xludf.DUMMYFUNCTION("""COMPUTED_VALUE"""),4.0)</f>
        <v>4</v>
      </c>
      <c r="I94" s="65">
        <f>IFERROR(__xludf.DUMMYFUNCTION("""COMPUTED_VALUE"""),6.0)</f>
        <v>6</v>
      </c>
      <c r="J94" s="65">
        <f>IFERROR(__xludf.DUMMYFUNCTION("""COMPUTED_VALUE"""),2.0)</f>
        <v>2</v>
      </c>
      <c r="K94" s="65">
        <f>IFERROR(__xludf.DUMMYFUNCTION("""COMPUTED_VALUE"""),12.0)</f>
        <v>12</v>
      </c>
      <c r="L94" s="65">
        <f>IFERROR(__xludf.DUMMYFUNCTION("""COMPUTED_VALUE"""),1.0)</f>
        <v>1</v>
      </c>
      <c r="M94" s="65">
        <f>IFERROR(__xludf.DUMMYFUNCTION("""COMPUTED_VALUE"""),144.0)</f>
        <v>144</v>
      </c>
      <c r="N94" s="66">
        <f>IFERROR(__xludf.DUMMYFUNCTION("""COMPUTED_VALUE"""),13.0)</f>
        <v>13</v>
      </c>
    </row>
    <row r="95">
      <c r="A95" s="1"/>
      <c r="B95" s="62" t="str">
        <f>IFERROR(__xludf.DUMMYFUNCTION("""COMPUTED_VALUE"""),"Sean Chang")</f>
        <v>Sean Chang</v>
      </c>
      <c r="C95" s="63">
        <f>IFERROR(__xludf.DUMMYFUNCTION("""COMPUTED_VALUE"""),132.0)</f>
        <v>132</v>
      </c>
      <c r="D95" s="64">
        <f>IFERROR(__xludf.DUMMYFUNCTION("""COMPUTED_VALUE"""),8.0)</f>
        <v>8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IFERROR(__xludf.DUMMYFUNCTION("""COMPUTED_VALUE"""),6.0)</f>
        <v>6</v>
      </c>
      <c r="I95" s="65">
        <f>IFERROR(__xludf.DUMMYFUNCTION("""COMPUTED_VALUE"""),4.0)</f>
        <v>4</v>
      </c>
      <c r="J95" s="65">
        <f>IFERROR(__xludf.DUMMYFUNCTION("""COMPUTED_VALUE"""),2.0)</f>
        <v>2</v>
      </c>
      <c r="K95" s="65">
        <f>IFERROR(__xludf.DUMMYFUNCTION("""COMPUTED_VALUE"""),12.0)</f>
        <v>12</v>
      </c>
      <c r="L95" s="65">
        <f>IFERROR(__xludf.DUMMYFUNCTION("""COMPUTED_VALUE"""),1.0)</f>
        <v>1</v>
      </c>
      <c r="M95" s="65">
        <f>IFERROR(__xludf.DUMMYFUNCTION("""COMPUTED_VALUE"""),144.0)</f>
        <v>144</v>
      </c>
      <c r="N95" s="66">
        <f>IFERROR(__xludf.DUMMYFUNCTION("""COMPUTED_VALUE"""),9.0)</f>
        <v>9</v>
      </c>
    </row>
    <row r="96">
      <c r="A96" s="1"/>
      <c r="B96" s="67" t="str">
        <f>IFERROR(__xludf.DUMMYFUNCTION("""COMPUTED_VALUE"""),"Suleman Alidina")</f>
        <v>Suleman Alidina</v>
      </c>
      <c r="C96" s="68">
        <f>IFERROR(__xludf.DUMMYFUNCTION("""COMPUTED_VALUE"""),127.0)</f>
        <v>127</v>
      </c>
      <c r="D96" s="69">
        <f>IFERROR(__xludf.DUMMYFUNCTION("""COMPUTED_VALUE"""),13.0)</f>
        <v>13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IFERROR(__xludf.DUMMYFUNCTION("""COMPUTED_VALUE"""),6.0)</f>
        <v>6</v>
      </c>
      <c r="K96" s="70">
        <f>IFERROR(__xludf.DUMMYFUNCTION("""COMPUTED_VALUE"""),18.0)</f>
        <v>18</v>
      </c>
      <c r="L96" s="70">
        <f>IFERROR(__xludf.DUMMYFUNCTION("""COMPUTED_VALUE"""),3.0)</f>
        <v>3</v>
      </c>
      <c r="M96" s="70">
        <f>IFERROR(__xludf.DUMMYFUNCTION("""COMPUTED_VALUE"""),145.0)</f>
        <v>145</v>
      </c>
      <c r="N96" s="71">
        <f>IFERROR(__xludf.DUMMYFUNCTION("""COMPUTED_VALUE"""),16.0)</f>
        <v>16</v>
      </c>
    </row>
    <row r="97">
      <c r="A97" s="1"/>
      <c r="B97" s="67" t="str">
        <f>IFERROR(__xludf.DUMMYFUNCTION("""COMPUTED_VALUE"""),"Andrew Wen")</f>
        <v>Andrew Wen</v>
      </c>
      <c r="C97" s="68">
        <f>IFERROR(__xludf.DUMMYFUNCTION("""COMPUTED_VALUE"""),123.0)</f>
        <v>123</v>
      </c>
      <c r="D97" s="69">
        <f>IFERROR(__xludf.DUMMYFUNCTION("""COMPUTED_VALUE"""),14.0)</f>
        <v>14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IFERROR(__xludf.DUMMYFUNCTION("""COMPUTED_VALUE"""),3.0)</f>
        <v>3</v>
      </c>
      <c r="J97" s="70">
        <f>IFERROR(__xludf.DUMMYFUNCTION("""COMPUTED_VALUE"""),3.0)</f>
        <v>3</v>
      </c>
      <c r="K97" s="70">
        <f>IFERROR(__xludf.DUMMYFUNCTION("""COMPUTED_VALUE"""),12.0)</f>
        <v>12</v>
      </c>
      <c r="L97" s="70">
        <f>IFERROR(__xludf.DUMMYFUNCTION("""COMPUTED_VALUE"""),1.0)</f>
        <v>1</v>
      </c>
      <c r="M97" s="70">
        <f>IFERROR(__xludf.DUMMYFUNCTION("""COMPUTED_VALUE"""),135.0)</f>
        <v>135</v>
      </c>
      <c r="N97" s="71">
        <f>IFERROR(__xludf.DUMMYFUNCTION("""COMPUTED_VALUE"""),15.0)</f>
        <v>15</v>
      </c>
    </row>
    <row r="98">
      <c r="A98" s="1"/>
      <c r="B98" s="67" t="str">
        <f>IFERROR(__xludf.DUMMYFUNCTION("""COMPUTED_VALUE"""),"Ted Shen")</f>
        <v>Ted Shen</v>
      </c>
      <c r="C98" s="68">
        <f>IFERROR(__xludf.DUMMYFUNCTION("""COMPUTED_VALUE"""),121.0)</f>
        <v>121</v>
      </c>
      <c r="D98" s="69">
        <f>IFERROR(__xludf.DUMMYFUNCTION("""COMPUTED_VALUE"""),11.0)</f>
        <v>11</v>
      </c>
      <c r="E98" s="68">
        <f>IFERROR(__xludf.DUMMYFUNCTION("""COMPUTED_VALUE"""),2.0)</f>
        <v>2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IFERROR(__xludf.DUMMYFUNCTION("""COMPUTED_VALUE"""),2.0)</f>
        <v>2</v>
      </c>
      <c r="I98" s="70">
        <f>IFERROR(__xludf.DUMMYFUNCTION("""COMPUTED_VALUE"""),3.0)</f>
        <v>3</v>
      </c>
      <c r="J98" s="70">
        <f>IFERROR(__xludf.DUMMYFUNCTION("""COMPUTED_VALUE"""),6.0)</f>
        <v>6</v>
      </c>
      <c r="K98" s="70">
        <f>IFERROR(__xludf.DUMMYFUNCTION("""COMPUTED_VALUE"""),11.0)</f>
        <v>11</v>
      </c>
      <c r="L98" s="70">
        <f>IFERROR(__xludf.DUMMYFUNCTION("""COMPUTED_VALUE"""),1.0)</f>
        <v>1</v>
      </c>
      <c r="M98" s="70">
        <f>IFERROR(__xludf.DUMMYFUNCTION("""COMPUTED_VALUE"""),132.0)</f>
        <v>132</v>
      </c>
      <c r="N98" s="71">
        <f>IFERROR(__xludf.DUMMYFUNCTION("""COMPUTED_VALUE"""),12.0)</f>
        <v>12</v>
      </c>
    </row>
    <row r="99">
      <c r="A99" s="1"/>
      <c r="B99" s="67" t="str">
        <f>IFERROR(__xludf.DUMMYFUNCTION("""COMPUTED_VALUE"""),"Joe Luzzi")</f>
        <v>Joe Luzzi</v>
      </c>
      <c r="C99" s="68">
        <f>IFERROR(__xludf.DUMMYFUNCTION("""COMPUTED_VALUE"""),121.0)</f>
        <v>121</v>
      </c>
      <c r="D99" s="69">
        <f>IFERROR(__xludf.DUMMYFUNCTION("""COMPUTED_VALUE"""),9.0)</f>
        <v>9</v>
      </c>
      <c r="E99" s="68">
        <f>IFERROR(__xludf.DUMMYFUNCTION("""COMPUTED_VALUE"""),2.0)</f>
        <v>2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IFERROR(__xludf.DUMMYFUNCTION("""COMPUTED_VALUE"""),2.0)</f>
        <v>2</v>
      </c>
      <c r="I99" s="70">
        <f>IFERROR(__xludf.DUMMYFUNCTION("""COMPUTED_VALUE"""),6.0)</f>
        <v>6</v>
      </c>
      <c r="J99" s="70">
        <f>IFERROR(__xludf.DUMMYFUNCTION("""COMPUTED_VALUE"""),3.0)</f>
        <v>3</v>
      </c>
      <c r="K99" s="70">
        <f>IFERROR(__xludf.DUMMYFUNCTION("""COMPUTED_VALUE"""),11.0)</f>
        <v>11</v>
      </c>
      <c r="L99" s="70">
        <f>IFERROR(__xludf.DUMMYFUNCTION("""COMPUTED_VALUE"""),1.0)</f>
        <v>1</v>
      </c>
      <c r="M99" s="70">
        <f>IFERROR(__xludf.DUMMYFUNCTION("""COMPUTED_VALUE"""),132.0)</f>
        <v>132</v>
      </c>
      <c r="N99" s="71">
        <f>IFERROR(__xludf.DUMMYFUNCTION("""COMPUTED_VALUE"""),10.0)</f>
        <v>10</v>
      </c>
    </row>
    <row r="100">
      <c r="A100" s="1"/>
      <c r="B100" s="67" t="str">
        <f>IFERROR(__xludf.DUMMYFUNCTION("""COMPUTED_VALUE"""),"Erik Hoeckmann")</f>
        <v>Erik Hoeckmann</v>
      </c>
      <c r="C100" s="63">
        <f>IFERROR(__xludf.DUMMYFUNCTION("""COMPUTED_VALUE"""),120.0)</f>
        <v>120</v>
      </c>
      <c r="D100" s="64">
        <f>IFERROR(__xludf.DUMMYFUNCTION("""COMPUTED_VALUE"""),11.0)</f>
        <v>11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IFERROR(__xludf.DUMMYFUNCTION("""COMPUTED_VALUE"""),1.0)</f>
        <v>1</v>
      </c>
      <c r="I100" s="65">
        <f>IFERROR(__xludf.DUMMYFUNCTION("""COMPUTED_VALUE"""),5.0)</f>
        <v>5</v>
      </c>
      <c r="J100" s="65">
        <f>IFERROR(__xludf.DUMMYFUNCTION("""COMPUTED_VALUE"""),6.0)</f>
        <v>6</v>
      </c>
      <c r="K100" s="65">
        <f>IFERROR(__xludf.DUMMYFUNCTION("""COMPUTED_VALUE"""),12.0)</f>
        <v>12</v>
      </c>
      <c r="L100" s="65">
        <f>IFERROR(__xludf.DUMMYFUNCTION("""COMPUTED_VALUE"""),1.0)</f>
        <v>1</v>
      </c>
      <c r="M100" s="65">
        <f>IFERROR(__xludf.DUMMYFUNCTION("""COMPUTED_VALUE"""),132.0)</f>
        <v>132</v>
      </c>
      <c r="N100" s="66">
        <f>IFERROR(__xludf.DUMMYFUNCTION("""COMPUTED_VALUE"""),12.0)</f>
        <v>12</v>
      </c>
    </row>
    <row r="101">
      <c r="A101" s="1"/>
      <c r="B101" s="67" t="str">
        <f>IFERROR(__xludf.DUMMYFUNCTION("""COMPUTED_VALUE"""),"Luis Hsu")</f>
        <v>Luis Hsu</v>
      </c>
      <c r="C101" s="63">
        <f>IFERROR(__xludf.DUMMYFUNCTION("""COMPUTED_VALUE"""),120.0)</f>
        <v>120</v>
      </c>
      <c r="D101" s="64">
        <f>IFERROR(__xludf.DUMMYFUNCTION("""COMPUTED_VALUE"""),9.0)</f>
        <v>9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IFERROR(__xludf.DUMMYFUNCTION("""COMPUTED_VALUE"""),7.0)</f>
        <v>7</v>
      </c>
      <c r="J101" s="65">
        <f>IFERROR(__xludf.DUMMYFUNCTION("""COMPUTED_VALUE"""),6.0)</f>
        <v>6</v>
      </c>
      <c r="K101" s="65">
        <f>IFERROR(__xludf.DUMMYFUNCTION("""COMPUTED_VALUE"""),19.0)</f>
        <v>19</v>
      </c>
      <c r="L101" s="65">
        <f>IFERROR(__xludf.DUMMYFUNCTION("""COMPUTED_VALUE"""),3.0)</f>
        <v>3</v>
      </c>
      <c r="M101" s="65">
        <f>IFERROR(__xludf.DUMMYFUNCTION("""COMPUTED_VALUE"""),139.0)</f>
        <v>139</v>
      </c>
      <c r="N101" s="66">
        <f>IFERROR(__xludf.DUMMYFUNCTION("""COMPUTED_VALUE"""),12.0)</f>
        <v>12</v>
      </c>
    </row>
    <row r="102">
      <c r="A102" s="1"/>
      <c r="B102" s="62" t="str">
        <f>IFERROR(__xludf.DUMMYFUNCTION("""COMPUTED_VALUE"""),"Peter Homsey")</f>
        <v>Peter Homsey</v>
      </c>
      <c r="C102" s="63">
        <f>IFERROR(__xludf.DUMMYFUNCTION("""COMPUTED_VALUE"""),118.0)</f>
        <v>118</v>
      </c>
      <c r="D102" s="64">
        <f>IFERROR(__xludf.DUMMYFUNCTION("""COMPUTED_VALUE"""),10.0)</f>
        <v>10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IFERROR(__xludf.DUMMYFUNCTION("""COMPUTED_VALUE"""),5.0)</f>
        <v>5</v>
      </c>
      <c r="J102" s="65">
        <f>IFERROR(__xludf.DUMMYFUNCTION("""COMPUTED_VALUE"""),2.0)</f>
        <v>2</v>
      </c>
      <c r="K102" s="65">
        <f>IFERROR(__xludf.DUMMYFUNCTION("""COMPUTED_VALUE"""),13.0)</f>
        <v>13</v>
      </c>
      <c r="L102" s="65">
        <f>IFERROR(__xludf.DUMMYFUNCTION("""COMPUTED_VALUE"""),1.0)</f>
        <v>1</v>
      </c>
      <c r="M102" s="65">
        <f>IFERROR(__xludf.DUMMYFUNCTION("""COMPUTED_VALUE"""),131.0)</f>
        <v>131</v>
      </c>
      <c r="N102" s="66">
        <f>IFERROR(__xludf.DUMMYFUNCTION("""COMPUTED_VALUE"""),11.0)</f>
        <v>11</v>
      </c>
    </row>
    <row r="103">
      <c r="A103" s="1"/>
      <c r="B103" s="62" t="str">
        <f>IFERROR(__xludf.DUMMYFUNCTION("""COMPUTED_VALUE"""),"Chinna Ponnaganti")</f>
        <v>Chinna Ponnaganti</v>
      </c>
      <c r="C103" s="63">
        <f>IFERROR(__xludf.DUMMYFUNCTION("""COMPUTED_VALUE"""),116.0)</f>
        <v>116</v>
      </c>
      <c r="D103" s="64">
        <f>IFERROR(__xludf.DUMMYFUNCTION("""COMPUTED_VALUE"""),11.0)</f>
        <v>11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IFERROR(__xludf.DUMMYFUNCTION("""COMPUTED_VALUE"""),1.0)</f>
        <v>1</v>
      </c>
      <c r="I103" s="65">
        <f>IFERROR(__xludf.DUMMYFUNCTION("""COMPUTED_VALUE"""),7.0)</f>
        <v>7</v>
      </c>
      <c r="J103" s="65">
        <f>IFERROR(__xludf.DUMMYFUNCTION("""COMPUTED_VALUE"""),2.0)</f>
        <v>2</v>
      </c>
      <c r="K103" s="65">
        <f>IFERROR(__xludf.DUMMYFUNCTION("""COMPUTED_VALUE"""),10.0)</f>
        <v>10</v>
      </c>
      <c r="L103" s="65">
        <f>IFERROR(__xludf.DUMMYFUNCTION("""COMPUTED_VALUE"""),1.0)</f>
        <v>1</v>
      </c>
      <c r="M103" s="65">
        <f>IFERROR(__xludf.DUMMYFUNCTION("""COMPUTED_VALUE"""),126.0)</f>
        <v>126</v>
      </c>
      <c r="N103" s="66">
        <f>IFERROR(__xludf.DUMMYFUNCTION("""COMPUTED_VALUE"""),12.0)</f>
        <v>12</v>
      </c>
    </row>
    <row r="104">
      <c r="A104" s="1"/>
      <c r="B104" s="67" t="str">
        <f>IFERROR(__xludf.DUMMYFUNCTION("""COMPUTED_VALUE"""),"Rajasekar Ramasamy")</f>
        <v>Rajasekar Ramasamy</v>
      </c>
      <c r="C104" s="68">
        <f>IFERROR(__xludf.DUMMYFUNCTION("""COMPUTED_VALUE"""),114.0)</f>
        <v>114</v>
      </c>
      <c r="D104" s="69">
        <f>IFERROR(__xludf.DUMMYFUNCTION("""COMPUTED_VALUE"""),8.0)</f>
        <v>8</v>
      </c>
      <c r="E104" s="68">
        <f>IFERROR(__xludf.DUMMYFUNCTION("""COMPUTED_VALUE"""),1.0)</f>
        <v>1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IFERROR(__xludf.DUMMYFUNCTION("""COMPUTED_VALUE"""),6.0)</f>
        <v>6</v>
      </c>
      <c r="J104" s="70">
        <f>IFERROR(__xludf.DUMMYFUNCTION("""COMPUTED_VALUE"""),6.0)</f>
        <v>6</v>
      </c>
      <c r="K104" s="70">
        <f>IFERROR(__xludf.DUMMYFUNCTION("""COMPUTED_VALUE"""),18.0)</f>
        <v>18</v>
      </c>
      <c r="L104" s="70">
        <f>IFERROR(__xludf.DUMMYFUNCTION("""COMPUTED_VALUE"""),3.0)</f>
        <v>3</v>
      </c>
      <c r="M104" s="70">
        <f>IFERROR(__xludf.DUMMYFUNCTION("""COMPUTED_VALUE"""),132.0)</f>
        <v>132</v>
      </c>
      <c r="N104" s="71">
        <f>IFERROR(__xludf.DUMMYFUNCTION("""COMPUTED_VALUE"""),11.0)</f>
        <v>11</v>
      </c>
    </row>
    <row r="105">
      <c r="A105" s="1"/>
      <c r="B105" s="67" t="str">
        <f>IFERROR(__xludf.DUMMYFUNCTION("""COMPUTED_VALUE"""),"Manuel Rivera")</f>
        <v>Manuel Rivera</v>
      </c>
      <c r="C105" s="68">
        <f>IFERROR(__xludf.DUMMYFUNCTION("""COMPUTED_VALUE"""),111.0)</f>
        <v>111</v>
      </c>
      <c r="D105" s="69">
        <f>IFERROR(__xludf.DUMMYFUNCTION("""COMPUTED_VALUE"""),9.0)</f>
        <v>9</v>
      </c>
      <c r="E105" s="68">
        <f>IFERROR(__xludf.DUMMYFUNCTION("""COMPUTED_VALUE"""),2.0)</f>
        <v>2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IFERROR(__xludf.DUMMYFUNCTION("""COMPUTED_VALUE"""),4.0)</f>
        <v>4</v>
      </c>
      <c r="J105" s="70">
        <f>IFERROR(__xludf.DUMMYFUNCTION("""COMPUTED_VALUE"""),1.0)</f>
        <v>1</v>
      </c>
      <c r="K105" s="70">
        <f>IFERROR(__xludf.DUMMYFUNCTION("""COMPUTED_VALUE"""),11.0)</f>
        <v>11</v>
      </c>
      <c r="L105" s="70">
        <f>IFERROR(__xludf.DUMMYFUNCTION("""COMPUTED_VALUE"""),1.0)</f>
        <v>1</v>
      </c>
      <c r="M105" s="70">
        <f>IFERROR(__xludf.DUMMYFUNCTION("""COMPUTED_VALUE"""),122.0)</f>
        <v>122</v>
      </c>
      <c r="N105" s="71">
        <f>IFERROR(__xludf.DUMMYFUNCTION("""COMPUTED_VALUE"""),10.0)</f>
        <v>10</v>
      </c>
    </row>
    <row r="106">
      <c r="A106" s="1"/>
      <c r="B106" s="67" t="str">
        <f>IFERROR(__xludf.DUMMYFUNCTION("""COMPUTED_VALUE"""),"Ramesh Bandaru")</f>
        <v>Ramesh Bandaru</v>
      </c>
      <c r="C106" s="68">
        <f>IFERROR(__xludf.DUMMYFUNCTION("""COMPUTED_VALUE"""),111.0)</f>
        <v>111</v>
      </c>
      <c r="D106" s="69">
        <f>IFERROR(__xludf.DUMMYFUNCTION("""COMPUTED_VALUE"""),7.0)</f>
        <v>7</v>
      </c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IFERROR(__xludf.DUMMYFUNCTION("""COMPUTED_VALUE"""),3.0)</f>
        <v>3</v>
      </c>
      <c r="I106" s="70">
        <f>IFERROR(__xludf.DUMMYFUNCTION("""COMPUTED_VALUE"""),6.0)</f>
        <v>6</v>
      </c>
      <c r="J106" s="70">
        <f>IFERROR(__xludf.DUMMYFUNCTION("""COMPUTED_VALUE"""),1.0)</f>
        <v>1</v>
      </c>
      <c r="K106" s="70">
        <f>IFERROR(__xludf.DUMMYFUNCTION("""COMPUTED_VALUE"""),10.0)</f>
        <v>10</v>
      </c>
      <c r="L106" s="70">
        <f>IFERROR(__xludf.DUMMYFUNCTION("""COMPUTED_VALUE"""),1.0)</f>
        <v>1</v>
      </c>
      <c r="M106" s="70">
        <f>IFERROR(__xludf.DUMMYFUNCTION("""COMPUTED_VALUE"""),121.0)</f>
        <v>121</v>
      </c>
      <c r="N106" s="71">
        <f>IFERROR(__xludf.DUMMYFUNCTION("""COMPUTED_VALUE"""),8.0)</f>
        <v>8</v>
      </c>
    </row>
    <row r="107">
      <c r="A107" s="1"/>
      <c r="B107" s="67" t="str">
        <f>IFERROR(__xludf.DUMMYFUNCTION("""COMPUTED_VALUE"""),"Balaji Alahari")</f>
        <v>Balaji Alahari</v>
      </c>
      <c r="C107" s="68">
        <f>IFERROR(__xludf.DUMMYFUNCTION("""COMPUTED_VALUE"""),111.0)</f>
        <v>111</v>
      </c>
      <c r="D107" s="69">
        <f>IFERROR(__xludf.DUMMYFUNCTION("""COMPUTED_VALUE"""),5.0)</f>
        <v>5</v>
      </c>
      <c r="E107" s="68">
        <f>IFERROR(__xludf.DUMMYFUNCTION("""COMPUTED_VALUE"""),1.0)</f>
        <v>1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IFERROR(__xludf.DUMMYFUNCTION("""COMPUTED_VALUE"""),3.0)</f>
        <v>3</v>
      </c>
      <c r="I107" s="70">
        <f>IFERROR(__xludf.DUMMYFUNCTION("""COMPUTED_VALUE"""),4.0)</f>
        <v>4</v>
      </c>
      <c r="J107" s="70">
        <f>IFERROR(__xludf.DUMMYFUNCTION("""COMPUTED_VALUE"""),6.0)</f>
        <v>6</v>
      </c>
      <c r="K107" s="70">
        <f>IFERROR(__xludf.DUMMYFUNCTION("""COMPUTED_VALUE"""),13.0)</f>
        <v>13</v>
      </c>
      <c r="L107" s="70">
        <f>IFERROR(__xludf.DUMMYFUNCTION("""COMPUTED_VALUE"""),1.0)</f>
        <v>1</v>
      </c>
      <c r="M107" s="70">
        <f>IFERROR(__xludf.DUMMYFUNCTION("""COMPUTED_VALUE"""),124.0)</f>
        <v>124</v>
      </c>
      <c r="N107" s="71">
        <f>IFERROR(__xludf.DUMMYFUNCTION("""COMPUTED_VALUE"""),6.0)</f>
        <v>6</v>
      </c>
    </row>
    <row r="108">
      <c r="A108" s="1"/>
      <c r="B108" s="62" t="str">
        <f>IFERROR(__xludf.DUMMYFUNCTION("""COMPUTED_VALUE"""),"Manish Anand")</f>
        <v>Manish Anand</v>
      </c>
      <c r="C108" s="63">
        <f>IFERROR(__xludf.DUMMYFUNCTION("""COMPUTED_VALUE"""),108.0)</f>
        <v>108</v>
      </c>
      <c r="D108" s="64">
        <f>IFERROR(__xludf.DUMMYFUNCTION("""COMPUTED_VALUE"""),6.0)</f>
        <v>6</v>
      </c>
      <c r="E108" s="63">
        <f>IFERROR(__xludf.DUMMYFUNCTION("""COMPUTED_VALUE"""),1.0)</f>
        <v>1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IFERROR(__xludf.DUMMYFUNCTION("""COMPUTED_VALUE"""),4.0)</f>
        <v>4</v>
      </c>
      <c r="I108" s="65">
        <f>IFERROR(__xludf.DUMMYFUNCTION("""COMPUTED_VALUE"""),6.0)</f>
        <v>6</v>
      </c>
      <c r="J108" s="65">
        <f>IFERROR(__xludf.DUMMYFUNCTION("""COMPUTED_VALUE"""),4.0)</f>
        <v>4</v>
      </c>
      <c r="K108" s="65">
        <f>IFERROR(__xludf.DUMMYFUNCTION("""COMPUTED_VALUE"""),14.0)</f>
        <v>14</v>
      </c>
      <c r="L108" s="65">
        <f>IFERROR(__xludf.DUMMYFUNCTION("""COMPUTED_VALUE"""),1.0)</f>
        <v>1</v>
      </c>
      <c r="M108" s="65">
        <f>IFERROR(__xludf.DUMMYFUNCTION("""COMPUTED_VALUE"""),122.0)</f>
        <v>122</v>
      </c>
      <c r="N108" s="66">
        <f>IFERROR(__xludf.DUMMYFUNCTION("""COMPUTED_VALUE"""),7.0)</f>
        <v>7</v>
      </c>
    </row>
    <row r="109">
      <c r="A109" s="1"/>
      <c r="B109" s="62" t="str">
        <f>IFERROR(__xludf.DUMMYFUNCTION("""COMPUTED_VALUE"""),"Tom Le")</f>
        <v>Tom Le</v>
      </c>
      <c r="C109" s="63">
        <f>IFERROR(__xludf.DUMMYFUNCTION("""COMPUTED_VALUE"""),108.0)</f>
        <v>108</v>
      </c>
      <c r="D109" s="64">
        <f>IFERROR(__xludf.DUMMYFUNCTION("""COMPUTED_VALUE"""),6.0)</f>
        <v>6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IFERROR(__xludf.DUMMYFUNCTION("""COMPUTED_VALUE"""),6.0)</f>
        <v>6</v>
      </c>
      <c r="J109" s="65">
        <f>IFERROR(__xludf.DUMMYFUNCTION("""COMPUTED_VALUE"""),6.0)</f>
        <v>6</v>
      </c>
      <c r="K109" s="65">
        <f>IFERROR(__xludf.DUMMYFUNCTION("""COMPUTED_VALUE"""),18.0)</f>
        <v>18</v>
      </c>
      <c r="L109" s="65">
        <f>IFERROR(__xludf.DUMMYFUNCTION("""COMPUTED_VALUE"""),3.0)</f>
        <v>3</v>
      </c>
      <c r="M109" s="65">
        <f>IFERROR(__xludf.DUMMYFUNCTION("""COMPUTED_VALUE"""),126.0)</f>
        <v>126</v>
      </c>
      <c r="N109" s="66">
        <f>IFERROR(__xludf.DUMMYFUNCTION("""COMPUTED_VALUE"""),9.0)</f>
        <v>9</v>
      </c>
    </row>
    <row r="110">
      <c r="A110" s="1"/>
      <c r="B110" s="62" t="str">
        <f>IFERROR(__xludf.DUMMYFUNCTION("""COMPUTED_VALUE"""),"Elayaraja Thangaraj ")</f>
        <v>Elayaraja Thangaraj </v>
      </c>
      <c r="C110" s="63">
        <f>IFERROR(__xludf.DUMMYFUNCTION("""COMPUTED_VALUE"""),107.0)</f>
        <v>107</v>
      </c>
      <c r="D110" s="64">
        <f>IFERROR(__xludf.DUMMYFUNCTION("""COMPUTED_VALUE"""),9.0)</f>
        <v>9</v>
      </c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IFERROR(__xludf.DUMMYFUNCTION("""COMPUTED_VALUE"""),4.0)</f>
        <v>4</v>
      </c>
      <c r="I110" s="65">
        <f>IFERROR(__xludf.DUMMYFUNCTION("""COMPUTED_VALUE"""),0.0)</f>
        <v>0</v>
      </c>
      <c r="J110" s="65">
        <f>IFERROR(__xludf.DUMMYFUNCTION("""COMPUTED_VALUE"""),6.0)</f>
        <v>6</v>
      </c>
      <c r="K110" s="65">
        <f>IFERROR(__xludf.DUMMYFUNCTION("""COMPUTED_VALUE"""),10.0)</f>
        <v>10</v>
      </c>
      <c r="L110" s="65">
        <f>IFERROR(__xludf.DUMMYFUNCTION("""COMPUTED_VALUE"""),1.0)</f>
        <v>1</v>
      </c>
      <c r="M110" s="65">
        <f>IFERROR(__xludf.DUMMYFUNCTION("""COMPUTED_VALUE"""),117.0)</f>
        <v>117</v>
      </c>
      <c r="N110" s="66">
        <f>IFERROR(__xludf.DUMMYFUNCTION("""COMPUTED_VALUE"""),10.0)</f>
        <v>10</v>
      </c>
    </row>
    <row r="111">
      <c r="A111" s="1"/>
      <c r="B111" s="62" t="str">
        <f>IFERROR(__xludf.DUMMYFUNCTION("""COMPUTED_VALUE"""),"Tony Wong")</f>
        <v>Tony Wong</v>
      </c>
      <c r="C111" s="63">
        <f>IFERROR(__xludf.DUMMYFUNCTION("""COMPUTED_VALUE"""),106.0)</f>
        <v>106</v>
      </c>
      <c r="D111" s="64">
        <f>IFERROR(__xludf.DUMMYFUNCTION("""COMPUTED_VALUE"""),7.0)</f>
        <v>7</v>
      </c>
      <c r="E111" s="63">
        <f>IFERROR(__xludf.DUMMYFUNCTION("""COMPUTED_VALUE"""),2.0)</f>
        <v>2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IFERROR(__xludf.DUMMYFUNCTION("""COMPUTED_VALUE"""),6.0)</f>
        <v>6</v>
      </c>
      <c r="I111" s="65">
        <f>IFERROR(__xludf.DUMMYFUNCTION("""COMPUTED_VALUE"""),0.0)</f>
        <v>0</v>
      </c>
      <c r="J111" s="65">
        <f>IFERROR(__xludf.DUMMYFUNCTION("""COMPUTED_VALUE"""),4.0)</f>
        <v>4</v>
      </c>
      <c r="K111" s="65">
        <f>IFERROR(__xludf.DUMMYFUNCTION("""COMPUTED_VALUE"""),10.0)</f>
        <v>10</v>
      </c>
      <c r="L111" s="65">
        <f>IFERROR(__xludf.DUMMYFUNCTION("""COMPUTED_VALUE"""),1.0)</f>
        <v>1</v>
      </c>
      <c r="M111" s="65">
        <f>IFERROR(__xludf.DUMMYFUNCTION("""COMPUTED_VALUE"""),116.0)</f>
        <v>116</v>
      </c>
      <c r="N111" s="66">
        <f>IFERROR(__xludf.DUMMYFUNCTION("""COMPUTED_VALUE"""),8.0)</f>
        <v>8</v>
      </c>
    </row>
    <row r="112">
      <c r="A112" s="1"/>
      <c r="B112" s="67" t="str">
        <f>IFERROR(__xludf.DUMMYFUNCTION("""COMPUTED_VALUE"""),"Vamsi Lolla ")</f>
        <v>Vamsi Lolla </v>
      </c>
      <c r="C112" s="68">
        <f>IFERROR(__xludf.DUMMYFUNCTION("""COMPUTED_VALUE"""),106.0)</f>
        <v>106</v>
      </c>
      <c r="D112" s="69">
        <f>IFERROR(__xludf.DUMMYFUNCTION("""COMPUTED_VALUE"""),4.0)</f>
        <v>4</v>
      </c>
      <c r="E112" s="68">
        <f>IFERROR(__xludf.DUMMYFUNCTION("""COMPUTED_VALUE"""),2.0)</f>
        <v>2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IFERROR(__xludf.DUMMYFUNCTION("""COMPUTED_VALUE"""),7.0)</f>
        <v>7</v>
      </c>
      <c r="I112" s="70">
        <f>IFERROR(__xludf.DUMMYFUNCTION("""COMPUTED_VALUE"""),6.0)</f>
        <v>6</v>
      </c>
      <c r="J112" s="70">
        <f>IFERROR(__xludf.DUMMYFUNCTION("""COMPUTED_VALUE"""),6.0)</f>
        <v>6</v>
      </c>
      <c r="K112" s="70">
        <f>IFERROR(__xludf.DUMMYFUNCTION("""COMPUTED_VALUE"""),19.0)</f>
        <v>19</v>
      </c>
      <c r="L112" s="70">
        <f>IFERROR(__xludf.DUMMYFUNCTION("""COMPUTED_VALUE"""),2.0)</f>
        <v>2</v>
      </c>
      <c r="M112" s="70">
        <f>IFERROR(__xludf.DUMMYFUNCTION("""COMPUTED_VALUE"""),125.0)</f>
        <v>125</v>
      </c>
      <c r="N112" s="71">
        <f>IFERROR(__xludf.DUMMYFUNCTION("""COMPUTED_VALUE"""),6.0)</f>
        <v>6</v>
      </c>
    </row>
    <row r="113">
      <c r="A113" s="1"/>
      <c r="B113" s="67" t="str">
        <f>IFERROR(__xludf.DUMMYFUNCTION("""COMPUTED_VALUE"""),"Eric Tan")</f>
        <v>Eric Tan</v>
      </c>
      <c r="C113" s="68">
        <f>IFERROR(__xludf.DUMMYFUNCTION("""COMPUTED_VALUE"""),105.0)</f>
        <v>105</v>
      </c>
      <c r="D113" s="69">
        <f>IFERROR(__xludf.DUMMYFUNCTION("""COMPUTED_VALUE"""),9.0)</f>
        <v>9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IFERROR(__xludf.DUMMYFUNCTION("""COMPUTED_VALUE"""),7.0)</f>
        <v>7</v>
      </c>
      <c r="I113" s="70">
        <f>IFERROR(__xludf.DUMMYFUNCTION("""COMPUTED_VALUE"""),7.0)</f>
        <v>7</v>
      </c>
      <c r="J113" s="70">
        <f>IFERROR(__xludf.DUMMYFUNCTION("""COMPUTED_VALUE"""),3.0)</f>
        <v>3</v>
      </c>
      <c r="K113" s="70">
        <f>IFERROR(__xludf.DUMMYFUNCTION("""COMPUTED_VALUE"""),17.0)</f>
        <v>17</v>
      </c>
      <c r="L113" s="70">
        <f>IFERROR(__xludf.DUMMYFUNCTION("""COMPUTED_VALUE"""),2.0)</f>
        <v>2</v>
      </c>
      <c r="M113" s="70">
        <f>IFERROR(__xludf.DUMMYFUNCTION("""COMPUTED_VALUE"""),122.0)</f>
        <v>122</v>
      </c>
      <c r="N113" s="71">
        <f>IFERROR(__xludf.DUMMYFUNCTION("""COMPUTED_VALUE"""),11.0)</f>
        <v>11</v>
      </c>
    </row>
    <row r="114">
      <c r="A114" s="1"/>
      <c r="B114" s="67" t="str">
        <f>IFERROR(__xludf.DUMMYFUNCTION("""COMPUTED_VALUE"""),"Lloyd Sagar")</f>
        <v>Lloyd Sagar</v>
      </c>
      <c r="C114" s="68">
        <f>IFERROR(__xludf.DUMMYFUNCTION("""COMPUTED_VALUE"""),104.0)</f>
        <v>104</v>
      </c>
      <c r="D114" s="69">
        <f>IFERROR(__xludf.DUMMYFUNCTION("""COMPUTED_VALUE"""),4.0)</f>
        <v>4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IFERROR(__xludf.DUMMYFUNCTION("""COMPUTED_VALUE"""),6.0)</f>
        <v>6</v>
      </c>
      <c r="I114" s="70">
        <f>IFERROR(__xludf.DUMMYFUNCTION("""COMPUTED_VALUE"""),7.0)</f>
        <v>7</v>
      </c>
      <c r="J114" s="70">
        <f>IFERROR(__xludf.DUMMYFUNCTION("""COMPUTED_VALUE"""),6.0)</f>
        <v>6</v>
      </c>
      <c r="K114" s="70">
        <f>IFERROR(__xludf.DUMMYFUNCTION("""COMPUTED_VALUE"""),19.0)</f>
        <v>19</v>
      </c>
      <c r="L114" s="70">
        <f>IFERROR(__xludf.DUMMYFUNCTION("""COMPUTED_VALUE"""),2.0)</f>
        <v>2</v>
      </c>
      <c r="M114" s="70">
        <f>IFERROR(__xludf.DUMMYFUNCTION("""COMPUTED_VALUE"""),123.0)</f>
        <v>123</v>
      </c>
      <c r="N114" s="71">
        <f>IFERROR(__xludf.DUMMYFUNCTION("""COMPUTED_VALUE"""),6.0)</f>
        <v>6</v>
      </c>
    </row>
    <row r="115">
      <c r="A115" s="1"/>
      <c r="B115" s="67" t="str">
        <f>IFERROR(__xludf.DUMMYFUNCTION("""COMPUTED_VALUE"""),"Vinaya Kajla")</f>
        <v>Vinaya Kajla</v>
      </c>
      <c r="C115" s="68">
        <f>IFERROR(__xludf.DUMMYFUNCTION("""COMPUTED_VALUE"""),103.0)</f>
        <v>103</v>
      </c>
      <c r="D115" s="69">
        <f>IFERROR(__xludf.DUMMYFUNCTION("""COMPUTED_VALUE"""),9.0)</f>
        <v>9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IFERROR(__xludf.DUMMYFUNCTION("""COMPUTED_VALUE"""),6.0)</f>
        <v>6</v>
      </c>
      <c r="J115" s="70">
        <f>IFERROR(__xludf.DUMMYFUNCTION("""COMPUTED_VALUE"""),3.0)</f>
        <v>3</v>
      </c>
      <c r="K115" s="70">
        <f>IFERROR(__xludf.DUMMYFUNCTION("""COMPUTED_VALUE"""),15.0)</f>
        <v>15</v>
      </c>
      <c r="L115" s="70">
        <f>IFERROR(__xludf.DUMMYFUNCTION("""COMPUTED_VALUE"""),0.0)</f>
        <v>0</v>
      </c>
      <c r="M115" s="70">
        <f>IFERROR(__xludf.DUMMYFUNCTION("""COMPUTED_VALUE"""),118.0)</f>
        <v>118</v>
      </c>
      <c r="N115" s="71">
        <f>IFERROR(__xludf.DUMMYFUNCTION("""COMPUTED_VALUE"""),9.0)</f>
        <v>9</v>
      </c>
    </row>
    <row r="116">
      <c r="A116" s="1"/>
      <c r="B116" s="62" t="str">
        <f>IFERROR(__xludf.DUMMYFUNCTION("""COMPUTED_VALUE"""),"Jimmy Awolesi")</f>
        <v>Jimmy Awolesi</v>
      </c>
      <c r="C116" s="63">
        <f>IFERROR(__xludf.DUMMYFUNCTION("""COMPUTED_VALUE"""),103.0)</f>
        <v>103</v>
      </c>
      <c r="D116" s="64">
        <f>IFERROR(__xludf.DUMMYFUNCTION("""COMPUTED_VALUE"""),8.0)</f>
        <v>8</v>
      </c>
      <c r="E116" s="63">
        <f>IFERROR(__xludf.DUMMYFUNCTION("""COMPUTED_VALUE"""),1.0)</f>
        <v>1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IFERROR(__xludf.DUMMYFUNCTION("""COMPUTED_VALUE"""),7.0)</f>
        <v>7</v>
      </c>
      <c r="I116" s="65">
        <f>IFERROR(__xludf.DUMMYFUNCTION("""COMPUTED_VALUE"""),4.0)</f>
        <v>4</v>
      </c>
      <c r="J116" s="65">
        <f>IFERROR(__xludf.DUMMYFUNCTION("""COMPUTED_VALUE"""),1.0)</f>
        <v>1</v>
      </c>
      <c r="K116" s="65">
        <f>IFERROR(__xludf.DUMMYFUNCTION("""COMPUTED_VALUE"""),12.0)</f>
        <v>12</v>
      </c>
      <c r="L116" s="65">
        <f>IFERROR(__xludf.DUMMYFUNCTION("""COMPUTED_VALUE"""),1.0)</f>
        <v>1</v>
      </c>
      <c r="M116" s="65">
        <f>IFERROR(__xludf.DUMMYFUNCTION("""COMPUTED_VALUE"""),115.0)</f>
        <v>115</v>
      </c>
      <c r="N116" s="66">
        <f>IFERROR(__xludf.DUMMYFUNCTION("""COMPUTED_VALUE"""),9.0)</f>
        <v>9</v>
      </c>
    </row>
    <row r="117">
      <c r="A117" s="1"/>
      <c r="B117" s="62" t="str">
        <f>IFERROR(__xludf.DUMMYFUNCTION("""COMPUTED_VALUE"""),"Sudhagar Subbaian")</f>
        <v>Sudhagar Subbaian</v>
      </c>
      <c r="C117" s="63">
        <f>IFERROR(__xludf.DUMMYFUNCTION("""COMPUTED_VALUE"""),102.0)</f>
        <v>102</v>
      </c>
      <c r="D117" s="64">
        <f>IFERROR(__xludf.DUMMYFUNCTION("""COMPUTED_VALUE"""),4.0)</f>
        <v>4</v>
      </c>
      <c r="E117" s="63">
        <f>IFERROR(__xludf.DUMMYFUNCTION("""COMPUTED_VALUE"""),1.0)</f>
        <v>1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IFERROR(__xludf.DUMMYFUNCTION("""COMPUTED_VALUE"""),5.0)</f>
        <v>5</v>
      </c>
      <c r="I117" s="65">
        <f>IFERROR(__xludf.DUMMYFUNCTION("""COMPUTED_VALUE"""),4.0)</f>
        <v>4</v>
      </c>
      <c r="J117" s="65">
        <f>IFERROR(__xludf.DUMMYFUNCTION("""COMPUTED_VALUE"""),6.0)</f>
        <v>6</v>
      </c>
      <c r="K117" s="65">
        <f>IFERROR(__xludf.DUMMYFUNCTION("""COMPUTED_VALUE"""),15.0)</f>
        <v>15</v>
      </c>
      <c r="L117" s="65">
        <f>IFERROR(__xludf.DUMMYFUNCTION("""COMPUTED_VALUE"""),1.0)</f>
        <v>1</v>
      </c>
      <c r="M117" s="65">
        <f>IFERROR(__xludf.DUMMYFUNCTION("""COMPUTED_VALUE"""),117.0)</f>
        <v>117</v>
      </c>
      <c r="N117" s="66">
        <f>IFERROR(__xludf.DUMMYFUNCTION("""COMPUTED_VALUE"""),5.0)</f>
        <v>5</v>
      </c>
    </row>
    <row r="118">
      <c r="A118" s="1"/>
      <c r="B118" s="62" t="str">
        <f>IFERROR(__xludf.DUMMYFUNCTION("""COMPUTED_VALUE"""),"Susanta Mishra")</f>
        <v>Susanta Mishra</v>
      </c>
      <c r="C118" s="63">
        <f>IFERROR(__xludf.DUMMYFUNCTION("""COMPUTED_VALUE"""),99.0)</f>
        <v>99</v>
      </c>
      <c r="D118" s="64">
        <f>IFERROR(__xludf.DUMMYFUNCTION("""COMPUTED_VALUE"""),3.0)</f>
        <v>3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IFERROR(__xludf.DUMMYFUNCTION("""COMPUTED_VALUE"""),7.0)</f>
        <v>7</v>
      </c>
      <c r="I118" s="65">
        <f>IFERROR(__xludf.DUMMYFUNCTION("""COMPUTED_VALUE"""),6.0)</f>
        <v>6</v>
      </c>
      <c r="J118" s="65">
        <f>IFERROR(__xludf.DUMMYFUNCTION("""COMPUTED_VALUE"""),6.0)</f>
        <v>6</v>
      </c>
      <c r="K118" s="65">
        <f>IFERROR(__xludf.DUMMYFUNCTION("""COMPUTED_VALUE"""),19.0)</f>
        <v>19</v>
      </c>
      <c r="L118" s="65">
        <f>IFERROR(__xludf.DUMMYFUNCTION("""COMPUTED_VALUE"""),3.0)</f>
        <v>3</v>
      </c>
      <c r="M118" s="65">
        <f>IFERROR(__xludf.DUMMYFUNCTION("""COMPUTED_VALUE"""),118.0)</f>
        <v>118</v>
      </c>
      <c r="N118" s="66">
        <f>IFERROR(__xludf.DUMMYFUNCTION("""COMPUTED_VALUE"""),6.0)</f>
        <v>6</v>
      </c>
    </row>
    <row r="119">
      <c r="A119" s="1"/>
      <c r="B119" s="62" t="str">
        <f>IFERROR(__xludf.DUMMYFUNCTION("""COMPUTED_VALUE"""),"Kumar Palakeel")</f>
        <v>Kumar Palakeel</v>
      </c>
      <c r="C119" s="63">
        <f>IFERROR(__xludf.DUMMYFUNCTION("""COMPUTED_VALUE"""),98.0)</f>
        <v>98</v>
      </c>
      <c r="D119" s="64">
        <f>IFERROR(__xludf.DUMMYFUNCTION("""COMPUTED_VALUE"""),9.0)</f>
        <v>9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IFERROR(__xludf.DUMMYFUNCTION("""COMPUTED_VALUE"""),5.0)</f>
        <v>5</v>
      </c>
      <c r="I119" s="65">
        <f>IFERROR(__xludf.DUMMYFUNCTION("""COMPUTED_VALUE"""),6.0)</f>
        <v>6</v>
      </c>
      <c r="J119" s="65">
        <f>IFERROR(__xludf.DUMMYFUNCTION("""COMPUTED_VALUE"""),1.0)</f>
        <v>1</v>
      </c>
      <c r="K119" s="65">
        <f>IFERROR(__xludf.DUMMYFUNCTION("""COMPUTED_VALUE"""),12.0)</f>
        <v>12</v>
      </c>
      <c r="L119" s="65">
        <f>IFERROR(__xludf.DUMMYFUNCTION("""COMPUTED_VALUE"""),1.0)</f>
        <v>1</v>
      </c>
      <c r="M119" s="65">
        <f>IFERROR(__xludf.DUMMYFUNCTION("""COMPUTED_VALUE"""),110.0)</f>
        <v>110</v>
      </c>
      <c r="N119" s="66">
        <f>IFERROR(__xludf.DUMMYFUNCTION("""COMPUTED_VALUE"""),10.0)</f>
        <v>10</v>
      </c>
    </row>
    <row r="120">
      <c r="A120" s="1"/>
      <c r="B120" s="67" t="str">
        <f>IFERROR(__xludf.DUMMYFUNCTION("""COMPUTED_VALUE"""),"Vishnu Amarnath")</f>
        <v>Vishnu Amarnath</v>
      </c>
      <c r="C120" s="68">
        <f>IFERROR(__xludf.DUMMYFUNCTION("""COMPUTED_VALUE"""),98.0)</f>
        <v>98</v>
      </c>
      <c r="D120" s="69">
        <f>IFERROR(__xludf.DUMMYFUNCTION("""COMPUTED_VALUE"""),8.0)</f>
        <v>8</v>
      </c>
      <c r="E120" s="68">
        <f>IFERROR(__xludf.DUMMYFUNCTION("""COMPUTED_VALUE"""),2.0)</f>
        <v>2</v>
      </c>
      <c r="F120" s="70">
        <f>IFERROR(__xludf.DUMMYFUNCTION("""COMPUTED_VALUE"""),8.0)</f>
        <v>8</v>
      </c>
      <c r="G120" s="70">
        <f>IFERROR(__xludf.DUMMYFUNCTION("""COMPUTED_VALUE"""),0.0)</f>
        <v>0</v>
      </c>
      <c r="H120" s="70">
        <f>IFERROR(__xludf.DUMMYFUNCTION("""COMPUTED_VALUE"""),6.0)</f>
        <v>6</v>
      </c>
      <c r="I120" s="70">
        <f>IFERROR(__xludf.DUMMYFUNCTION("""COMPUTED_VALUE"""),2.0)</f>
        <v>2</v>
      </c>
      <c r="J120" s="70">
        <f>IFERROR(__xludf.DUMMYFUNCTION("""COMPUTED_VALUE"""),6.0)</f>
        <v>6</v>
      </c>
      <c r="K120" s="70">
        <f>IFERROR(__xludf.DUMMYFUNCTION("""COMPUTED_VALUE"""),14.0)</f>
        <v>14</v>
      </c>
      <c r="L120" s="70">
        <f>IFERROR(__xludf.DUMMYFUNCTION("""COMPUTED_VALUE"""),2.0)</f>
        <v>2</v>
      </c>
      <c r="M120" s="70">
        <f>IFERROR(__xludf.DUMMYFUNCTION("""COMPUTED_VALUE"""),112.0)</f>
        <v>112</v>
      </c>
      <c r="N120" s="71">
        <f>IFERROR(__xludf.DUMMYFUNCTION("""COMPUTED_VALUE"""),10.0)</f>
        <v>10</v>
      </c>
    </row>
    <row r="121">
      <c r="A121" s="1"/>
      <c r="B121" s="67" t="str">
        <f>IFERROR(__xludf.DUMMYFUNCTION("""COMPUTED_VALUE"""),"Vinot Kumar Nagappan")</f>
        <v>Vinot Kumar Nagappan</v>
      </c>
      <c r="C121" s="68">
        <f>IFERROR(__xludf.DUMMYFUNCTION("""COMPUTED_VALUE"""),93.0)</f>
        <v>93</v>
      </c>
      <c r="D121" s="69">
        <f>IFERROR(__xludf.DUMMYFUNCTION("""COMPUTED_VALUE"""),1.0)</f>
        <v>1</v>
      </c>
      <c r="E121" s="68">
        <f>IFERROR(__xludf.DUMMYFUNCTION("""COMPUTED_VALUE"""),1.0)</f>
        <v>1</v>
      </c>
      <c r="F121" s="70">
        <f>IFERROR(__xludf.DUMMYFUNCTION("""COMPUTED_VALUE"""),8.0)</f>
        <v>8</v>
      </c>
      <c r="G121" s="70">
        <f>IFERROR(__xludf.DUMMYFUNCTION("""COMPUTED_VALUE"""),0.0)</f>
        <v>0</v>
      </c>
      <c r="H121" s="70">
        <f>IFERROR(__xludf.DUMMYFUNCTION("""COMPUTED_VALUE"""),6.0)</f>
        <v>6</v>
      </c>
      <c r="I121" s="70">
        <f>IFERROR(__xludf.DUMMYFUNCTION("""COMPUTED_VALUE"""),6.0)</f>
        <v>6</v>
      </c>
      <c r="J121" s="70">
        <f>IFERROR(__xludf.DUMMYFUNCTION("""COMPUTED_VALUE"""),3.0)</f>
        <v>3</v>
      </c>
      <c r="K121" s="70">
        <f>IFERROR(__xludf.DUMMYFUNCTION("""COMPUTED_VALUE"""),15.0)</f>
        <v>15</v>
      </c>
      <c r="L121" s="70">
        <f>IFERROR(__xludf.DUMMYFUNCTION("""COMPUTED_VALUE"""),2.0)</f>
        <v>2</v>
      </c>
      <c r="M121" s="70">
        <f>IFERROR(__xludf.DUMMYFUNCTION("""COMPUTED_VALUE"""),108.0)</f>
        <v>108</v>
      </c>
      <c r="N121" s="71">
        <f>IFERROR(__xludf.DUMMYFUNCTION("""COMPUTED_VALUE"""),3.0)</f>
        <v>3</v>
      </c>
    </row>
    <row r="122">
      <c r="A122" s="1"/>
      <c r="B122" s="67" t="str">
        <f>IFERROR(__xludf.DUMMYFUNCTION("""COMPUTED_VALUE"""),"Amit Patel")</f>
        <v>Amit Patel</v>
      </c>
      <c r="C122" s="68">
        <f>IFERROR(__xludf.DUMMYFUNCTION("""COMPUTED_VALUE"""),90.0)</f>
        <v>90</v>
      </c>
      <c r="D122" s="69">
        <f>IFERROR(__xludf.DUMMYFUNCTION("""COMPUTED_VALUE"""),0.0)</f>
        <v>0</v>
      </c>
      <c r="E122" s="68">
        <f>IFERROR(__xludf.DUMMYFUNCTION("""COMPUTED_VALUE"""),1.0)</f>
        <v>1</v>
      </c>
      <c r="F122" s="70">
        <f>IFERROR(__xludf.DUMMYFUNCTION("""COMPUTED_VALUE"""),8.0)</f>
        <v>8</v>
      </c>
      <c r="G122" s="70">
        <f>IFERROR(__xludf.DUMMYFUNCTION("""COMPUTED_VALUE"""),0.0)</f>
        <v>0</v>
      </c>
      <c r="H122" s="70">
        <f>IFERROR(__xludf.DUMMYFUNCTION("""COMPUTED_VALUE"""),3.0)</f>
        <v>3</v>
      </c>
      <c r="I122" s="70">
        <f>IFERROR(__xludf.DUMMYFUNCTION("""COMPUTED_VALUE"""),6.0)</f>
        <v>6</v>
      </c>
      <c r="J122" s="70">
        <f>IFERROR(__xludf.DUMMYFUNCTION("""COMPUTED_VALUE"""),6.0)</f>
        <v>6</v>
      </c>
      <c r="K122" s="70">
        <f>IFERROR(__xludf.DUMMYFUNCTION("""COMPUTED_VALUE"""),15.0)</f>
        <v>15</v>
      </c>
      <c r="L122" s="70">
        <f>IFERROR(__xludf.DUMMYFUNCTION("""COMPUTED_VALUE"""),2.0)</f>
        <v>2</v>
      </c>
      <c r="M122" s="70">
        <f>IFERROR(__xludf.DUMMYFUNCTION("""COMPUTED_VALUE"""),105.0)</f>
        <v>105</v>
      </c>
      <c r="N122" s="71">
        <f>IFERROR(__xludf.DUMMYFUNCTION("""COMPUTED_VALUE"""),2.0)</f>
        <v>2</v>
      </c>
    </row>
    <row r="123">
      <c r="A123" s="1"/>
      <c r="B123" s="67" t="str">
        <f>IFERROR(__xludf.DUMMYFUNCTION("""COMPUTED_VALUE"""),"Joyce Zhu")</f>
        <v>Joyce Zhu</v>
      </c>
      <c r="C123" s="68">
        <f>IFERROR(__xludf.DUMMYFUNCTION("""COMPUTED_VALUE"""),89.0)</f>
        <v>89</v>
      </c>
      <c r="D123" s="69">
        <f>IFERROR(__xludf.DUMMYFUNCTION("""COMPUTED_VALUE"""),3.0)</f>
        <v>3</v>
      </c>
      <c r="E123" s="68">
        <f>IFERROR(__xludf.DUMMYFUNCTION("""COMPUTED_VALUE"""),1.0)</f>
        <v>1</v>
      </c>
      <c r="F123" s="70">
        <f>IFERROR(__xludf.DUMMYFUNCTION("""COMPUTED_VALUE"""),8.0)</f>
        <v>8</v>
      </c>
      <c r="G123" s="70">
        <f>IFERROR(__xludf.DUMMYFUNCTION("""COMPUTED_VALUE"""),0.0)</f>
        <v>0</v>
      </c>
      <c r="H123" s="70">
        <f>IFERROR(__xludf.DUMMYFUNCTION("""COMPUTED_VALUE"""),3.0)</f>
        <v>3</v>
      </c>
      <c r="I123" s="70">
        <f>IFERROR(__xludf.DUMMYFUNCTION("""COMPUTED_VALUE"""),2.0)</f>
        <v>2</v>
      </c>
      <c r="J123" s="70">
        <f>IFERROR(__xludf.DUMMYFUNCTION("""COMPUTED_VALUE"""),3.0)</f>
        <v>3</v>
      </c>
      <c r="K123" s="70">
        <f>IFERROR(__xludf.DUMMYFUNCTION("""COMPUTED_VALUE"""),8.0)</f>
        <v>8</v>
      </c>
      <c r="L123" s="70"/>
      <c r="M123" s="70">
        <f>IFERROR(__xludf.DUMMYFUNCTION("""COMPUTED_VALUE"""),97.0)</f>
        <v>97</v>
      </c>
      <c r="N123" s="71">
        <f>IFERROR(__xludf.DUMMYFUNCTION("""COMPUTED_VALUE"""),3.0)</f>
        <v>3</v>
      </c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0"")"),"Eric Pan")</f>
        <v>Eric Pan</v>
      </c>
      <c r="C136" s="63">
        <f>IFERROR(__xludf.DUMMYFUNCTION("""COMPUTED_VALUE"""),140.0)</f>
        <v>140</v>
      </c>
      <c r="D136" s="64">
        <f>IFERROR(__xludf.DUMMYFUNCTION("""COMPUTED_VALUE"""),15.0)</f>
        <v>15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IFERROR(__xludf.DUMMYFUNCTION("""COMPUTED_VALUE"""),149.0)</f>
        <v>149</v>
      </c>
      <c r="N136" s="66">
        <f>IFERROR(__xludf.DUMMYFUNCTION("""COMPUTED_VALUE"""),15.0)</f>
        <v>15</v>
      </c>
    </row>
    <row r="137">
      <c r="A137" s="1"/>
      <c r="B137" s="62" t="str">
        <f>IFERROR(__xludf.DUMMYFUNCTION("""COMPUTED_VALUE"""),"Adrian Tay")</f>
        <v>Adrian Tay</v>
      </c>
      <c r="C137" s="63">
        <f>IFERROR(__xludf.DUMMYFUNCTION("""COMPUTED_VALUE"""),140.0)</f>
        <v>140</v>
      </c>
      <c r="D137" s="64">
        <f>IFERROR(__xludf.DUMMYFUNCTION("""COMPUTED_VALUE"""),15.0)</f>
        <v>15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IFERROR(__xludf.DUMMYFUNCTION("""COMPUTED_VALUE"""),149.0)</f>
        <v>149</v>
      </c>
      <c r="N137" s="66">
        <f>IFERROR(__xludf.DUMMYFUNCTION("""COMPUTED_VALUE"""),15.0)</f>
        <v>15</v>
      </c>
    </row>
    <row r="138">
      <c r="A138" s="1"/>
      <c r="B138" s="62" t="str">
        <f>IFERROR(__xludf.DUMMYFUNCTION("""COMPUTED_VALUE"""),"Lam Bui")</f>
        <v>Lam Bui</v>
      </c>
      <c r="C138" s="63">
        <f>IFERROR(__xludf.DUMMYFUNCTION("""COMPUTED_VALUE"""),139.0)</f>
        <v>139</v>
      </c>
      <c r="D138" s="64">
        <f>IFERROR(__xludf.DUMMYFUNCTION("""COMPUTED_VALUE"""),11.0)</f>
        <v>11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IFERROR(__xludf.DUMMYFUNCTION("""COMPUTED_VALUE"""),148.0)</f>
        <v>148</v>
      </c>
      <c r="N138" s="66">
        <f>IFERROR(__xludf.DUMMYFUNCTION("""COMPUTED_VALUE"""),11.0)</f>
        <v>11</v>
      </c>
    </row>
    <row r="139">
      <c r="A139" s="1"/>
      <c r="B139" s="62" t="str">
        <f>IFERROR(__xludf.DUMMYFUNCTION("""COMPUTED_VALUE"""),"Jonathan Phan")</f>
        <v>Jonathan Phan</v>
      </c>
      <c r="C139" s="63">
        <f>IFERROR(__xludf.DUMMYFUNCTION("""COMPUTED_VALUE"""),132.0)</f>
        <v>132</v>
      </c>
      <c r="D139" s="64">
        <f>IFERROR(__xludf.DUMMYFUNCTION("""COMPUTED_VALUE"""),11.0)</f>
        <v>11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IFERROR(__xludf.DUMMYFUNCTION("""COMPUTED_VALUE"""),141.0)</f>
        <v>141</v>
      </c>
      <c r="N139" s="66">
        <f>IFERROR(__xludf.DUMMYFUNCTION("""COMPUTED_VALUE"""),11.0)</f>
        <v>11</v>
      </c>
    </row>
    <row r="140">
      <c r="A140" s="1"/>
      <c r="B140" s="62" t="str">
        <f>IFERROR(__xludf.DUMMYFUNCTION("""COMPUTED_VALUE"""),"Kingsley Kuo")</f>
        <v>Kingsley Kuo</v>
      </c>
      <c r="C140" s="63">
        <f>IFERROR(__xludf.DUMMYFUNCTION("""COMPUTED_VALUE"""),125.0)</f>
        <v>125</v>
      </c>
      <c r="D140" s="64">
        <f>IFERROR(__xludf.DUMMYFUNCTION("""COMPUTED_VALUE"""),11.0)</f>
        <v>11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IFERROR(__xludf.DUMMYFUNCTION("""COMPUTED_VALUE"""),134.0)</f>
        <v>134</v>
      </c>
      <c r="N140" s="66">
        <f>IFERROR(__xludf.DUMMYFUNCTION("""COMPUTED_VALUE"""),11.0)</f>
        <v>11</v>
      </c>
    </row>
    <row r="141">
      <c r="A141" s="1"/>
      <c r="B141" s="62" t="str">
        <f>IFERROR(__xludf.DUMMYFUNCTION("""COMPUTED_VALUE"""),"Andrew Chin")</f>
        <v>Andrew Chin</v>
      </c>
      <c r="C141" s="63">
        <f>IFERROR(__xludf.DUMMYFUNCTION("""COMPUTED_VALUE"""),121.0)</f>
        <v>121</v>
      </c>
      <c r="D141" s="64">
        <f>IFERROR(__xludf.DUMMYFUNCTION("""COMPUTED_VALUE"""),10.0)</f>
        <v>10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IFERROR(__xludf.DUMMYFUNCTION("""COMPUTED_VALUE"""),130.0)</f>
        <v>130</v>
      </c>
      <c r="N141" s="66">
        <f>IFERROR(__xludf.DUMMYFUNCTION("""COMPUTED_VALUE"""),10.0)</f>
        <v>10</v>
      </c>
    </row>
    <row r="142">
      <c r="A142" s="1"/>
      <c r="B142" s="62" t="str">
        <f>IFERROR(__xludf.DUMMYFUNCTION("""COMPUTED_VALUE"""),"Pavan Akkimsetty")</f>
        <v>Pavan Akkimsetty</v>
      </c>
      <c r="C142" s="63">
        <f>IFERROR(__xludf.DUMMYFUNCTION("""COMPUTED_VALUE"""),120.0)</f>
        <v>120</v>
      </c>
      <c r="D142" s="64">
        <f>IFERROR(__xludf.DUMMYFUNCTION("""COMPUTED_VALUE"""),11.0)</f>
        <v>11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IFERROR(__xludf.DUMMYFUNCTION("""COMPUTED_VALUE"""),129.0)</f>
        <v>129</v>
      </c>
      <c r="N142" s="66">
        <f>IFERROR(__xludf.DUMMYFUNCTION("""COMPUTED_VALUE"""),11.0)</f>
        <v>11</v>
      </c>
    </row>
    <row r="143">
      <c r="A143" s="1"/>
      <c r="B143" s="62" t="str">
        <f>IFERROR(__xludf.DUMMYFUNCTION("""COMPUTED_VALUE"""),"Oscar Bonilla")</f>
        <v>Oscar Bonilla</v>
      </c>
      <c r="C143" s="63">
        <f>IFERROR(__xludf.DUMMYFUNCTION("""COMPUTED_VALUE"""),118.0)</f>
        <v>118</v>
      </c>
      <c r="D143" s="64">
        <f>IFERROR(__xludf.DUMMYFUNCTION("""COMPUTED_VALUE"""),8.0)</f>
        <v>8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IFERROR(__xludf.DUMMYFUNCTION("""COMPUTED_VALUE"""),127.0)</f>
        <v>127</v>
      </c>
      <c r="N143" s="66">
        <f>IFERROR(__xludf.DUMMYFUNCTION("""COMPUTED_VALUE"""),8.0)</f>
        <v>8</v>
      </c>
    </row>
    <row r="144">
      <c r="A144" s="1"/>
      <c r="B144" s="62" t="str">
        <f>IFERROR(__xludf.DUMMYFUNCTION("""COMPUTED_VALUE"""),"Scott Li")</f>
        <v>Scott Li</v>
      </c>
      <c r="C144" s="63">
        <f>IFERROR(__xludf.DUMMYFUNCTION("""COMPUTED_VALUE"""),116.0)</f>
        <v>116</v>
      </c>
      <c r="D144" s="64">
        <f>IFERROR(__xludf.DUMMYFUNCTION("""COMPUTED_VALUE"""),11.0)</f>
        <v>11</v>
      </c>
      <c r="E144" s="63">
        <f>IFERROR(__xludf.DUMMYFUNCTION("""COMPUTED_VALUE"""),0.0)</f>
        <v>0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IFERROR(__xludf.DUMMYFUNCTION("""COMPUTED_VALUE"""),125.0)</f>
        <v>125</v>
      </c>
      <c r="N144" s="66">
        <f>IFERROR(__xludf.DUMMYFUNCTION("""COMPUTED_VALUE"""),11.0)</f>
        <v>11</v>
      </c>
    </row>
    <row r="145">
      <c r="A145" s="1"/>
      <c r="B145" s="62" t="str">
        <f>IFERROR(__xludf.DUMMYFUNCTION("""COMPUTED_VALUE"""),"Christopher Li")</f>
        <v>Christopher Li</v>
      </c>
      <c r="C145" s="63">
        <f>IFERROR(__xludf.DUMMYFUNCTION("""COMPUTED_VALUE"""),116.0)</f>
        <v>116</v>
      </c>
      <c r="D145" s="64">
        <f>IFERROR(__xludf.DUMMYFUNCTION("""COMPUTED_VALUE"""),10.0)</f>
        <v>10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IFERROR(__xludf.DUMMYFUNCTION("""COMPUTED_VALUE"""),125.0)</f>
        <v>125</v>
      </c>
      <c r="N145" s="66">
        <f>IFERROR(__xludf.DUMMYFUNCTION("""COMPUTED_VALUE"""),10.0)</f>
        <v>10</v>
      </c>
    </row>
    <row r="146">
      <c r="A146" s="1"/>
      <c r="B146" s="62" t="str">
        <f>IFERROR(__xludf.DUMMYFUNCTION("""COMPUTED_VALUE"""),"Matthew Huang")</f>
        <v>Matthew Huang</v>
      </c>
      <c r="C146" s="63">
        <f>IFERROR(__xludf.DUMMYFUNCTION("""COMPUTED_VALUE"""),115.0)</f>
        <v>115</v>
      </c>
      <c r="D146" s="64">
        <f>IFERROR(__xludf.DUMMYFUNCTION("""COMPUTED_VALUE"""),7.0)</f>
        <v>7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IFERROR(__xludf.DUMMYFUNCTION("""COMPUTED_VALUE"""),124.0)</f>
        <v>124</v>
      </c>
      <c r="N146" s="66">
        <f>IFERROR(__xludf.DUMMYFUNCTION("""COMPUTED_VALUE"""),7.0)</f>
        <v>7</v>
      </c>
    </row>
    <row r="147">
      <c r="A147" s="1"/>
      <c r="B147" s="62" t="str">
        <f>IFERROR(__xludf.DUMMYFUNCTION("""COMPUTED_VALUE"""),"Savay Lieu")</f>
        <v>Savay Lieu</v>
      </c>
      <c r="C147" s="63">
        <f>IFERROR(__xludf.DUMMYFUNCTION("""COMPUTED_VALUE"""),113.0)</f>
        <v>113</v>
      </c>
      <c r="D147" s="64">
        <f>IFERROR(__xludf.DUMMYFUNCTION("""COMPUTED_VALUE"""),5.0)</f>
        <v>5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IFERROR(__xludf.DUMMYFUNCTION("""COMPUTED_VALUE"""),122.0)</f>
        <v>122</v>
      </c>
      <c r="N147" s="66">
        <f>IFERROR(__xludf.DUMMYFUNCTION("""COMPUTED_VALUE"""),5.0)</f>
        <v>5</v>
      </c>
    </row>
    <row r="148">
      <c r="A148" s="1"/>
      <c r="B148" s="62" t="str">
        <f>IFERROR(__xludf.DUMMYFUNCTION("""COMPUTED_VALUE"""),"Sandy Weyant")</f>
        <v>Sandy Weyant</v>
      </c>
      <c r="C148" s="63">
        <f>IFERROR(__xludf.DUMMYFUNCTION("""COMPUTED_VALUE"""),111.0)</f>
        <v>111</v>
      </c>
      <c r="D148" s="64">
        <f>IFERROR(__xludf.DUMMYFUNCTION("""COMPUTED_VALUE"""),7.0)</f>
        <v>7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IFERROR(__xludf.DUMMYFUNCTION("""COMPUTED_VALUE"""),120.0)</f>
        <v>120</v>
      </c>
      <c r="N148" s="66">
        <f>IFERROR(__xludf.DUMMYFUNCTION("""COMPUTED_VALUE"""),7.0)</f>
        <v>7</v>
      </c>
    </row>
    <row r="149">
      <c r="A149" s="1"/>
      <c r="B149" s="62" t="str">
        <f>IFERROR(__xludf.DUMMYFUNCTION("""COMPUTED_VALUE"""),"David Tam")</f>
        <v>David Tam</v>
      </c>
      <c r="C149" s="63">
        <f>IFERROR(__xludf.DUMMYFUNCTION("""COMPUTED_VALUE"""),110.0)</f>
        <v>110</v>
      </c>
      <c r="D149" s="64">
        <f>IFERROR(__xludf.DUMMYFUNCTION("""COMPUTED_VALUE"""),10.0)</f>
        <v>10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IFERROR(__xludf.DUMMYFUNCTION("""COMPUTED_VALUE"""),119.0)</f>
        <v>119</v>
      </c>
      <c r="N149" s="66">
        <f>IFERROR(__xludf.DUMMYFUNCTION("""COMPUTED_VALUE"""),10.0)</f>
        <v>10</v>
      </c>
    </row>
    <row r="150">
      <c r="A150" s="1"/>
      <c r="B150" s="62" t="str">
        <f>IFERROR(__xludf.DUMMYFUNCTION("""COMPUTED_VALUE"""),"Naveen Raj")</f>
        <v>Naveen Raj</v>
      </c>
      <c r="C150" s="63">
        <f>IFERROR(__xludf.DUMMYFUNCTION("""COMPUTED_VALUE"""),110.0)</f>
        <v>110</v>
      </c>
      <c r="D150" s="64">
        <f>IFERROR(__xludf.DUMMYFUNCTION("""COMPUTED_VALUE"""),7.0)</f>
        <v>7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IFERROR(__xludf.DUMMYFUNCTION("""COMPUTED_VALUE"""),119.0)</f>
        <v>119</v>
      </c>
      <c r="N150" s="66">
        <f>IFERROR(__xludf.DUMMYFUNCTION("""COMPUTED_VALUE"""),7.0)</f>
        <v>7</v>
      </c>
    </row>
    <row r="151">
      <c r="A151" s="1"/>
      <c r="B151" s="62" t="str">
        <f>IFERROR(__xludf.DUMMYFUNCTION("""COMPUTED_VALUE"""),"Pulkit Mathur")</f>
        <v>Pulkit Mathur</v>
      </c>
      <c r="C151" s="63">
        <f>IFERROR(__xludf.DUMMYFUNCTION("""COMPUTED_VALUE"""),108.0)</f>
        <v>108</v>
      </c>
      <c r="D151" s="64">
        <f>IFERROR(__xludf.DUMMYFUNCTION("""COMPUTED_VALUE"""),6.0)</f>
        <v>6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IFERROR(__xludf.DUMMYFUNCTION("""COMPUTED_VALUE"""),117.0)</f>
        <v>117</v>
      </c>
      <c r="N151" s="66">
        <f>IFERROR(__xludf.DUMMYFUNCTION("""COMPUTED_VALUE"""),6.0)</f>
        <v>6</v>
      </c>
    </row>
    <row r="152">
      <c r="A152" s="1"/>
      <c r="B152" s="62" t="str">
        <f>IFERROR(__xludf.DUMMYFUNCTION("""COMPUTED_VALUE"""),"Trinath Goteti")</f>
        <v>Trinath Goteti</v>
      </c>
      <c r="C152" s="63">
        <f>IFERROR(__xludf.DUMMYFUNCTION("""COMPUTED_VALUE"""),108.0)</f>
        <v>108</v>
      </c>
      <c r="D152" s="64">
        <f>IFERROR(__xludf.DUMMYFUNCTION("""COMPUTED_VALUE"""),5.0)</f>
        <v>5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IFERROR(__xludf.DUMMYFUNCTION("""COMPUTED_VALUE"""),117.0)</f>
        <v>117</v>
      </c>
      <c r="N152" s="66">
        <f>IFERROR(__xludf.DUMMYFUNCTION("""COMPUTED_VALUE"""),5.0)</f>
        <v>5</v>
      </c>
    </row>
    <row r="153">
      <c r="A153" s="1"/>
      <c r="B153" s="62" t="str">
        <f>IFERROR(__xludf.DUMMYFUNCTION("""COMPUTED_VALUE"""),"Robert Chang")</f>
        <v>Robert Chang</v>
      </c>
      <c r="C153" s="63">
        <f>IFERROR(__xludf.DUMMYFUNCTION("""COMPUTED_VALUE"""),108.0)</f>
        <v>108</v>
      </c>
      <c r="D153" s="64">
        <f>IFERROR(__xludf.DUMMYFUNCTION("""COMPUTED_VALUE"""),4.0)</f>
        <v>4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IFERROR(__xludf.DUMMYFUNCTION("""COMPUTED_VALUE"""),117.0)</f>
        <v>117</v>
      </c>
      <c r="N153" s="66">
        <f>IFERROR(__xludf.DUMMYFUNCTION("""COMPUTED_VALUE"""),4.0)</f>
        <v>4</v>
      </c>
    </row>
    <row r="154">
      <c r="A154" s="1"/>
      <c r="B154" s="62" t="str">
        <f>IFERROR(__xludf.DUMMYFUNCTION("""COMPUTED_VALUE"""),"Alejandro Mejia")</f>
        <v>Alejandro Mejia</v>
      </c>
      <c r="C154" s="63">
        <f>IFERROR(__xludf.DUMMYFUNCTION("""COMPUTED_VALUE"""),106.0)</f>
        <v>106</v>
      </c>
      <c r="D154" s="64">
        <f>IFERROR(__xludf.DUMMYFUNCTION("""COMPUTED_VALUE"""),4.0)</f>
        <v>4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IFERROR(__xludf.DUMMYFUNCTION("""COMPUTED_VALUE"""),115.0)</f>
        <v>115</v>
      </c>
      <c r="N154" s="66">
        <f>IFERROR(__xludf.DUMMYFUNCTION("""COMPUTED_VALUE"""),4.0)</f>
        <v>4</v>
      </c>
    </row>
    <row r="155">
      <c r="A155" s="1"/>
      <c r="B155" s="62" t="str">
        <f>IFERROR(__xludf.DUMMYFUNCTION("""COMPUTED_VALUE"""),"Rosie Bonilla")</f>
        <v>Rosie Bonilla</v>
      </c>
      <c r="C155" s="63">
        <f>IFERROR(__xludf.DUMMYFUNCTION("""COMPUTED_VALUE"""),105.0)</f>
        <v>105</v>
      </c>
      <c r="D155" s="64">
        <f>IFERROR(__xludf.DUMMYFUNCTION("""COMPUTED_VALUE"""),2.0)</f>
        <v>2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IFERROR(__xludf.DUMMYFUNCTION("""COMPUTED_VALUE"""),114.0)</f>
        <v>114</v>
      </c>
      <c r="N155" s="66">
        <f>IFERROR(__xludf.DUMMYFUNCTION("""COMPUTED_VALUE"""),2.0)</f>
        <v>2</v>
      </c>
    </row>
    <row r="156">
      <c r="A156" s="1"/>
      <c r="B156" s="62" t="str">
        <f>IFERROR(__xludf.DUMMYFUNCTION("""COMPUTED_VALUE"""),"Marcus Yovas")</f>
        <v>Marcus Yovas</v>
      </c>
      <c r="C156" s="63">
        <f>IFERROR(__xludf.DUMMYFUNCTION("""COMPUTED_VALUE"""),103.0)</f>
        <v>103</v>
      </c>
      <c r="D156" s="64">
        <f>IFERROR(__xludf.DUMMYFUNCTION("""COMPUTED_VALUE"""),2.0)</f>
        <v>2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IFERROR(__xludf.DUMMYFUNCTION("""COMPUTED_VALUE"""),112.0)</f>
        <v>112</v>
      </c>
      <c r="N156" s="66">
        <f>IFERROR(__xludf.DUMMYFUNCTION("""COMPUTED_VALUE"""),2.0)</f>
        <v>2</v>
      </c>
    </row>
    <row r="157">
      <c r="A157" s="1"/>
      <c r="B157" s="62" t="str">
        <f>IFERROR(__xludf.DUMMYFUNCTION("""COMPUTED_VALUE"""),"Nohely Mejia")</f>
        <v>Nohely Mejia</v>
      </c>
      <c r="C157" s="63">
        <f>IFERROR(__xludf.DUMMYFUNCTION("""COMPUTED_VALUE"""),103.0)</f>
        <v>103</v>
      </c>
      <c r="D157" s="64">
        <f>IFERROR(__xludf.DUMMYFUNCTION("""COMPUTED_VALUE"""),2.0)</f>
        <v>2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IFERROR(__xludf.DUMMYFUNCTION("""COMPUTED_VALUE"""),112.0)</f>
        <v>112</v>
      </c>
      <c r="N157" s="66">
        <f>IFERROR(__xludf.DUMMYFUNCTION("""COMPUTED_VALUE"""),2.0)</f>
        <v>2</v>
      </c>
    </row>
    <row r="158">
      <c r="A158" s="1"/>
      <c r="B158" s="62" t="str">
        <f>IFERROR(__xludf.DUMMYFUNCTION("""COMPUTED_VALUE"""),"Santosh Sundaresan ")</f>
        <v>Santosh Sundaresan </v>
      </c>
      <c r="C158" s="63">
        <f>IFERROR(__xludf.DUMMYFUNCTION("""COMPUTED_VALUE"""),102.0)</f>
        <v>102</v>
      </c>
      <c r="D158" s="64">
        <f>IFERROR(__xludf.DUMMYFUNCTION("""COMPUTED_VALUE"""),2.0)</f>
        <v>2</v>
      </c>
      <c r="E158" s="63">
        <f>IFERROR(__xludf.DUMMYFUNCTION("""COMPUTED_VALUE"""),0.0)</f>
        <v>0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IFERROR(__xludf.DUMMYFUNCTION("""COMPUTED_VALUE"""),111.0)</f>
        <v>111</v>
      </c>
      <c r="N158" s="66">
        <f>IFERROR(__xludf.DUMMYFUNCTION("""COMPUTED_VALUE"""),2.0)</f>
        <v>2</v>
      </c>
    </row>
    <row r="159">
      <c r="A159" s="1"/>
      <c r="B159" s="62" t="str">
        <f>IFERROR(__xludf.DUMMYFUNCTION("""COMPUTED_VALUE"""),"Ash Nikravan")</f>
        <v>Ash Nikravan</v>
      </c>
      <c r="C159" s="63">
        <f>IFERROR(__xludf.DUMMYFUNCTION("""COMPUTED_VALUE"""),101.0)</f>
        <v>101</v>
      </c>
      <c r="D159" s="64">
        <f>IFERROR(__xludf.DUMMYFUNCTION("""COMPUTED_VALUE"""),5.0)</f>
        <v>5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IFERROR(__xludf.DUMMYFUNCTION("""COMPUTED_VALUE"""),110.0)</f>
        <v>110</v>
      </c>
      <c r="N159" s="66">
        <f>IFERROR(__xludf.DUMMYFUNCTION("""COMPUTED_VALUE"""),5.0)</f>
        <v>5</v>
      </c>
    </row>
    <row r="160">
      <c r="A160" s="1"/>
      <c r="B160" s="62" t="str">
        <f>IFERROR(__xludf.DUMMYFUNCTION("""COMPUTED_VALUE"""),"Troy Wong")</f>
        <v>Troy Wong</v>
      </c>
      <c r="C160" s="63">
        <f>IFERROR(__xludf.DUMMYFUNCTION("""COMPUTED_VALUE"""),100.0)</f>
        <v>100</v>
      </c>
      <c r="D160" s="64">
        <f>IFERROR(__xludf.DUMMYFUNCTION("""COMPUTED_VALUE"""),4.0)</f>
        <v>4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IFERROR(__xludf.DUMMYFUNCTION("""COMPUTED_VALUE"""),109.0)</f>
        <v>109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IFERROR(__xludf.DUMMYFUNCTION("""COMPUTED_VALUE"""),"Tony Lin")</f>
        <v>Tony Lin</v>
      </c>
      <c r="C161" s="63">
        <f>IFERROR(__xludf.DUMMYFUNCTION("""COMPUTED_VALUE"""),99.0)</f>
        <v>99</v>
      </c>
      <c r="D161" s="64">
        <f>IFERROR(__xludf.DUMMYFUNCTION("""COMPUTED_VALUE"""),3.0)</f>
        <v>3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IFERROR(__xludf.DUMMYFUNCTION("""COMPUTED_VALUE"""),108.0)</f>
        <v>108</v>
      </c>
      <c r="N161" s="66">
        <f>IFERROR(__xludf.DUMMYFUNCTION("""COMPUTED_VALUE"""),3.0)</f>
        <v>3</v>
      </c>
    </row>
    <row r="162">
      <c r="A162" s="1"/>
      <c r="B162" s="62" t="str">
        <f>IFERROR(__xludf.DUMMYFUNCTION("""COMPUTED_VALUE"""),"Chandrasekar Chinnathambi")</f>
        <v>Chandrasekar Chinnathambi</v>
      </c>
      <c r="C162" s="63">
        <f>IFERROR(__xludf.DUMMYFUNCTION("""COMPUTED_VALUE"""),97.0)</f>
        <v>97</v>
      </c>
      <c r="D162" s="64">
        <f>IFERROR(__xludf.DUMMYFUNCTION("""COMPUTED_VALUE"""),1.0)</f>
        <v>1</v>
      </c>
      <c r="E162" s="63">
        <f>IFERROR(__xludf.DUMMYFUNCTION("""COMPUTED_VALUE"""),0.0)</f>
        <v>0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IFERROR(__xludf.DUMMYFUNCTION("""COMPUTED_VALUE"""),106.0)</f>
        <v>106</v>
      </c>
      <c r="N162" s="66">
        <f>IFERROR(__xludf.DUMMYFUNCTION("""COMPUTED_VALUE"""),1.0)</f>
        <v>1</v>
      </c>
    </row>
    <row r="163">
      <c r="A163" s="1"/>
      <c r="B163" s="62" t="str">
        <f>IFERROR(__xludf.DUMMYFUNCTION("""COMPUTED_VALUE"""),"Sanjaye Elayattu")</f>
        <v>Sanjaye Elayattu</v>
      </c>
      <c r="C163" s="63">
        <f>IFERROR(__xludf.DUMMYFUNCTION("""COMPUTED_VALUE"""),94.0)</f>
        <v>94</v>
      </c>
      <c r="D163" s="64">
        <f>IFERROR(__xludf.DUMMYFUNCTION("""COMPUTED_VALUE"""),0.0)</f>
        <v>0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IFERROR(__xludf.DUMMYFUNCTION("""COMPUTED_VALUE"""),103.0)</f>
        <v>103</v>
      </c>
      <c r="N163" s="66">
        <f>IFERROR(__xludf.DUMMYFUNCTION("""COMPUTED_VALUE"""),0.0)</f>
        <v>0</v>
      </c>
    </row>
    <row r="164">
      <c r="A164" s="1"/>
      <c r="B164" s="62" t="str">
        <f>IFERROR(__xludf.DUMMYFUNCTION("""COMPUTED_VALUE"""),"Sai Dilip Ponnaganti")</f>
        <v>Sai Dilip Ponnaganti</v>
      </c>
      <c r="C164" s="63">
        <f>IFERROR(__xludf.DUMMYFUNCTION("""COMPUTED_VALUE"""),90.0)</f>
        <v>90</v>
      </c>
      <c r="D164" s="64">
        <f>IFERROR(__xludf.DUMMYFUNCTION("""COMPUTED_VALUE"""),0.0)</f>
        <v>0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IFERROR(__xludf.DUMMYFUNCTION("""COMPUTED_VALUE"""),99.0)</f>
        <v>99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IFERROR(__xludf.DUMMYFUNCTION("""COMPUTED_VALUE"""),"Vilas Janardhanan")</f>
        <v>Vilas Janardhanan</v>
      </c>
      <c r="C165" s="63">
        <f>IFERROR(__xludf.DUMMYFUNCTION("""COMPUTED_VALUE"""),90.0)</f>
        <v>90</v>
      </c>
      <c r="D165" s="64">
        <f>IFERROR(__xludf.DUMMYFUNCTION("""COMPUTED_VALUE"""),0.0)</f>
        <v>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IFERROR(__xludf.DUMMYFUNCTION("""COMPUTED_VALUE"""),99.0)</f>
        <v>99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IFERROR(__xludf.DUMMYFUNCTION("""COMPUTED_VALUE"""),"Coco Yan")</f>
        <v>Coco Yan</v>
      </c>
      <c r="C166" s="63">
        <f>IFERROR(__xludf.DUMMYFUNCTION("""COMPUTED_VALUE"""),90.0)</f>
        <v>90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IFERROR(__xludf.DUMMYFUNCTION("""COMPUTED_VALUE"""),99.0)</f>
        <v>99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IFERROR(__xludf.DUMMYFUNCTION("""COMPUTED_VALUE"""),"Tiffany Yu")</f>
        <v>Tiffany Yu</v>
      </c>
      <c r="C167" s="63">
        <f>IFERROR(__xludf.DUMMYFUNCTION("""COMPUTED_VALUE"""),89.0)</f>
        <v>89</v>
      </c>
      <c r="D167" s="64">
        <f>IFERROR(__xludf.DUMMYFUNCTION("""COMPUTED_VALUE"""),2.0)</f>
        <v>2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IFERROR(__xludf.DUMMYFUNCTION("""COMPUTED_VALUE"""),98.0)</f>
        <v>98</v>
      </c>
      <c r="N167" s="66">
        <f>IFERROR(__xludf.DUMMYFUNCTION("""COMPUTED_VALUE"""),2.0)</f>
        <v>2</v>
      </c>
    </row>
    <row r="168">
      <c r="A168" s="1"/>
      <c r="B168" s="62" t="str">
        <f>IFERROR(__xludf.DUMMYFUNCTION("""COMPUTED_VALUE"""),"Jose Ortiz")</f>
        <v>Jose Ortiz</v>
      </c>
      <c r="C168" s="63">
        <f>IFERROR(__xludf.DUMMYFUNCTION("""COMPUTED_VALUE"""),89.0)</f>
        <v>89</v>
      </c>
      <c r="D168" s="64">
        <f>IFERROR(__xludf.DUMMYFUNCTION("""COMPUTED_VALUE"""),2.0)</f>
        <v>2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IFERROR(__xludf.DUMMYFUNCTION("""COMPUTED_VALUE"""),98.0)</f>
        <v>98</v>
      </c>
      <c r="N168" s="66">
        <f>IFERROR(__xludf.DUMMYFUNCTION("""COMPUTED_VALUE"""),2.0)</f>
        <v>2</v>
      </c>
    </row>
    <row r="169">
      <c r="A169" s="1"/>
      <c r="B169" s="62"/>
      <c r="C169" s="63"/>
      <c r="D169" s="64"/>
      <c r="E169" s="63"/>
      <c r="F169" s="65"/>
      <c r="G169" s="65"/>
      <c r="H169" s="65"/>
      <c r="I169" s="65"/>
      <c r="J169" s="65"/>
      <c r="K169" s="65"/>
      <c r="L169" s="65"/>
      <c r="M169" s="65"/>
      <c r="N169" s="66"/>
    </row>
    <row r="170">
      <c r="A170" s="1"/>
      <c r="B170" s="62"/>
      <c r="C170" s="63"/>
      <c r="D170" s="64"/>
      <c r="E170" s="63"/>
      <c r="F170" s="65"/>
      <c r="G170" s="65"/>
      <c r="H170" s="65"/>
      <c r="I170" s="65"/>
      <c r="J170" s="65"/>
      <c r="K170" s="65"/>
      <c r="L170" s="65"/>
      <c r="M170" s="65"/>
      <c r="N170" s="66"/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45367.0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10.0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82</v>
      </c>
      <c r="C5" s="28">
        <v>131.0</v>
      </c>
      <c r="D5" s="29">
        <v>15.0</v>
      </c>
      <c r="E5" s="30">
        <v>3.0</v>
      </c>
      <c r="F5" s="31">
        <v>0.0</v>
      </c>
      <c r="G5" s="28">
        <v>9.0</v>
      </c>
      <c r="H5" s="31">
        <v>0.0</v>
      </c>
      <c r="I5" s="31">
        <v>0.0</v>
      </c>
      <c r="J5" s="31">
        <v>0.0</v>
      </c>
      <c r="K5" s="33">
        <v>9.0</v>
      </c>
      <c r="L5" s="31">
        <v>0.0</v>
      </c>
      <c r="M5" s="28">
        <f t="shared" ref="M5:N5" si="1">C5+K5</f>
        <v>140</v>
      </c>
      <c r="N5" s="29">
        <f t="shared" si="1"/>
        <v>15</v>
      </c>
      <c r="O5" s="35" t="s">
        <v>46</v>
      </c>
      <c r="P5" s="35" t="s">
        <v>46</v>
      </c>
      <c r="Q5" s="31">
        <f>if(G5=13,1,0)+VLOOKUP(B5,'030924'!B:Q,16,false)</f>
        <v>1</v>
      </c>
      <c r="R5" s="31"/>
      <c r="S5" s="31">
        <f>if(G5=9,1,0)+VLOOKUP(B5,'030924'!B:S,18,false)</f>
        <v>3</v>
      </c>
    </row>
    <row r="6">
      <c r="A6" s="26">
        <f t="shared" ref="A6:A69" si="3">A5+1</f>
        <v>2</v>
      </c>
      <c r="B6" s="27" t="s">
        <v>61</v>
      </c>
      <c r="C6" s="28">
        <v>127.0</v>
      </c>
      <c r="D6" s="29">
        <v>14.0</v>
      </c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f t="shared" ref="M6:N6" si="2">C6+K6</f>
        <v>136</v>
      </c>
      <c r="N6" s="29">
        <f t="shared" si="2"/>
        <v>14</v>
      </c>
      <c r="O6" s="35" t="s">
        <v>46</v>
      </c>
      <c r="P6" s="35" t="s">
        <v>46</v>
      </c>
      <c r="Q6" s="31">
        <f>if(G6=13,1,0)+VLOOKUP(B6,'030924'!B:Q,16,false)</f>
        <v>1</v>
      </c>
      <c r="R6" s="31"/>
      <c r="S6" s="31">
        <f>if(G6=9,1,0)+VLOOKUP(B6,'030924'!B:S,18,false)</f>
        <v>2</v>
      </c>
    </row>
    <row r="7">
      <c r="A7" s="26">
        <f t="shared" si="3"/>
        <v>3</v>
      </c>
      <c r="B7" s="27" t="s">
        <v>60</v>
      </c>
      <c r="C7" s="28">
        <v>123.0</v>
      </c>
      <c r="D7" s="29">
        <v>10.0</v>
      </c>
      <c r="E7" s="30">
        <v>1.0</v>
      </c>
      <c r="F7" s="31">
        <v>1.0</v>
      </c>
      <c r="G7" s="28">
        <v>0.0</v>
      </c>
      <c r="H7" s="31">
        <v>5.0</v>
      </c>
      <c r="I7" s="31">
        <v>5.0</v>
      </c>
      <c r="J7" s="31">
        <v>6.0</v>
      </c>
      <c r="K7" s="33">
        <v>16.0</v>
      </c>
      <c r="L7" s="31">
        <v>1.0</v>
      </c>
      <c r="M7" s="28">
        <f t="shared" ref="M7:N7" si="4">C7+K7</f>
        <v>139</v>
      </c>
      <c r="N7" s="29">
        <f t="shared" si="4"/>
        <v>11</v>
      </c>
      <c r="O7" s="35" t="s">
        <v>46</v>
      </c>
      <c r="P7" s="35" t="s">
        <v>46</v>
      </c>
      <c r="Q7" s="31">
        <f>if(G7=13,1,0)+VLOOKUP(B7,'030924'!B:Q,16,false)</f>
        <v>2</v>
      </c>
      <c r="R7" s="31"/>
      <c r="S7" s="31">
        <f>if(G7=9,1,0)+VLOOKUP(B7,'030924'!B:S,18,false)</f>
        <v>3</v>
      </c>
    </row>
    <row r="8">
      <c r="A8" s="26">
        <f t="shared" si="3"/>
        <v>4</v>
      </c>
      <c r="B8" s="27" t="s">
        <v>77</v>
      </c>
      <c r="C8" s="28">
        <v>123.0</v>
      </c>
      <c r="D8" s="29">
        <v>8.0</v>
      </c>
      <c r="E8" s="30">
        <v>3.0</v>
      </c>
      <c r="F8" s="31">
        <v>0.0</v>
      </c>
      <c r="G8" s="28">
        <v>9.0</v>
      </c>
      <c r="H8" s="31">
        <v>0.0</v>
      </c>
      <c r="I8" s="31">
        <v>0.0</v>
      </c>
      <c r="J8" s="31">
        <v>0.0</v>
      </c>
      <c r="K8" s="33">
        <v>9.0</v>
      </c>
      <c r="L8" s="31">
        <v>0.0</v>
      </c>
      <c r="M8" s="28">
        <f t="shared" ref="M8:N8" si="5">C8+K8</f>
        <v>132</v>
      </c>
      <c r="N8" s="29">
        <f t="shared" si="5"/>
        <v>8</v>
      </c>
      <c r="O8" s="35" t="s">
        <v>46</v>
      </c>
      <c r="P8" s="35" t="s">
        <v>46</v>
      </c>
      <c r="Q8" s="31">
        <f>if(G8=13,1,0)+VLOOKUP(B8,'030924'!B:Q,16,false)</f>
        <v>2</v>
      </c>
      <c r="R8" s="31"/>
      <c r="S8" s="31">
        <f>if(G8=9,1,0)+VLOOKUP(B8,'030924'!B:S,18,false)</f>
        <v>3</v>
      </c>
    </row>
    <row r="9">
      <c r="A9" s="26">
        <f t="shared" si="3"/>
        <v>5</v>
      </c>
      <c r="B9" s="27" t="s">
        <v>38</v>
      </c>
      <c r="C9" s="28">
        <v>120.0</v>
      </c>
      <c r="D9" s="29">
        <v>12.0</v>
      </c>
      <c r="E9" s="30">
        <v>2.0</v>
      </c>
      <c r="F9" s="31">
        <v>1.0</v>
      </c>
      <c r="G9" s="28">
        <v>0.0</v>
      </c>
      <c r="H9" s="31">
        <v>7.0</v>
      </c>
      <c r="I9" s="31">
        <v>7.0</v>
      </c>
      <c r="J9" s="31">
        <v>6.0</v>
      </c>
      <c r="K9" s="33">
        <v>20.0</v>
      </c>
      <c r="L9" s="31">
        <v>3.0</v>
      </c>
      <c r="M9" s="28">
        <f t="shared" ref="M9:N9" si="6">C9+K9</f>
        <v>140</v>
      </c>
      <c r="N9" s="29">
        <f t="shared" si="6"/>
        <v>15</v>
      </c>
      <c r="O9" s="35" t="s">
        <v>46</v>
      </c>
      <c r="P9" s="35" t="s">
        <v>46</v>
      </c>
      <c r="Q9" s="31">
        <f>if(G9=13,1,0)+VLOOKUP(B9,'030924'!B:Q,16,false)</f>
        <v>1</v>
      </c>
      <c r="R9" s="31"/>
      <c r="S9" s="31">
        <f>if(G9=9,1,0)+VLOOKUP(B9,'030924'!B:S,18,false)</f>
        <v>3</v>
      </c>
    </row>
    <row r="10">
      <c r="A10" s="26">
        <f t="shared" si="3"/>
        <v>6</v>
      </c>
      <c r="B10" s="27" t="s">
        <v>96</v>
      </c>
      <c r="C10" s="28">
        <v>120.0</v>
      </c>
      <c r="D10" s="29">
        <v>11.0</v>
      </c>
      <c r="E10" s="30">
        <v>2.0</v>
      </c>
      <c r="F10" s="31">
        <v>1.0</v>
      </c>
      <c r="G10" s="28">
        <v>0.0</v>
      </c>
      <c r="H10" s="31">
        <v>5.0</v>
      </c>
      <c r="I10" s="31">
        <v>7.0</v>
      </c>
      <c r="J10" s="31">
        <v>0.0</v>
      </c>
      <c r="K10" s="33">
        <v>12.0</v>
      </c>
      <c r="L10" s="31">
        <v>1.0</v>
      </c>
      <c r="M10" s="28">
        <f t="shared" ref="M10:N10" si="7">C10+K10</f>
        <v>132</v>
      </c>
      <c r="N10" s="29">
        <f t="shared" si="7"/>
        <v>12</v>
      </c>
      <c r="O10" s="35" t="s">
        <v>46</v>
      </c>
      <c r="P10" s="35" t="s">
        <v>46</v>
      </c>
      <c r="Q10" s="31">
        <f>if(G10=13,1,0)+VLOOKUP(B10,'030924'!B:Q,16,false)</f>
        <v>1</v>
      </c>
      <c r="R10" s="31"/>
      <c r="S10" s="31">
        <f>if(G10=9,1,0)+VLOOKUP(B10,'030924'!B:S,18,false)</f>
        <v>1</v>
      </c>
    </row>
    <row r="11">
      <c r="A11" s="26">
        <f t="shared" si="3"/>
        <v>7</v>
      </c>
      <c r="B11" s="27" t="s">
        <v>75</v>
      </c>
      <c r="C11" s="28">
        <v>120.0</v>
      </c>
      <c r="D11" s="29">
        <v>10.0</v>
      </c>
      <c r="E11" s="30">
        <v>1.0</v>
      </c>
      <c r="F11" s="31">
        <v>1.0</v>
      </c>
      <c r="G11" s="28">
        <v>0.0</v>
      </c>
      <c r="H11" s="31">
        <v>7.0</v>
      </c>
      <c r="I11" s="31">
        <v>5.0</v>
      </c>
      <c r="J11" s="31">
        <v>0.0</v>
      </c>
      <c r="K11" s="33">
        <v>12.0</v>
      </c>
      <c r="L11" s="31">
        <v>1.0</v>
      </c>
      <c r="M11" s="28">
        <f t="shared" ref="M11:N11" si="8">C11+K11</f>
        <v>132</v>
      </c>
      <c r="N11" s="29">
        <f t="shared" si="8"/>
        <v>11</v>
      </c>
      <c r="O11" s="35" t="s">
        <v>46</v>
      </c>
      <c r="P11" s="35" t="s">
        <v>46</v>
      </c>
      <c r="Q11" s="31">
        <f>if(G11=13,1,0)+VLOOKUP(B11,'030924'!B:Q,16,false)</f>
        <v>1</v>
      </c>
      <c r="R11" s="31"/>
      <c r="S11" s="31">
        <f>if(G11=9,1,0)+VLOOKUP(B11,'030924'!B:S,18,false)</f>
        <v>0</v>
      </c>
    </row>
    <row r="12">
      <c r="A12" s="26">
        <f t="shared" si="3"/>
        <v>8</v>
      </c>
      <c r="B12" s="27" t="s">
        <v>48</v>
      </c>
      <c r="C12" s="28">
        <v>119.0</v>
      </c>
      <c r="D12" s="29">
        <v>10.0</v>
      </c>
      <c r="E12" s="30">
        <v>1.0</v>
      </c>
      <c r="F12" s="31">
        <v>2.0</v>
      </c>
      <c r="G12" s="28">
        <v>0.0</v>
      </c>
      <c r="H12" s="31">
        <v>6.0</v>
      </c>
      <c r="I12" s="31">
        <v>6.0</v>
      </c>
      <c r="J12" s="31">
        <v>6.0</v>
      </c>
      <c r="K12" s="33">
        <v>18.0</v>
      </c>
      <c r="L12" s="31">
        <v>3.0</v>
      </c>
      <c r="M12" s="28">
        <f t="shared" ref="M12:N12" si="9">C12+K12</f>
        <v>137</v>
      </c>
      <c r="N12" s="29">
        <f t="shared" si="9"/>
        <v>13</v>
      </c>
      <c r="O12" s="35" t="s">
        <v>46</v>
      </c>
      <c r="P12" s="35" t="s">
        <v>46</v>
      </c>
      <c r="Q12" s="31">
        <f>if(G12=13,1,0)+VLOOKUP(B12,'030924'!B:Q,16,false)</f>
        <v>2</v>
      </c>
      <c r="R12" s="31"/>
      <c r="S12" s="31">
        <f>if(G12=9,1,0)+VLOOKUP(B12,'030924'!B:S,18,false)</f>
        <v>3</v>
      </c>
    </row>
    <row r="13">
      <c r="A13" s="26">
        <f t="shared" si="3"/>
        <v>9</v>
      </c>
      <c r="B13" s="39" t="s">
        <v>71</v>
      </c>
      <c r="C13" s="28">
        <v>116.0</v>
      </c>
      <c r="D13" s="29">
        <v>11.0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125</v>
      </c>
      <c r="N13" s="29">
        <f t="shared" si="10"/>
        <v>11</v>
      </c>
      <c r="O13" s="35" t="s">
        <v>46</v>
      </c>
      <c r="P13" s="35" t="s">
        <v>46</v>
      </c>
      <c r="Q13" s="31">
        <f>if(G13=13,1,0)+VLOOKUP(B13,'030924'!B:Q,16,false)</f>
        <v>0</v>
      </c>
      <c r="R13" s="31"/>
      <c r="S13" s="31">
        <f>if(G13=9,1,0)+VLOOKUP(B13,'030924'!B:S,18,false)</f>
        <v>4</v>
      </c>
    </row>
    <row r="14">
      <c r="A14" s="26">
        <f t="shared" si="3"/>
        <v>10</v>
      </c>
      <c r="B14" s="54" t="s">
        <v>95</v>
      </c>
      <c r="C14" s="28">
        <v>114.0</v>
      </c>
      <c r="D14" s="29">
        <v>13.0</v>
      </c>
      <c r="E14" s="30">
        <v>1.0</v>
      </c>
      <c r="F14" s="31">
        <v>2.0</v>
      </c>
      <c r="G14" s="28">
        <v>0.0</v>
      </c>
      <c r="H14" s="31">
        <v>2.0</v>
      </c>
      <c r="I14" s="31">
        <v>6.0</v>
      </c>
      <c r="J14" s="31">
        <v>1.0</v>
      </c>
      <c r="K14" s="33">
        <v>9.0</v>
      </c>
      <c r="L14" s="31">
        <v>1.0</v>
      </c>
      <c r="M14" s="28">
        <f t="shared" ref="M14:N14" si="11">C14+K14</f>
        <v>123</v>
      </c>
      <c r="N14" s="29">
        <f t="shared" si="11"/>
        <v>14</v>
      </c>
      <c r="O14" s="35" t="s">
        <v>46</v>
      </c>
      <c r="P14" s="35" t="s">
        <v>46</v>
      </c>
      <c r="Q14" s="31">
        <f>if(G14=13,1,0)+VLOOKUP(B14,'030924'!B:Q,16,false)</f>
        <v>0</v>
      </c>
      <c r="R14" s="31"/>
      <c r="S14" s="31">
        <f>if(G14=9,1,0)+VLOOKUP(B14,'030924'!B:S,18,false)</f>
        <v>0</v>
      </c>
    </row>
    <row r="15">
      <c r="A15" s="26">
        <f t="shared" si="3"/>
        <v>11</v>
      </c>
      <c r="B15" s="27" t="s">
        <v>84</v>
      </c>
      <c r="C15" s="28">
        <v>113.0</v>
      </c>
      <c r="D15" s="29">
        <v>8.0</v>
      </c>
      <c r="E15" s="30">
        <v>2.0</v>
      </c>
      <c r="F15" s="31">
        <v>2.0</v>
      </c>
      <c r="G15" s="28">
        <v>0.0</v>
      </c>
      <c r="H15" s="31">
        <v>6.0</v>
      </c>
      <c r="I15" s="31">
        <v>1.0</v>
      </c>
      <c r="J15" s="31">
        <v>1.0</v>
      </c>
      <c r="K15" s="33">
        <v>8.0</v>
      </c>
      <c r="L15" s="31">
        <v>1.0</v>
      </c>
      <c r="M15" s="28">
        <f t="shared" ref="M15:N15" si="12">C15+K15</f>
        <v>121</v>
      </c>
      <c r="N15" s="29">
        <f t="shared" si="12"/>
        <v>9</v>
      </c>
      <c r="O15" s="35" t="s">
        <v>46</v>
      </c>
      <c r="P15" s="35" t="s">
        <v>46</v>
      </c>
      <c r="Q15" s="31">
        <f>if(G15=13,1,0)+VLOOKUP(B15,'030924'!B:Q,16,false)</f>
        <v>2</v>
      </c>
      <c r="R15" s="31"/>
      <c r="S15" s="31">
        <f>if(G15=9,1,0)+VLOOKUP(B15,'030924'!B:S,18,false)</f>
        <v>0</v>
      </c>
    </row>
    <row r="16">
      <c r="A16" s="26">
        <f t="shared" si="3"/>
        <v>12</v>
      </c>
      <c r="B16" s="39" t="s">
        <v>111</v>
      </c>
      <c r="C16" s="28">
        <v>112.0</v>
      </c>
      <c r="D16" s="29">
        <v>10.0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121</v>
      </c>
      <c r="N16" s="29">
        <f t="shared" si="13"/>
        <v>10</v>
      </c>
      <c r="O16" s="35" t="s">
        <v>46</v>
      </c>
      <c r="P16" s="35" t="s">
        <v>46</v>
      </c>
      <c r="Q16" s="31">
        <f>if(G16=13,1,0)+VLOOKUP(B16,'030924'!B:Q,16,false)</f>
        <v>0</v>
      </c>
      <c r="R16" s="31"/>
      <c r="S16" s="31">
        <f>if(G16=9,1,0)+VLOOKUP(B16,'030924'!B:S,18,false)</f>
        <v>5</v>
      </c>
    </row>
    <row r="17">
      <c r="A17" s="26">
        <f t="shared" si="3"/>
        <v>13</v>
      </c>
      <c r="B17" s="27" t="s">
        <v>63</v>
      </c>
      <c r="C17" s="28">
        <v>112.0</v>
      </c>
      <c r="D17" s="29">
        <v>10.0</v>
      </c>
      <c r="E17" s="30">
        <v>1.0</v>
      </c>
      <c r="F17" s="31">
        <v>2.0</v>
      </c>
      <c r="G17" s="28">
        <v>0.0</v>
      </c>
      <c r="H17" s="31">
        <v>2.0</v>
      </c>
      <c r="I17" s="31">
        <v>1.0</v>
      </c>
      <c r="J17" s="31">
        <v>6.0</v>
      </c>
      <c r="K17" s="33">
        <v>9.0</v>
      </c>
      <c r="L17" s="31">
        <v>1.0</v>
      </c>
      <c r="M17" s="28">
        <f t="shared" ref="M17:N17" si="14">C17+K17</f>
        <v>121</v>
      </c>
      <c r="N17" s="29">
        <f t="shared" si="14"/>
        <v>11</v>
      </c>
      <c r="O17" s="35" t="s">
        <v>46</v>
      </c>
      <c r="P17" s="35" t="s">
        <v>46</v>
      </c>
      <c r="Q17" s="31">
        <f>if(G17=13,1,0)+VLOOKUP(B17,'030924'!B:Q,16,false)</f>
        <v>1</v>
      </c>
      <c r="R17" s="31"/>
      <c r="S17" s="31">
        <f>if(G17=9,1,0)+VLOOKUP(B17,'030924'!B:S,18,false)</f>
        <v>0</v>
      </c>
    </row>
    <row r="18">
      <c r="A18" s="26">
        <f t="shared" si="3"/>
        <v>14</v>
      </c>
      <c r="B18" s="27" t="s">
        <v>78</v>
      </c>
      <c r="C18" s="28">
        <v>111.0</v>
      </c>
      <c r="D18" s="29">
        <v>11.0</v>
      </c>
      <c r="E18" s="30">
        <v>3.0</v>
      </c>
      <c r="F18" s="31">
        <v>0.0</v>
      </c>
      <c r="G18" s="28">
        <v>9.0</v>
      </c>
      <c r="H18" s="31">
        <v>0.0</v>
      </c>
      <c r="I18" s="31">
        <v>0.0</v>
      </c>
      <c r="J18" s="31">
        <v>0.0</v>
      </c>
      <c r="K18" s="33">
        <v>9.0</v>
      </c>
      <c r="L18" s="31">
        <v>0.0</v>
      </c>
      <c r="M18" s="28">
        <f t="shared" ref="M18:N18" si="15">C18+K18</f>
        <v>120</v>
      </c>
      <c r="N18" s="29">
        <f t="shared" si="15"/>
        <v>11</v>
      </c>
      <c r="O18" s="35" t="s">
        <v>46</v>
      </c>
      <c r="P18" s="35" t="s">
        <v>46</v>
      </c>
      <c r="Q18" s="31">
        <f>if(G18=13,1,0)+VLOOKUP(B18,'030924'!B:Q,16,false)</f>
        <v>0</v>
      </c>
      <c r="R18" s="31"/>
      <c r="S18" s="31">
        <f>if(G18=9,1,0)+VLOOKUP(B18,'030924'!B:S,18,false)</f>
        <v>3</v>
      </c>
    </row>
    <row r="19">
      <c r="A19" s="26">
        <f t="shared" si="3"/>
        <v>15</v>
      </c>
      <c r="B19" s="27" t="s">
        <v>81</v>
      </c>
      <c r="C19" s="28">
        <v>111.0</v>
      </c>
      <c r="D19" s="29">
        <v>10.0</v>
      </c>
      <c r="E19" s="30">
        <v>1.0</v>
      </c>
      <c r="F19" s="31">
        <v>3.0</v>
      </c>
      <c r="G19" s="28">
        <v>0.0</v>
      </c>
      <c r="H19" s="31">
        <v>1.0</v>
      </c>
      <c r="I19" s="31">
        <v>2.0</v>
      </c>
      <c r="J19" s="31">
        <v>6.0</v>
      </c>
      <c r="K19" s="33">
        <v>9.0</v>
      </c>
      <c r="L19" s="31">
        <v>1.0</v>
      </c>
      <c r="M19" s="28">
        <f t="shared" ref="M19:N19" si="16">C19+K19</f>
        <v>120</v>
      </c>
      <c r="N19" s="29">
        <f t="shared" si="16"/>
        <v>11</v>
      </c>
      <c r="O19" s="35" t="s">
        <v>46</v>
      </c>
      <c r="P19" s="35" t="s">
        <v>46</v>
      </c>
      <c r="Q19" s="31">
        <f>if(G19=13,1,0)+VLOOKUP(B19,'030924'!B:Q,16,false)</f>
        <v>0</v>
      </c>
      <c r="R19" s="31"/>
      <c r="S19" s="31">
        <f>if(G19=9,1,0)+VLOOKUP(B19,'030924'!B:S,18,false)</f>
        <v>3</v>
      </c>
    </row>
    <row r="20">
      <c r="A20" s="26">
        <f t="shared" si="3"/>
        <v>16</v>
      </c>
      <c r="B20" s="39" t="s">
        <v>52</v>
      </c>
      <c r="C20" s="28">
        <v>109.0</v>
      </c>
      <c r="D20" s="29">
        <v>10.0</v>
      </c>
      <c r="E20" s="30">
        <v>1.0</v>
      </c>
      <c r="F20" s="31">
        <v>3.0</v>
      </c>
      <c r="G20" s="28">
        <v>0.0</v>
      </c>
      <c r="H20" s="31">
        <v>6.0</v>
      </c>
      <c r="I20" s="31">
        <v>6.0</v>
      </c>
      <c r="J20" s="31">
        <v>6.0</v>
      </c>
      <c r="K20" s="33">
        <v>18.0</v>
      </c>
      <c r="L20" s="31">
        <v>3.0</v>
      </c>
      <c r="M20" s="28">
        <f t="shared" ref="M20:N20" si="17">C20+K20</f>
        <v>127</v>
      </c>
      <c r="N20" s="29">
        <f t="shared" si="17"/>
        <v>13</v>
      </c>
      <c r="O20" s="35" t="s">
        <v>46</v>
      </c>
      <c r="P20" s="35" t="s">
        <v>46</v>
      </c>
      <c r="Q20" s="31">
        <f>if(G20=13,1,0)+VLOOKUP(B20,'030924'!B:Q,16,false)</f>
        <v>0</v>
      </c>
      <c r="R20" s="31"/>
      <c r="S20" s="31">
        <f>if(G20=9,1,0)+VLOOKUP(B20,'030924'!B:S,18,false)</f>
        <v>4</v>
      </c>
    </row>
    <row r="21">
      <c r="A21" s="26">
        <f t="shared" si="3"/>
        <v>17</v>
      </c>
      <c r="B21" s="39" t="s">
        <v>86</v>
      </c>
      <c r="C21" s="28">
        <v>109.0</v>
      </c>
      <c r="D21" s="29">
        <v>10.0</v>
      </c>
      <c r="E21" s="30">
        <v>2.0</v>
      </c>
      <c r="F21" s="31">
        <v>3.0</v>
      </c>
      <c r="G21" s="28">
        <v>0.0</v>
      </c>
      <c r="H21" s="31">
        <v>1.0</v>
      </c>
      <c r="I21" s="31">
        <v>6.0</v>
      </c>
      <c r="J21" s="31">
        <v>0.0</v>
      </c>
      <c r="K21" s="33">
        <v>7.0</v>
      </c>
      <c r="L21" s="31">
        <v>1.0</v>
      </c>
      <c r="M21" s="28">
        <f t="shared" ref="M21:N21" si="18">C21+K21</f>
        <v>116</v>
      </c>
      <c r="N21" s="29">
        <f t="shared" si="18"/>
        <v>11</v>
      </c>
      <c r="O21" s="35" t="s">
        <v>46</v>
      </c>
      <c r="P21" s="35" t="s">
        <v>46</v>
      </c>
      <c r="Q21" s="31">
        <f>if(G21=13,1,0)+VLOOKUP(B21,'030924'!B:Q,16,false)</f>
        <v>1</v>
      </c>
      <c r="R21" s="31"/>
      <c r="S21" s="31">
        <f>if(G21=9,1,0)+VLOOKUP(B21,'030924'!B:S,18,false)</f>
        <v>3</v>
      </c>
    </row>
    <row r="22">
      <c r="A22" s="26">
        <f t="shared" si="3"/>
        <v>18</v>
      </c>
      <c r="B22" s="27" t="s">
        <v>102</v>
      </c>
      <c r="C22" s="28">
        <v>109.0</v>
      </c>
      <c r="D22" s="29">
        <v>8.0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118</v>
      </c>
      <c r="N22" s="29">
        <f t="shared" si="19"/>
        <v>8</v>
      </c>
      <c r="O22" s="35" t="s">
        <v>46</v>
      </c>
      <c r="P22" s="35" t="s">
        <v>46</v>
      </c>
      <c r="Q22" s="31">
        <f>if(G22=13,1,0)+VLOOKUP(B22,'030924'!B:Q,16,false)</f>
        <v>0</v>
      </c>
      <c r="R22" s="31"/>
      <c r="S22" s="31">
        <f>if(G22=9,1,0)+VLOOKUP(B22,'030924'!B:S,18,false)</f>
        <v>6</v>
      </c>
    </row>
    <row r="23">
      <c r="A23" s="26">
        <f t="shared" si="3"/>
        <v>19</v>
      </c>
      <c r="B23" s="27" t="s">
        <v>107</v>
      </c>
      <c r="C23" s="28">
        <v>107.0</v>
      </c>
      <c r="D23" s="29">
        <v>6.0</v>
      </c>
      <c r="E23" s="30">
        <v>2.0</v>
      </c>
      <c r="F23" s="31">
        <v>3.0</v>
      </c>
      <c r="G23" s="28">
        <v>0.0</v>
      </c>
      <c r="H23" s="31">
        <v>6.0</v>
      </c>
      <c r="I23" s="31">
        <v>2.0</v>
      </c>
      <c r="J23" s="31">
        <v>0.0</v>
      </c>
      <c r="K23" s="33">
        <v>8.0</v>
      </c>
      <c r="L23" s="31">
        <v>1.0</v>
      </c>
      <c r="M23" s="28">
        <f t="shared" ref="M23:N23" si="20">C23+K23</f>
        <v>115</v>
      </c>
      <c r="N23" s="29">
        <f t="shared" si="20"/>
        <v>7</v>
      </c>
      <c r="O23" s="35" t="s">
        <v>46</v>
      </c>
      <c r="P23" s="35" t="s">
        <v>46</v>
      </c>
      <c r="Q23" s="31">
        <f>if(G23=13,1,0)+VLOOKUP(B23,'030924'!B:Q,16,false)</f>
        <v>2</v>
      </c>
      <c r="R23" s="31"/>
      <c r="S23" s="31">
        <f>if(G23=9,1,0)+VLOOKUP(B23,'030924'!B:S,18,false)</f>
        <v>4</v>
      </c>
    </row>
    <row r="24">
      <c r="A24" s="26">
        <f t="shared" si="3"/>
        <v>20</v>
      </c>
      <c r="B24" s="27" t="s">
        <v>79</v>
      </c>
      <c r="C24" s="28">
        <v>105.0</v>
      </c>
      <c r="D24" s="29">
        <v>8.0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114</v>
      </c>
      <c r="N24" s="29">
        <f t="shared" si="21"/>
        <v>8</v>
      </c>
      <c r="O24" s="35" t="s">
        <v>46</v>
      </c>
      <c r="P24" s="35" t="s">
        <v>46</v>
      </c>
      <c r="Q24" s="31">
        <f>if(G24=13,1,0)+VLOOKUP(B24,'030924'!B:Q,16,false)</f>
        <v>0</v>
      </c>
      <c r="R24" s="31"/>
      <c r="S24" s="31">
        <f>if(G24=9,1,0)+VLOOKUP(B24,'030924'!B:S,18,false)</f>
        <v>4</v>
      </c>
    </row>
    <row r="25">
      <c r="A25" s="26">
        <f t="shared" si="3"/>
        <v>21</v>
      </c>
      <c r="B25" s="27" t="s">
        <v>57</v>
      </c>
      <c r="C25" s="28">
        <v>104.0</v>
      </c>
      <c r="D25" s="29">
        <v>8.0</v>
      </c>
      <c r="E25" s="30">
        <v>1.0</v>
      </c>
      <c r="F25" s="31">
        <v>4.0</v>
      </c>
      <c r="G25" s="28">
        <v>0.0</v>
      </c>
      <c r="H25" s="31">
        <v>2.0</v>
      </c>
      <c r="I25" s="31">
        <v>6.0</v>
      </c>
      <c r="J25" s="31">
        <v>6.0</v>
      </c>
      <c r="K25" s="33">
        <v>14.0</v>
      </c>
      <c r="L25" s="31">
        <v>2.0</v>
      </c>
      <c r="M25" s="28">
        <f t="shared" ref="M25:N25" si="22">C25+K25</f>
        <v>118</v>
      </c>
      <c r="N25" s="29">
        <f t="shared" si="22"/>
        <v>10</v>
      </c>
      <c r="O25" s="35" t="s">
        <v>46</v>
      </c>
      <c r="P25" s="35" t="s">
        <v>46</v>
      </c>
      <c r="Q25" s="31">
        <f>if(G25=13,1,0)+VLOOKUP(B25,'030924'!B:Q,16,false)</f>
        <v>0</v>
      </c>
      <c r="R25" s="31"/>
      <c r="S25" s="31">
        <f>if(G25=9,1,0)+VLOOKUP(B25,'030924'!B:S,18,false)</f>
        <v>5</v>
      </c>
    </row>
    <row r="26">
      <c r="A26" s="26">
        <f t="shared" si="3"/>
        <v>22</v>
      </c>
      <c r="B26" s="39" t="s">
        <v>55</v>
      </c>
      <c r="C26" s="28">
        <v>104.0</v>
      </c>
      <c r="D26" s="29">
        <v>7.0</v>
      </c>
      <c r="E26" s="30">
        <v>1.0</v>
      </c>
      <c r="F26" s="31">
        <v>4.0</v>
      </c>
      <c r="G26" s="28">
        <v>0.0</v>
      </c>
      <c r="H26" s="31">
        <v>6.0</v>
      </c>
      <c r="I26" s="31">
        <v>6.0</v>
      </c>
      <c r="J26" s="31">
        <v>4.0</v>
      </c>
      <c r="K26" s="33">
        <v>16.0</v>
      </c>
      <c r="L26" s="31">
        <v>2.0</v>
      </c>
      <c r="M26" s="28">
        <f t="shared" ref="M26:N26" si="23">C26+K26</f>
        <v>120</v>
      </c>
      <c r="N26" s="29">
        <f t="shared" si="23"/>
        <v>9</v>
      </c>
      <c r="O26" s="35" t="s">
        <v>46</v>
      </c>
      <c r="P26" s="35" t="s">
        <v>46</v>
      </c>
      <c r="Q26" s="31">
        <f>if(G26=13,1,0)+VLOOKUP(B26,'030924'!B:Q,16,false)</f>
        <v>1</v>
      </c>
      <c r="R26" s="31"/>
      <c r="S26" s="31">
        <f>if(G26=9,1,0)+VLOOKUP(B26,'030924'!B:S,18,false)</f>
        <v>5</v>
      </c>
    </row>
    <row r="27">
      <c r="A27" s="26">
        <f t="shared" si="3"/>
        <v>23</v>
      </c>
      <c r="B27" s="27" t="s">
        <v>113</v>
      </c>
      <c r="C27" s="28">
        <v>104.0</v>
      </c>
      <c r="D27" s="29">
        <v>5.0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113</v>
      </c>
      <c r="N27" s="29">
        <f t="shared" si="24"/>
        <v>5</v>
      </c>
      <c r="O27" s="35" t="s">
        <v>46</v>
      </c>
      <c r="P27" s="35" t="s">
        <v>46</v>
      </c>
      <c r="Q27" s="31">
        <f>if(G27=13,1,0)+VLOOKUP(B27,'030924'!B:Q,16,false)</f>
        <v>1</v>
      </c>
      <c r="R27" s="31"/>
      <c r="S27" s="31">
        <f>if(G27=9,1,0)+VLOOKUP(B27,'030924'!B:S,18,false)</f>
        <v>7</v>
      </c>
    </row>
    <row r="28">
      <c r="A28" s="26">
        <f t="shared" si="3"/>
        <v>24</v>
      </c>
      <c r="B28" s="39" t="s">
        <v>106</v>
      </c>
      <c r="C28" s="28">
        <v>102.0</v>
      </c>
      <c r="D28" s="29">
        <v>7.0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111</v>
      </c>
      <c r="N28" s="29">
        <f t="shared" si="25"/>
        <v>7</v>
      </c>
      <c r="O28" s="35" t="s">
        <v>46</v>
      </c>
      <c r="P28" s="35" t="s">
        <v>46</v>
      </c>
      <c r="Q28" s="31">
        <f>if(G28=13,1,0)+VLOOKUP(B28,'030924'!B:Q,16,false)</f>
        <v>0</v>
      </c>
      <c r="R28" s="31"/>
      <c r="S28" s="31">
        <f>if(G28=9,1,0)+VLOOKUP(B28,'030924'!B:S,18,false)</f>
        <v>5</v>
      </c>
    </row>
    <row r="29">
      <c r="A29" s="26">
        <f t="shared" si="3"/>
        <v>25</v>
      </c>
      <c r="B29" s="54" t="s">
        <v>100</v>
      </c>
      <c r="C29" s="28">
        <v>102.0</v>
      </c>
      <c r="D29" s="29">
        <v>7.0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111</v>
      </c>
      <c r="N29" s="29">
        <f t="shared" si="26"/>
        <v>7</v>
      </c>
      <c r="O29" s="35" t="s">
        <v>46</v>
      </c>
      <c r="P29" s="35" t="s">
        <v>46</v>
      </c>
      <c r="Q29" s="31">
        <f>if(G29=13,1,0)+VLOOKUP(B29,'030924'!B:Q,16,false)</f>
        <v>1</v>
      </c>
      <c r="R29" s="31"/>
      <c r="S29" s="31">
        <f>if(G29=9,1,0)+VLOOKUP(B29,'030924'!B:S,18,false)</f>
        <v>5</v>
      </c>
    </row>
    <row r="30">
      <c r="A30" s="26">
        <f t="shared" si="3"/>
        <v>26</v>
      </c>
      <c r="B30" s="27" t="s">
        <v>98</v>
      </c>
      <c r="C30" s="28">
        <v>102.0</v>
      </c>
      <c r="D30" s="29">
        <v>5.0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111</v>
      </c>
      <c r="N30" s="29">
        <f t="shared" si="27"/>
        <v>5</v>
      </c>
      <c r="O30" s="35" t="s">
        <v>46</v>
      </c>
      <c r="P30" s="35" t="s">
        <v>46</v>
      </c>
      <c r="Q30" s="31">
        <f>if(G30=13,1,0)+VLOOKUP(B30,'030924'!B:Q,16,false)</f>
        <v>1</v>
      </c>
      <c r="R30" s="31"/>
      <c r="S30" s="31">
        <f>if(G30=9,1,0)+VLOOKUP(B30,'030924'!B:S,18,false)</f>
        <v>7</v>
      </c>
    </row>
    <row r="31">
      <c r="A31" s="26">
        <f t="shared" si="3"/>
        <v>27</v>
      </c>
      <c r="B31" s="54" t="s">
        <v>59</v>
      </c>
      <c r="C31" s="28">
        <v>101.0</v>
      </c>
      <c r="D31" s="29">
        <v>10.0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110</v>
      </c>
      <c r="N31" s="29">
        <f t="shared" si="28"/>
        <v>10</v>
      </c>
      <c r="O31" s="35" t="s">
        <v>46</v>
      </c>
      <c r="P31" s="35" t="s">
        <v>46</v>
      </c>
      <c r="Q31" s="31">
        <f>if(G31=13,1,0)+VLOOKUP(B31,'030924'!B:Q,16,false)</f>
        <v>1</v>
      </c>
      <c r="R31" s="31"/>
      <c r="S31" s="31">
        <f>if(G31=9,1,0)+VLOOKUP(B31,'030924'!B:S,18,false)</f>
        <v>2</v>
      </c>
    </row>
    <row r="32">
      <c r="A32" s="26">
        <f t="shared" si="3"/>
        <v>28</v>
      </c>
      <c r="B32" s="54" t="s">
        <v>73</v>
      </c>
      <c r="C32" s="28">
        <v>101.0</v>
      </c>
      <c r="D32" s="29">
        <v>9.0</v>
      </c>
      <c r="E32" s="30">
        <v>1.0</v>
      </c>
      <c r="F32" s="31">
        <v>4.0</v>
      </c>
      <c r="G32" s="28">
        <v>0.0</v>
      </c>
      <c r="H32" s="31">
        <v>6.0</v>
      </c>
      <c r="I32" s="31">
        <v>3.0</v>
      </c>
      <c r="J32" s="31">
        <v>6.0</v>
      </c>
      <c r="K32" s="33">
        <v>15.0</v>
      </c>
      <c r="L32" s="31">
        <v>2.0</v>
      </c>
      <c r="M32" s="28">
        <f t="shared" ref="M32:N32" si="29">C32+K32</f>
        <v>116</v>
      </c>
      <c r="N32" s="29">
        <f t="shared" si="29"/>
        <v>11</v>
      </c>
      <c r="O32" s="35" t="s">
        <v>46</v>
      </c>
      <c r="P32" s="35" t="s">
        <v>46</v>
      </c>
      <c r="Q32" s="31">
        <f>if(G32=13,1,0)+VLOOKUP(B32,'030924'!B:Q,16,false)</f>
        <v>0</v>
      </c>
      <c r="R32" s="31"/>
      <c r="S32" s="31">
        <f>if(G32=9,1,0)+VLOOKUP(B32,'030924'!B:S,18,false)</f>
        <v>0</v>
      </c>
    </row>
    <row r="33">
      <c r="A33" s="26">
        <f t="shared" si="3"/>
        <v>29</v>
      </c>
      <c r="B33" s="27" t="s">
        <v>66</v>
      </c>
      <c r="C33" s="28">
        <v>101.0</v>
      </c>
      <c r="D33" s="29">
        <v>7.0</v>
      </c>
      <c r="E33" s="30">
        <v>2.0</v>
      </c>
      <c r="F33" s="31">
        <v>4.0</v>
      </c>
      <c r="G33" s="28">
        <v>0.0</v>
      </c>
      <c r="H33" s="31">
        <v>2.0</v>
      </c>
      <c r="I33" s="31">
        <v>3.0</v>
      </c>
      <c r="J33" s="31">
        <v>4.0</v>
      </c>
      <c r="K33" s="33">
        <v>9.0</v>
      </c>
      <c r="L33" s="31">
        <v>0.0</v>
      </c>
      <c r="M33" s="28">
        <f t="shared" ref="M33:N33" si="30">C33+K33</f>
        <v>110</v>
      </c>
      <c r="N33" s="29">
        <f t="shared" si="30"/>
        <v>7</v>
      </c>
      <c r="O33" s="35" t="s">
        <v>46</v>
      </c>
      <c r="P33" s="35" t="s">
        <v>46</v>
      </c>
      <c r="Q33" s="31">
        <f>if(G33=13,1,0)+VLOOKUP(B33,'030924'!B:Q,16,false)</f>
        <v>1</v>
      </c>
      <c r="R33" s="31"/>
      <c r="S33" s="31">
        <f>if(G33=9,1,0)+VLOOKUP(B33,'030924'!B:S,18,false)</f>
        <v>1</v>
      </c>
    </row>
    <row r="34">
      <c r="A34" s="26">
        <f t="shared" si="3"/>
        <v>30</v>
      </c>
      <c r="B34" s="27" t="s">
        <v>83</v>
      </c>
      <c r="C34" s="28">
        <v>100.0</v>
      </c>
      <c r="D34" s="29">
        <v>8.0</v>
      </c>
      <c r="E34" s="30">
        <v>2.0</v>
      </c>
      <c r="F34" s="31">
        <v>5.0</v>
      </c>
      <c r="G34" s="28">
        <v>0.0</v>
      </c>
      <c r="H34" s="31">
        <v>2.0</v>
      </c>
      <c r="I34" s="31">
        <v>6.0</v>
      </c>
      <c r="J34" s="31">
        <v>3.0</v>
      </c>
      <c r="K34" s="33">
        <v>11.0</v>
      </c>
      <c r="L34" s="31">
        <v>1.0</v>
      </c>
      <c r="M34" s="28">
        <f t="shared" ref="M34:N34" si="31">C34+K34</f>
        <v>111</v>
      </c>
      <c r="N34" s="29">
        <f t="shared" si="31"/>
        <v>9</v>
      </c>
      <c r="O34" s="35" t="s">
        <v>46</v>
      </c>
      <c r="P34" s="35" t="s">
        <v>46</v>
      </c>
      <c r="Q34" s="31">
        <f>if(G34=13,1,0)+VLOOKUP(B34,'030924'!B:Q,16,false)</f>
        <v>1</v>
      </c>
      <c r="R34" s="31"/>
      <c r="S34" s="31">
        <f>if(G34=9,1,0)+VLOOKUP(B34,'030924'!B:S,18,false)</f>
        <v>2</v>
      </c>
    </row>
    <row r="35">
      <c r="A35" s="26">
        <f t="shared" si="3"/>
        <v>31</v>
      </c>
      <c r="B35" s="39" t="s">
        <v>105</v>
      </c>
      <c r="C35" s="28">
        <v>99.0</v>
      </c>
      <c r="D35" s="29">
        <v>8.0</v>
      </c>
      <c r="E35" s="30">
        <v>2.0</v>
      </c>
      <c r="F35" s="31">
        <v>5.0</v>
      </c>
      <c r="G35" s="28">
        <v>0.0</v>
      </c>
      <c r="H35" s="31">
        <v>2.0</v>
      </c>
      <c r="I35" s="31">
        <v>0.0</v>
      </c>
      <c r="J35" s="31">
        <v>6.0</v>
      </c>
      <c r="K35" s="33">
        <v>8.0</v>
      </c>
      <c r="L35" s="31">
        <v>1.0</v>
      </c>
      <c r="M35" s="28">
        <f t="shared" ref="M35:N35" si="32">C35+K35</f>
        <v>107</v>
      </c>
      <c r="N35" s="29">
        <f t="shared" si="32"/>
        <v>9</v>
      </c>
      <c r="O35" s="35" t="s">
        <v>46</v>
      </c>
      <c r="P35" s="35" t="s">
        <v>46</v>
      </c>
      <c r="Q35" s="31">
        <f>if(G35=13,1,0)+VLOOKUP(B35,'030924'!B:Q,16,false)</f>
        <v>0</v>
      </c>
      <c r="R35" s="31"/>
      <c r="S35" s="31">
        <f>if(G35=9,1,0)+VLOOKUP(B35,'030924'!B:S,18,false)</f>
        <v>2</v>
      </c>
    </row>
    <row r="36">
      <c r="A36" s="26">
        <f t="shared" si="3"/>
        <v>32</v>
      </c>
      <c r="B36" s="27" t="s">
        <v>65</v>
      </c>
      <c r="C36" s="28">
        <v>99.0</v>
      </c>
      <c r="D36" s="29">
        <v>6.0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108</v>
      </c>
      <c r="N36" s="29">
        <f t="shared" si="33"/>
        <v>6</v>
      </c>
      <c r="O36" s="35" t="s">
        <v>46</v>
      </c>
      <c r="P36" s="35" t="s">
        <v>46</v>
      </c>
      <c r="Q36" s="31">
        <f>if(G36=13,1,0)+VLOOKUP(B36,'030924'!B:Q,16,false)</f>
        <v>0</v>
      </c>
      <c r="R36" s="31"/>
      <c r="S36" s="31">
        <f>if(G36=9,1,0)+VLOOKUP(B36,'030924'!B:S,18,false)</f>
        <v>8</v>
      </c>
    </row>
    <row r="37">
      <c r="A37" s="26">
        <f t="shared" si="3"/>
        <v>33</v>
      </c>
      <c r="B37" s="27" t="s">
        <v>110</v>
      </c>
      <c r="C37" s="28">
        <v>99.0</v>
      </c>
      <c r="D37" s="29">
        <v>6.0</v>
      </c>
      <c r="E37" s="30">
        <v>3.0</v>
      </c>
      <c r="F37" s="31">
        <v>0.0</v>
      </c>
      <c r="G37" s="28">
        <v>9.0</v>
      </c>
      <c r="H37" s="31">
        <v>0.0</v>
      </c>
      <c r="I37" s="31">
        <v>0.0</v>
      </c>
      <c r="J37" s="31">
        <v>0.0</v>
      </c>
      <c r="K37" s="33">
        <v>9.0</v>
      </c>
      <c r="L37" s="31">
        <v>0.0</v>
      </c>
      <c r="M37" s="28">
        <f t="shared" ref="M37:N37" si="34">C37+K37</f>
        <v>108</v>
      </c>
      <c r="N37" s="29">
        <f t="shared" si="34"/>
        <v>6</v>
      </c>
      <c r="O37" s="35" t="s">
        <v>46</v>
      </c>
      <c r="P37" s="35" t="s">
        <v>46</v>
      </c>
      <c r="Q37" s="31">
        <f>if(G37=13,1,0)+VLOOKUP(B37,'030924'!B:Q,16,false)</f>
        <v>1</v>
      </c>
      <c r="R37" s="31"/>
      <c r="S37" s="31">
        <f>if(G37=9,1,0)+VLOOKUP(B37,'030924'!B:S,18,false)</f>
        <v>5</v>
      </c>
    </row>
    <row r="38">
      <c r="A38" s="26">
        <f t="shared" si="3"/>
        <v>34</v>
      </c>
      <c r="B38" s="27" t="s">
        <v>68</v>
      </c>
      <c r="C38" s="28">
        <v>99.0</v>
      </c>
      <c r="D38" s="29">
        <v>5.0</v>
      </c>
      <c r="E38" s="30">
        <v>4.0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108</v>
      </c>
      <c r="N38" s="29">
        <f t="shared" si="35"/>
        <v>5</v>
      </c>
      <c r="O38" s="35" t="s">
        <v>46</v>
      </c>
      <c r="P38" s="35" t="s">
        <v>46</v>
      </c>
      <c r="Q38" s="31">
        <f>if(G38=13,1,0)+VLOOKUP(B38,'030924'!B:Q,16,false)</f>
        <v>2</v>
      </c>
      <c r="R38" s="31"/>
      <c r="S38" s="31">
        <f>if(G38=9,1,0)+VLOOKUP(B38,'030924'!B:S,18,false)</f>
        <v>5</v>
      </c>
    </row>
    <row r="39">
      <c r="A39" s="26">
        <f t="shared" si="3"/>
        <v>35</v>
      </c>
      <c r="B39" s="27" t="s">
        <v>117</v>
      </c>
      <c r="C39" s="28">
        <v>99.0</v>
      </c>
      <c r="D39" s="29">
        <v>4.0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108</v>
      </c>
      <c r="N39" s="29">
        <f t="shared" si="36"/>
        <v>4</v>
      </c>
      <c r="O39" s="35" t="s">
        <v>46</v>
      </c>
      <c r="P39" s="35" t="s">
        <v>46</v>
      </c>
      <c r="Q39" s="31">
        <f>if(G39=13,1,0)+VLOOKUP(B39,'030924'!B:Q,16,false)</f>
        <v>2</v>
      </c>
      <c r="R39" s="31"/>
      <c r="S39" s="31">
        <f>if(G39=9,1,0)+VLOOKUP(B39,'030924'!B:S,18,false)</f>
        <v>6</v>
      </c>
    </row>
    <row r="40">
      <c r="A40" s="26">
        <f t="shared" si="3"/>
        <v>36</v>
      </c>
      <c r="B40" s="39" t="s">
        <v>50</v>
      </c>
      <c r="C40" s="28">
        <v>98.0</v>
      </c>
      <c r="D40" s="29">
        <v>7.0</v>
      </c>
      <c r="E40" s="30">
        <v>1.0</v>
      </c>
      <c r="F40" s="31">
        <v>5.0</v>
      </c>
      <c r="G40" s="28">
        <v>0.0</v>
      </c>
      <c r="H40" s="31">
        <v>6.0</v>
      </c>
      <c r="I40" s="31">
        <v>6.0</v>
      </c>
      <c r="J40" s="31">
        <v>6.0</v>
      </c>
      <c r="K40" s="33">
        <v>18.0</v>
      </c>
      <c r="L40" s="31">
        <v>3.0</v>
      </c>
      <c r="M40" s="28">
        <f t="shared" ref="M40:N40" si="37">C40+K40</f>
        <v>116</v>
      </c>
      <c r="N40" s="29">
        <f t="shared" si="37"/>
        <v>10</v>
      </c>
      <c r="O40" s="35" t="s">
        <v>46</v>
      </c>
      <c r="P40" s="35" t="s">
        <v>46</v>
      </c>
      <c r="Q40" s="31">
        <f>if(G40=13,1,0)+VLOOKUP(B40,'030924'!B:Q,16,false)</f>
        <v>0</v>
      </c>
      <c r="R40" s="31"/>
      <c r="S40" s="31">
        <f>if(G40=9,1,0)+VLOOKUP(B40,'030924'!B:S,18,false)</f>
        <v>6</v>
      </c>
    </row>
    <row r="41">
      <c r="A41" s="26">
        <f t="shared" si="3"/>
        <v>37</v>
      </c>
      <c r="B41" s="39" t="s">
        <v>45</v>
      </c>
      <c r="C41" s="28">
        <v>97.0</v>
      </c>
      <c r="D41" s="29">
        <v>7.0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106</v>
      </c>
      <c r="N41" s="29">
        <f t="shared" si="38"/>
        <v>7</v>
      </c>
      <c r="O41" s="35" t="s">
        <v>46</v>
      </c>
      <c r="P41" s="35" t="s">
        <v>46</v>
      </c>
      <c r="Q41" s="31">
        <f>if(G41=13,1,0)+VLOOKUP(B41,'030924'!B:Q,16,false)</f>
        <v>1</v>
      </c>
      <c r="R41" s="31"/>
      <c r="S41" s="31">
        <f>if(G41=9,1,0)+VLOOKUP(B41,'030924'!B:S,18,false)</f>
        <v>3</v>
      </c>
    </row>
    <row r="42">
      <c r="A42" s="26">
        <f t="shared" si="3"/>
        <v>38</v>
      </c>
      <c r="B42" s="27" t="s">
        <v>39</v>
      </c>
      <c r="C42" s="28">
        <v>97.0</v>
      </c>
      <c r="D42" s="29">
        <v>4.0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106</v>
      </c>
      <c r="N42" s="29">
        <f t="shared" si="39"/>
        <v>4</v>
      </c>
      <c r="O42" s="35" t="s">
        <v>46</v>
      </c>
      <c r="P42" s="35" t="s">
        <v>46</v>
      </c>
      <c r="Q42" s="31">
        <f>if(G42=13,1,0)+VLOOKUP(B42,'030924'!B:Q,16,false)</f>
        <v>0</v>
      </c>
      <c r="R42" s="31"/>
      <c r="S42" s="31">
        <f>if(G42=9,1,0)+VLOOKUP(B42,'030924'!B:S,18,false)</f>
        <v>8</v>
      </c>
    </row>
    <row r="43">
      <c r="A43" s="26">
        <f t="shared" si="3"/>
        <v>39</v>
      </c>
      <c r="B43" s="27" t="s">
        <v>76</v>
      </c>
      <c r="C43" s="28">
        <v>97.0</v>
      </c>
      <c r="D43" s="29">
        <v>4.0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106</v>
      </c>
      <c r="N43" s="29">
        <f t="shared" si="40"/>
        <v>4</v>
      </c>
      <c r="O43" s="35" t="s">
        <v>46</v>
      </c>
      <c r="P43" s="35" t="s">
        <v>46</v>
      </c>
      <c r="Q43" s="31">
        <f>if(G43=13,1,0)+VLOOKUP(B43,'030924'!B:Q,16,false)</f>
        <v>1</v>
      </c>
      <c r="R43" s="31"/>
      <c r="S43" s="31">
        <f>if(G43=9,1,0)+VLOOKUP(B43,'030924'!B:S,18,false)</f>
        <v>5</v>
      </c>
    </row>
    <row r="44">
      <c r="A44" s="26">
        <f t="shared" si="3"/>
        <v>40</v>
      </c>
      <c r="B44" s="54" t="s">
        <v>94</v>
      </c>
      <c r="C44" s="28">
        <v>96.0</v>
      </c>
      <c r="D44" s="29">
        <v>8.0</v>
      </c>
      <c r="E44" s="30">
        <v>1.0</v>
      </c>
      <c r="F44" s="31">
        <v>5.0</v>
      </c>
      <c r="G44" s="28">
        <v>0.0</v>
      </c>
      <c r="H44" s="31">
        <v>6.0</v>
      </c>
      <c r="I44" s="31">
        <v>0.0</v>
      </c>
      <c r="J44" s="31">
        <v>3.0</v>
      </c>
      <c r="K44" s="33">
        <v>9.0</v>
      </c>
      <c r="L44" s="31">
        <v>1.0</v>
      </c>
      <c r="M44" s="28">
        <f t="shared" ref="M44:N44" si="41">C44+K44</f>
        <v>105</v>
      </c>
      <c r="N44" s="29">
        <f t="shared" si="41"/>
        <v>9</v>
      </c>
      <c r="O44" s="35" t="s">
        <v>46</v>
      </c>
      <c r="P44" s="35" t="s">
        <v>46</v>
      </c>
      <c r="Q44" s="31">
        <f>if(G44=13,1,0)+VLOOKUP(B44,'030924'!B:Q,16,false)</f>
        <v>0</v>
      </c>
      <c r="R44" s="31"/>
      <c r="S44" s="31">
        <f>if(G44=9,1,0)+VLOOKUP(B44,'030924'!B:S,18,false)</f>
        <v>1</v>
      </c>
    </row>
    <row r="45">
      <c r="A45" s="26">
        <f t="shared" si="3"/>
        <v>41</v>
      </c>
      <c r="B45" s="27" t="s">
        <v>118</v>
      </c>
      <c r="C45" s="28">
        <v>96.0</v>
      </c>
      <c r="D45" s="29">
        <v>2.0</v>
      </c>
      <c r="E45" s="30">
        <v>3.0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105</v>
      </c>
      <c r="N45" s="29">
        <f t="shared" si="42"/>
        <v>2</v>
      </c>
      <c r="O45" s="35" t="s">
        <v>46</v>
      </c>
      <c r="P45" s="35" t="s">
        <v>46</v>
      </c>
      <c r="Q45" s="31">
        <f>if(G45=13,1,0)+VLOOKUP(B45,'030924'!B:Q,16,false)</f>
        <v>2</v>
      </c>
      <c r="R45" s="31"/>
      <c r="S45" s="31">
        <f>if(G45=9,1,0)+VLOOKUP(B45,'030924'!B:S,18,false)</f>
        <v>7</v>
      </c>
    </row>
    <row r="46">
      <c r="A46" s="26">
        <f t="shared" si="3"/>
        <v>42</v>
      </c>
      <c r="B46" s="39" t="s">
        <v>103</v>
      </c>
      <c r="C46" s="28">
        <v>95.0</v>
      </c>
      <c r="D46" s="29">
        <v>4.0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104</v>
      </c>
      <c r="N46" s="29">
        <f t="shared" si="43"/>
        <v>4</v>
      </c>
      <c r="O46" s="35" t="s">
        <v>46</v>
      </c>
      <c r="P46" s="35" t="s">
        <v>46</v>
      </c>
      <c r="Q46" s="31">
        <f>if(G46=13,1,0)+VLOOKUP(B46,'030924'!B:Q,16,false)</f>
        <v>1</v>
      </c>
      <c r="R46" s="31"/>
      <c r="S46" s="31">
        <f>if(G46=9,1,0)+VLOOKUP(B46,'030924'!B:S,18,false)</f>
        <v>7</v>
      </c>
    </row>
    <row r="47">
      <c r="A47" s="26">
        <f t="shared" si="3"/>
        <v>43</v>
      </c>
      <c r="B47" s="54" t="s">
        <v>47</v>
      </c>
      <c r="C47" s="28">
        <v>94.0</v>
      </c>
      <c r="D47" s="29">
        <v>8.0</v>
      </c>
      <c r="E47" s="30">
        <v>1.0</v>
      </c>
      <c r="F47" s="31">
        <v>6.0</v>
      </c>
      <c r="G47" s="28">
        <v>0.0</v>
      </c>
      <c r="H47" s="31">
        <v>3.0</v>
      </c>
      <c r="I47" s="31">
        <v>6.0</v>
      </c>
      <c r="J47" s="31">
        <v>0.0</v>
      </c>
      <c r="K47" s="33">
        <v>9.0</v>
      </c>
      <c r="L47" s="31">
        <v>1.0</v>
      </c>
      <c r="M47" s="28">
        <f t="shared" ref="M47:N47" si="44">C47+K47</f>
        <v>103</v>
      </c>
      <c r="N47" s="29">
        <f t="shared" si="44"/>
        <v>9</v>
      </c>
      <c r="O47" s="35" t="s">
        <v>46</v>
      </c>
      <c r="P47" s="35" t="s">
        <v>46</v>
      </c>
      <c r="Q47" s="31">
        <f>if(G47=13,1,0)+VLOOKUP(B47,'030924'!B:Q,16,false)</f>
        <v>0</v>
      </c>
      <c r="R47" s="31"/>
      <c r="S47" s="31">
        <f>if(G47=9,1,0)+VLOOKUP(B47,'030924'!B:S,18,false)</f>
        <v>0</v>
      </c>
    </row>
    <row r="48">
      <c r="A48" s="26">
        <f t="shared" si="3"/>
        <v>44</v>
      </c>
      <c r="B48" s="54" t="s">
        <v>123</v>
      </c>
      <c r="C48" s="28">
        <v>94.0</v>
      </c>
      <c r="D48" s="29">
        <v>2.0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103</v>
      </c>
      <c r="N48" s="29">
        <f t="shared" si="45"/>
        <v>2</v>
      </c>
      <c r="O48" s="35" t="s">
        <v>46</v>
      </c>
      <c r="P48" s="35" t="s">
        <v>46</v>
      </c>
      <c r="Q48" s="31">
        <f>if(G48=13,1,0)+VLOOKUP(B48,'030924'!B:Q,16,false)</f>
        <v>1</v>
      </c>
      <c r="R48" s="31"/>
      <c r="S48" s="31">
        <f>if(G48=9,1,0)+VLOOKUP(B48,'030924'!B:S,18,false)</f>
        <v>8</v>
      </c>
    </row>
    <row r="49">
      <c r="A49" s="26">
        <f t="shared" si="3"/>
        <v>45</v>
      </c>
      <c r="B49" s="27" t="s">
        <v>109</v>
      </c>
      <c r="C49" s="28">
        <v>94.0</v>
      </c>
      <c r="D49" s="29">
        <v>2.0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103</v>
      </c>
      <c r="N49" s="29">
        <f t="shared" si="46"/>
        <v>2</v>
      </c>
      <c r="O49" s="35" t="s">
        <v>46</v>
      </c>
      <c r="P49" s="35" t="s">
        <v>46</v>
      </c>
      <c r="Q49" s="31">
        <f>if(G49=13,1,0)+VLOOKUP(B49,'030924'!B:Q,16,false)</f>
        <v>2</v>
      </c>
      <c r="R49" s="31"/>
      <c r="S49" s="31">
        <f>if(G49=9,1,0)+VLOOKUP(B49,'030924'!B:S,18,false)</f>
        <v>6</v>
      </c>
    </row>
    <row r="50">
      <c r="A50" s="26">
        <f t="shared" si="3"/>
        <v>46</v>
      </c>
      <c r="B50" s="54" t="s">
        <v>116</v>
      </c>
      <c r="C50" s="28">
        <v>93.0</v>
      </c>
      <c r="D50" s="29">
        <v>4.0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102</v>
      </c>
      <c r="N50" s="29">
        <f t="shared" si="47"/>
        <v>4</v>
      </c>
      <c r="O50" s="35" t="s">
        <v>46</v>
      </c>
      <c r="P50" s="35" t="s">
        <v>46</v>
      </c>
      <c r="Q50" s="31">
        <f>if(G50=13,1,0)+VLOOKUP(B50,'030924'!B:Q,16,false)</f>
        <v>0</v>
      </c>
      <c r="R50" s="31"/>
      <c r="S50" s="31">
        <f>if(G50=9,1,0)+VLOOKUP(B50,'030924'!B:S,18,false)</f>
        <v>7</v>
      </c>
    </row>
    <row r="51">
      <c r="A51" s="26">
        <f t="shared" si="3"/>
        <v>47</v>
      </c>
      <c r="B51" s="55" t="s">
        <v>120</v>
      </c>
      <c r="C51" s="28">
        <v>93.0</v>
      </c>
      <c r="D51" s="29">
        <v>2.0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102</v>
      </c>
      <c r="N51" s="29">
        <f t="shared" si="48"/>
        <v>2</v>
      </c>
      <c r="O51" s="35" t="s">
        <v>46</v>
      </c>
      <c r="P51" s="35" t="s">
        <v>46</v>
      </c>
      <c r="Q51" s="31">
        <f>if(G51=13,1,0)+VLOOKUP(B51,'030924'!B:Q,16,false)</f>
        <v>1</v>
      </c>
      <c r="R51" s="31"/>
      <c r="S51" s="31">
        <f>if(G51=9,1,0)+VLOOKUP(B51,'030924'!B:S,18,false)</f>
        <v>8</v>
      </c>
    </row>
    <row r="52">
      <c r="A52" s="26">
        <f t="shared" si="3"/>
        <v>48</v>
      </c>
      <c r="B52" s="54" t="s">
        <v>54</v>
      </c>
      <c r="C52" s="28">
        <v>92.0</v>
      </c>
      <c r="D52" s="29">
        <v>5.0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101</v>
      </c>
      <c r="N52" s="29">
        <f t="shared" si="49"/>
        <v>5</v>
      </c>
      <c r="O52" s="35" t="s">
        <v>46</v>
      </c>
      <c r="P52" s="35" t="s">
        <v>46</v>
      </c>
      <c r="Q52" s="31">
        <f>if(G52=13,1,0)+VLOOKUP(B52,'030924'!B:Q,16,false)</f>
        <v>1</v>
      </c>
      <c r="R52" s="31"/>
      <c r="S52" s="31">
        <f>if(G52=9,1,0)+VLOOKUP(B52,'030924'!B:S,18,false)</f>
        <v>4</v>
      </c>
    </row>
    <row r="53">
      <c r="A53" s="26">
        <f t="shared" si="3"/>
        <v>49</v>
      </c>
      <c r="B53" s="39" t="s">
        <v>119</v>
      </c>
      <c r="C53" s="28">
        <v>91.0</v>
      </c>
      <c r="D53" s="29">
        <v>4.0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100</v>
      </c>
      <c r="N53" s="29">
        <f t="shared" si="50"/>
        <v>4</v>
      </c>
      <c r="O53" s="35" t="s">
        <v>46</v>
      </c>
      <c r="P53" s="35" t="s">
        <v>46</v>
      </c>
      <c r="Q53" s="31">
        <f>if(G53=13,1,0)+VLOOKUP(B53,'030924'!B:Q,16,false)</f>
        <v>0</v>
      </c>
      <c r="R53" s="31"/>
      <c r="S53" s="31">
        <f>if(G53=9,1,0)+VLOOKUP(B53,'030924'!B:S,18,false)</f>
        <v>8</v>
      </c>
    </row>
    <row r="54">
      <c r="A54" s="26">
        <f t="shared" si="3"/>
        <v>50</v>
      </c>
      <c r="B54" s="27" t="s">
        <v>42</v>
      </c>
      <c r="C54" s="28">
        <v>90.0</v>
      </c>
      <c r="D54" s="29">
        <v>7.0</v>
      </c>
      <c r="E54" s="30">
        <v>1.0</v>
      </c>
      <c r="F54" s="31">
        <v>6.0</v>
      </c>
      <c r="G54" s="28">
        <v>0.0</v>
      </c>
      <c r="H54" s="31">
        <v>3.0</v>
      </c>
      <c r="I54" s="31">
        <v>4.0</v>
      </c>
      <c r="J54" s="31">
        <v>6.0</v>
      </c>
      <c r="K54" s="33">
        <v>13.0</v>
      </c>
      <c r="L54" s="31">
        <v>1.0</v>
      </c>
      <c r="M54" s="28">
        <f t="shared" ref="M54:N54" si="51">C54+K54</f>
        <v>103</v>
      </c>
      <c r="N54" s="29">
        <f t="shared" si="51"/>
        <v>8</v>
      </c>
      <c r="O54" s="35" t="s">
        <v>46</v>
      </c>
      <c r="P54" s="35" t="s">
        <v>46</v>
      </c>
      <c r="Q54" s="31">
        <f>if(G54=13,1,0)+VLOOKUP(B54,'030924'!B:Q,16,false)</f>
        <v>0</v>
      </c>
      <c r="R54" s="31"/>
      <c r="S54" s="31">
        <f>if(G54=9,1,0)+VLOOKUP(B54,'030924'!B:S,18,false)</f>
        <v>2</v>
      </c>
    </row>
    <row r="55">
      <c r="A55" s="26">
        <f t="shared" si="3"/>
        <v>51</v>
      </c>
      <c r="B55" s="39" t="s">
        <v>121</v>
      </c>
      <c r="C55" s="28">
        <v>90.0</v>
      </c>
      <c r="D55" s="29">
        <v>3.0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99</v>
      </c>
      <c r="N55" s="29">
        <f t="shared" si="52"/>
        <v>3</v>
      </c>
      <c r="O55" s="35" t="s">
        <v>46</v>
      </c>
      <c r="P55" s="35" t="s">
        <v>46</v>
      </c>
      <c r="Q55" s="31">
        <f>if(G55=13,1,0)+VLOOKUP(B55,'030924'!B:Q,16,false)</f>
        <v>0</v>
      </c>
      <c r="R55" s="31"/>
      <c r="S55" s="31">
        <f>if(G55=9,1,0)+VLOOKUP(B55,'030924'!B:S,18,false)</f>
        <v>8</v>
      </c>
    </row>
    <row r="56">
      <c r="A56" s="26">
        <f t="shared" si="3"/>
        <v>52</v>
      </c>
      <c r="B56" s="27" t="s">
        <v>90</v>
      </c>
      <c r="C56" s="28">
        <v>90.0</v>
      </c>
      <c r="D56" s="29">
        <v>3.0</v>
      </c>
      <c r="E56" s="30">
        <v>1.0</v>
      </c>
      <c r="F56" s="31">
        <v>6.0</v>
      </c>
      <c r="G56" s="28">
        <v>0.0</v>
      </c>
      <c r="H56" s="31">
        <v>6.0</v>
      </c>
      <c r="I56" s="31">
        <v>6.0</v>
      </c>
      <c r="J56" s="31">
        <v>6.0</v>
      </c>
      <c r="K56" s="33">
        <v>18.0</v>
      </c>
      <c r="L56" s="31">
        <v>3.0</v>
      </c>
      <c r="M56" s="28">
        <f t="shared" ref="M56:N56" si="53">C56+K56</f>
        <v>108</v>
      </c>
      <c r="N56" s="29">
        <f t="shared" si="53"/>
        <v>6</v>
      </c>
      <c r="O56" s="35" t="s">
        <v>46</v>
      </c>
      <c r="P56" s="35" t="s">
        <v>46</v>
      </c>
      <c r="Q56" s="31">
        <f>if(G56=13,1,0)+VLOOKUP(B56,'030924'!B:Q,16,false)</f>
        <v>0</v>
      </c>
      <c r="R56" s="31"/>
      <c r="S56" s="31">
        <f>if(G56=9,1,0)+VLOOKUP(B56,'030924'!B:S,18,false)</f>
        <v>8</v>
      </c>
    </row>
    <row r="57">
      <c r="A57" s="26">
        <f t="shared" si="3"/>
        <v>53</v>
      </c>
      <c r="B57" s="54" t="s">
        <v>108</v>
      </c>
      <c r="C57" s="28">
        <v>88.0</v>
      </c>
      <c r="D57" s="29">
        <v>8.0</v>
      </c>
      <c r="E57" s="30">
        <v>1.0</v>
      </c>
      <c r="F57" s="31">
        <v>6.0</v>
      </c>
      <c r="G57" s="28">
        <v>0.0</v>
      </c>
      <c r="H57" s="31">
        <v>6.0</v>
      </c>
      <c r="I57" s="31">
        <v>4.0</v>
      </c>
      <c r="J57" s="31">
        <v>0.0</v>
      </c>
      <c r="K57" s="33">
        <v>10.0</v>
      </c>
      <c r="L57" s="31">
        <v>1.0</v>
      </c>
      <c r="M57" s="28">
        <f t="shared" ref="M57:N57" si="54">C57+K57</f>
        <v>98</v>
      </c>
      <c r="N57" s="29">
        <f t="shared" si="54"/>
        <v>9</v>
      </c>
      <c r="O57" s="35" t="s">
        <v>46</v>
      </c>
      <c r="P57" s="35" t="s">
        <v>46</v>
      </c>
      <c r="Q57" s="31">
        <f>if(G57=13,1,0)+VLOOKUP(B57,'030924'!B:Q,16,false)</f>
        <v>0</v>
      </c>
      <c r="R57" s="31"/>
      <c r="S57" s="31">
        <f>if(G57=9,1,0)+VLOOKUP(B57,'030924'!B:S,18,false)</f>
        <v>1</v>
      </c>
    </row>
    <row r="58">
      <c r="A58" s="26">
        <f t="shared" si="3"/>
        <v>54</v>
      </c>
      <c r="B58" s="54" t="s">
        <v>122</v>
      </c>
      <c r="C58" s="28">
        <v>88.0</v>
      </c>
      <c r="D58" s="29">
        <v>1.0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97</v>
      </c>
      <c r="N58" s="29">
        <f t="shared" si="55"/>
        <v>1</v>
      </c>
      <c r="O58" s="35" t="s">
        <v>46</v>
      </c>
      <c r="P58" s="35" t="s">
        <v>46</v>
      </c>
      <c r="Q58" s="31">
        <f>if(G58=13,1,0)+VLOOKUP(B58,'030924'!B:Q,16,false)</f>
        <v>0</v>
      </c>
      <c r="R58" s="31"/>
      <c r="S58" s="31">
        <f>if(G58=9,1,0)+VLOOKUP(B58,'030924'!B:S,18,false)</f>
        <v>9</v>
      </c>
    </row>
    <row r="59">
      <c r="A59" s="26">
        <f t="shared" si="3"/>
        <v>55</v>
      </c>
      <c r="B59" s="54" t="s">
        <v>89</v>
      </c>
      <c r="C59" s="28">
        <v>86.0</v>
      </c>
      <c r="D59" s="29">
        <v>7.0</v>
      </c>
      <c r="E59" s="30">
        <v>2.0</v>
      </c>
      <c r="F59" s="31">
        <v>7.0</v>
      </c>
      <c r="G59" s="28">
        <v>0.0</v>
      </c>
      <c r="H59" s="31">
        <v>6.0</v>
      </c>
      <c r="I59" s="31">
        <v>3.0</v>
      </c>
      <c r="J59" s="31">
        <v>3.0</v>
      </c>
      <c r="K59" s="33">
        <v>12.0</v>
      </c>
      <c r="L59" s="31">
        <v>1.0</v>
      </c>
      <c r="M59" s="28">
        <f t="shared" ref="M59:N59" si="56">C59+K59</f>
        <v>98</v>
      </c>
      <c r="N59" s="29">
        <f t="shared" si="56"/>
        <v>8</v>
      </c>
      <c r="O59" s="35" t="s">
        <v>46</v>
      </c>
      <c r="P59" s="35" t="s">
        <v>46</v>
      </c>
      <c r="Q59" s="31">
        <f>if(G59=13,1,0)+VLOOKUP(B59,'030924'!B:Q,16,false)</f>
        <v>0</v>
      </c>
      <c r="R59" s="31"/>
      <c r="S59" s="31">
        <f>if(G59=9,1,0)+VLOOKUP(B59,'030924'!B:S,18,false)</f>
        <v>2</v>
      </c>
    </row>
    <row r="60">
      <c r="A60" s="26">
        <f t="shared" si="3"/>
        <v>56</v>
      </c>
      <c r="B60" s="27" t="s">
        <v>114</v>
      </c>
      <c r="C60" s="28">
        <v>85.0</v>
      </c>
      <c r="D60" s="29">
        <v>0.0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94</v>
      </c>
      <c r="N60" s="29">
        <f t="shared" si="57"/>
        <v>0</v>
      </c>
      <c r="O60" s="35" t="s">
        <v>46</v>
      </c>
      <c r="P60" s="35" t="s">
        <v>46</v>
      </c>
      <c r="Q60" s="31">
        <f>if(G60=13,1,0)+VLOOKUP(B60,'030924'!B:Q,16,false)</f>
        <v>1</v>
      </c>
      <c r="R60" s="31"/>
      <c r="S60" s="31">
        <f>if(G60=9,1,0)+VLOOKUP(B60,'030924'!B:S,18,false)</f>
        <v>9</v>
      </c>
    </row>
    <row r="61">
      <c r="A61" s="26">
        <f t="shared" si="3"/>
        <v>57</v>
      </c>
      <c r="B61" s="27" t="s">
        <v>112</v>
      </c>
      <c r="C61" s="28">
        <v>84.0</v>
      </c>
      <c r="D61" s="29">
        <v>1.0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93</v>
      </c>
      <c r="N61" s="29">
        <f t="shared" si="58"/>
        <v>1</v>
      </c>
      <c r="O61" s="35" t="s">
        <v>46</v>
      </c>
      <c r="P61" s="35" t="s">
        <v>46</v>
      </c>
      <c r="Q61" s="31">
        <f>if(G61=13,1,0)+VLOOKUP(B61,'030924'!B:Q,16,false)</f>
        <v>0</v>
      </c>
      <c r="R61" s="31"/>
      <c r="S61" s="31">
        <f>if(G61=9,1,0)+VLOOKUP(B61,'030924'!B:S,18,false)</f>
        <v>9</v>
      </c>
    </row>
    <row r="62">
      <c r="A62" s="26">
        <f t="shared" si="3"/>
        <v>58</v>
      </c>
      <c r="B62" s="27" t="s">
        <v>74</v>
      </c>
      <c r="C62" s="28">
        <v>81.0</v>
      </c>
      <c r="D62" s="29">
        <v>0.0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90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if(G62=13,1,0)+VLOOKUP(B62,'030924'!B:Q,16,false)</f>
        <v>0</v>
      </c>
      <c r="R62" s="31"/>
      <c r="S62" s="31">
        <f>if(G62=9,1,0)+VLOOKUP(B62,'030924'!B:S,18,false)</f>
        <v>10</v>
      </c>
    </row>
    <row r="63">
      <c r="A63" s="26">
        <f t="shared" si="3"/>
        <v>59</v>
      </c>
      <c r="B63" s="27" t="s">
        <v>56</v>
      </c>
      <c r="C63" s="28">
        <v>81.0</v>
      </c>
      <c r="D63" s="29">
        <v>0.0</v>
      </c>
      <c r="E63" s="30">
        <v>1.0</v>
      </c>
      <c r="F63" s="31">
        <v>7.0</v>
      </c>
      <c r="G63" s="28">
        <v>0.0</v>
      </c>
      <c r="H63" s="31">
        <v>6.0</v>
      </c>
      <c r="I63" s="31">
        <v>6.0</v>
      </c>
      <c r="J63" s="31">
        <v>6.0</v>
      </c>
      <c r="K63" s="33">
        <v>18.0</v>
      </c>
      <c r="L63" s="31">
        <v>3.0</v>
      </c>
      <c r="M63" s="28">
        <f t="shared" ref="M63:N63" si="60">C63+K63</f>
        <v>99</v>
      </c>
      <c r="N63" s="29">
        <f t="shared" si="60"/>
        <v>3</v>
      </c>
      <c r="O63" s="35" t="s">
        <v>46</v>
      </c>
      <c r="P63" s="35" t="s">
        <v>46</v>
      </c>
      <c r="Q63" s="31">
        <f>if(G63=13,1,0)+VLOOKUP(B63,'030924'!B:Q,16,false)</f>
        <v>0</v>
      </c>
      <c r="R63" s="31"/>
      <c r="S63" s="31">
        <f>if(G63=9,1,0)+VLOOKUP(B63,'030924'!B:S,18,false)</f>
        <v>9</v>
      </c>
    </row>
    <row r="64">
      <c r="A64" s="26">
        <f t="shared" si="3"/>
        <v>60</v>
      </c>
      <c r="B64" s="39" t="s">
        <v>124</v>
      </c>
      <c r="C64" s="28">
        <v>81.0</v>
      </c>
      <c r="D64" s="29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90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if(G64=13,1,0)+VLOOKUP(B64,'030924'!B:Q,16,false)</f>
        <v>0</v>
      </c>
      <c r="R64" s="31"/>
      <c r="S64" s="31">
        <f>if(G64=9,1,0)+VLOOKUP(B64,'030924'!B:S,18,false)</f>
        <v>10</v>
      </c>
    </row>
    <row r="65">
      <c r="A65" s="26">
        <f t="shared" si="3"/>
        <v>61</v>
      </c>
      <c r="B65" s="27" t="s">
        <v>115</v>
      </c>
      <c r="C65" s="28">
        <v>81.0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90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if(G65=13,1,0)+VLOOKUP(B65,'030924'!B:Q,16,false)</f>
        <v>0</v>
      </c>
      <c r="R65" s="31"/>
      <c r="S65" s="31">
        <f>if(G65=9,1,0)+VLOOKUP(B65,'030924'!B:S,18,false)</f>
        <v>10</v>
      </c>
    </row>
    <row r="66">
      <c r="A66" s="26">
        <f t="shared" si="3"/>
        <v>62</v>
      </c>
      <c r="B66" s="39" t="s">
        <v>125</v>
      </c>
      <c r="C66" s="28">
        <v>81.0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90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if(G66=13,1,0)+VLOOKUP(B66,'030924'!B:Q,16,false)</f>
        <v>0</v>
      </c>
      <c r="R66" s="31"/>
      <c r="S66" s="31">
        <f>if(G66=9,1,0)+VLOOKUP(B66,'030924'!B:S,18,false)</f>
        <v>9</v>
      </c>
    </row>
    <row r="67">
      <c r="A67" s="26">
        <f t="shared" si="3"/>
        <v>63</v>
      </c>
      <c r="B67" s="39" t="s">
        <v>126</v>
      </c>
      <c r="C67" s="28">
        <v>80.0</v>
      </c>
      <c r="D67" s="29">
        <v>2.0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89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if(G67=13,1,0)+VLOOKUP(B67,'030924'!B:Q,16,false)</f>
        <v>0</v>
      </c>
      <c r="R67" s="31"/>
      <c r="S67" s="31">
        <f>if(G67=9,1,0)+VLOOKUP(B67,'030924'!B:S,18,false)</f>
        <v>8</v>
      </c>
    </row>
    <row r="68">
      <c r="A68" s="26">
        <f t="shared" si="3"/>
        <v>64</v>
      </c>
      <c r="B68" s="39" t="s">
        <v>97</v>
      </c>
      <c r="C68" s="28">
        <v>78.0</v>
      </c>
      <c r="D68" s="29">
        <v>2.0</v>
      </c>
      <c r="E68" s="30">
        <v>1.0</v>
      </c>
      <c r="F68" s="31">
        <v>7.0</v>
      </c>
      <c r="G68" s="28">
        <v>0.0</v>
      </c>
      <c r="H68" s="31">
        <v>2.0</v>
      </c>
      <c r="I68" s="31">
        <v>3.0</v>
      </c>
      <c r="J68" s="31">
        <v>6.0</v>
      </c>
      <c r="K68" s="33">
        <v>11.0</v>
      </c>
      <c r="L68" s="31">
        <v>1.0</v>
      </c>
      <c r="M68" s="28">
        <f t="shared" ref="M68:N68" si="65">C68+K68</f>
        <v>89</v>
      </c>
      <c r="N68" s="29">
        <f t="shared" si="65"/>
        <v>3</v>
      </c>
      <c r="O68" s="35" t="s">
        <v>46</v>
      </c>
      <c r="P68" s="35" t="s">
        <v>46</v>
      </c>
      <c r="Q68" s="31">
        <f>if(G68=13,1,0)+VLOOKUP(B68,'030924'!B:Q,16,false)</f>
        <v>0</v>
      </c>
      <c r="R68" s="31"/>
      <c r="S68" s="31">
        <f>if(G68=9,1,0)+VLOOKUP(B68,'030924'!B:S,18,false)</f>
        <v>2</v>
      </c>
    </row>
    <row r="69">
      <c r="A69" s="26">
        <f t="shared" si="3"/>
        <v>65</v>
      </c>
      <c r="B69" s="39" t="s">
        <v>127</v>
      </c>
      <c r="C69" s="28">
        <v>78.0</v>
      </c>
      <c r="D69" s="29">
        <v>1.0</v>
      </c>
      <c r="E69" s="30">
        <v>1.0</v>
      </c>
      <c r="F69" s="31">
        <v>7.0</v>
      </c>
      <c r="G69" s="28">
        <v>0.0</v>
      </c>
      <c r="H69" s="31">
        <v>2.0</v>
      </c>
      <c r="I69" s="31">
        <v>6.0</v>
      </c>
      <c r="J69" s="31">
        <v>3.0</v>
      </c>
      <c r="K69" s="33">
        <v>11.0</v>
      </c>
      <c r="L69" s="31">
        <v>1.0</v>
      </c>
      <c r="M69" s="28">
        <f t="shared" ref="M69:N69" si="66">C69+K69</f>
        <v>89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if(G69=13,1,0)+VLOOKUP(B69,'030924'!B:Q,16,false)</f>
        <v>0</v>
      </c>
      <c r="R69" s="31"/>
      <c r="S69" s="31">
        <f>if(G69=9,1,0)+VLOOKUP(B69,'030924'!B:S,18,false)</f>
        <v>8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desc"",0)"),"Adrian Tay")</f>
        <v>Adrian Tay</v>
      </c>
      <c r="C79" s="60">
        <f>IFERROR(__xludf.DUMMYFUNCTION("""COMPUTED_VALUE"""),20.0)</f>
        <v>20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IFERROR(__xludf.DUMMYFUNCTION("""COMPUTED_VALUE"""),"Peter Cheng")</f>
        <v>Peter Cheng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IFERROR(__xludf.DUMMYFUNCTION("""COMPUTED_VALUE"""),"Suleman Alidina")</f>
        <v>Suleman Alidina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IFERROR(__xludf.DUMMYFUNCTION("""COMPUTED_VALUE"""),"Christopher Li")</f>
        <v>Christopher Li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IFERROR(__xludf.DUMMYFUNCTION("""COMPUTED_VALUE"""),"Tom Le")</f>
        <v>Tom Le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  <c r="K83" s="9"/>
    </row>
    <row r="84">
      <c r="A84" s="1"/>
      <c r="B84" s="39" t="str">
        <f>IFERROR(__xludf.DUMMYFUNCTION("""COMPUTED_VALUE"""),"Susanta Mishra")</f>
        <v>Susanta Mishra</v>
      </c>
      <c r="C84" s="60">
        <f>IFERROR(__xludf.DUMMYFUNCTION("""COMPUTED_VALUE"""),18.0)</f>
        <v>18</v>
      </c>
      <c r="D84" s="60">
        <f>IFERROR(__xludf.DUMMYFUNCTION("""COMPUTED_VALUE"""),3.0)</f>
        <v>3</v>
      </c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1"")"),"Lam Bui")</f>
        <v>Lam Bui</v>
      </c>
      <c r="C92" s="63">
        <f>IFERROR(__xludf.DUMMYFUNCTION("""COMPUTED_VALUE"""),123.0)</f>
        <v>123</v>
      </c>
      <c r="D92" s="64">
        <f>IFERROR(__xludf.DUMMYFUNCTION("""COMPUTED_VALUE"""),10.0)</f>
        <v>10</v>
      </c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IFERROR(__xludf.DUMMYFUNCTION("""COMPUTED_VALUE"""),5.0)</f>
        <v>5</v>
      </c>
      <c r="I92" s="65">
        <f>IFERROR(__xludf.DUMMYFUNCTION("""COMPUTED_VALUE"""),5.0)</f>
        <v>5</v>
      </c>
      <c r="J92" s="65">
        <f>IFERROR(__xludf.DUMMYFUNCTION("""COMPUTED_VALUE"""),6.0)</f>
        <v>6</v>
      </c>
      <c r="K92" s="65">
        <f>IFERROR(__xludf.DUMMYFUNCTION("""COMPUTED_VALUE"""),16.0)</f>
        <v>16</v>
      </c>
      <c r="L92" s="65">
        <f>IFERROR(__xludf.DUMMYFUNCTION("""COMPUTED_VALUE"""),1.0)</f>
        <v>1</v>
      </c>
      <c r="M92" s="65">
        <f>IFERROR(__xludf.DUMMYFUNCTION("""COMPUTED_VALUE"""),139.0)</f>
        <v>139</v>
      </c>
      <c r="N92" s="66">
        <f>IFERROR(__xludf.DUMMYFUNCTION("""COMPUTED_VALUE"""),11.0)</f>
        <v>11</v>
      </c>
    </row>
    <row r="93">
      <c r="A93" s="1"/>
      <c r="B93" s="62" t="str">
        <f>IFERROR(__xludf.DUMMYFUNCTION("""COMPUTED_VALUE"""),"Adrian Tay")</f>
        <v>Adrian Tay</v>
      </c>
      <c r="C93" s="63">
        <f>IFERROR(__xludf.DUMMYFUNCTION("""COMPUTED_VALUE"""),120.0)</f>
        <v>120</v>
      </c>
      <c r="D93" s="64">
        <f>IFERROR(__xludf.DUMMYFUNCTION("""COMPUTED_VALUE"""),12.0)</f>
        <v>12</v>
      </c>
      <c r="E93" s="63">
        <f>IFERROR(__xludf.DUMMYFUNCTION("""COMPUTED_VALUE"""),2.0)</f>
        <v>2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IFERROR(__xludf.DUMMYFUNCTION("""COMPUTED_VALUE"""),7.0)</f>
        <v>7</v>
      </c>
      <c r="I93" s="65">
        <f>IFERROR(__xludf.DUMMYFUNCTION("""COMPUTED_VALUE"""),7.0)</f>
        <v>7</v>
      </c>
      <c r="J93" s="65">
        <f>IFERROR(__xludf.DUMMYFUNCTION("""COMPUTED_VALUE"""),6.0)</f>
        <v>6</v>
      </c>
      <c r="K93" s="65">
        <f>IFERROR(__xludf.DUMMYFUNCTION("""COMPUTED_VALUE"""),20.0)</f>
        <v>20</v>
      </c>
      <c r="L93" s="65">
        <f>IFERROR(__xludf.DUMMYFUNCTION("""COMPUTED_VALUE"""),3.0)</f>
        <v>3</v>
      </c>
      <c r="M93" s="65">
        <f>IFERROR(__xludf.DUMMYFUNCTION("""COMPUTED_VALUE"""),140.0)</f>
        <v>140</v>
      </c>
      <c r="N93" s="66">
        <f>IFERROR(__xludf.DUMMYFUNCTION("""COMPUTED_VALUE"""),15.0)</f>
        <v>15</v>
      </c>
    </row>
    <row r="94">
      <c r="A94" s="1"/>
      <c r="B94" s="62" t="str">
        <f>IFERROR(__xludf.DUMMYFUNCTION("""COMPUTED_VALUE"""),"Mauricio Palacios")</f>
        <v>Mauricio Palacios</v>
      </c>
      <c r="C94" s="63">
        <f>IFERROR(__xludf.DUMMYFUNCTION("""COMPUTED_VALUE"""),120.0)</f>
        <v>120</v>
      </c>
      <c r="D94" s="64">
        <f>IFERROR(__xludf.DUMMYFUNCTION("""COMPUTED_VALUE"""),11.0)</f>
        <v>11</v>
      </c>
      <c r="E94" s="63">
        <f>IFERROR(__xludf.DUMMYFUNCTION("""COMPUTED_VALUE"""),2.0)</f>
        <v>2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IFERROR(__xludf.DUMMYFUNCTION("""COMPUTED_VALUE"""),5.0)</f>
        <v>5</v>
      </c>
      <c r="I94" s="65">
        <f>IFERROR(__xludf.DUMMYFUNCTION("""COMPUTED_VALUE"""),7.0)</f>
        <v>7</v>
      </c>
      <c r="J94" s="65">
        <f>IFERROR(__xludf.DUMMYFUNCTION("""COMPUTED_VALUE"""),0.0)</f>
        <v>0</v>
      </c>
      <c r="K94" s="65">
        <f>IFERROR(__xludf.DUMMYFUNCTION("""COMPUTED_VALUE"""),12.0)</f>
        <v>12</v>
      </c>
      <c r="L94" s="65">
        <f>IFERROR(__xludf.DUMMYFUNCTION("""COMPUTED_VALUE"""),1.0)</f>
        <v>1</v>
      </c>
      <c r="M94" s="65">
        <f>IFERROR(__xludf.DUMMYFUNCTION("""COMPUTED_VALUE"""),132.0)</f>
        <v>132</v>
      </c>
      <c r="N94" s="66">
        <f>IFERROR(__xludf.DUMMYFUNCTION("""COMPUTED_VALUE"""),12.0)</f>
        <v>12</v>
      </c>
    </row>
    <row r="95">
      <c r="A95" s="1"/>
      <c r="B95" s="62" t="str">
        <f>IFERROR(__xludf.DUMMYFUNCTION("""COMPUTED_VALUE"""),"Jonathan Phan")</f>
        <v>Jonathan Phan</v>
      </c>
      <c r="C95" s="63">
        <f>IFERROR(__xludf.DUMMYFUNCTION("""COMPUTED_VALUE"""),120.0)</f>
        <v>120</v>
      </c>
      <c r="D95" s="64">
        <f>IFERROR(__xludf.DUMMYFUNCTION("""COMPUTED_VALUE"""),10.0)</f>
        <v>10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IFERROR(__xludf.DUMMYFUNCTION("""COMPUTED_VALUE"""),7.0)</f>
        <v>7</v>
      </c>
      <c r="I95" s="65">
        <f>IFERROR(__xludf.DUMMYFUNCTION("""COMPUTED_VALUE"""),5.0)</f>
        <v>5</v>
      </c>
      <c r="J95" s="65">
        <f>IFERROR(__xludf.DUMMYFUNCTION("""COMPUTED_VALUE"""),0.0)</f>
        <v>0</v>
      </c>
      <c r="K95" s="65">
        <f>IFERROR(__xludf.DUMMYFUNCTION("""COMPUTED_VALUE"""),12.0)</f>
        <v>12</v>
      </c>
      <c r="L95" s="65">
        <f>IFERROR(__xludf.DUMMYFUNCTION("""COMPUTED_VALUE"""),1.0)</f>
        <v>1</v>
      </c>
      <c r="M95" s="65">
        <f>IFERROR(__xludf.DUMMYFUNCTION("""COMPUTED_VALUE"""),132.0)</f>
        <v>132</v>
      </c>
      <c r="N95" s="66">
        <f>IFERROR(__xludf.DUMMYFUNCTION("""COMPUTED_VALUE"""),11.0)</f>
        <v>11</v>
      </c>
    </row>
    <row r="96">
      <c r="A96" s="1"/>
      <c r="B96" s="67" t="str">
        <f>IFERROR(__xludf.DUMMYFUNCTION("""COMPUTED_VALUE"""),"Peter Cheng")</f>
        <v>Peter Cheng</v>
      </c>
      <c r="C96" s="68">
        <f>IFERROR(__xludf.DUMMYFUNCTION("""COMPUTED_VALUE"""),119.0)</f>
        <v>119</v>
      </c>
      <c r="D96" s="69">
        <f>IFERROR(__xludf.DUMMYFUNCTION("""COMPUTED_VALUE"""),10.0)</f>
        <v>10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IFERROR(__xludf.DUMMYFUNCTION("""COMPUTED_VALUE"""),6.0)</f>
        <v>6</v>
      </c>
      <c r="K96" s="70">
        <f>IFERROR(__xludf.DUMMYFUNCTION("""COMPUTED_VALUE"""),18.0)</f>
        <v>18</v>
      </c>
      <c r="L96" s="70">
        <f>IFERROR(__xludf.DUMMYFUNCTION("""COMPUTED_VALUE"""),3.0)</f>
        <v>3</v>
      </c>
      <c r="M96" s="70">
        <f>IFERROR(__xludf.DUMMYFUNCTION("""COMPUTED_VALUE"""),137.0)</f>
        <v>137</v>
      </c>
      <c r="N96" s="71">
        <f>IFERROR(__xludf.DUMMYFUNCTION("""COMPUTED_VALUE"""),13.0)</f>
        <v>13</v>
      </c>
    </row>
    <row r="97">
      <c r="A97" s="1"/>
      <c r="B97" s="67" t="str">
        <f>IFERROR(__xludf.DUMMYFUNCTION("""COMPUTED_VALUE"""),"Andrew Wen")</f>
        <v>Andrew Wen</v>
      </c>
      <c r="C97" s="68">
        <f>IFERROR(__xludf.DUMMYFUNCTION("""COMPUTED_VALUE"""),114.0)</f>
        <v>114</v>
      </c>
      <c r="D97" s="69">
        <f>IFERROR(__xludf.DUMMYFUNCTION("""COMPUTED_VALUE"""),13.0)</f>
        <v>13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IFERROR(__xludf.DUMMYFUNCTION("""COMPUTED_VALUE"""),2.0)</f>
        <v>2</v>
      </c>
      <c r="I97" s="70">
        <f>IFERROR(__xludf.DUMMYFUNCTION("""COMPUTED_VALUE"""),6.0)</f>
        <v>6</v>
      </c>
      <c r="J97" s="70">
        <f>IFERROR(__xludf.DUMMYFUNCTION("""COMPUTED_VALUE"""),1.0)</f>
        <v>1</v>
      </c>
      <c r="K97" s="70">
        <f>IFERROR(__xludf.DUMMYFUNCTION("""COMPUTED_VALUE"""),9.0)</f>
        <v>9</v>
      </c>
      <c r="L97" s="70">
        <f>IFERROR(__xludf.DUMMYFUNCTION("""COMPUTED_VALUE"""),1.0)</f>
        <v>1</v>
      </c>
      <c r="M97" s="70">
        <f>IFERROR(__xludf.DUMMYFUNCTION("""COMPUTED_VALUE"""),123.0)</f>
        <v>123</v>
      </c>
      <c r="N97" s="71">
        <f>IFERROR(__xludf.DUMMYFUNCTION("""COMPUTED_VALUE"""),14.0)</f>
        <v>14</v>
      </c>
    </row>
    <row r="98">
      <c r="A98" s="1"/>
      <c r="B98" s="67" t="str">
        <f>IFERROR(__xludf.DUMMYFUNCTION("""COMPUTED_VALUE"""),"Joe Luzzi")</f>
        <v>Joe Luzzi</v>
      </c>
      <c r="C98" s="68">
        <f>IFERROR(__xludf.DUMMYFUNCTION("""COMPUTED_VALUE"""),113.0)</f>
        <v>113</v>
      </c>
      <c r="D98" s="69">
        <f>IFERROR(__xludf.DUMMYFUNCTION("""COMPUTED_VALUE"""),8.0)</f>
        <v>8</v>
      </c>
      <c r="E98" s="68">
        <f>IFERROR(__xludf.DUMMYFUNCTION("""COMPUTED_VALUE"""),2.0)</f>
        <v>2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IFERROR(__xludf.DUMMYFUNCTION("""COMPUTED_VALUE"""),1.0)</f>
        <v>1</v>
      </c>
      <c r="J98" s="70">
        <f>IFERROR(__xludf.DUMMYFUNCTION("""COMPUTED_VALUE"""),1.0)</f>
        <v>1</v>
      </c>
      <c r="K98" s="70">
        <f>IFERROR(__xludf.DUMMYFUNCTION("""COMPUTED_VALUE"""),8.0)</f>
        <v>8</v>
      </c>
      <c r="L98" s="70">
        <f>IFERROR(__xludf.DUMMYFUNCTION("""COMPUTED_VALUE"""),1.0)</f>
        <v>1</v>
      </c>
      <c r="M98" s="70">
        <f>IFERROR(__xludf.DUMMYFUNCTION("""COMPUTED_VALUE"""),121.0)</f>
        <v>121</v>
      </c>
      <c r="N98" s="71">
        <f>IFERROR(__xludf.DUMMYFUNCTION("""COMPUTED_VALUE"""),9.0)</f>
        <v>9</v>
      </c>
    </row>
    <row r="99">
      <c r="A99" s="1"/>
      <c r="B99" s="67" t="str">
        <f>IFERROR(__xludf.DUMMYFUNCTION("""COMPUTED_VALUE"""),"Ted Shen")</f>
        <v>Ted Shen</v>
      </c>
      <c r="C99" s="68">
        <f>IFERROR(__xludf.DUMMYFUNCTION("""COMPUTED_VALUE"""),112.0)</f>
        <v>112</v>
      </c>
      <c r="D99" s="69">
        <f>IFERROR(__xludf.DUMMYFUNCTION("""COMPUTED_VALUE"""),10.0)</f>
        <v>10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IFERROR(__xludf.DUMMYFUNCTION("""COMPUTED_VALUE"""),2.0)</f>
        <v>2</v>
      </c>
      <c r="I99" s="70">
        <f>IFERROR(__xludf.DUMMYFUNCTION("""COMPUTED_VALUE"""),1.0)</f>
        <v>1</v>
      </c>
      <c r="J99" s="70">
        <f>IFERROR(__xludf.DUMMYFUNCTION("""COMPUTED_VALUE"""),6.0)</f>
        <v>6</v>
      </c>
      <c r="K99" s="70">
        <f>IFERROR(__xludf.DUMMYFUNCTION("""COMPUTED_VALUE"""),9.0)</f>
        <v>9</v>
      </c>
      <c r="L99" s="70">
        <f>IFERROR(__xludf.DUMMYFUNCTION("""COMPUTED_VALUE"""),1.0)</f>
        <v>1</v>
      </c>
      <c r="M99" s="70">
        <f>IFERROR(__xludf.DUMMYFUNCTION("""COMPUTED_VALUE"""),121.0)</f>
        <v>121</v>
      </c>
      <c r="N99" s="71">
        <f>IFERROR(__xludf.DUMMYFUNCTION("""COMPUTED_VALUE"""),11.0)</f>
        <v>11</v>
      </c>
    </row>
    <row r="100">
      <c r="A100" s="1"/>
      <c r="B100" s="67" t="str">
        <f>IFERROR(__xludf.DUMMYFUNCTION("""COMPUTED_VALUE"""),"Pavan Akkimsetty")</f>
        <v>Pavan Akkimsetty</v>
      </c>
      <c r="C100" s="63">
        <f>IFERROR(__xludf.DUMMYFUNCTION("""COMPUTED_VALUE"""),111.0)</f>
        <v>111</v>
      </c>
      <c r="D100" s="64">
        <f>IFERROR(__xludf.DUMMYFUNCTION("""COMPUTED_VALUE"""),10.0)</f>
        <v>10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IFERROR(__xludf.DUMMYFUNCTION("""COMPUTED_VALUE"""),1.0)</f>
        <v>1</v>
      </c>
      <c r="I100" s="65">
        <f>IFERROR(__xludf.DUMMYFUNCTION("""COMPUTED_VALUE"""),2.0)</f>
        <v>2</v>
      </c>
      <c r="J100" s="65">
        <f>IFERROR(__xludf.DUMMYFUNCTION("""COMPUTED_VALUE"""),6.0)</f>
        <v>6</v>
      </c>
      <c r="K100" s="65">
        <f>IFERROR(__xludf.DUMMYFUNCTION("""COMPUTED_VALUE"""),9.0)</f>
        <v>9</v>
      </c>
      <c r="L100" s="65">
        <f>IFERROR(__xludf.DUMMYFUNCTION("""COMPUTED_VALUE"""),1.0)</f>
        <v>1</v>
      </c>
      <c r="M100" s="65">
        <f>IFERROR(__xludf.DUMMYFUNCTION("""COMPUTED_VALUE"""),120.0)</f>
        <v>120</v>
      </c>
      <c r="N100" s="66">
        <f>IFERROR(__xludf.DUMMYFUNCTION("""COMPUTED_VALUE"""),11.0)</f>
        <v>11</v>
      </c>
    </row>
    <row r="101">
      <c r="A101" s="1"/>
      <c r="B101" s="67" t="str">
        <f>IFERROR(__xludf.DUMMYFUNCTION("""COMPUTED_VALUE"""),"Suleman Alidina")</f>
        <v>Suleman Alidina</v>
      </c>
      <c r="C101" s="63">
        <f>IFERROR(__xludf.DUMMYFUNCTION("""COMPUTED_VALUE"""),109.0)</f>
        <v>109</v>
      </c>
      <c r="D101" s="64">
        <f>IFERROR(__xludf.DUMMYFUNCTION("""COMPUTED_VALUE"""),10.0)</f>
        <v>10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IFERROR(__xludf.DUMMYFUNCTION("""COMPUTED_VALUE"""),6.0)</f>
        <v>6</v>
      </c>
      <c r="J101" s="65">
        <f>IFERROR(__xludf.DUMMYFUNCTION("""COMPUTED_VALUE"""),6.0)</f>
        <v>6</v>
      </c>
      <c r="K101" s="65">
        <f>IFERROR(__xludf.DUMMYFUNCTION("""COMPUTED_VALUE"""),18.0)</f>
        <v>18</v>
      </c>
      <c r="L101" s="65">
        <f>IFERROR(__xludf.DUMMYFUNCTION("""COMPUTED_VALUE"""),3.0)</f>
        <v>3</v>
      </c>
      <c r="M101" s="65">
        <f>IFERROR(__xludf.DUMMYFUNCTION("""COMPUTED_VALUE"""),127.0)</f>
        <v>127</v>
      </c>
      <c r="N101" s="66">
        <f>IFERROR(__xludf.DUMMYFUNCTION("""COMPUTED_VALUE"""),13.0)</f>
        <v>13</v>
      </c>
    </row>
    <row r="102">
      <c r="A102" s="1"/>
      <c r="B102" s="62" t="str">
        <f>IFERROR(__xludf.DUMMYFUNCTION("""COMPUTED_VALUE"""),"Chinna Ponnaganti")</f>
        <v>Chinna Ponnaganti</v>
      </c>
      <c r="C102" s="63">
        <f>IFERROR(__xludf.DUMMYFUNCTION("""COMPUTED_VALUE"""),109.0)</f>
        <v>109</v>
      </c>
      <c r="D102" s="64">
        <f>IFERROR(__xludf.DUMMYFUNCTION("""COMPUTED_VALUE"""),10.0)</f>
        <v>10</v>
      </c>
      <c r="E102" s="63">
        <f>IFERROR(__xludf.DUMMYFUNCTION("""COMPUTED_VALUE"""),2.0)</f>
        <v>2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IFERROR(__xludf.DUMMYFUNCTION("""COMPUTED_VALUE"""),1.0)</f>
        <v>1</v>
      </c>
      <c r="I102" s="65">
        <f>IFERROR(__xludf.DUMMYFUNCTION("""COMPUTED_VALUE"""),6.0)</f>
        <v>6</v>
      </c>
      <c r="J102" s="65">
        <f>IFERROR(__xludf.DUMMYFUNCTION("""COMPUTED_VALUE"""),0.0)</f>
        <v>0</v>
      </c>
      <c r="K102" s="65">
        <f>IFERROR(__xludf.DUMMYFUNCTION("""COMPUTED_VALUE"""),7.0)</f>
        <v>7</v>
      </c>
      <c r="L102" s="65">
        <f>IFERROR(__xludf.DUMMYFUNCTION("""COMPUTED_VALUE"""),1.0)</f>
        <v>1</v>
      </c>
      <c r="M102" s="65">
        <f>IFERROR(__xludf.DUMMYFUNCTION("""COMPUTED_VALUE"""),116.0)</f>
        <v>116</v>
      </c>
      <c r="N102" s="66">
        <f>IFERROR(__xludf.DUMMYFUNCTION("""COMPUTED_VALUE"""),11.0)</f>
        <v>11</v>
      </c>
    </row>
    <row r="103">
      <c r="A103" s="1"/>
      <c r="B103" s="62" t="str">
        <f>IFERROR(__xludf.DUMMYFUNCTION("""COMPUTED_VALUE"""),"Matthew Huang")</f>
        <v>Matthew Huang</v>
      </c>
      <c r="C103" s="63">
        <f>IFERROR(__xludf.DUMMYFUNCTION("""COMPUTED_VALUE"""),107.0)</f>
        <v>107</v>
      </c>
      <c r="D103" s="64">
        <f>IFERROR(__xludf.DUMMYFUNCTION("""COMPUTED_VALUE"""),6.0)</f>
        <v>6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IFERROR(__xludf.DUMMYFUNCTION("""COMPUTED_VALUE"""),6.0)</f>
        <v>6</v>
      </c>
      <c r="I103" s="65">
        <f>IFERROR(__xludf.DUMMYFUNCTION("""COMPUTED_VALUE"""),2.0)</f>
        <v>2</v>
      </c>
      <c r="J103" s="65">
        <f>IFERROR(__xludf.DUMMYFUNCTION("""COMPUTED_VALUE"""),0.0)</f>
        <v>0</v>
      </c>
      <c r="K103" s="65">
        <f>IFERROR(__xludf.DUMMYFUNCTION("""COMPUTED_VALUE"""),8.0)</f>
        <v>8</v>
      </c>
      <c r="L103" s="65">
        <f>IFERROR(__xludf.DUMMYFUNCTION("""COMPUTED_VALUE"""),1.0)</f>
        <v>1</v>
      </c>
      <c r="M103" s="65">
        <f>IFERROR(__xludf.DUMMYFUNCTION("""COMPUTED_VALUE"""),115.0)</f>
        <v>115</v>
      </c>
      <c r="N103" s="66">
        <f>IFERROR(__xludf.DUMMYFUNCTION("""COMPUTED_VALUE"""),7.0)</f>
        <v>7</v>
      </c>
    </row>
    <row r="104">
      <c r="A104" s="1"/>
      <c r="B104" s="67" t="str">
        <f>IFERROR(__xludf.DUMMYFUNCTION("""COMPUTED_VALUE"""),"Peter Homsey")</f>
        <v>Peter Homsey</v>
      </c>
      <c r="C104" s="68">
        <f>IFERROR(__xludf.DUMMYFUNCTION("""COMPUTED_VALUE"""),104.0)</f>
        <v>104</v>
      </c>
      <c r="D104" s="69">
        <f>IFERROR(__xludf.DUMMYFUNCTION("""COMPUTED_VALUE"""),8.0)</f>
        <v>8</v>
      </c>
      <c r="E104" s="68">
        <f>IFERROR(__xludf.DUMMYFUNCTION("""COMPUTED_VALUE"""),1.0)</f>
        <v>1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IFERROR(__xludf.DUMMYFUNCTION("""COMPUTED_VALUE"""),2.0)</f>
        <v>2</v>
      </c>
      <c r="I104" s="70">
        <f>IFERROR(__xludf.DUMMYFUNCTION("""COMPUTED_VALUE"""),6.0)</f>
        <v>6</v>
      </c>
      <c r="J104" s="70">
        <f>IFERROR(__xludf.DUMMYFUNCTION("""COMPUTED_VALUE"""),6.0)</f>
        <v>6</v>
      </c>
      <c r="K104" s="70">
        <f>IFERROR(__xludf.DUMMYFUNCTION("""COMPUTED_VALUE"""),14.0)</f>
        <v>14</v>
      </c>
      <c r="L104" s="70">
        <f>IFERROR(__xludf.DUMMYFUNCTION("""COMPUTED_VALUE"""),2.0)</f>
        <v>2</v>
      </c>
      <c r="M104" s="70">
        <f>IFERROR(__xludf.DUMMYFUNCTION("""COMPUTED_VALUE"""),118.0)</f>
        <v>118</v>
      </c>
      <c r="N104" s="71">
        <f>IFERROR(__xludf.DUMMYFUNCTION("""COMPUTED_VALUE"""),10.0)</f>
        <v>10</v>
      </c>
    </row>
    <row r="105">
      <c r="A105" s="1"/>
      <c r="B105" s="67" t="str">
        <f>IFERROR(__xludf.DUMMYFUNCTION("""COMPUTED_VALUE"""),"Luis Hsu")</f>
        <v>Luis Hsu</v>
      </c>
      <c r="C105" s="68">
        <f>IFERROR(__xludf.DUMMYFUNCTION("""COMPUTED_VALUE"""),104.0)</f>
        <v>104</v>
      </c>
      <c r="D105" s="69">
        <f>IFERROR(__xludf.DUMMYFUNCTION("""COMPUTED_VALUE"""),7.0)</f>
        <v>7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IFERROR(__xludf.DUMMYFUNCTION("""COMPUTED_VALUE"""),6.0)</f>
        <v>6</v>
      </c>
      <c r="J105" s="70">
        <f>IFERROR(__xludf.DUMMYFUNCTION("""COMPUTED_VALUE"""),4.0)</f>
        <v>4</v>
      </c>
      <c r="K105" s="70">
        <f>IFERROR(__xludf.DUMMYFUNCTION("""COMPUTED_VALUE"""),16.0)</f>
        <v>16</v>
      </c>
      <c r="L105" s="70">
        <f>IFERROR(__xludf.DUMMYFUNCTION("""COMPUTED_VALUE"""),2.0)</f>
        <v>2</v>
      </c>
      <c r="M105" s="70">
        <f>IFERROR(__xludf.DUMMYFUNCTION("""COMPUTED_VALUE"""),120.0)</f>
        <v>120</v>
      </c>
      <c r="N105" s="71">
        <f>IFERROR(__xludf.DUMMYFUNCTION("""COMPUTED_VALUE"""),9.0)</f>
        <v>9</v>
      </c>
    </row>
    <row r="106">
      <c r="A106" s="1"/>
      <c r="B106" s="67" t="str">
        <f>IFERROR(__xludf.DUMMYFUNCTION("""COMPUTED_VALUE"""),"Scott Li")</f>
        <v>Scott Li</v>
      </c>
      <c r="C106" s="68">
        <f>IFERROR(__xludf.DUMMYFUNCTION("""COMPUTED_VALUE"""),101.0)</f>
        <v>101</v>
      </c>
      <c r="D106" s="69">
        <f>IFERROR(__xludf.DUMMYFUNCTION("""COMPUTED_VALUE"""),9.0)</f>
        <v>9</v>
      </c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IFERROR(__xludf.DUMMYFUNCTION("""COMPUTED_VALUE"""),3.0)</f>
        <v>3</v>
      </c>
      <c r="J106" s="70">
        <f>IFERROR(__xludf.DUMMYFUNCTION("""COMPUTED_VALUE"""),6.0)</f>
        <v>6</v>
      </c>
      <c r="K106" s="70">
        <f>IFERROR(__xludf.DUMMYFUNCTION("""COMPUTED_VALUE"""),15.0)</f>
        <v>15</v>
      </c>
      <c r="L106" s="70">
        <f>IFERROR(__xludf.DUMMYFUNCTION("""COMPUTED_VALUE"""),2.0)</f>
        <v>2</v>
      </c>
      <c r="M106" s="70">
        <f>IFERROR(__xludf.DUMMYFUNCTION("""COMPUTED_VALUE"""),116.0)</f>
        <v>116</v>
      </c>
      <c r="N106" s="71">
        <f>IFERROR(__xludf.DUMMYFUNCTION("""COMPUTED_VALUE"""),11.0)</f>
        <v>11</v>
      </c>
    </row>
    <row r="107">
      <c r="A107" s="1"/>
      <c r="B107" s="67" t="str">
        <f>IFERROR(__xludf.DUMMYFUNCTION("""COMPUTED_VALUE"""),"Naveen Raj")</f>
        <v>Naveen Raj</v>
      </c>
      <c r="C107" s="68">
        <f>IFERROR(__xludf.DUMMYFUNCTION("""COMPUTED_VALUE"""),101.0)</f>
        <v>101</v>
      </c>
      <c r="D107" s="69">
        <f>IFERROR(__xludf.DUMMYFUNCTION("""COMPUTED_VALUE"""),7.0)</f>
        <v>7</v>
      </c>
      <c r="E107" s="68">
        <f>IFERROR(__xludf.DUMMYFUNCTION("""COMPUTED_VALUE"""),2.0)</f>
        <v>2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IFERROR(__xludf.DUMMYFUNCTION("""COMPUTED_VALUE"""),2.0)</f>
        <v>2</v>
      </c>
      <c r="I107" s="70">
        <f>IFERROR(__xludf.DUMMYFUNCTION("""COMPUTED_VALUE"""),3.0)</f>
        <v>3</v>
      </c>
      <c r="J107" s="70">
        <f>IFERROR(__xludf.DUMMYFUNCTION("""COMPUTED_VALUE"""),4.0)</f>
        <v>4</v>
      </c>
      <c r="K107" s="70">
        <f>IFERROR(__xludf.DUMMYFUNCTION("""COMPUTED_VALUE"""),9.0)</f>
        <v>9</v>
      </c>
      <c r="L107" s="70">
        <f>IFERROR(__xludf.DUMMYFUNCTION("""COMPUTED_VALUE"""),0.0)</f>
        <v>0</v>
      </c>
      <c r="M107" s="70">
        <f>IFERROR(__xludf.DUMMYFUNCTION("""COMPUTED_VALUE"""),110.0)</f>
        <v>110</v>
      </c>
      <c r="N107" s="71">
        <f>IFERROR(__xludf.DUMMYFUNCTION("""COMPUTED_VALUE"""),7.0)</f>
        <v>7</v>
      </c>
    </row>
    <row r="108">
      <c r="A108" s="1"/>
      <c r="B108" s="62" t="str">
        <f>IFERROR(__xludf.DUMMYFUNCTION("""COMPUTED_VALUE"""),"Manuel Rivera")</f>
        <v>Manuel Rivera</v>
      </c>
      <c r="C108" s="63">
        <f>IFERROR(__xludf.DUMMYFUNCTION("""COMPUTED_VALUE"""),100.0)</f>
        <v>100</v>
      </c>
      <c r="D108" s="64">
        <f>IFERROR(__xludf.DUMMYFUNCTION("""COMPUTED_VALUE"""),8.0)</f>
        <v>8</v>
      </c>
      <c r="E108" s="63">
        <f>IFERROR(__xludf.DUMMYFUNCTION("""COMPUTED_VALUE"""),2.0)</f>
        <v>2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IFERROR(__xludf.DUMMYFUNCTION("""COMPUTED_VALUE"""),2.0)</f>
        <v>2</v>
      </c>
      <c r="I108" s="65">
        <f>IFERROR(__xludf.DUMMYFUNCTION("""COMPUTED_VALUE"""),6.0)</f>
        <v>6</v>
      </c>
      <c r="J108" s="65">
        <f>IFERROR(__xludf.DUMMYFUNCTION("""COMPUTED_VALUE"""),3.0)</f>
        <v>3</v>
      </c>
      <c r="K108" s="65">
        <f>IFERROR(__xludf.DUMMYFUNCTION("""COMPUTED_VALUE"""),11.0)</f>
        <v>11</v>
      </c>
      <c r="L108" s="65">
        <f>IFERROR(__xludf.DUMMYFUNCTION("""COMPUTED_VALUE"""),1.0)</f>
        <v>1</v>
      </c>
      <c r="M108" s="65">
        <f>IFERROR(__xludf.DUMMYFUNCTION("""COMPUTED_VALUE"""),111.0)</f>
        <v>111</v>
      </c>
      <c r="N108" s="66">
        <f>IFERROR(__xludf.DUMMYFUNCTION("""COMPUTED_VALUE"""),9.0)</f>
        <v>9</v>
      </c>
    </row>
    <row r="109">
      <c r="A109" s="1"/>
      <c r="B109" s="62" t="str">
        <f>IFERROR(__xludf.DUMMYFUNCTION("""COMPUTED_VALUE"""),"Elayaraja Thangaraj ")</f>
        <v>Elayaraja Thangaraj </v>
      </c>
      <c r="C109" s="63">
        <f>IFERROR(__xludf.DUMMYFUNCTION("""COMPUTED_VALUE"""),99.0)</f>
        <v>99</v>
      </c>
      <c r="D109" s="64">
        <f>IFERROR(__xludf.DUMMYFUNCTION("""COMPUTED_VALUE"""),8.0)</f>
        <v>8</v>
      </c>
      <c r="E109" s="63">
        <f>IFERROR(__xludf.DUMMYFUNCTION("""COMPUTED_VALUE"""),2.0)</f>
        <v>2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IFERROR(__xludf.DUMMYFUNCTION("""COMPUTED_VALUE"""),2.0)</f>
        <v>2</v>
      </c>
      <c r="I109" s="65">
        <f>IFERROR(__xludf.DUMMYFUNCTION("""COMPUTED_VALUE"""),0.0)</f>
        <v>0</v>
      </c>
      <c r="J109" s="65">
        <f>IFERROR(__xludf.DUMMYFUNCTION("""COMPUTED_VALUE"""),6.0)</f>
        <v>6</v>
      </c>
      <c r="K109" s="65">
        <f>IFERROR(__xludf.DUMMYFUNCTION("""COMPUTED_VALUE"""),8.0)</f>
        <v>8</v>
      </c>
      <c r="L109" s="65">
        <f>IFERROR(__xludf.DUMMYFUNCTION("""COMPUTED_VALUE"""),1.0)</f>
        <v>1</v>
      </c>
      <c r="M109" s="65">
        <f>IFERROR(__xludf.DUMMYFUNCTION("""COMPUTED_VALUE"""),107.0)</f>
        <v>107</v>
      </c>
      <c r="N109" s="66">
        <f>IFERROR(__xludf.DUMMYFUNCTION("""COMPUTED_VALUE"""),9.0)</f>
        <v>9</v>
      </c>
    </row>
    <row r="110">
      <c r="A110" s="1"/>
      <c r="B110" s="62" t="str">
        <f>IFERROR(__xludf.DUMMYFUNCTION("""COMPUTED_VALUE"""),"Christopher Li")</f>
        <v>Christopher Li</v>
      </c>
      <c r="C110" s="63">
        <f>IFERROR(__xludf.DUMMYFUNCTION("""COMPUTED_VALUE"""),98.0)</f>
        <v>98</v>
      </c>
      <c r="D110" s="64">
        <f>IFERROR(__xludf.DUMMYFUNCTION("""COMPUTED_VALUE"""),7.0)</f>
        <v>7</v>
      </c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IFERROR(__xludf.DUMMYFUNCTION("""COMPUTED_VALUE"""),6.0)</f>
        <v>6</v>
      </c>
      <c r="J110" s="65">
        <f>IFERROR(__xludf.DUMMYFUNCTION("""COMPUTED_VALUE"""),6.0)</f>
        <v>6</v>
      </c>
      <c r="K110" s="65">
        <f>IFERROR(__xludf.DUMMYFUNCTION("""COMPUTED_VALUE"""),18.0)</f>
        <v>18</v>
      </c>
      <c r="L110" s="65">
        <f>IFERROR(__xludf.DUMMYFUNCTION("""COMPUTED_VALUE"""),3.0)</f>
        <v>3</v>
      </c>
      <c r="M110" s="65">
        <f>IFERROR(__xludf.DUMMYFUNCTION("""COMPUTED_VALUE"""),116.0)</f>
        <v>116</v>
      </c>
      <c r="N110" s="66">
        <f>IFERROR(__xludf.DUMMYFUNCTION("""COMPUTED_VALUE"""),10.0)</f>
        <v>10</v>
      </c>
    </row>
    <row r="111">
      <c r="A111" s="1"/>
      <c r="B111" s="62" t="str">
        <f>IFERROR(__xludf.DUMMYFUNCTION("""COMPUTED_VALUE"""),"Eric Tan")</f>
        <v>Eric Tan</v>
      </c>
      <c r="C111" s="63">
        <f>IFERROR(__xludf.DUMMYFUNCTION("""COMPUTED_VALUE"""),96.0)</f>
        <v>96</v>
      </c>
      <c r="D111" s="64">
        <f>IFERROR(__xludf.DUMMYFUNCTION("""COMPUTED_VALUE"""),8.0)</f>
        <v>8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IFERROR(__xludf.DUMMYFUNCTION("""COMPUTED_VALUE"""),6.0)</f>
        <v>6</v>
      </c>
      <c r="I111" s="65">
        <f>IFERROR(__xludf.DUMMYFUNCTION("""COMPUTED_VALUE"""),0.0)</f>
        <v>0</v>
      </c>
      <c r="J111" s="65">
        <f>IFERROR(__xludf.DUMMYFUNCTION("""COMPUTED_VALUE"""),3.0)</f>
        <v>3</v>
      </c>
      <c r="K111" s="65">
        <f>IFERROR(__xludf.DUMMYFUNCTION("""COMPUTED_VALUE"""),9.0)</f>
        <v>9</v>
      </c>
      <c r="L111" s="65">
        <f>IFERROR(__xludf.DUMMYFUNCTION("""COMPUTED_VALUE"""),1.0)</f>
        <v>1</v>
      </c>
      <c r="M111" s="65">
        <f>IFERROR(__xludf.DUMMYFUNCTION("""COMPUTED_VALUE"""),105.0)</f>
        <v>105</v>
      </c>
      <c r="N111" s="66">
        <f>IFERROR(__xludf.DUMMYFUNCTION("""COMPUTED_VALUE"""),9.0)</f>
        <v>9</v>
      </c>
    </row>
    <row r="112">
      <c r="A112" s="1"/>
      <c r="B112" s="67" t="str">
        <f>IFERROR(__xludf.DUMMYFUNCTION("""COMPUTED_VALUE"""),"Vinaya Kajla")</f>
        <v>Vinaya Kajla</v>
      </c>
      <c r="C112" s="68">
        <f>IFERROR(__xludf.DUMMYFUNCTION("""COMPUTED_VALUE"""),94.0)</f>
        <v>94</v>
      </c>
      <c r="D112" s="69">
        <f>IFERROR(__xludf.DUMMYFUNCTION("""COMPUTED_VALUE"""),8.0)</f>
        <v>8</v>
      </c>
      <c r="E112" s="68">
        <f>IFERROR(__xludf.DUMMYFUNCTION("""COMPUTED_VALUE"""),1.0)</f>
        <v>1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IFERROR(__xludf.DUMMYFUNCTION("""COMPUTED_VALUE"""),3.0)</f>
        <v>3</v>
      </c>
      <c r="I112" s="70">
        <f>IFERROR(__xludf.DUMMYFUNCTION("""COMPUTED_VALUE"""),6.0)</f>
        <v>6</v>
      </c>
      <c r="J112" s="70">
        <f>IFERROR(__xludf.DUMMYFUNCTION("""COMPUTED_VALUE"""),0.0)</f>
        <v>0</v>
      </c>
      <c r="K112" s="70">
        <f>IFERROR(__xludf.DUMMYFUNCTION("""COMPUTED_VALUE"""),9.0)</f>
        <v>9</v>
      </c>
      <c r="L112" s="70">
        <f>IFERROR(__xludf.DUMMYFUNCTION("""COMPUTED_VALUE"""),1.0)</f>
        <v>1</v>
      </c>
      <c r="M112" s="70">
        <f>IFERROR(__xludf.DUMMYFUNCTION("""COMPUTED_VALUE"""),103.0)</f>
        <v>103</v>
      </c>
      <c r="N112" s="71">
        <f>IFERROR(__xludf.DUMMYFUNCTION("""COMPUTED_VALUE"""),9.0)</f>
        <v>9</v>
      </c>
    </row>
    <row r="113">
      <c r="A113" s="1"/>
      <c r="B113" s="67" t="str">
        <f>IFERROR(__xludf.DUMMYFUNCTION("""COMPUTED_VALUE"""),"Jimmy Awolesi")</f>
        <v>Jimmy Awolesi</v>
      </c>
      <c r="C113" s="68">
        <f>IFERROR(__xludf.DUMMYFUNCTION("""COMPUTED_VALUE"""),90.0)</f>
        <v>90</v>
      </c>
      <c r="D113" s="69">
        <f>IFERROR(__xludf.DUMMYFUNCTION("""COMPUTED_VALUE"""),7.0)</f>
        <v>7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IFERROR(__xludf.DUMMYFUNCTION("""COMPUTED_VALUE"""),3.0)</f>
        <v>3</v>
      </c>
      <c r="I113" s="70">
        <f>IFERROR(__xludf.DUMMYFUNCTION("""COMPUTED_VALUE"""),4.0)</f>
        <v>4</v>
      </c>
      <c r="J113" s="70">
        <f>IFERROR(__xludf.DUMMYFUNCTION("""COMPUTED_VALUE"""),6.0)</f>
        <v>6</v>
      </c>
      <c r="K113" s="70">
        <f>IFERROR(__xludf.DUMMYFUNCTION("""COMPUTED_VALUE"""),13.0)</f>
        <v>13</v>
      </c>
      <c r="L113" s="70">
        <f>IFERROR(__xludf.DUMMYFUNCTION("""COMPUTED_VALUE"""),1.0)</f>
        <v>1</v>
      </c>
      <c r="M113" s="70">
        <f>IFERROR(__xludf.DUMMYFUNCTION("""COMPUTED_VALUE"""),103.0)</f>
        <v>103</v>
      </c>
      <c r="N113" s="71">
        <f>IFERROR(__xludf.DUMMYFUNCTION("""COMPUTED_VALUE"""),8.0)</f>
        <v>8</v>
      </c>
    </row>
    <row r="114">
      <c r="A114" s="1"/>
      <c r="B114" s="67" t="str">
        <f>IFERROR(__xludf.DUMMYFUNCTION("""COMPUTED_VALUE"""),"Tom Le")</f>
        <v>Tom Le</v>
      </c>
      <c r="C114" s="68">
        <f>IFERROR(__xludf.DUMMYFUNCTION("""COMPUTED_VALUE"""),90.0)</f>
        <v>90</v>
      </c>
      <c r="D114" s="69">
        <f>IFERROR(__xludf.DUMMYFUNCTION("""COMPUTED_VALUE"""),3.0)</f>
        <v>3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IFERROR(__xludf.DUMMYFUNCTION("""COMPUTED_VALUE"""),6.0)</f>
        <v>6</v>
      </c>
      <c r="I114" s="70">
        <f>IFERROR(__xludf.DUMMYFUNCTION("""COMPUTED_VALUE"""),6.0)</f>
        <v>6</v>
      </c>
      <c r="J114" s="70">
        <f>IFERROR(__xludf.DUMMYFUNCTION("""COMPUTED_VALUE"""),6.0)</f>
        <v>6</v>
      </c>
      <c r="K114" s="70">
        <f>IFERROR(__xludf.DUMMYFUNCTION("""COMPUTED_VALUE"""),18.0)</f>
        <v>18</v>
      </c>
      <c r="L114" s="70">
        <f>IFERROR(__xludf.DUMMYFUNCTION("""COMPUTED_VALUE"""),3.0)</f>
        <v>3</v>
      </c>
      <c r="M114" s="70">
        <f>IFERROR(__xludf.DUMMYFUNCTION("""COMPUTED_VALUE"""),108.0)</f>
        <v>108</v>
      </c>
      <c r="N114" s="71">
        <f>IFERROR(__xludf.DUMMYFUNCTION("""COMPUTED_VALUE"""),6.0)</f>
        <v>6</v>
      </c>
    </row>
    <row r="115">
      <c r="A115" s="1"/>
      <c r="B115" s="67" t="str">
        <f>IFERROR(__xludf.DUMMYFUNCTION("""COMPUTED_VALUE"""),"Kumar Palakeel")</f>
        <v>Kumar Palakeel</v>
      </c>
      <c r="C115" s="68">
        <f>IFERROR(__xludf.DUMMYFUNCTION("""COMPUTED_VALUE"""),88.0)</f>
        <v>88</v>
      </c>
      <c r="D115" s="69">
        <f>IFERROR(__xludf.DUMMYFUNCTION("""COMPUTED_VALUE"""),8.0)</f>
        <v>8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IFERROR(__xludf.DUMMYFUNCTION("""COMPUTED_VALUE"""),4.0)</f>
        <v>4</v>
      </c>
      <c r="J115" s="70">
        <f>IFERROR(__xludf.DUMMYFUNCTION("""COMPUTED_VALUE"""),0.0)</f>
        <v>0</v>
      </c>
      <c r="K115" s="70">
        <f>IFERROR(__xludf.DUMMYFUNCTION("""COMPUTED_VALUE"""),10.0)</f>
        <v>10</v>
      </c>
      <c r="L115" s="70">
        <f>IFERROR(__xludf.DUMMYFUNCTION("""COMPUTED_VALUE"""),1.0)</f>
        <v>1</v>
      </c>
      <c r="M115" s="70">
        <f>IFERROR(__xludf.DUMMYFUNCTION("""COMPUTED_VALUE"""),98.0)</f>
        <v>98</v>
      </c>
      <c r="N115" s="71">
        <f>IFERROR(__xludf.DUMMYFUNCTION("""COMPUTED_VALUE"""),9.0)</f>
        <v>9</v>
      </c>
    </row>
    <row r="116">
      <c r="A116" s="1"/>
      <c r="B116" s="62" t="str">
        <f>IFERROR(__xludf.DUMMYFUNCTION("""COMPUTED_VALUE"""),"Vishnu Amarnath")</f>
        <v>Vishnu Amarnath</v>
      </c>
      <c r="C116" s="63">
        <f>IFERROR(__xludf.DUMMYFUNCTION("""COMPUTED_VALUE"""),86.0)</f>
        <v>86</v>
      </c>
      <c r="D116" s="64">
        <f>IFERROR(__xludf.DUMMYFUNCTION("""COMPUTED_VALUE"""),7.0)</f>
        <v>7</v>
      </c>
      <c r="E116" s="63">
        <f>IFERROR(__xludf.DUMMYFUNCTION("""COMPUTED_VALUE"""),2.0)</f>
        <v>2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IFERROR(__xludf.DUMMYFUNCTION("""COMPUTED_VALUE"""),6.0)</f>
        <v>6</v>
      </c>
      <c r="I116" s="65">
        <f>IFERROR(__xludf.DUMMYFUNCTION("""COMPUTED_VALUE"""),3.0)</f>
        <v>3</v>
      </c>
      <c r="J116" s="65">
        <f>IFERROR(__xludf.DUMMYFUNCTION("""COMPUTED_VALUE"""),3.0)</f>
        <v>3</v>
      </c>
      <c r="K116" s="65">
        <f>IFERROR(__xludf.DUMMYFUNCTION("""COMPUTED_VALUE"""),12.0)</f>
        <v>12</v>
      </c>
      <c r="L116" s="65">
        <f>IFERROR(__xludf.DUMMYFUNCTION("""COMPUTED_VALUE"""),1.0)</f>
        <v>1</v>
      </c>
      <c r="M116" s="65">
        <f>IFERROR(__xludf.DUMMYFUNCTION("""COMPUTED_VALUE"""),98.0)</f>
        <v>98</v>
      </c>
      <c r="N116" s="66">
        <f>IFERROR(__xludf.DUMMYFUNCTION("""COMPUTED_VALUE"""),8.0)</f>
        <v>8</v>
      </c>
    </row>
    <row r="117">
      <c r="A117" s="1"/>
      <c r="B117" s="62" t="str">
        <f>IFERROR(__xludf.DUMMYFUNCTION("""COMPUTED_VALUE"""),"Susanta Mishra")</f>
        <v>Susanta Mishra</v>
      </c>
      <c r="C117" s="63">
        <f>IFERROR(__xludf.DUMMYFUNCTION("""COMPUTED_VALUE"""),81.0)</f>
        <v>81</v>
      </c>
      <c r="D117" s="64">
        <f>IFERROR(__xludf.DUMMYFUNCTION("""COMPUTED_VALUE"""),0.0)</f>
        <v>0</v>
      </c>
      <c r="E117" s="63">
        <f>IFERROR(__xludf.DUMMYFUNCTION("""COMPUTED_VALUE"""),1.0)</f>
        <v>1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IFERROR(__xludf.DUMMYFUNCTION("""COMPUTED_VALUE"""),6.0)</f>
        <v>6</v>
      </c>
      <c r="I117" s="65">
        <f>IFERROR(__xludf.DUMMYFUNCTION("""COMPUTED_VALUE"""),6.0)</f>
        <v>6</v>
      </c>
      <c r="J117" s="65">
        <f>IFERROR(__xludf.DUMMYFUNCTION("""COMPUTED_VALUE"""),6.0)</f>
        <v>6</v>
      </c>
      <c r="K117" s="65">
        <f>IFERROR(__xludf.DUMMYFUNCTION("""COMPUTED_VALUE"""),18.0)</f>
        <v>18</v>
      </c>
      <c r="L117" s="65">
        <f>IFERROR(__xludf.DUMMYFUNCTION("""COMPUTED_VALUE"""),3.0)</f>
        <v>3</v>
      </c>
      <c r="M117" s="65">
        <f>IFERROR(__xludf.DUMMYFUNCTION("""COMPUTED_VALUE"""),99.0)</f>
        <v>99</v>
      </c>
      <c r="N117" s="66">
        <f>IFERROR(__xludf.DUMMYFUNCTION("""COMPUTED_VALUE"""),3.0)</f>
        <v>3</v>
      </c>
    </row>
    <row r="118">
      <c r="A118" s="1"/>
      <c r="B118" s="62" t="str">
        <f>IFERROR(__xludf.DUMMYFUNCTION("""COMPUTED_VALUE"""),"Joyce Zhu")</f>
        <v>Joyce Zhu</v>
      </c>
      <c r="C118" s="63">
        <f>IFERROR(__xludf.DUMMYFUNCTION("""COMPUTED_VALUE"""),78.0)</f>
        <v>78</v>
      </c>
      <c r="D118" s="64">
        <f>IFERROR(__xludf.DUMMYFUNCTION("""COMPUTED_VALUE"""),2.0)</f>
        <v>2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IFERROR(__xludf.DUMMYFUNCTION("""COMPUTED_VALUE"""),2.0)</f>
        <v>2</v>
      </c>
      <c r="I118" s="65">
        <f>IFERROR(__xludf.DUMMYFUNCTION("""COMPUTED_VALUE"""),3.0)</f>
        <v>3</v>
      </c>
      <c r="J118" s="65">
        <f>IFERROR(__xludf.DUMMYFUNCTION("""COMPUTED_VALUE"""),6.0)</f>
        <v>6</v>
      </c>
      <c r="K118" s="65">
        <f>IFERROR(__xludf.DUMMYFUNCTION("""COMPUTED_VALUE"""),11.0)</f>
        <v>11</v>
      </c>
      <c r="L118" s="65">
        <f>IFERROR(__xludf.DUMMYFUNCTION("""COMPUTED_VALUE"""),1.0)</f>
        <v>1</v>
      </c>
      <c r="M118" s="65">
        <f>IFERROR(__xludf.DUMMYFUNCTION("""COMPUTED_VALUE"""),89.0)</f>
        <v>89</v>
      </c>
      <c r="N118" s="66">
        <f>IFERROR(__xludf.DUMMYFUNCTION("""COMPUTED_VALUE"""),3.0)</f>
        <v>3</v>
      </c>
    </row>
    <row r="119">
      <c r="A119" s="1"/>
      <c r="B119" s="62" t="str">
        <f>IFERROR(__xludf.DUMMYFUNCTION("""COMPUTED_VALUE"""),"Jose Ortiz")</f>
        <v>Jose Ortiz</v>
      </c>
      <c r="C119" s="63">
        <f>IFERROR(__xludf.DUMMYFUNCTION("""COMPUTED_VALUE"""),78.0)</f>
        <v>78</v>
      </c>
      <c r="D119" s="64">
        <f>IFERROR(__xludf.DUMMYFUNCTION("""COMPUTED_VALUE"""),1.0)</f>
        <v>1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IFERROR(__xludf.DUMMYFUNCTION("""COMPUTED_VALUE"""),2.0)</f>
        <v>2</v>
      </c>
      <c r="I119" s="65">
        <f>IFERROR(__xludf.DUMMYFUNCTION("""COMPUTED_VALUE"""),6.0)</f>
        <v>6</v>
      </c>
      <c r="J119" s="65">
        <f>IFERROR(__xludf.DUMMYFUNCTION("""COMPUTED_VALUE"""),3.0)</f>
        <v>3</v>
      </c>
      <c r="K119" s="65">
        <f>IFERROR(__xludf.DUMMYFUNCTION("""COMPUTED_VALUE"""),11.0)</f>
        <v>11</v>
      </c>
      <c r="L119" s="65">
        <f>IFERROR(__xludf.DUMMYFUNCTION("""COMPUTED_VALUE"""),1.0)</f>
        <v>1</v>
      </c>
      <c r="M119" s="65">
        <f>IFERROR(__xludf.DUMMYFUNCTION("""COMPUTED_VALUE"""),89.0)</f>
        <v>89</v>
      </c>
      <c r="N119" s="66">
        <f>IFERROR(__xludf.DUMMYFUNCTION("""COMPUTED_VALUE"""),2.0)</f>
        <v>2</v>
      </c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0"")"),"Eric Pan")</f>
        <v>Eric Pan</v>
      </c>
      <c r="C136" s="63">
        <f>IFERROR(__xludf.DUMMYFUNCTION("""COMPUTED_VALUE"""),131.0)</f>
        <v>131</v>
      </c>
      <c r="D136" s="64">
        <f>IFERROR(__xludf.DUMMYFUNCTION("""COMPUTED_VALUE"""),15.0)</f>
        <v>15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IFERROR(__xludf.DUMMYFUNCTION("""COMPUTED_VALUE"""),140.0)</f>
        <v>140</v>
      </c>
      <c r="N136" s="66">
        <f>IFERROR(__xludf.DUMMYFUNCTION("""COMPUTED_VALUE"""),15.0)</f>
        <v>15</v>
      </c>
    </row>
    <row r="137">
      <c r="A137" s="1"/>
      <c r="B137" s="62" t="str">
        <f>IFERROR(__xludf.DUMMYFUNCTION("""COMPUTED_VALUE"""),"David Shin")</f>
        <v>David Shin</v>
      </c>
      <c r="C137" s="63">
        <f>IFERROR(__xludf.DUMMYFUNCTION("""COMPUTED_VALUE"""),127.0)</f>
        <v>127</v>
      </c>
      <c r="D137" s="64">
        <f>IFERROR(__xludf.DUMMYFUNCTION("""COMPUTED_VALUE"""),14.0)</f>
        <v>14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IFERROR(__xludf.DUMMYFUNCTION("""COMPUTED_VALUE"""),136.0)</f>
        <v>136</v>
      </c>
      <c r="N137" s="66">
        <f>IFERROR(__xludf.DUMMYFUNCTION("""COMPUTED_VALUE"""),14.0)</f>
        <v>14</v>
      </c>
    </row>
    <row r="138">
      <c r="A138" s="1"/>
      <c r="B138" s="62" t="str">
        <f>IFERROR(__xludf.DUMMYFUNCTION("""COMPUTED_VALUE"""),"Sean Chang")</f>
        <v>Sean Chang</v>
      </c>
      <c r="C138" s="63">
        <f>IFERROR(__xludf.DUMMYFUNCTION("""COMPUTED_VALUE"""),123.0)</f>
        <v>123</v>
      </c>
      <c r="D138" s="64">
        <f>IFERROR(__xludf.DUMMYFUNCTION("""COMPUTED_VALUE"""),8.0)</f>
        <v>8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IFERROR(__xludf.DUMMYFUNCTION("""COMPUTED_VALUE"""),132.0)</f>
        <v>132</v>
      </c>
      <c r="N138" s="66">
        <f>IFERROR(__xludf.DUMMYFUNCTION("""COMPUTED_VALUE"""),8.0)</f>
        <v>8</v>
      </c>
    </row>
    <row r="139">
      <c r="A139" s="1"/>
      <c r="B139" s="62" t="str">
        <f>IFERROR(__xludf.DUMMYFUNCTION("""COMPUTED_VALUE"""),"Kingsley Kuo")</f>
        <v>Kingsley Kuo</v>
      </c>
      <c r="C139" s="63">
        <f>IFERROR(__xludf.DUMMYFUNCTION("""COMPUTED_VALUE"""),116.0)</f>
        <v>116</v>
      </c>
      <c r="D139" s="64">
        <f>IFERROR(__xludf.DUMMYFUNCTION("""COMPUTED_VALUE"""),11.0)</f>
        <v>11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IFERROR(__xludf.DUMMYFUNCTION("""COMPUTED_VALUE"""),125.0)</f>
        <v>125</v>
      </c>
      <c r="N139" s="66">
        <f>IFERROR(__xludf.DUMMYFUNCTION("""COMPUTED_VALUE"""),11.0)</f>
        <v>11</v>
      </c>
    </row>
    <row r="140">
      <c r="A140" s="1"/>
      <c r="B140" s="62" t="str">
        <f>IFERROR(__xludf.DUMMYFUNCTION("""COMPUTED_VALUE"""),"Andrew Chin")</f>
        <v>Andrew Chin</v>
      </c>
      <c r="C140" s="63">
        <f>IFERROR(__xludf.DUMMYFUNCTION("""COMPUTED_VALUE"""),112.0)</f>
        <v>112</v>
      </c>
      <c r="D140" s="64">
        <f>IFERROR(__xludf.DUMMYFUNCTION("""COMPUTED_VALUE"""),10.0)</f>
        <v>10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IFERROR(__xludf.DUMMYFUNCTION("""COMPUTED_VALUE"""),121.0)</f>
        <v>121</v>
      </c>
      <c r="N140" s="66">
        <f>IFERROR(__xludf.DUMMYFUNCTION("""COMPUTED_VALUE"""),10.0)</f>
        <v>10</v>
      </c>
    </row>
    <row r="141">
      <c r="A141" s="1"/>
      <c r="B141" s="62" t="str">
        <f>IFERROR(__xludf.DUMMYFUNCTION("""COMPUTED_VALUE"""),"Erik Hoeckmann")</f>
        <v>Erik Hoeckmann</v>
      </c>
      <c r="C141" s="63">
        <f>IFERROR(__xludf.DUMMYFUNCTION("""COMPUTED_VALUE"""),111.0)</f>
        <v>111</v>
      </c>
      <c r="D141" s="64">
        <f>IFERROR(__xludf.DUMMYFUNCTION("""COMPUTED_VALUE"""),11.0)</f>
        <v>11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IFERROR(__xludf.DUMMYFUNCTION("""COMPUTED_VALUE"""),120.0)</f>
        <v>120</v>
      </c>
      <c r="N141" s="66">
        <f>IFERROR(__xludf.DUMMYFUNCTION("""COMPUTED_VALUE"""),11.0)</f>
        <v>11</v>
      </c>
    </row>
    <row r="142">
      <c r="A142" s="1"/>
      <c r="B142" s="62" t="str">
        <f>IFERROR(__xludf.DUMMYFUNCTION("""COMPUTED_VALUE"""),"Oscar Bonilla")</f>
        <v>Oscar Bonilla</v>
      </c>
      <c r="C142" s="63">
        <f>IFERROR(__xludf.DUMMYFUNCTION("""COMPUTED_VALUE"""),109.0)</f>
        <v>109</v>
      </c>
      <c r="D142" s="64">
        <f>IFERROR(__xludf.DUMMYFUNCTION("""COMPUTED_VALUE"""),8.0)</f>
        <v>8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IFERROR(__xludf.DUMMYFUNCTION("""COMPUTED_VALUE"""),118.0)</f>
        <v>118</v>
      </c>
      <c r="N142" s="66">
        <f>IFERROR(__xludf.DUMMYFUNCTION("""COMPUTED_VALUE"""),8.0)</f>
        <v>8</v>
      </c>
    </row>
    <row r="143">
      <c r="A143" s="1"/>
      <c r="B143" s="62" t="str">
        <f>IFERROR(__xludf.DUMMYFUNCTION("""COMPUTED_VALUE"""),"Rajasekar Ramasamy")</f>
        <v>Rajasekar Ramasamy</v>
      </c>
      <c r="C143" s="63">
        <f>IFERROR(__xludf.DUMMYFUNCTION("""COMPUTED_VALUE"""),105.0)</f>
        <v>105</v>
      </c>
      <c r="D143" s="64">
        <f>IFERROR(__xludf.DUMMYFUNCTION("""COMPUTED_VALUE"""),8.0)</f>
        <v>8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IFERROR(__xludf.DUMMYFUNCTION("""COMPUTED_VALUE"""),114.0)</f>
        <v>114</v>
      </c>
      <c r="N143" s="66">
        <f>IFERROR(__xludf.DUMMYFUNCTION("""COMPUTED_VALUE"""),8.0)</f>
        <v>8</v>
      </c>
    </row>
    <row r="144">
      <c r="A144" s="1"/>
      <c r="B144" s="62" t="str">
        <f>IFERROR(__xludf.DUMMYFUNCTION("""COMPUTED_VALUE"""),"Savay Lieu")</f>
        <v>Savay Lieu</v>
      </c>
      <c r="C144" s="63">
        <f>IFERROR(__xludf.DUMMYFUNCTION("""COMPUTED_VALUE"""),104.0)</f>
        <v>104</v>
      </c>
      <c r="D144" s="64">
        <f>IFERROR(__xludf.DUMMYFUNCTION("""COMPUTED_VALUE"""),5.0)</f>
        <v>5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IFERROR(__xludf.DUMMYFUNCTION("""COMPUTED_VALUE"""),113.0)</f>
        <v>113</v>
      </c>
      <c r="N144" s="66">
        <f>IFERROR(__xludf.DUMMYFUNCTION("""COMPUTED_VALUE"""),5.0)</f>
        <v>5</v>
      </c>
    </row>
    <row r="145">
      <c r="A145" s="1"/>
      <c r="B145" s="62" t="str">
        <f>IFERROR(__xludf.DUMMYFUNCTION("""COMPUTED_VALUE"""),"Sandy Weyant")</f>
        <v>Sandy Weyant</v>
      </c>
      <c r="C145" s="63">
        <f>IFERROR(__xludf.DUMMYFUNCTION("""COMPUTED_VALUE"""),102.0)</f>
        <v>102</v>
      </c>
      <c r="D145" s="64">
        <f>IFERROR(__xludf.DUMMYFUNCTION("""COMPUTED_VALUE"""),7.0)</f>
        <v>7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IFERROR(__xludf.DUMMYFUNCTION("""COMPUTED_VALUE"""),111.0)</f>
        <v>111</v>
      </c>
      <c r="N145" s="66">
        <f>IFERROR(__xludf.DUMMYFUNCTION("""COMPUTED_VALUE"""),7.0)</f>
        <v>7</v>
      </c>
    </row>
    <row r="146">
      <c r="A146" s="1"/>
      <c r="B146" s="62" t="str">
        <f>IFERROR(__xludf.DUMMYFUNCTION("""COMPUTED_VALUE"""),"Ramesh Bandaru")</f>
        <v>Ramesh Bandaru</v>
      </c>
      <c r="C146" s="63">
        <f>IFERROR(__xludf.DUMMYFUNCTION("""COMPUTED_VALUE"""),102.0)</f>
        <v>102</v>
      </c>
      <c r="D146" s="64">
        <f>IFERROR(__xludf.DUMMYFUNCTION("""COMPUTED_VALUE"""),7.0)</f>
        <v>7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IFERROR(__xludf.DUMMYFUNCTION("""COMPUTED_VALUE"""),111.0)</f>
        <v>111</v>
      </c>
      <c r="N146" s="66">
        <f>IFERROR(__xludf.DUMMYFUNCTION("""COMPUTED_VALUE"""),7.0)</f>
        <v>7</v>
      </c>
    </row>
    <row r="147">
      <c r="A147" s="1"/>
      <c r="B147" s="62" t="str">
        <f>IFERROR(__xludf.DUMMYFUNCTION("""COMPUTED_VALUE"""),"Balaji Alahari")</f>
        <v>Balaji Alahari</v>
      </c>
      <c r="C147" s="63">
        <f>IFERROR(__xludf.DUMMYFUNCTION("""COMPUTED_VALUE"""),102.0)</f>
        <v>102</v>
      </c>
      <c r="D147" s="64">
        <f>IFERROR(__xludf.DUMMYFUNCTION("""COMPUTED_VALUE"""),5.0)</f>
        <v>5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IFERROR(__xludf.DUMMYFUNCTION("""COMPUTED_VALUE"""),111.0)</f>
        <v>111</v>
      </c>
      <c r="N147" s="66">
        <f>IFERROR(__xludf.DUMMYFUNCTION("""COMPUTED_VALUE"""),5.0)</f>
        <v>5</v>
      </c>
    </row>
    <row r="148">
      <c r="A148" s="1"/>
      <c r="B148" s="62" t="str">
        <f>IFERROR(__xludf.DUMMYFUNCTION("""COMPUTED_VALUE"""),"David Tam")</f>
        <v>David Tam</v>
      </c>
      <c r="C148" s="63">
        <f>IFERROR(__xludf.DUMMYFUNCTION("""COMPUTED_VALUE"""),101.0)</f>
        <v>101</v>
      </c>
      <c r="D148" s="64">
        <f>IFERROR(__xludf.DUMMYFUNCTION("""COMPUTED_VALUE"""),10.0)</f>
        <v>10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IFERROR(__xludf.DUMMYFUNCTION("""COMPUTED_VALUE"""),110.0)</f>
        <v>110</v>
      </c>
      <c r="N148" s="66">
        <f>IFERROR(__xludf.DUMMYFUNCTION("""COMPUTED_VALUE"""),10.0)</f>
        <v>10</v>
      </c>
    </row>
    <row r="149">
      <c r="A149" s="1"/>
      <c r="B149" s="62" t="str">
        <f>IFERROR(__xludf.DUMMYFUNCTION("""COMPUTED_VALUE"""),"Pulkit Mathur")</f>
        <v>Pulkit Mathur</v>
      </c>
      <c r="C149" s="63">
        <f>IFERROR(__xludf.DUMMYFUNCTION("""COMPUTED_VALUE"""),99.0)</f>
        <v>99</v>
      </c>
      <c r="D149" s="64">
        <f>IFERROR(__xludf.DUMMYFUNCTION("""COMPUTED_VALUE"""),6.0)</f>
        <v>6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IFERROR(__xludf.DUMMYFUNCTION("""COMPUTED_VALUE"""),108.0)</f>
        <v>108</v>
      </c>
      <c r="N149" s="66">
        <f>IFERROR(__xludf.DUMMYFUNCTION("""COMPUTED_VALUE"""),6.0)</f>
        <v>6</v>
      </c>
    </row>
    <row r="150">
      <c r="A150" s="1"/>
      <c r="B150" s="62" t="str">
        <f>IFERROR(__xludf.DUMMYFUNCTION("""COMPUTED_VALUE"""),"Manish Anand")</f>
        <v>Manish Anand</v>
      </c>
      <c r="C150" s="63">
        <f>IFERROR(__xludf.DUMMYFUNCTION("""COMPUTED_VALUE"""),99.0)</f>
        <v>99</v>
      </c>
      <c r="D150" s="64">
        <f>IFERROR(__xludf.DUMMYFUNCTION("""COMPUTED_VALUE"""),6.0)</f>
        <v>6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IFERROR(__xludf.DUMMYFUNCTION("""COMPUTED_VALUE"""),108.0)</f>
        <v>108</v>
      </c>
      <c r="N150" s="66">
        <f>IFERROR(__xludf.DUMMYFUNCTION("""COMPUTED_VALUE"""),6.0)</f>
        <v>6</v>
      </c>
    </row>
    <row r="151">
      <c r="A151" s="1"/>
      <c r="B151" s="62" t="str">
        <f>IFERROR(__xludf.DUMMYFUNCTION("""COMPUTED_VALUE"""),"Trinath Goteti")</f>
        <v>Trinath Goteti</v>
      </c>
      <c r="C151" s="63">
        <f>IFERROR(__xludf.DUMMYFUNCTION("""COMPUTED_VALUE"""),99.0)</f>
        <v>99</v>
      </c>
      <c r="D151" s="64">
        <f>IFERROR(__xludf.DUMMYFUNCTION("""COMPUTED_VALUE"""),5.0)</f>
        <v>5</v>
      </c>
      <c r="E151" s="63">
        <f>IFERROR(__xludf.DUMMYFUNCTION("""COMPUTED_VALUE"""),4.0)</f>
        <v>4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IFERROR(__xludf.DUMMYFUNCTION("""COMPUTED_VALUE"""),108.0)</f>
        <v>108</v>
      </c>
      <c r="N151" s="66">
        <f>IFERROR(__xludf.DUMMYFUNCTION("""COMPUTED_VALUE"""),5.0)</f>
        <v>5</v>
      </c>
    </row>
    <row r="152">
      <c r="A152" s="1"/>
      <c r="B152" s="62" t="str">
        <f>IFERROR(__xludf.DUMMYFUNCTION("""COMPUTED_VALUE"""),"Robert Chang")</f>
        <v>Robert Chang</v>
      </c>
      <c r="C152" s="63">
        <f>IFERROR(__xludf.DUMMYFUNCTION("""COMPUTED_VALUE"""),99.0)</f>
        <v>99</v>
      </c>
      <c r="D152" s="64">
        <f>IFERROR(__xludf.DUMMYFUNCTION("""COMPUTED_VALUE"""),4.0)</f>
        <v>4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IFERROR(__xludf.DUMMYFUNCTION("""COMPUTED_VALUE"""),108.0)</f>
        <v>108</v>
      </c>
      <c r="N152" s="66">
        <f>IFERROR(__xludf.DUMMYFUNCTION("""COMPUTED_VALUE"""),4.0)</f>
        <v>4</v>
      </c>
    </row>
    <row r="153">
      <c r="A153" s="1"/>
      <c r="B153" s="62" t="str">
        <f>IFERROR(__xludf.DUMMYFUNCTION("""COMPUTED_VALUE"""),"Tony Wong")</f>
        <v>Tony Wong</v>
      </c>
      <c r="C153" s="63">
        <f>IFERROR(__xludf.DUMMYFUNCTION("""COMPUTED_VALUE"""),97.0)</f>
        <v>97</v>
      </c>
      <c r="D153" s="64">
        <f>IFERROR(__xludf.DUMMYFUNCTION("""COMPUTED_VALUE"""),7.0)</f>
        <v>7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IFERROR(__xludf.DUMMYFUNCTION("""COMPUTED_VALUE"""),106.0)</f>
        <v>106</v>
      </c>
      <c r="N153" s="66">
        <f>IFERROR(__xludf.DUMMYFUNCTION("""COMPUTED_VALUE"""),7.0)</f>
        <v>7</v>
      </c>
    </row>
    <row r="154">
      <c r="A154" s="1"/>
      <c r="B154" s="62" t="str">
        <f>IFERROR(__xludf.DUMMYFUNCTION("""COMPUTED_VALUE"""),"Alejandro Mejia")</f>
        <v>Alejandro Mejia</v>
      </c>
      <c r="C154" s="63">
        <f>IFERROR(__xludf.DUMMYFUNCTION("""COMPUTED_VALUE"""),97.0)</f>
        <v>97</v>
      </c>
      <c r="D154" s="64">
        <f>IFERROR(__xludf.DUMMYFUNCTION("""COMPUTED_VALUE"""),4.0)</f>
        <v>4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IFERROR(__xludf.DUMMYFUNCTION("""COMPUTED_VALUE"""),106.0)</f>
        <v>106</v>
      </c>
      <c r="N154" s="66">
        <f>IFERROR(__xludf.DUMMYFUNCTION("""COMPUTED_VALUE"""),4.0)</f>
        <v>4</v>
      </c>
    </row>
    <row r="155">
      <c r="A155" s="1"/>
      <c r="B155" s="62" t="str">
        <f>IFERROR(__xludf.DUMMYFUNCTION("""COMPUTED_VALUE"""),"Vamsi Lolla ")</f>
        <v>Vamsi Lolla </v>
      </c>
      <c r="C155" s="63">
        <f>IFERROR(__xludf.DUMMYFUNCTION("""COMPUTED_VALUE"""),97.0)</f>
        <v>97</v>
      </c>
      <c r="D155" s="64">
        <f>IFERROR(__xludf.DUMMYFUNCTION("""COMPUTED_VALUE"""),4.0)</f>
        <v>4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IFERROR(__xludf.DUMMYFUNCTION("""COMPUTED_VALUE"""),106.0)</f>
        <v>106</v>
      </c>
      <c r="N155" s="66">
        <f>IFERROR(__xludf.DUMMYFUNCTION("""COMPUTED_VALUE"""),4.0)</f>
        <v>4</v>
      </c>
    </row>
    <row r="156">
      <c r="A156" s="1"/>
      <c r="B156" s="62" t="str">
        <f>IFERROR(__xludf.DUMMYFUNCTION("""COMPUTED_VALUE"""),"Rosie Bonilla")</f>
        <v>Rosie Bonilla</v>
      </c>
      <c r="C156" s="63">
        <f>IFERROR(__xludf.DUMMYFUNCTION("""COMPUTED_VALUE"""),96.0)</f>
        <v>96</v>
      </c>
      <c r="D156" s="64">
        <f>IFERROR(__xludf.DUMMYFUNCTION("""COMPUTED_VALUE"""),2.0)</f>
        <v>2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IFERROR(__xludf.DUMMYFUNCTION("""COMPUTED_VALUE"""),105.0)</f>
        <v>105</v>
      </c>
      <c r="N156" s="66">
        <f>IFERROR(__xludf.DUMMYFUNCTION("""COMPUTED_VALUE"""),2.0)</f>
        <v>2</v>
      </c>
    </row>
    <row r="157">
      <c r="A157" s="1"/>
      <c r="B157" s="62" t="str">
        <f>IFERROR(__xludf.DUMMYFUNCTION("""COMPUTED_VALUE"""),"Lloyd Sagar")</f>
        <v>Lloyd Sagar</v>
      </c>
      <c r="C157" s="63">
        <f>IFERROR(__xludf.DUMMYFUNCTION("""COMPUTED_VALUE"""),95.0)</f>
        <v>95</v>
      </c>
      <c r="D157" s="64">
        <f>IFERROR(__xludf.DUMMYFUNCTION("""COMPUTED_VALUE"""),4.0)</f>
        <v>4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IFERROR(__xludf.DUMMYFUNCTION("""COMPUTED_VALUE"""),104.0)</f>
        <v>104</v>
      </c>
      <c r="N157" s="66">
        <f>IFERROR(__xludf.DUMMYFUNCTION("""COMPUTED_VALUE"""),4.0)</f>
        <v>4</v>
      </c>
    </row>
    <row r="158">
      <c r="A158" s="1"/>
      <c r="B158" s="62" t="str">
        <f>IFERROR(__xludf.DUMMYFUNCTION("""COMPUTED_VALUE"""),"Marcus Yovas")</f>
        <v>Marcus Yovas</v>
      </c>
      <c r="C158" s="63">
        <f>IFERROR(__xludf.DUMMYFUNCTION("""COMPUTED_VALUE"""),94.0)</f>
        <v>94</v>
      </c>
      <c r="D158" s="64">
        <f>IFERROR(__xludf.DUMMYFUNCTION("""COMPUTED_VALUE"""),2.0)</f>
        <v>2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IFERROR(__xludf.DUMMYFUNCTION("""COMPUTED_VALUE"""),103.0)</f>
        <v>103</v>
      </c>
      <c r="N158" s="66">
        <f>IFERROR(__xludf.DUMMYFUNCTION("""COMPUTED_VALUE"""),2.0)</f>
        <v>2</v>
      </c>
    </row>
    <row r="159">
      <c r="A159" s="1"/>
      <c r="B159" s="62" t="str">
        <f>IFERROR(__xludf.DUMMYFUNCTION("""COMPUTED_VALUE"""),"Nohely Mejia")</f>
        <v>Nohely Mejia</v>
      </c>
      <c r="C159" s="63">
        <f>IFERROR(__xludf.DUMMYFUNCTION("""COMPUTED_VALUE"""),94.0)</f>
        <v>94</v>
      </c>
      <c r="D159" s="64">
        <f>IFERROR(__xludf.DUMMYFUNCTION("""COMPUTED_VALUE"""),2.0)</f>
        <v>2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IFERROR(__xludf.DUMMYFUNCTION("""COMPUTED_VALUE"""),103.0)</f>
        <v>103</v>
      </c>
      <c r="N159" s="66">
        <f>IFERROR(__xludf.DUMMYFUNCTION("""COMPUTED_VALUE"""),2.0)</f>
        <v>2</v>
      </c>
    </row>
    <row r="160">
      <c r="A160" s="1"/>
      <c r="B160" s="62" t="str">
        <f>IFERROR(__xludf.DUMMYFUNCTION("""COMPUTED_VALUE"""),"Sudhagar Subbaian")</f>
        <v>Sudhagar Subbaian</v>
      </c>
      <c r="C160" s="63">
        <f>IFERROR(__xludf.DUMMYFUNCTION("""COMPUTED_VALUE"""),93.0)</f>
        <v>93</v>
      </c>
      <c r="D160" s="64">
        <f>IFERROR(__xludf.DUMMYFUNCTION("""COMPUTED_VALUE"""),4.0)</f>
        <v>4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IFERROR(__xludf.DUMMYFUNCTION("""COMPUTED_VALUE"""),102.0)</f>
        <v>102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IFERROR(__xludf.DUMMYFUNCTION("""COMPUTED_VALUE"""),"Santosh Sundaresan ")</f>
        <v>Santosh Sundaresan </v>
      </c>
      <c r="C161" s="63">
        <f>IFERROR(__xludf.DUMMYFUNCTION("""COMPUTED_VALUE"""),93.0)</f>
        <v>93</v>
      </c>
      <c r="D161" s="64">
        <f>IFERROR(__xludf.DUMMYFUNCTION("""COMPUTED_VALUE"""),2.0)</f>
        <v>2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IFERROR(__xludf.DUMMYFUNCTION("""COMPUTED_VALUE"""),102.0)</f>
        <v>102</v>
      </c>
      <c r="N161" s="66">
        <f>IFERROR(__xludf.DUMMYFUNCTION("""COMPUTED_VALUE"""),2.0)</f>
        <v>2</v>
      </c>
    </row>
    <row r="162">
      <c r="A162" s="1"/>
      <c r="B162" s="62" t="str">
        <f>IFERROR(__xludf.DUMMYFUNCTION("""COMPUTED_VALUE"""),"Ash Nikravan")</f>
        <v>Ash Nikravan</v>
      </c>
      <c r="C162" s="63">
        <f>IFERROR(__xludf.DUMMYFUNCTION("""COMPUTED_VALUE"""),92.0)</f>
        <v>92</v>
      </c>
      <c r="D162" s="64">
        <f>IFERROR(__xludf.DUMMYFUNCTION("""COMPUTED_VALUE"""),5.0)</f>
        <v>5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IFERROR(__xludf.DUMMYFUNCTION("""COMPUTED_VALUE"""),101.0)</f>
        <v>101</v>
      </c>
      <c r="N162" s="66">
        <f>IFERROR(__xludf.DUMMYFUNCTION("""COMPUTED_VALUE"""),5.0)</f>
        <v>5</v>
      </c>
    </row>
    <row r="163">
      <c r="A163" s="1"/>
      <c r="B163" s="62" t="str">
        <f>IFERROR(__xludf.DUMMYFUNCTION("""COMPUTED_VALUE"""),"Troy Wong")</f>
        <v>Troy Wong</v>
      </c>
      <c r="C163" s="63">
        <f>IFERROR(__xludf.DUMMYFUNCTION("""COMPUTED_VALUE"""),91.0)</f>
        <v>91</v>
      </c>
      <c r="D163" s="64">
        <f>IFERROR(__xludf.DUMMYFUNCTION("""COMPUTED_VALUE"""),4.0)</f>
        <v>4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IFERROR(__xludf.DUMMYFUNCTION("""COMPUTED_VALUE"""),100.0)</f>
        <v>100</v>
      </c>
      <c r="N163" s="66">
        <f>IFERROR(__xludf.DUMMYFUNCTION("""COMPUTED_VALUE"""),4.0)</f>
        <v>4</v>
      </c>
    </row>
    <row r="164">
      <c r="A164" s="1"/>
      <c r="B164" s="62" t="str">
        <f>IFERROR(__xludf.DUMMYFUNCTION("""COMPUTED_VALUE"""),"Tony Lin")</f>
        <v>Tony Lin</v>
      </c>
      <c r="C164" s="63">
        <f>IFERROR(__xludf.DUMMYFUNCTION("""COMPUTED_VALUE"""),90.0)</f>
        <v>90</v>
      </c>
      <c r="D164" s="64">
        <f>IFERROR(__xludf.DUMMYFUNCTION("""COMPUTED_VALUE"""),3.0)</f>
        <v>3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IFERROR(__xludf.DUMMYFUNCTION("""COMPUTED_VALUE"""),99.0)</f>
        <v>99</v>
      </c>
      <c r="N164" s="66">
        <f>IFERROR(__xludf.DUMMYFUNCTION("""COMPUTED_VALUE"""),3.0)</f>
        <v>3</v>
      </c>
    </row>
    <row r="165">
      <c r="A165" s="1"/>
      <c r="B165" s="62" t="str">
        <f>IFERROR(__xludf.DUMMYFUNCTION("""COMPUTED_VALUE"""),"Chandrasekar Chinnathambi")</f>
        <v>Chandrasekar Chinnathambi</v>
      </c>
      <c r="C165" s="63">
        <f>IFERROR(__xludf.DUMMYFUNCTION("""COMPUTED_VALUE"""),88.0)</f>
        <v>88</v>
      </c>
      <c r="D165" s="64">
        <f>IFERROR(__xludf.DUMMYFUNCTION("""COMPUTED_VALUE"""),1.0)</f>
        <v>1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IFERROR(__xludf.DUMMYFUNCTION("""COMPUTED_VALUE"""),97.0)</f>
        <v>97</v>
      </c>
      <c r="N165" s="66">
        <f>IFERROR(__xludf.DUMMYFUNCTION("""COMPUTED_VALUE"""),1.0)</f>
        <v>1</v>
      </c>
    </row>
    <row r="166">
      <c r="A166" s="1"/>
      <c r="B166" s="62" t="str">
        <f>IFERROR(__xludf.DUMMYFUNCTION("""COMPUTED_VALUE"""),"Sanjaye Elayattu")</f>
        <v>Sanjaye Elayattu</v>
      </c>
      <c r="C166" s="63">
        <f>IFERROR(__xludf.DUMMYFUNCTION("""COMPUTED_VALUE"""),85.0)</f>
        <v>85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IFERROR(__xludf.DUMMYFUNCTION("""COMPUTED_VALUE"""),94.0)</f>
        <v>94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IFERROR(__xludf.DUMMYFUNCTION("""COMPUTED_VALUE"""),"Vinot Kumar Nagappan")</f>
        <v>Vinot Kumar Nagappan</v>
      </c>
      <c r="C167" s="63">
        <f>IFERROR(__xludf.DUMMYFUNCTION("""COMPUTED_VALUE"""),84.0)</f>
        <v>84</v>
      </c>
      <c r="D167" s="64">
        <f>IFERROR(__xludf.DUMMYFUNCTION("""COMPUTED_VALUE"""),1.0)</f>
        <v>1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IFERROR(__xludf.DUMMYFUNCTION("""COMPUTED_VALUE"""),93.0)</f>
        <v>93</v>
      </c>
      <c r="N167" s="66">
        <f>IFERROR(__xludf.DUMMYFUNCTION("""COMPUTED_VALUE"""),1.0)</f>
        <v>1</v>
      </c>
    </row>
    <row r="168">
      <c r="A168" s="1"/>
      <c r="B168" s="62" t="str">
        <f>IFERROR(__xludf.DUMMYFUNCTION("""COMPUTED_VALUE"""),"Sai Dilip Ponnaganti")</f>
        <v>Sai Dilip Ponnaganti</v>
      </c>
      <c r="C168" s="63">
        <f>IFERROR(__xludf.DUMMYFUNCTION("""COMPUTED_VALUE"""),81.0)</f>
        <v>81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IFERROR(__xludf.DUMMYFUNCTION("""COMPUTED_VALUE"""),90.0)</f>
        <v>90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IFERROR(__xludf.DUMMYFUNCTION("""COMPUTED_VALUE"""),"Vilas Janardhanan")</f>
        <v>Vilas Janardhanan</v>
      </c>
      <c r="C169" s="63">
        <f>IFERROR(__xludf.DUMMYFUNCTION("""COMPUTED_VALUE"""),81.0)</f>
        <v>81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IFERROR(__xludf.DUMMYFUNCTION("""COMPUTED_VALUE"""),90.0)</f>
        <v>90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IFERROR(__xludf.DUMMYFUNCTION("""COMPUTED_VALUE"""),"Amit Patel")</f>
        <v>Amit Patel</v>
      </c>
      <c r="C170" s="63">
        <f>IFERROR(__xludf.DUMMYFUNCTION("""COMPUTED_VALUE"""),81.0)</f>
        <v>81</v>
      </c>
      <c r="D170" s="64">
        <f>IFERROR(__xludf.DUMMYFUNCTION("""COMPUTED_VALUE"""),0.0)</f>
        <v>0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IFERROR(__xludf.DUMMYFUNCTION("""COMPUTED_VALUE"""),90.0)</f>
        <v>90</v>
      </c>
      <c r="N170" s="66">
        <f>IFERROR(__xludf.DUMMYFUNCTION("""COMPUTED_VALUE"""),0.0)</f>
        <v>0</v>
      </c>
    </row>
    <row r="171">
      <c r="A171" s="1"/>
      <c r="B171" s="62" t="str">
        <f>IFERROR(__xludf.DUMMYFUNCTION("""COMPUTED_VALUE"""),"Coco Yan")</f>
        <v>Coco Yan</v>
      </c>
      <c r="C171" s="63">
        <f>IFERROR(__xludf.DUMMYFUNCTION("""COMPUTED_VALUE"""),81.0)</f>
        <v>81</v>
      </c>
      <c r="D171" s="64">
        <f>IFERROR(__xludf.DUMMYFUNCTION("""COMPUTED_VALUE"""),0.0)</f>
        <v>0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IFERROR(__xludf.DUMMYFUNCTION("""COMPUTED_VALUE"""),90.0)</f>
        <v>90</v>
      </c>
      <c r="N171" s="66">
        <f>IFERROR(__xludf.DUMMYFUNCTION("""COMPUTED_VALUE"""),0.0)</f>
        <v>0</v>
      </c>
    </row>
    <row r="172">
      <c r="A172" s="1"/>
      <c r="B172" s="62" t="str">
        <f>IFERROR(__xludf.DUMMYFUNCTION("""COMPUTED_VALUE"""),"Tiffany Yu")</f>
        <v>Tiffany Yu</v>
      </c>
      <c r="C172" s="63">
        <f>IFERROR(__xludf.DUMMYFUNCTION("""COMPUTED_VALUE"""),80.0)</f>
        <v>80</v>
      </c>
      <c r="D172" s="64">
        <f>IFERROR(__xludf.DUMMYFUNCTION("""COMPUTED_VALUE"""),2.0)</f>
        <v>2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IFERROR(__xludf.DUMMYFUNCTION("""COMPUTED_VALUE"""),89.0)</f>
        <v>89</v>
      </c>
      <c r="N172" s="66">
        <f>IFERROR(__xludf.DUMMYFUNCTION("""COMPUTED_VALUE"""),2.0)</f>
        <v>2</v>
      </c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45360.0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9.0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82</v>
      </c>
      <c r="C5" s="28">
        <v>122.0</v>
      </c>
      <c r="D5" s="29">
        <v>15.0</v>
      </c>
      <c r="E5" s="30">
        <v>3.0</v>
      </c>
      <c r="F5" s="31">
        <v>0.0</v>
      </c>
      <c r="G5" s="28">
        <v>9.0</v>
      </c>
      <c r="H5" s="31">
        <v>0.0</v>
      </c>
      <c r="I5" s="31">
        <v>0.0</v>
      </c>
      <c r="J5" s="31">
        <v>0.0</v>
      </c>
      <c r="K5" s="33">
        <v>9.0</v>
      </c>
      <c r="L5" s="31">
        <v>0.0</v>
      </c>
      <c r="M5" s="28">
        <f t="shared" ref="M5:N5" si="1">C5+K5</f>
        <v>131</v>
      </c>
      <c r="N5" s="29">
        <f t="shared" si="1"/>
        <v>15</v>
      </c>
      <c r="O5" s="35" t="s">
        <v>46</v>
      </c>
      <c r="P5" s="35" t="s">
        <v>46</v>
      </c>
      <c r="Q5" s="31">
        <f>if(G5=13,1,0)+VLOOKUP(B5,'022424'!B:Q,16,false)</f>
        <v>1</v>
      </c>
      <c r="R5" s="31"/>
      <c r="S5" s="31">
        <f>if(G5=9,1,0)+VLOOKUP(B5,'022424'!B:S,18,false)</f>
        <v>2</v>
      </c>
    </row>
    <row r="6">
      <c r="A6" s="26">
        <f t="shared" ref="A6:A69" si="3">A5+1</f>
        <v>2</v>
      </c>
      <c r="B6" s="27" t="s">
        <v>60</v>
      </c>
      <c r="C6" s="28">
        <v>114.0</v>
      </c>
      <c r="D6" s="29">
        <v>10.0</v>
      </c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f t="shared" ref="M6:N6" si="2">C6+K6</f>
        <v>123</v>
      </c>
      <c r="N6" s="29">
        <f t="shared" si="2"/>
        <v>10</v>
      </c>
      <c r="O6" s="35" t="s">
        <v>46</v>
      </c>
      <c r="P6" s="35" t="s">
        <v>46</v>
      </c>
      <c r="Q6" s="31">
        <f>if(G6=13,1,0)+VLOOKUP(B6,'022424'!B:Q,16,false)</f>
        <v>2</v>
      </c>
      <c r="R6" s="31"/>
      <c r="S6" s="31">
        <f>if(G6=9,1,0)+VLOOKUP(B6,'022424'!B:S,18,false)</f>
        <v>3</v>
      </c>
    </row>
    <row r="7">
      <c r="A7" s="26">
        <f t="shared" si="3"/>
        <v>3</v>
      </c>
      <c r="B7" s="27" t="s">
        <v>77</v>
      </c>
      <c r="C7" s="28">
        <v>114.0</v>
      </c>
      <c r="D7" s="29">
        <v>8.0</v>
      </c>
      <c r="E7" s="30">
        <v>3.0</v>
      </c>
      <c r="F7" s="31">
        <v>0.0</v>
      </c>
      <c r="G7" s="28">
        <v>9.0</v>
      </c>
      <c r="H7" s="31">
        <v>0.0</v>
      </c>
      <c r="I7" s="31">
        <v>0.0</v>
      </c>
      <c r="J7" s="31">
        <v>0.0</v>
      </c>
      <c r="K7" s="33">
        <v>9.0</v>
      </c>
      <c r="L7" s="31">
        <v>0.0</v>
      </c>
      <c r="M7" s="28">
        <f t="shared" ref="M7:N7" si="4">C7+K7</f>
        <v>123</v>
      </c>
      <c r="N7" s="29">
        <f t="shared" si="4"/>
        <v>8</v>
      </c>
      <c r="O7" s="35" t="s">
        <v>46</v>
      </c>
      <c r="P7" s="35" t="s">
        <v>46</v>
      </c>
      <c r="Q7" s="31">
        <f>if(G7=13,1,0)+VLOOKUP(B7,'022424'!B:Q,16,false)</f>
        <v>2</v>
      </c>
      <c r="R7" s="31"/>
      <c r="S7" s="31">
        <f>if(G7=9,1,0)+VLOOKUP(B7,'022424'!B:S,18,false)</f>
        <v>2</v>
      </c>
    </row>
    <row r="8">
      <c r="A8" s="26">
        <f t="shared" si="3"/>
        <v>4</v>
      </c>
      <c r="B8" s="27" t="s">
        <v>61</v>
      </c>
      <c r="C8" s="28">
        <v>113.0</v>
      </c>
      <c r="D8" s="29">
        <v>12.0</v>
      </c>
      <c r="E8" s="30">
        <v>2.0</v>
      </c>
      <c r="F8" s="31">
        <v>1.0</v>
      </c>
      <c r="G8" s="28">
        <v>0.0</v>
      </c>
      <c r="H8" s="31">
        <v>6.0</v>
      </c>
      <c r="I8" s="31">
        <v>2.0</v>
      </c>
      <c r="J8" s="31">
        <v>6.0</v>
      </c>
      <c r="K8" s="33">
        <v>14.0</v>
      </c>
      <c r="L8" s="31">
        <v>2.0</v>
      </c>
      <c r="M8" s="28">
        <f t="shared" ref="M8:N8" si="5">C8+K8</f>
        <v>127</v>
      </c>
      <c r="N8" s="29">
        <f t="shared" si="5"/>
        <v>14</v>
      </c>
      <c r="O8" s="35" t="s">
        <v>46</v>
      </c>
      <c r="P8" s="35" t="s">
        <v>46</v>
      </c>
      <c r="Q8" s="31">
        <f>if(G8=13,1,0)+VLOOKUP(B8,'022424'!B:Q,16,false)</f>
        <v>1</v>
      </c>
      <c r="R8" s="31"/>
      <c r="S8" s="31">
        <f>if(G8=9,1,0)+VLOOKUP(B8,'022424'!B:S,18,false)</f>
        <v>1</v>
      </c>
    </row>
    <row r="9">
      <c r="A9" s="26">
        <f t="shared" si="3"/>
        <v>5</v>
      </c>
      <c r="B9" s="27" t="s">
        <v>38</v>
      </c>
      <c r="C9" s="28">
        <v>111.0</v>
      </c>
      <c r="D9" s="29">
        <v>12.0</v>
      </c>
      <c r="E9" s="30">
        <v>3.0</v>
      </c>
      <c r="F9" s="31">
        <v>0.0</v>
      </c>
      <c r="G9" s="28">
        <v>9.0</v>
      </c>
      <c r="H9" s="31">
        <v>0.0</v>
      </c>
      <c r="I9" s="31">
        <v>0.0</v>
      </c>
      <c r="J9" s="31">
        <v>0.0</v>
      </c>
      <c r="K9" s="33">
        <v>9.0</v>
      </c>
      <c r="L9" s="31">
        <v>0.0</v>
      </c>
      <c r="M9" s="28">
        <f t="shared" ref="M9:N9" si="6">C9+K9</f>
        <v>120</v>
      </c>
      <c r="N9" s="29">
        <f t="shared" si="6"/>
        <v>12</v>
      </c>
      <c r="O9" s="35" t="s">
        <v>46</v>
      </c>
      <c r="P9" s="35" t="s">
        <v>46</v>
      </c>
      <c r="Q9" s="31">
        <f>if(G9=13,1,0)+VLOOKUP(B9,'022424'!B:Q,16,false)</f>
        <v>1</v>
      </c>
      <c r="R9" s="31"/>
      <c r="S9" s="31">
        <f>if(G9=9,1,0)+VLOOKUP(B9,'022424'!B:S,18,false)</f>
        <v>3</v>
      </c>
    </row>
    <row r="10">
      <c r="A10" s="26">
        <f t="shared" si="3"/>
        <v>6</v>
      </c>
      <c r="B10" s="27" t="s">
        <v>48</v>
      </c>
      <c r="C10" s="28">
        <v>110.0</v>
      </c>
      <c r="D10" s="29">
        <v>10.0</v>
      </c>
      <c r="E10" s="30">
        <v>3.0</v>
      </c>
      <c r="F10" s="31">
        <v>0.0</v>
      </c>
      <c r="G10" s="28">
        <v>9.0</v>
      </c>
      <c r="H10" s="31">
        <v>0.0</v>
      </c>
      <c r="I10" s="31">
        <v>0.0</v>
      </c>
      <c r="J10" s="31">
        <v>0.0</v>
      </c>
      <c r="K10" s="33">
        <v>9.0</v>
      </c>
      <c r="L10" s="31">
        <v>0.0</v>
      </c>
      <c r="M10" s="28">
        <f t="shared" ref="M10:N10" si="7">C10+K10</f>
        <v>119</v>
      </c>
      <c r="N10" s="29">
        <f t="shared" si="7"/>
        <v>10</v>
      </c>
      <c r="O10" s="35" t="s">
        <v>46</v>
      </c>
      <c r="P10" s="35" t="s">
        <v>46</v>
      </c>
      <c r="Q10" s="31">
        <f>if(G10=13,1,0)+VLOOKUP(B10,'022424'!B:Q,16,false)</f>
        <v>2</v>
      </c>
      <c r="R10" s="31"/>
      <c r="S10" s="31">
        <f>if(G10=9,1,0)+VLOOKUP(B10,'022424'!B:S,18,false)</f>
        <v>3</v>
      </c>
    </row>
    <row r="11">
      <c r="A11" s="26">
        <f t="shared" si="3"/>
        <v>7</v>
      </c>
      <c r="B11" s="39" t="s">
        <v>71</v>
      </c>
      <c r="C11" s="28">
        <v>107.0</v>
      </c>
      <c r="D11" s="29">
        <v>11.0</v>
      </c>
      <c r="E11" s="30">
        <v>3.0</v>
      </c>
      <c r="F11" s="31">
        <v>0.0</v>
      </c>
      <c r="G11" s="28">
        <v>9.0</v>
      </c>
      <c r="H11" s="31">
        <v>0.0</v>
      </c>
      <c r="I11" s="31">
        <v>0.0</v>
      </c>
      <c r="J11" s="31">
        <v>0.0</v>
      </c>
      <c r="K11" s="33">
        <v>9.0</v>
      </c>
      <c r="L11" s="31">
        <v>0.0</v>
      </c>
      <c r="M11" s="28">
        <f t="shared" ref="M11:N11" si="8">C11+K11</f>
        <v>116</v>
      </c>
      <c r="N11" s="29">
        <f t="shared" si="8"/>
        <v>11</v>
      </c>
      <c r="O11" s="35" t="s">
        <v>46</v>
      </c>
      <c r="P11" s="35" t="s">
        <v>46</v>
      </c>
      <c r="Q11" s="31">
        <f>if(G11=13,1,0)+VLOOKUP(B11,'022424'!B:Q,16,false)</f>
        <v>0</v>
      </c>
      <c r="R11" s="31"/>
      <c r="S11" s="31">
        <f>if(G11=9,1,0)+VLOOKUP(B11,'022424'!B:S,18,false)</f>
        <v>3</v>
      </c>
    </row>
    <row r="12">
      <c r="A12" s="26">
        <f t="shared" si="3"/>
        <v>8</v>
      </c>
      <c r="B12" s="27" t="s">
        <v>75</v>
      </c>
      <c r="C12" s="28">
        <v>105.0</v>
      </c>
      <c r="D12" s="29">
        <v>8.0</v>
      </c>
      <c r="E12" s="30">
        <v>1.0</v>
      </c>
      <c r="F12" s="31">
        <v>1.0</v>
      </c>
      <c r="G12" s="28">
        <v>0.0</v>
      </c>
      <c r="H12" s="31">
        <v>3.0</v>
      </c>
      <c r="I12" s="31">
        <v>6.0</v>
      </c>
      <c r="J12" s="31">
        <v>6.0</v>
      </c>
      <c r="K12" s="33">
        <v>15.0</v>
      </c>
      <c r="L12" s="31">
        <v>2.0</v>
      </c>
      <c r="M12" s="28">
        <f t="shared" ref="M12:N12" si="9">C12+K12</f>
        <v>120</v>
      </c>
      <c r="N12" s="29">
        <f t="shared" si="9"/>
        <v>10</v>
      </c>
      <c r="O12" s="35" t="s">
        <v>46</v>
      </c>
      <c r="P12" s="35" t="s">
        <v>46</v>
      </c>
      <c r="Q12" s="31">
        <f>if(G12=13,1,0)+VLOOKUP(B12,'022424'!B:Q,16,false)</f>
        <v>1</v>
      </c>
      <c r="R12" s="31"/>
      <c r="S12" s="31">
        <f>if(G12=9,1,0)+VLOOKUP(B12,'022424'!B:S,18,false)</f>
        <v>0</v>
      </c>
    </row>
    <row r="13">
      <c r="A13" s="26">
        <f t="shared" si="3"/>
        <v>9</v>
      </c>
      <c r="B13" s="27" t="s">
        <v>96</v>
      </c>
      <c r="C13" s="28">
        <v>104.0</v>
      </c>
      <c r="D13" s="29">
        <v>9.0</v>
      </c>
      <c r="E13" s="30">
        <v>2.0</v>
      </c>
      <c r="F13" s="31">
        <v>1.0</v>
      </c>
      <c r="G13" s="28">
        <v>0.0</v>
      </c>
      <c r="H13" s="31">
        <v>6.0</v>
      </c>
      <c r="I13" s="31">
        <v>6.0</v>
      </c>
      <c r="J13" s="31">
        <v>4.0</v>
      </c>
      <c r="K13" s="33">
        <v>16.0</v>
      </c>
      <c r="L13" s="31">
        <v>2.0</v>
      </c>
      <c r="M13" s="28">
        <f t="shared" ref="M13:N13" si="10">C13+K13</f>
        <v>120</v>
      </c>
      <c r="N13" s="29">
        <f t="shared" si="10"/>
        <v>11</v>
      </c>
      <c r="O13" s="35" t="s">
        <v>46</v>
      </c>
      <c r="P13" s="35" t="s">
        <v>46</v>
      </c>
      <c r="Q13" s="31">
        <f>if(G13=13,1,0)+VLOOKUP(B13,'022424'!B:Q,16,false)</f>
        <v>1</v>
      </c>
      <c r="R13" s="31"/>
      <c r="S13" s="31">
        <f>if(G13=9,1,0)+VLOOKUP(B13,'022424'!B:S,18,false)</f>
        <v>1</v>
      </c>
    </row>
    <row r="14">
      <c r="A14" s="26">
        <f t="shared" si="3"/>
        <v>10</v>
      </c>
      <c r="B14" s="27" t="s">
        <v>84</v>
      </c>
      <c r="C14" s="28">
        <v>104.0</v>
      </c>
      <c r="D14" s="29">
        <v>8.0</v>
      </c>
      <c r="E14" s="30">
        <v>2.0</v>
      </c>
      <c r="F14" s="31">
        <v>1.0</v>
      </c>
      <c r="G14" s="28">
        <v>0.0</v>
      </c>
      <c r="H14" s="31">
        <v>3.0</v>
      </c>
      <c r="I14" s="31">
        <v>2.0</v>
      </c>
      <c r="J14" s="31">
        <v>4.0</v>
      </c>
      <c r="K14" s="33">
        <v>9.0</v>
      </c>
      <c r="L14" s="31">
        <v>0.0</v>
      </c>
      <c r="M14" s="28">
        <f t="shared" ref="M14:N14" si="11">C14+K14</f>
        <v>113</v>
      </c>
      <c r="N14" s="29">
        <f t="shared" si="11"/>
        <v>8</v>
      </c>
      <c r="O14" s="35" t="s">
        <v>46</v>
      </c>
      <c r="P14" s="35" t="s">
        <v>46</v>
      </c>
      <c r="Q14" s="31">
        <f>if(G14=13,1,0)+VLOOKUP(B14,'022424'!B:Q,16,false)</f>
        <v>2</v>
      </c>
      <c r="R14" s="31"/>
      <c r="S14" s="31">
        <f>if(G14=9,1,0)+VLOOKUP(B14,'022424'!B:S,18,false)</f>
        <v>0</v>
      </c>
    </row>
    <row r="15">
      <c r="A15" s="26">
        <f t="shared" si="3"/>
        <v>11</v>
      </c>
      <c r="B15" s="39" t="s">
        <v>111</v>
      </c>
      <c r="C15" s="28">
        <v>103.0</v>
      </c>
      <c r="D15" s="29">
        <v>10.0</v>
      </c>
      <c r="E15" s="30">
        <v>3.0</v>
      </c>
      <c r="F15" s="31">
        <v>0.0</v>
      </c>
      <c r="G15" s="28">
        <v>9.0</v>
      </c>
      <c r="H15" s="31">
        <v>0.0</v>
      </c>
      <c r="I15" s="31">
        <v>0.0</v>
      </c>
      <c r="J15" s="31">
        <v>0.0</v>
      </c>
      <c r="K15" s="33">
        <v>9.0</v>
      </c>
      <c r="L15" s="31">
        <v>0.0</v>
      </c>
      <c r="M15" s="28">
        <f t="shared" ref="M15:N15" si="12">C15+K15</f>
        <v>112</v>
      </c>
      <c r="N15" s="29">
        <f t="shared" si="12"/>
        <v>10</v>
      </c>
      <c r="O15" s="35" t="s">
        <v>46</v>
      </c>
      <c r="P15" s="35" t="s">
        <v>46</v>
      </c>
      <c r="Q15" s="31">
        <f>if(G15=13,1,0)+VLOOKUP(B15,'022424'!B:Q,16,false)</f>
        <v>0</v>
      </c>
      <c r="R15" s="31"/>
      <c r="S15" s="31">
        <f>if(G15=9,1,0)+VLOOKUP(B15,'022424'!B:S,18,false)</f>
        <v>4</v>
      </c>
    </row>
    <row r="16">
      <c r="A16" s="26">
        <f t="shared" si="3"/>
        <v>12</v>
      </c>
      <c r="B16" s="27" t="s">
        <v>78</v>
      </c>
      <c r="C16" s="28">
        <v>102.0</v>
      </c>
      <c r="D16" s="29">
        <v>11.0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111</v>
      </c>
      <c r="N16" s="29">
        <f t="shared" si="13"/>
        <v>11</v>
      </c>
      <c r="O16" s="35" t="s">
        <v>46</v>
      </c>
      <c r="P16" s="35" t="s">
        <v>46</v>
      </c>
      <c r="Q16" s="31">
        <f>if(G16=13,1,0)+VLOOKUP(B16,'022424'!B:Q,16,false)</f>
        <v>0</v>
      </c>
      <c r="R16" s="31"/>
      <c r="S16" s="31">
        <f>if(G16=9,1,0)+VLOOKUP(B16,'022424'!B:S,18,false)</f>
        <v>2</v>
      </c>
    </row>
    <row r="17">
      <c r="A17" s="26">
        <f t="shared" si="3"/>
        <v>13</v>
      </c>
      <c r="B17" s="54" t="s">
        <v>95</v>
      </c>
      <c r="C17" s="28">
        <v>102.0</v>
      </c>
      <c r="D17" s="29">
        <v>11.0</v>
      </c>
      <c r="E17" s="30">
        <v>1.0</v>
      </c>
      <c r="F17" s="31">
        <v>2.0</v>
      </c>
      <c r="G17" s="28">
        <v>0.0</v>
      </c>
      <c r="H17" s="31">
        <v>6.0</v>
      </c>
      <c r="I17" s="31">
        <v>6.0</v>
      </c>
      <c r="J17" s="31">
        <v>0.0</v>
      </c>
      <c r="K17" s="33">
        <v>12.0</v>
      </c>
      <c r="L17" s="31">
        <v>2.0</v>
      </c>
      <c r="M17" s="28">
        <f t="shared" ref="M17:N17" si="14">C17+K17</f>
        <v>114</v>
      </c>
      <c r="N17" s="29">
        <f t="shared" si="14"/>
        <v>13</v>
      </c>
      <c r="O17" s="35" t="s">
        <v>46</v>
      </c>
      <c r="P17" s="35" t="s">
        <v>46</v>
      </c>
      <c r="Q17" s="31">
        <f>if(G17=13,1,0)+VLOOKUP(B17,'022424'!B:Q,16,false)</f>
        <v>0</v>
      </c>
      <c r="R17" s="31"/>
      <c r="S17" s="31">
        <f>if(G17=9,1,0)+VLOOKUP(B17,'022424'!B:S,18,false)</f>
        <v>0</v>
      </c>
    </row>
    <row r="18">
      <c r="A18" s="26">
        <f t="shared" si="3"/>
        <v>14</v>
      </c>
      <c r="B18" s="27" t="s">
        <v>81</v>
      </c>
      <c r="C18" s="28">
        <v>102.0</v>
      </c>
      <c r="D18" s="29">
        <v>10.0</v>
      </c>
      <c r="E18" s="30">
        <v>3.0</v>
      </c>
      <c r="F18" s="31">
        <v>0.0</v>
      </c>
      <c r="G18" s="28">
        <v>9.0</v>
      </c>
      <c r="H18" s="31">
        <v>0.0</v>
      </c>
      <c r="I18" s="31">
        <v>0.0</v>
      </c>
      <c r="J18" s="31">
        <v>0.0</v>
      </c>
      <c r="K18" s="33">
        <v>9.0</v>
      </c>
      <c r="L18" s="31">
        <v>0.0</v>
      </c>
      <c r="M18" s="28">
        <f t="shared" ref="M18:N18" si="15">C18+K18</f>
        <v>111</v>
      </c>
      <c r="N18" s="29">
        <f t="shared" si="15"/>
        <v>10</v>
      </c>
      <c r="O18" s="35" t="s">
        <v>46</v>
      </c>
      <c r="P18" s="35" t="s">
        <v>46</v>
      </c>
      <c r="Q18" s="31">
        <f>if(G18=13,1,0)+VLOOKUP(B18,'022424'!B:Q,16,false)</f>
        <v>0</v>
      </c>
      <c r="R18" s="31"/>
      <c r="S18" s="31">
        <f>if(G18=9,1,0)+VLOOKUP(B18,'022424'!B:S,18,false)</f>
        <v>3</v>
      </c>
    </row>
    <row r="19">
      <c r="A19" s="26">
        <f t="shared" si="3"/>
        <v>15</v>
      </c>
      <c r="B19" s="27" t="s">
        <v>63</v>
      </c>
      <c r="C19" s="28">
        <v>100.0</v>
      </c>
      <c r="D19" s="29">
        <v>8.0</v>
      </c>
      <c r="E19" s="30">
        <v>1.0</v>
      </c>
      <c r="F19" s="31">
        <v>2.0</v>
      </c>
      <c r="G19" s="28">
        <v>0.0</v>
      </c>
      <c r="H19" s="31">
        <v>0.0</v>
      </c>
      <c r="I19" s="31">
        <v>6.0</v>
      </c>
      <c r="J19" s="31">
        <v>6.0</v>
      </c>
      <c r="K19" s="33">
        <v>12.0</v>
      </c>
      <c r="L19" s="31">
        <v>2.0</v>
      </c>
      <c r="M19" s="28">
        <f t="shared" ref="M19:N19" si="16">C19+K19</f>
        <v>112</v>
      </c>
      <c r="N19" s="29">
        <f t="shared" si="16"/>
        <v>10</v>
      </c>
      <c r="O19" s="35" t="s">
        <v>46</v>
      </c>
      <c r="P19" s="35" t="s">
        <v>46</v>
      </c>
      <c r="Q19" s="31">
        <f>if(G19=13,1,0)+VLOOKUP(B19,'022424'!B:Q,16,false)</f>
        <v>1</v>
      </c>
      <c r="R19" s="31"/>
      <c r="S19" s="31">
        <f>if(G19=9,1,0)+VLOOKUP(B19,'022424'!B:S,18,false)</f>
        <v>0</v>
      </c>
    </row>
    <row r="20">
      <c r="A20" s="26">
        <f t="shared" si="3"/>
        <v>16</v>
      </c>
      <c r="B20" s="27" t="s">
        <v>66</v>
      </c>
      <c r="C20" s="28">
        <v>98.0</v>
      </c>
      <c r="D20" s="29">
        <v>7.0</v>
      </c>
      <c r="E20" s="30">
        <v>2.0</v>
      </c>
      <c r="F20" s="31">
        <v>2.0</v>
      </c>
      <c r="G20" s="28">
        <v>0.0</v>
      </c>
      <c r="H20" s="31">
        <v>0.0</v>
      </c>
      <c r="I20" s="31">
        <v>3.0</v>
      </c>
      <c r="J20" s="31">
        <v>0.0</v>
      </c>
      <c r="K20" s="33">
        <v>3.0</v>
      </c>
      <c r="L20" s="31">
        <v>0.0</v>
      </c>
      <c r="M20" s="28">
        <f t="shared" ref="M20:N20" si="17">C20+K20</f>
        <v>101</v>
      </c>
      <c r="N20" s="29">
        <f t="shared" si="17"/>
        <v>7</v>
      </c>
      <c r="O20" s="35" t="s">
        <v>46</v>
      </c>
      <c r="P20" s="35" t="s">
        <v>46</v>
      </c>
      <c r="Q20" s="31">
        <f>if(G20=13,1,0)+VLOOKUP(B20,'022424'!B:Q,16,false)</f>
        <v>1</v>
      </c>
      <c r="R20" s="31"/>
      <c r="S20" s="31">
        <f>if(G20=9,1,0)+VLOOKUP(B20,'022424'!B:S,18,false)</f>
        <v>1</v>
      </c>
    </row>
    <row r="21">
      <c r="A21" s="26">
        <f t="shared" si="3"/>
        <v>17</v>
      </c>
      <c r="B21" s="27" t="s">
        <v>57</v>
      </c>
      <c r="C21" s="28">
        <v>95.0</v>
      </c>
      <c r="D21" s="29">
        <v>8.0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104</v>
      </c>
      <c r="N21" s="29">
        <f t="shared" si="18"/>
        <v>8</v>
      </c>
      <c r="O21" s="35" t="s">
        <v>46</v>
      </c>
      <c r="P21" s="35" t="s">
        <v>46</v>
      </c>
      <c r="Q21" s="31">
        <f>if(G21=13,1,0)+VLOOKUP(B21,'022424'!B:Q,16,false)</f>
        <v>0</v>
      </c>
      <c r="R21" s="31"/>
      <c r="S21" s="31">
        <f>if(G21=9,1,0)+VLOOKUP(B21,'022424'!B:S,18,false)</f>
        <v>5</v>
      </c>
    </row>
    <row r="22">
      <c r="A22" s="26">
        <f t="shared" si="3"/>
        <v>18</v>
      </c>
      <c r="B22" s="39" t="s">
        <v>55</v>
      </c>
      <c r="C22" s="28">
        <v>95.0</v>
      </c>
      <c r="D22" s="29">
        <v>7.0</v>
      </c>
      <c r="E22" s="30">
        <v>4.0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104</v>
      </c>
      <c r="N22" s="29">
        <f t="shared" si="19"/>
        <v>7</v>
      </c>
      <c r="O22" s="35" t="s">
        <v>46</v>
      </c>
      <c r="P22" s="35" t="s">
        <v>46</v>
      </c>
      <c r="Q22" s="31">
        <f>if(G22=13,1,0)+VLOOKUP(B22,'022424'!B:Q,16,false)</f>
        <v>1</v>
      </c>
      <c r="R22" s="31"/>
      <c r="S22" s="31">
        <f>if(G22=9,1,0)+VLOOKUP(B22,'022424'!B:S,18,false)</f>
        <v>5</v>
      </c>
    </row>
    <row r="23">
      <c r="A23" s="26">
        <f t="shared" si="3"/>
        <v>19</v>
      </c>
      <c r="B23" s="27" t="s">
        <v>113</v>
      </c>
      <c r="C23" s="28">
        <v>95.0</v>
      </c>
      <c r="D23" s="29">
        <v>5.0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104</v>
      </c>
      <c r="N23" s="29">
        <f t="shared" si="20"/>
        <v>5</v>
      </c>
      <c r="O23" s="35" t="s">
        <v>46</v>
      </c>
      <c r="P23" s="35" t="s">
        <v>46</v>
      </c>
      <c r="Q23" s="31">
        <f>if(G23=13,1,0)+VLOOKUP(B23,'022424'!B:Q,16,false)</f>
        <v>1</v>
      </c>
      <c r="R23" s="31"/>
      <c r="S23" s="31">
        <f>if(G23=9,1,0)+VLOOKUP(B23,'022424'!B:S,18,false)</f>
        <v>6</v>
      </c>
    </row>
    <row r="24">
      <c r="A24" s="26">
        <f t="shared" si="3"/>
        <v>20</v>
      </c>
      <c r="B24" s="39" t="s">
        <v>52</v>
      </c>
      <c r="C24" s="28">
        <v>94.0</v>
      </c>
      <c r="D24" s="29">
        <v>8.0</v>
      </c>
      <c r="E24" s="30">
        <v>1.0</v>
      </c>
      <c r="F24" s="31">
        <v>2.0</v>
      </c>
      <c r="G24" s="28">
        <v>0.0</v>
      </c>
      <c r="H24" s="31">
        <v>6.0</v>
      </c>
      <c r="I24" s="31">
        <v>3.0</v>
      </c>
      <c r="J24" s="31">
        <v>6.0</v>
      </c>
      <c r="K24" s="33">
        <v>15.0</v>
      </c>
      <c r="L24" s="31">
        <v>2.0</v>
      </c>
      <c r="M24" s="28">
        <f t="shared" ref="M24:N24" si="21">C24+K24</f>
        <v>109</v>
      </c>
      <c r="N24" s="29">
        <f t="shared" si="21"/>
        <v>10</v>
      </c>
      <c r="O24" s="35" t="s">
        <v>46</v>
      </c>
      <c r="P24" s="35" t="s">
        <v>46</v>
      </c>
      <c r="Q24" s="31">
        <f>if(G24=13,1,0)+VLOOKUP(B24,'022424'!B:Q,16,false)</f>
        <v>0</v>
      </c>
      <c r="R24" s="31"/>
      <c r="S24" s="31">
        <f>if(G24=9,1,0)+VLOOKUP(B24,'022424'!B:S,18,false)</f>
        <v>4</v>
      </c>
    </row>
    <row r="25">
      <c r="A25" s="26">
        <f t="shared" si="3"/>
        <v>21</v>
      </c>
      <c r="B25" s="39" t="s">
        <v>86</v>
      </c>
      <c r="C25" s="28">
        <v>93.0</v>
      </c>
      <c r="D25" s="29">
        <v>8.0</v>
      </c>
      <c r="E25" s="30">
        <v>2.0</v>
      </c>
      <c r="F25" s="31">
        <v>3.0</v>
      </c>
      <c r="G25" s="28">
        <v>0.0</v>
      </c>
      <c r="H25" s="31">
        <v>6.0</v>
      </c>
      <c r="I25" s="31">
        <v>4.0</v>
      </c>
      <c r="J25" s="31">
        <v>6.0</v>
      </c>
      <c r="K25" s="33">
        <v>16.0</v>
      </c>
      <c r="L25" s="31">
        <v>2.0</v>
      </c>
      <c r="M25" s="28">
        <f t="shared" ref="M25:N25" si="22">C25+K25</f>
        <v>109</v>
      </c>
      <c r="N25" s="29">
        <f t="shared" si="22"/>
        <v>10</v>
      </c>
      <c r="O25" s="35" t="s">
        <v>46</v>
      </c>
      <c r="P25" s="35" t="s">
        <v>46</v>
      </c>
      <c r="Q25" s="31">
        <f>if(G25=13,1,0)+VLOOKUP(B25,'022424'!B:Q,16,false)</f>
        <v>1</v>
      </c>
      <c r="R25" s="31"/>
      <c r="S25" s="31">
        <f>if(G25=9,1,0)+VLOOKUP(B25,'022424'!B:S,18,false)</f>
        <v>3</v>
      </c>
    </row>
    <row r="26">
      <c r="A26" s="26">
        <f t="shared" si="3"/>
        <v>22</v>
      </c>
      <c r="B26" s="27" t="s">
        <v>102</v>
      </c>
      <c r="C26" s="28">
        <v>93.0</v>
      </c>
      <c r="D26" s="29">
        <v>6.0</v>
      </c>
      <c r="E26" s="30">
        <v>1.0</v>
      </c>
      <c r="F26" s="31">
        <v>3.0</v>
      </c>
      <c r="G26" s="28">
        <v>0.0</v>
      </c>
      <c r="H26" s="31">
        <v>6.0</v>
      </c>
      <c r="I26" s="31">
        <v>6.0</v>
      </c>
      <c r="J26" s="31">
        <v>4.0</v>
      </c>
      <c r="K26" s="33">
        <v>16.0</v>
      </c>
      <c r="L26" s="31">
        <v>2.0</v>
      </c>
      <c r="M26" s="28">
        <f t="shared" ref="M26:N26" si="23">C26+K26</f>
        <v>109</v>
      </c>
      <c r="N26" s="29">
        <f t="shared" si="23"/>
        <v>8</v>
      </c>
      <c r="O26" s="35" t="s">
        <v>46</v>
      </c>
      <c r="P26" s="35" t="s">
        <v>46</v>
      </c>
      <c r="Q26" s="31">
        <f>if(G26=13,1,0)+VLOOKUP(B26,'022424'!B:Q,16,false)</f>
        <v>0</v>
      </c>
      <c r="R26" s="31"/>
      <c r="S26" s="31">
        <f>if(G26=9,1,0)+VLOOKUP(B26,'022424'!B:S,18,false)</f>
        <v>5</v>
      </c>
    </row>
    <row r="27">
      <c r="A27" s="26">
        <f t="shared" si="3"/>
        <v>23</v>
      </c>
      <c r="B27" s="27" t="s">
        <v>98</v>
      </c>
      <c r="C27" s="28">
        <v>93.0</v>
      </c>
      <c r="D27" s="29">
        <v>5.0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102</v>
      </c>
      <c r="N27" s="29">
        <f t="shared" si="24"/>
        <v>5</v>
      </c>
      <c r="O27" s="35" t="s">
        <v>46</v>
      </c>
      <c r="P27" s="35" t="s">
        <v>46</v>
      </c>
      <c r="Q27" s="31">
        <f>if(G27=13,1,0)+VLOOKUP(B27,'022424'!B:Q,16,false)</f>
        <v>1</v>
      </c>
      <c r="R27" s="31"/>
      <c r="S27" s="31">
        <f>if(G27=9,1,0)+VLOOKUP(B27,'022424'!B:S,18,false)</f>
        <v>6</v>
      </c>
    </row>
    <row r="28">
      <c r="A28" s="26">
        <f t="shared" si="3"/>
        <v>24</v>
      </c>
      <c r="B28" s="54" t="s">
        <v>73</v>
      </c>
      <c r="C28" s="28">
        <v>91.0</v>
      </c>
      <c r="D28" s="29">
        <v>9.0</v>
      </c>
      <c r="E28" s="30">
        <v>1.0</v>
      </c>
      <c r="F28" s="31">
        <v>3.0</v>
      </c>
      <c r="G28" s="28">
        <v>0.0</v>
      </c>
      <c r="H28" s="31">
        <v>2.0</v>
      </c>
      <c r="I28" s="31">
        <v>4.0</v>
      </c>
      <c r="J28" s="31">
        <v>4.0</v>
      </c>
      <c r="K28" s="33">
        <v>10.0</v>
      </c>
      <c r="L28" s="31">
        <v>0.0</v>
      </c>
      <c r="M28" s="28">
        <f t="shared" ref="M28:N28" si="25">C28+K28</f>
        <v>101</v>
      </c>
      <c r="N28" s="29">
        <f t="shared" si="25"/>
        <v>9</v>
      </c>
      <c r="O28" s="35" t="s">
        <v>46</v>
      </c>
      <c r="P28" s="35" t="s">
        <v>46</v>
      </c>
      <c r="Q28" s="31">
        <f>if(G28=13,1,0)+VLOOKUP(B28,'022424'!B:Q,16,false)</f>
        <v>0</v>
      </c>
      <c r="R28" s="31"/>
      <c r="S28" s="31">
        <f>if(G28=9,1,0)+VLOOKUP(B28,'022424'!B:S,18,false)</f>
        <v>0</v>
      </c>
    </row>
    <row r="29">
      <c r="A29" s="26">
        <f t="shared" si="3"/>
        <v>25</v>
      </c>
      <c r="B29" s="27" t="s">
        <v>79</v>
      </c>
      <c r="C29" s="28">
        <v>91.0</v>
      </c>
      <c r="D29" s="29">
        <v>6.0</v>
      </c>
      <c r="E29" s="30">
        <v>1.0</v>
      </c>
      <c r="F29" s="31">
        <v>3.0</v>
      </c>
      <c r="G29" s="28">
        <v>0.0</v>
      </c>
      <c r="H29" s="31">
        <v>2.0</v>
      </c>
      <c r="I29" s="31">
        <v>6.0</v>
      </c>
      <c r="J29" s="31">
        <v>6.0</v>
      </c>
      <c r="K29" s="33">
        <v>14.0</v>
      </c>
      <c r="L29" s="31">
        <v>2.0</v>
      </c>
      <c r="M29" s="28">
        <f t="shared" ref="M29:N29" si="26">C29+K29</f>
        <v>105</v>
      </c>
      <c r="N29" s="29">
        <f t="shared" si="26"/>
        <v>8</v>
      </c>
      <c r="O29" s="35" t="s">
        <v>46</v>
      </c>
      <c r="P29" s="35" t="s">
        <v>46</v>
      </c>
      <c r="Q29" s="31">
        <f>if(G29=13,1,0)+VLOOKUP(B29,'022424'!B:Q,16,false)</f>
        <v>0</v>
      </c>
      <c r="R29" s="31"/>
      <c r="S29" s="31">
        <f>if(G29=9,1,0)+VLOOKUP(B29,'022424'!B:S,18,false)</f>
        <v>3</v>
      </c>
    </row>
    <row r="30">
      <c r="A30" s="26">
        <f t="shared" si="3"/>
        <v>26</v>
      </c>
      <c r="B30" s="27" t="s">
        <v>65</v>
      </c>
      <c r="C30" s="28">
        <v>90.0</v>
      </c>
      <c r="D30" s="29">
        <v>6.0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99</v>
      </c>
      <c r="N30" s="29">
        <f t="shared" si="27"/>
        <v>6</v>
      </c>
      <c r="O30" s="35" t="s">
        <v>46</v>
      </c>
      <c r="P30" s="35" t="s">
        <v>46</v>
      </c>
      <c r="Q30" s="31">
        <f>if(G30=13,1,0)+VLOOKUP(B30,'022424'!B:Q,16,false)</f>
        <v>0</v>
      </c>
      <c r="R30" s="31"/>
      <c r="S30" s="31">
        <f>if(G30=9,1,0)+VLOOKUP(B30,'022424'!B:S,18,false)</f>
        <v>7</v>
      </c>
    </row>
    <row r="31">
      <c r="A31" s="26">
        <f t="shared" si="3"/>
        <v>27</v>
      </c>
      <c r="B31" s="27" t="s">
        <v>110</v>
      </c>
      <c r="C31" s="28">
        <v>90.0</v>
      </c>
      <c r="D31" s="29">
        <v>6.0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99</v>
      </c>
      <c r="N31" s="29">
        <f t="shared" si="28"/>
        <v>6</v>
      </c>
      <c r="O31" s="35" t="s">
        <v>46</v>
      </c>
      <c r="P31" s="35" t="s">
        <v>46</v>
      </c>
      <c r="Q31" s="31">
        <f>if(G31=13,1,0)+VLOOKUP(B31,'022424'!B:Q,16,false)</f>
        <v>1</v>
      </c>
      <c r="R31" s="31"/>
      <c r="S31" s="31">
        <f>if(G31=9,1,0)+VLOOKUP(B31,'022424'!B:S,18,false)</f>
        <v>4</v>
      </c>
    </row>
    <row r="32">
      <c r="A32" s="26">
        <f t="shared" si="3"/>
        <v>28</v>
      </c>
      <c r="B32" s="27" t="s">
        <v>68</v>
      </c>
      <c r="C32" s="28">
        <v>90.0</v>
      </c>
      <c r="D32" s="29">
        <v>5.0</v>
      </c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f t="shared" ref="M32:N32" si="29">C32+K32</f>
        <v>99</v>
      </c>
      <c r="N32" s="29">
        <f t="shared" si="29"/>
        <v>5</v>
      </c>
      <c r="O32" s="35" t="s">
        <v>46</v>
      </c>
      <c r="P32" s="35" t="s">
        <v>46</v>
      </c>
      <c r="Q32" s="31">
        <f>if(G32=13,1,0)+VLOOKUP(B32,'022424'!B:Q,16,false)</f>
        <v>2</v>
      </c>
      <c r="R32" s="31"/>
      <c r="S32" s="31">
        <f>if(G32=9,1,0)+VLOOKUP(B32,'022424'!B:S,18,false)</f>
        <v>4</v>
      </c>
    </row>
    <row r="33">
      <c r="A33" s="26">
        <f t="shared" si="3"/>
        <v>29</v>
      </c>
      <c r="B33" s="27" t="s">
        <v>117</v>
      </c>
      <c r="C33" s="28">
        <v>90.0</v>
      </c>
      <c r="D33" s="29">
        <v>4.0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99</v>
      </c>
      <c r="N33" s="29">
        <f t="shared" si="30"/>
        <v>4</v>
      </c>
      <c r="O33" s="35" t="s">
        <v>46</v>
      </c>
      <c r="P33" s="35" t="s">
        <v>46</v>
      </c>
      <c r="Q33" s="31">
        <f>if(G33=13,1,0)+VLOOKUP(B33,'022424'!B:Q,16,false)</f>
        <v>2</v>
      </c>
      <c r="R33" s="31"/>
      <c r="S33" s="31">
        <f>if(G33=9,1,0)+VLOOKUP(B33,'022424'!B:S,18,false)</f>
        <v>5</v>
      </c>
    </row>
    <row r="34">
      <c r="A34" s="26">
        <f t="shared" si="3"/>
        <v>30</v>
      </c>
      <c r="B34" s="54" t="s">
        <v>59</v>
      </c>
      <c r="C34" s="28">
        <v>89.0</v>
      </c>
      <c r="D34" s="29">
        <v>9.0</v>
      </c>
      <c r="E34" s="30">
        <v>1.0</v>
      </c>
      <c r="F34" s="31">
        <v>5.0</v>
      </c>
      <c r="G34" s="28">
        <v>0.0</v>
      </c>
      <c r="H34" s="31">
        <v>4.0</v>
      </c>
      <c r="I34" s="31">
        <v>2.0</v>
      </c>
      <c r="J34" s="31">
        <v>6.0</v>
      </c>
      <c r="K34" s="33">
        <v>12.0</v>
      </c>
      <c r="L34" s="31">
        <v>1.0</v>
      </c>
      <c r="M34" s="28">
        <f t="shared" ref="M34:N34" si="31">C34+K34</f>
        <v>101</v>
      </c>
      <c r="N34" s="29">
        <f t="shared" si="31"/>
        <v>10</v>
      </c>
      <c r="O34" s="35" t="s">
        <v>46</v>
      </c>
      <c r="P34" s="35" t="s">
        <v>46</v>
      </c>
      <c r="Q34" s="31">
        <f>if(G34=13,1,0)+VLOOKUP(B34,'022424'!B:Q,16,false)</f>
        <v>1</v>
      </c>
      <c r="R34" s="31"/>
      <c r="S34" s="31">
        <f>if(G34=9,1,0)+VLOOKUP(B34,'022424'!B:S,18,false)</f>
        <v>1</v>
      </c>
    </row>
    <row r="35">
      <c r="A35" s="26">
        <f t="shared" si="3"/>
        <v>31</v>
      </c>
      <c r="B35" s="39" t="s">
        <v>105</v>
      </c>
      <c r="C35" s="28">
        <v>89.0</v>
      </c>
      <c r="D35" s="29">
        <v>7.0</v>
      </c>
      <c r="E35" s="30">
        <v>1.0</v>
      </c>
      <c r="F35" s="31">
        <v>5.0</v>
      </c>
      <c r="G35" s="28">
        <v>0.0</v>
      </c>
      <c r="H35" s="31">
        <v>4.0</v>
      </c>
      <c r="I35" s="31">
        <v>6.0</v>
      </c>
      <c r="J35" s="31">
        <v>0.0</v>
      </c>
      <c r="K35" s="33">
        <v>10.0</v>
      </c>
      <c r="L35" s="31">
        <v>1.0</v>
      </c>
      <c r="M35" s="28">
        <f t="shared" ref="M35:N35" si="32">C35+K35</f>
        <v>99</v>
      </c>
      <c r="N35" s="29">
        <f t="shared" si="32"/>
        <v>8</v>
      </c>
      <c r="O35" s="35" t="s">
        <v>46</v>
      </c>
      <c r="P35" s="35" t="s">
        <v>46</v>
      </c>
      <c r="Q35" s="31">
        <f>if(G35=13,1,0)+VLOOKUP(B35,'022424'!B:Q,16,false)</f>
        <v>0</v>
      </c>
      <c r="R35" s="31"/>
      <c r="S35" s="31">
        <f>if(G35=9,1,0)+VLOOKUP(B35,'022424'!B:S,18,false)</f>
        <v>2</v>
      </c>
    </row>
    <row r="36">
      <c r="A36" s="26">
        <f t="shared" si="3"/>
        <v>32</v>
      </c>
      <c r="B36" s="39" t="s">
        <v>50</v>
      </c>
      <c r="C36" s="28">
        <v>89.0</v>
      </c>
      <c r="D36" s="29">
        <v>7.0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98</v>
      </c>
      <c r="N36" s="29">
        <f t="shared" si="33"/>
        <v>7</v>
      </c>
      <c r="O36" s="35" t="s">
        <v>46</v>
      </c>
      <c r="P36" s="35" t="s">
        <v>46</v>
      </c>
      <c r="Q36" s="31">
        <f>if(G36=13,1,0)+VLOOKUP(B36,'022424'!B:Q,16,false)</f>
        <v>0</v>
      </c>
      <c r="R36" s="31"/>
      <c r="S36" s="31">
        <f>if(G36=9,1,0)+VLOOKUP(B36,'022424'!B:S,18,false)</f>
        <v>6</v>
      </c>
    </row>
    <row r="37">
      <c r="A37" s="26">
        <f t="shared" si="3"/>
        <v>33</v>
      </c>
      <c r="B37" s="39" t="s">
        <v>45</v>
      </c>
      <c r="C37" s="28">
        <v>89.0</v>
      </c>
      <c r="D37" s="29">
        <v>6.0</v>
      </c>
      <c r="E37" s="30">
        <v>2.0</v>
      </c>
      <c r="F37" s="31">
        <v>5.0</v>
      </c>
      <c r="G37" s="28">
        <v>0.0</v>
      </c>
      <c r="H37" s="31">
        <v>6.0</v>
      </c>
      <c r="I37" s="31">
        <v>2.0</v>
      </c>
      <c r="J37" s="31">
        <v>0.0</v>
      </c>
      <c r="K37" s="33">
        <v>8.0</v>
      </c>
      <c r="L37" s="31">
        <v>1.0</v>
      </c>
      <c r="M37" s="28">
        <f t="shared" ref="M37:N37" si="34">C37+K37</f>
        <v>97</v>
      </c>
      <c r="N37" s="29">
        <f t="shared" si="34"/>
        <v>7</v>
      </c>
      <c r="O37" s="35" t="s">
        <v>46</v>
      </c>
      <c r="P37" s="35" t="s">
        <v>46</v>
      </c>
      <c r="Q37" s="31">
        <f>if(G37=13,1,0)+VLOOKUP(B37,'022424'!B:Q,16,false)</f>
        <v>1</v>
      </c>
      <c r="R37" s="31"/>
      <c r="S37" s="31">
        <f>if(G37=9,1,0)+VLOOKUP(B37,'022424'!B:S,18,false)</f>
        <v>2</v>
      </c>
    </row>
    <row r="38">
      <c r="A38" s="26">
        <f t="shared" si="3"/>
        <v>34</v>
      </c>
      <c r="B38" s="27" t="s">
        <v>107</v>
      </c>
      <c r="C38" s="28">
        <v>89.0</v>
      </c>
      <c r="D38" s="29">
        <v>3.0</v>
      </c>
      <c r="E38" s="30">
        <v>1.0</v>
      </c>
      <c r="F38" s="31">
        <v>5.0</v>
      </c>
      <c r="G38" s="28">
        <v>0.0</v>
      </c>
      <c r="H38" s="31">
        <v>6.0</v>
      </c>
      <c r="I38" s="31">
        <v>6.0</v>
      </c>
      <c r="J38" s="31">
        <v>6.0</v>
      </c>
      <c r="K38" s="33">
        <v>18.0</v>
      </c>
      <c r="L38" s="31">
        <v>3.0</v>
      </c>
      <c r="M38" s="28">
        <f t="shared" ref="M38:N38" si="35">C38+K38</f>
        <v>107</v>
      </c>
      <c r="N38" s="29">
        <f t="shared" si="35"/>
        <v>6</v>
      </c>
      <c r="O38" s="35" t="s">
        <v>46</v>
      </c>
      <c r="P38" s="35" t="s">
        <v>46</v>
      </c>
      <c r="Q38" s="31">
        <f>if(G38=13,1,0)+VLOOKUP(B38,'022424'!B:Q,16,false)</f>
        <v>2</v>
      </c>
      <c r="R38" s="31"/>
      <c r="S38" s="31">
        <f>if(G38=9,1,0)+VLOOKUP(B38,'022424'!B:S,18,false)</f>
        <v>4</v>
      </c>
    </row>
    <row r="39">
      <c r="A39" s="26">
        <f t="shared" si="3"/>
        <v>35</v>
      </c>
      <c r="B39" s="39" t="s">
        <v>106</v>
      </c>
      <c r="C39" s="28">
        <v>88.0</v>
      </c>
      <c r="D39" s="29">
        <v>6.0</v>
      </c>
      <c r="E39" s="30">
        <v>1.0</v>
      </c>
      <c r="F39" s="31">
        <v>6.0</v>
      </c>
      <c r="G39" s="28">
        <v>0.0</v>
      </c>
      <c r="H39" s="31">
        <v>4.0</v>
      </c>
      <c r="I39" s="31">
        <v>6.0</v>
      </c>
      <c r="J39" s="31">
        <v>4.0</v>
      </c>
      <c r="K39" s="33">
        <v>14.0</v>
      </c>
      <c r="L39" s="31">
        <v>1.0</v>
      </c>
      <c r="M39" s="28">
        <f t="shared" ref="M39:N39" si="36">C39+K39</f>
        <v>102</v>
      </c>
      <c r="N39" s="29">
        <f t="shared" si="36"/>
        <v>7</v>
      </c>
      <c r="O39" s="35" t="s">
        <v>46</v>
      </c>
      <c r="P39" s="35" t="s">
        <v>46</v>
      </c>
      <c r="Q39" s="31">
        <f>if(G39=13,1,0)+VLOOKUP(B39,'022424'!B:Q,16,false)</f>
        <v>0</v>
      </c>
      <c r="R39" s="31"/>
      <c r="S39" s="31">
        <f>if(G39=9,1,0)+VLOOKUP(B39,'022424'!B:S,18,false)</f>
        <v>4</v>
      </c>
    </row>
    <row r="40">
      <c r="A40" s="26">
        <f t="shared" si="3"/>
        <v>36</v>
      </c>
      <c r="B40" s="27" t="s">
        <v>39</v>
      </c>
      <c r="C40" s="28">
        <v>88.0</v>
      </c>
      <c r="D40" s="29">
        <v>4.0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97</v>
      </c>
      <c r="N40" s="29">
        <f t="shared" si="37"/>
        <v>4</v>
      </c>
      <c r="O40" s="35" t="s">
        <v>46</v>
      </c>
      <c r="P40" s="35" t="s">
        <v>46</v>
      </c>
      <c r="Q40" s="31">
        <f>if(G40=13,1,0)+VLOOKUP(B40,'022424'!B:Q,16,false)</f>
        <v>0</v>
      </c>
      <c r="R40" s="31"/>
      <c r="S40" s="31">
        <f>if(G40=9,1,0)+VLOOKUP(B40,'022424'!B:S,18,false)</f>
        <v>7</v>
      </c>
    </row>
    <row r="41">
      <c r="A41" s="26">
        <f t="shared" si="3"/>
        <v>37</v>
      </c>
      <c r="B41" s="27" t="s">
        <v>76</v>
      </c>
      <c r="C41" s="28">
        <v>88.0</v>
      </c>
      <c r="D41" s="29">
        <v>4.0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97</v>
      </c>
      <c r="N41" s="29">
        <f t="shared" si="38"/>
        <v>4</v>
      </c>
      <c r="O41" s="35" t="s">
        <v>46</v>
      </c>
      <c r="P41" s="35" t="s">
        <v>46</v>
      </c>
      <c r="Q41" s="31">
        <f>if(G41=13,1,0)+VLOOKUP(B41,'022424'!B:Q,16,false)</f>
        <v>1</v>
      </c>
      <c r="R41" s="31"/>
      <c r="S41" s="31">
        <f>if(G41=9,1,0)+VLOOKUP(B41,'022424'!B:S,18,false)</f>
        <v>4</v>
      </c>
    </row>
    <row r="42">
      <c r="A42" s="26">
        <f t="shared" si="3"/>
        <v>38</v>
      </c>
      <c r="B42" s="27" t="s">
        <v>118</v>
      </c>
      <c r="C42" s="28">
        <v>87.0</v>
      </c>
      <c r="D42" s="29">
        <v>2.0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96</v>
      </c>
      <c r="N42" s="29">
        <f t="shared" si="39"/>
        <v>2</v>
      </c>
      <c r="O42" s="35" t="s">
        <v>46</v>
      </c>
      <c r="P42" s="35" t="s">
        <v>46</v>
      </c>
      <c r="Q42" s="31">
        <f>if(G42=13,1,0)+VLOOKUP(B42,'022424'!B:Q,16,false)</f>
        <v>2</v>
      </c>
      <c r="R42" s="31"/>
      <c r="S42" s="31">
        <f>if(G42=9,1,0)+VLOOKUP(B42,'022424'!B:S,18,false)</f>
        <v>6</v>
      </c>
    </row>
    <row r="43">
      <c r="A43" s="26">
        <f t="shared" si="3"/>
        <v>39</v>
      </c>
      <c r="B43" s="39" t="s">
        <v>103</v>
      </c>
      <c r="C43" s="28">
        <v>86.0</v>
      </c>
      <c r="D43" s="29">
        <v>4.0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95</v>
      </c>
      <c r="N43" s="29">
        <f t="shared" si="40"/>
        <v>4</v>
      </c>
      <c r="O43" s="35" t="s">
        <v>46</v>
      </c>
      <c r="P43" s="35" t="s">
        <v>46</v>
      </c>
      <c r="Q43" s="31">
        <f>if(G43=13,1,0)+VLOOKUP(B43,'022424'!B:Q,16,false)</f>
        <v>1</v>
      </c>
      <c r="R43" s="31"/>
      <c r="S43" s="31">
        <f>if(G43=9,1,0)+VLOOKUP(B43,'022424'!B:S,18,false)</f>
        <v>6</v>
      </c>
    </row>
    <row r="44">
      <c r="A44" s="26">
        <f t="shared" si="3"/>
        <v>40</v>
      </c>
      <c r="B44" s="54" t="s">
        <v>94</v>
      </c>
      <c r="C44" s="28">
        <v>85.0</v>
      </c>
      <c r="D44" s="29">
        <v>7.0</v>
      </c>
      <c r="E44" s="30">
        <v>1.0</v>
      </c>
      <c r="F44" s="31">
        <v>6.0</v>
      </c>
      <c r="G44" s="28">
        <v>0.0</v>
      </c>
      <c r="H44" s="31">
        <v>6.0</v>
      </c>
      <c r="I44" s="31">
        <v>1.0</v>
      </c>
      <c r="J44" s="31">
        <v>4.0</v>
      </c>
      <c r="K44" s="33">
        <v>11.0</v>
      </c>
      <c r="L44" s="31">
        <v>1.0</v>
      </c>
      <c r="M44" s="28">
        <f t="shared" ref="M44:N44" si="41">C44+K44</f>
        <v>96</v>
      </c>
      <c r="N44" s="29">
        <f t="shared" si="41"/>
        <v>8</v>
      </c>
      <c r="O44" s="35" t="s">
        <v>46</v>
      </c>
      <c r="P44" s="35" t="s">
        <v>46</v>
      </c>
      <c r="Q44" s="31">
        <f>if(G44=13,1,0)+VLOOKUP(B44,'022424'!B:Q,16,false)</f>
        <v>0</v>
      </c>
      <c r="R44" s="31"/>
      <c r="S44" s="31">
        <f>if(G44=9,1,0)+VLOOKUP(B44,'022424'!B:S,18,false)</f>
        <v>1</v>
      </c>
    </row>
    <row r="45">
      <c r="A45" s="26">
        <f t="shared" si="3"/>
        <v>41</v>
      </c>
      <c r="B45" s="54" t="s">
        <v>123</v>
      </c>
      <c r="C45" s="28">
        <v>85.0</v>
      </c>
      <c r="D45" s="29">
        <v>2.0</v>
      </c>
      <c r="E45" s="30">
        <v>3.0</v>
      </c>
      <c r="F45" s="31">
        <v>0.0</v>
      </c>
      <c r="G45" s="28">
        <v>9.0</v>
      </c>
      <c r="H45" s="31">
        <v>0.0</v>
      </c>
      <c r="I45" s="31">
        <v>0.0</v>
      </c>
      <c r="J45" s="31">
        <v>0.0</v>
      </c>
      <c r="K45" s="33">
        <v>9.0</v>
      </c>
      <c r="L45" s="31">
        <v>0.0</v>
      </c>
      <c r="M45" s="28">
        <f t="shared" ref="M45:N45" si="42">C45+K45</f>
        <v>94</v>
      </c>
      <c r="N45" s="29">
        <f t="shared" si="42"/>
        <v>2</v>
      </c>
      <c r="O45" s="35" t="s">
        <v>46</v>
      </c>
      <c r="P45" s="35" t="s">
        <v>46</v>
      </c>
      <c r="Q45" s="31">
        <f>if(G45=13,1,0)+VLOOKUP(B45,'022424'!B:Q,16,false)</f>
        <v>1</v>
      </c>
      <c r="R45" s="31"/>
      <c r="S45" s="31">
        <f>if(G45=9,1,0)+VLOOKUP(B45,'022424'!B:S,18,false)</f>
        <v>7</v>
      </c>
    </row>
    <row r="46">
      <c r="A46" s="26">
        <f t="shared" si="3"/>
        <v>42</v>
      </c>
      <c r="B46" s="27" t="s">
        <v>109</v>
      </c>
      <c r="C46" s="28">
        <v>85.0</v>
      </c>
      <c r="D46" s="29">
        <v>2.0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94</v>
      </c>
      <c r="N46" s="29">
        <f t="shared" si="43"/>
        <v>2</v>
      </c>
      <c r="O46" s="35" t="s">
        <v>46</v>
      </c>
      <c r="P46" s="35" t="s">
        <v>46</v>
      </c>
      <c r="Q46" s="31">
        <f>if(G46=13,1,0)+VLOOKUP(B46,'022424'!B:Q,16,false)</f>
        <v>2</v>
      </c>
      <c r="R46" s="31"/>
      <c r="S46" s="31">
        <f>if(G46=9,1,0)+VLOOKUP(B46,'022424'!B:S,18,false)</f>
        <v>5</v>
      </c>
    </row>
    <row r="47">
      <c r="A47" s="26">
        <f t="shared" si="3"/>
        <v>43</v>
      </c>
      <c r="B47" s="54" t="s">
        <v>116</v>
      </c>
      <c r="C47" s="28">
        <v>84.0</v>
      </c>
      <c r="D47" s="29">
        <v>4.0</v>
      </c>
      <c r="E47" s="30">
        <v>4.0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93</v>
      </c>
      <c r="N47" s="29">
        <f t="shared" si="44"/>
        <v>4</v>
      </c>
      <c r="O47" s="35" t="s">
        <v>46</v>
      </c>
      <c r="P47" s="35" t="s">
        <v>46</v>
      </c>
      <c r="Q47" s="31">
        <f>if(G47=13,1,0)+VLOOKUP(B47,'022424'!B:Q,16,false)</f>
        <v>0</v>
      </c>
      <c r="R47" s="31"/>
      <c r="S47" s="31">
        <f>if(G47=9,1,0)+VLOOKUP(B47,'022424'!B:S,18,false)</f>
        <v>6</v>
      </c>
    </row>
    <row r="48">
      <c r="A48" s="26">
        <f t="shared" si="3"/>
        <v>44</v>
      </c>
      <c r="B48" s="54" t="s">
        <v>100</v>
      </c>
      <c r="C48" s="28">
        <v>84.0</v>
      </c>
      <c r="D48" s="29">
        <v>4.0</v>
      </c>
      <c r="E48" s="30">
        <v>1.0</v>
      </c>
      <c r="F48" s="31">
        <v>6.0</v>
      </c>
      <c r="G48" s="28">
        <v>0.0</v>
      </c>
      <c r="H48" s="31">
        <v>6.0</v>
      </c>
      <c r="I48" s="31">
        <v>6.0</v>
      </c>
      <c r="J48" s="31">
        <v>6.0</v>
      </c>
      <c r="K48" s="33">
        <v>18.0</v>
      </c>
      <c r="L48" s="31">
        <v>3.0</v>
      </c>
      <c r="M48" s="28">
        <f t="shared" ref="M48:N48" si="45">C48+K48</f>
        <v>102</v>
      </c>
      <c r="N48" s="29">
        <f t="shared" si="45"/>
        <v>7</v>
      </c>
      <c r="O48" s="35" t="s">
        <v>46</v>
      </c>
      <c r="P48" s="35" t="s">
        <v>46</v>
      </c>
      <c r="Q48" s="31">
        <f>if(G48=13,1,0)+VLOOKUP(B48,'022424'!B:Q,16,false)</f>
        <v>1</v>
      </c>
      <c r="R48" s="31"/>
      <c r="S48" s="31">
        <f>if(G48=9,1,0)+VLOOKUP(B48,'022424'!B:S,18,false)</f>
        <v>4</v>
      </c>
    </row>
    <row r="49">
      <c r="A49" s="26">
        <f t="shared" si="3"/>
        <v>45</v>
      </c>
      <c r="B49" s="27" t="s">
        <v>120</v>
      </c>
      <c r="C49" s="28">
        <v>84.0</v>
      </c>
      <c r="D49" s="29">
        <v>2.0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93</v>
      </c>
      <c r="N49" s="29">
        <f t="shared" si="46"/>
        <v>2</v>
      </c>
      <c r="O49" s="35" t="s">
        <v>46</v>
      </c>
      <c r="P49" s="35" t="s">
        <v>46</v>
      </c>
      <c r="Q49" s="31">
        <f>if(G49=13,1,0)+VLOOKUP(B49,'022424'!B:Q,16,false)</f>
        <v>1</v>
      </c>
      <c r="R49" s="31"/>
      <c r="S49" s="31">
        <f>if(G49=9,1,0)+VLOOKUP(B49,'022424'!B:S,18,false)</f>
        <v>7</v>
      </c>
    </row>
    <row r="50">
      <c r="A50" s="26">
        <f t="shared" si="3"/>
        <v>46</v>
      </c>
      <c r="B50" s="54" t="s">
        <v>47</v>
      </c>
      <c r="C50" s="28">
        <v>83.0</v>
      </c>
      <c r="D50" s="29">
        <v>7.0</v>
      </c>
      <c r="E50" s="30">
        <v>1.0</v>
      </c>
      <c r="F50" s="31">
        <v>6.0</v>
      </c>
      <c r="G50" s="28">
        <v>0.0</v>
      </c>
      <c r="H50" s="31">
        <v>4.0</v>
      </c>
      <c r="I50" s="31">
        <v>1.0</v>
      </c>
      <c r="J50" s="31">
        <v>6.0</v>
      </c>
      <c r="K50" s="33">
        <v>11.0</v>
      </c>
      <c r="L50" s="31">
        <v>1.0</v>
      </c>
      <c r="M50" s="28">
        <f t="shared" ref="M50:N50" si="47">C50+K50</f>
        <v>94</v>
      </c>
      <c r="N50" s="29">
        <f t="shared" si="47"/>
        <v>8</v>
      </c>
      <c r="O50" s="35" t="s">
        <v>46</v>
      </c>
      <c r="P50" s="35" t="s">
        <v>46</v>
      </c>
      <c r="Q50" s="31">
        <f>if(G50=13,1,0)+VLOOKUP(B50,'022424'!B:Q,16,false)</f>
        <v>0</v>
      </c>
      <c r="R50" s="31"/>
      <c r="S50" s="31">
        <f>if(G50=9,1,0)+VLOOKUP(B50,'022424'!B:S,18,false)</f>
        <v>0</v>
      </c>
    </row>
    <row r="51">
      <c r="A51" s="26">
        <f t="shared" si="3"/>
        <v>47</v>
      </c>
      <c r="B51" s="76" t="s">
        <v>54</v>
      </c>
      <c r="C51" s="28">
        <v>83.0</v>
      </c>
      <c r="D51" s="29">
        <v>5.0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92</v>
      </c>
      <c r="N51" s="29">
        <f t="shared" si="48"/>
        <v>5</v>
      </c>
      <c r="O51" s="35" t="s">
        <v>46</v>
      </c>
      <c r="P51" s="35" t="s">
        <v>46</v>
      </c>
      <c r="Q51" s="31">
        <f>if(G51=13,1,0)+VLOOKUP(B51,'022424'!B:Q,16,false)</f>
        <v>1</v>
      </c>
      <c r="R51" s="31"/>
      <c r="S51" s="31">
        <f>if(G51=9,1,0)+VLOOKUP(B51,'022424'!B:S,18,false)</f>
        <v>3</v>
      </c>
    </row>
    <row r="52">
      <c r="A52" s="26">
        <f t="shared" si="3"/>
        <v>48</v>
      </c>
      <c r="B52" s="54" t="s">
        <v>108</v>
      </c>
      <c r="C52" s="28">
        <v>82.0</v>
      </c>
      <c r="D52" s="29">
        <v>7.0</v>
      </c>
      <c r="E52" s="30">
        <v>1.0</v>
      </c>
      <c r="F52" s="31">
        <v>7.0</v>
      </c>
      <c r="G52" s="28">
        <v>0.0</v>
      </c>
      <c r="H52" s="31">
        <v>0.0</v>
      </c>
      <c r="I52" s="31">
        <v>0.0</v>
      </c>
      <c r="J52" s="31">
        <v>6.0</v>
      </c>
      <c r="K52" s="33">
        <v>6.0</v>
      </c>
      <c r="L52" s="31">
        <v>1.0</v>
      </c>
      <c r="M52" s="28">
        <f t="shared" ref="M52:N52" si="49">C52+K52</f>
        <v>88</v>
      </c>
      <c r="N52" s="29">
        <f t="shared" si="49"/>
        <v>8</v>
      </c>
      <c r="O52" s="35" t="s">
        <v>46</v>
      </c>
      <c r="P52" s="35" t="s">
        <v>46</v>
      </c>
      <c r="Q52" s="31">
        <f>if(G52=13,1,0)+VLOOKUP(B52,'022424'!B:Q,16,false)</f>
        <v>0</v>
      </c>
      <c r="R52" s="31"/>
      <c r="S52" s="31">
        <f>if(G52=9,1,0)+VLOOKUP(B52,'022424'!B:S,18,false)</f>
        <v>1</v>
      </c>
    </row>
    <row r="53">
      <c r="A53" s="26">
        <f t="shared" si="3"/>
        <v>49</v>
      </c>
      <c r="B53" s="27" t="s">
        <v>83</v>
      </c>
      <c r="C53" s="28">
        <v>82.0</v>
      </c>
      <c r="D53" s="29">
        <v>5.0</v>
      </c>
      <c r="E53" s="30">
        <v>2.0</v>
      </c>
      <c r="F53" s="31">
        <v>7.0</v>
      </c>
      <c r="G53" s="28">
        <v>0.0</v>
      </c>
      <c r="H53" s="31">
        <v>6.0</v>
      </c>
      <c r="I53" s="31">
        <v>6.0</v>
      </c>
      <c r="J53" s="31">
        <v>6.0</v>
      </c>
      <c r="K53" s="33">
        <v>18.0</v>
      </c>
      <c r="L53" s="31">
        <v>3.0</v>
      </c>
      <c r="M53" s="28">
        <f t="shared" ref="M53:N53" si="50">C53+K53</f>
        <v>100</v>
      </c>
      <c r="N53" s="29">
        <f t="shared" si="50"/>
        <v>8</v>
      </c>
      <c r="O53" s="35" t="s">
        <v>46</v>
      </c>
      <c r="P53" s="35" t="s">
        <v>46</v>
      </c>
      <c r="Q53" s="31">
        <f>if(G53=13,1,0)+VLOOKUP(B53,'022424'!B:Q,16,false)</f>
        <v>1</v>
      </c>
      <c r="R53" s="31"/>
      <c r="S53" s="31">
        <f>if(G53=9,1,0)+VLOOKUP(B53,'022424'!B:S,18,false)</f>
        <v>2</v>
      </c>
    </row>
    <row r="54">
      <c r="A54" s="26">
        <f t="shared" si="3"/>
        <v>50</v>
      </c>
      <c r="B54" s="39" t="s">
        <v>119</v>
      </c>
      <c r="C54" s="28">
        <v>82.0</v>
      </c>
      <c r="D54" s="29">
        <v>4.0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91</v>
      </c>
      <c r="N54" s="29">
        <f t="shared" si="51"/>
        <v>4</v>
      </c>
      <c r="O54" s="35" t="s">
        <v>46</v>
      </c>
      <c r="P54" s="35" t="s">
        <v>46</v>
      </c>
      <c r="Q54" s="31">
        <f>if(G54=13,1,0)+VLOOKUP(B54,'022424'!B:Q,16,false)</f>
        <v>0</v>
      </c>
      <c r="R54" s="31"/>
      <c r="S54" s="31">
        <f>if(G54=9,1,0)+VLOOKUP(B54,'022424'!B:S,18,false)</f>
        <v>7</v>
      </c>
    </row>
    <row r="55">
      <c r="A55" s="26">
        <f t="shared" si="3"/>
        <v>51</v>
      </c>
      <c r="B55" s="27" t="s">
        <v>42</v>
      </c>
      <c r="C55" s="28">
        <v>81.0</v>
      </c>
      <c r="D55" s="29">
        <v>7.0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90</v>
      </c>
      <c r="N55" s="29">
        <f t="shared" si="52"/>
        <v>7</v>
      </c>
      <c r="O55" s="35" t="s">
        <v>46</v>
      </c>
      <c r="P55" s="35" t="s">
        <v>46</v>
      </c>
      <c r="Q55" s="31">
        <f>if(G55=13,1,0)+VLOOKUP(B55,'022424'!B:Q,16,false)</f>
        <v>0</v>
      </c>
      <c r="R55" s="31"/>
      <c r="S55" s="31">
        <f>if(G55=9,1,0)+VLOOKUP(B55,'022424'!B:S,18,false)</f>
        <v>2</v>
      </c>
    </row>
    <row r="56">
      <c r="A56" s="26">
        <f t="shared" si="3"/>
        <v>52</v>
      </c>
      <c r="B56" s="39" t="s">
        <v>121</v>
      </c>
      <c r="C56" s="28">
        <v>81.0</v>
      </c>
      <c r="D56" s="29">
        <v>3.0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90</v>
      </c>
      <c r="N56" s="29">
        <f t="shared" si="53"/>
        <v>3</v>
      </c>
      <c r="O56" s="35" t="s">
        <v>46</v>
      </c>
      <c r="P56" s="35" t="s">
        <v>46</v>
      </c>
      <c r="Q56" s="31">
        <f>if(G56=13,1,0)+VLOOKUP(B56,'022424'!B:Q,16,false)</f>
        <v>0</v>
      </c>
      <c r="R56" s="31"/>
      <c r="S56" s="31">
        <f>if(G56=9,1,0)+VLOOKUP(B56,'022424'!B:S,18,false)</f>
        <v>7</v>
      </c>
    </row>
    <row r="57">
      <c r="A57" s="26">
        <f t="shared" si="3"/>
        <v>53</v>
      </c>
      <c r="B57" s="27" t="s">
        <v>90</v>
      </c>
      <c r="C57" s="28">
        <v>81.0</v>
      </c>
      <c r="D57" s="29">
        <v>3.0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90</v>
      </c>
      <c r="N57" s="29">
        <f t="shared" si="54"/>
        <v>3</v>
      </c>
      <c r="O57" s="35" t="s">
        <v>46</v>
      </c>
      <c r="P57" s="35" t="s">
        <v>46</v>
      </c>
      <c r="Q57" s="31">
        <f>if(G57=13,1,0)+VLOOKUP(B57,'022424'!B:Q,16,false)</f>
        <v>0</v>
      </c>
      <c r="R57" s="31"/>
      <c r="S57" s="31">
        <f>if(G57=9,1,0)+VLOOKUP(B57,'022424'!B:S,18,false)</f>
        <v>8</v>
      </c>
    </row>
    <row r="58">
      <c r="A58" s="26">
        <f t="shared" si="3"/>
        <v>54</v>
      </c>
      <c r="B58" s="54" t="s">
        <v>122</v>
      </c>
      <c r="C58" s="28">
        <v>79.0</v>
      </c>
      <c r="D58" s="29">
        <v>1.0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88</v>
      </c>
      <c r="N58" s="29">
        <f t="shared" si="55"/>
        <v>1</v>
      </c>
      <c r="O58" s="35" t="s">
        <v>46</v>
      </c>
      <c r="P58" s="35" t="s">
        <v>46</v>
      </c>
      <c r="Q58" s="31">
        <f>if(G58=13,1,0)+VLOOKUP(B58,'022424'!B:Q,16,false)</f>
        <v>0</v>
      </c>
      <c r="R58" s="31"/>
      <c r="S58" s="31">
        <f>if(G58=9,1,0)+VLOOKUP(B58,'022424'!B:S,18,false)</f>
        <v>8</v>
      </c>
    </row>
    <row r="59">
      <c r="A59" s="26">
        <f t="shared" si="3"/>
        <v>55</v>
      </c>
      <c r="B59" s="54" t="s">
        <v>89</v>
      </c>
      <c r="C59" s="28">
        <v>77.0</v>
      </c>
      <c r="D59" s="29">
        <v>7.0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86</v>
      </c>
      <c r="N59" s="29">
        <f t="shared" si="56"/>
        <v>7</v>
      </c>
      <c r="O59" s="35" t="s">
        <v>46</v>
      </c>
      <c r="P59" s="35" t="s">
        <v>46</v>
      </c>
      <c r="Q59" s="31">
        <f>if(G59=13,1,0)+VLOOKUP(B59,'022424'!B:Q,16,false)</f>
        <v>0</v>
      </c>
      <c r="R59" s="31"/>
      <c r="S59" s="31">
        <f>if(G59=9,1,0)+VLOOKUP(B59,'022424'!B:S,18,false)</f>
        <v>2</v>
      </c>
    </row>
    <row r="60">
      <c r="A60" s="26">
        <f t="shared" si="3"/>
        <v>56</v>
      </c>
      <c r="B60" s="27" t="s">
        <v>114</v>
      </c>
      <c r="C60" s="28">
        <v>76.0</v>
      </c>
      <c r="D60" s="29">
        <v>0.0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85</v>
      </c>
      <c r="N60" s="29">
        <f t="shared" si="57"/>
        <v>0</v>
      </c>
      <c r="O60" s="35" t="s">
        <v>46</v>
      </c>
      <c r="P60" s="35" t="s">
        <v>46</v>
      </c>
      <c r="Q60" s="31">
        <f>if(G60=13,1,0)+VLOOKUP(B60,'022424'!B:Q,16,false)</f>
        <v>1</v>
      </c>
      <c r="R60" s="31"/>
      <c r="S60" s="31">
        <f>if(G60=9,1,0)+VLOOKUP(B60,'022424'!B:S,18,false)</f>
        <v>8</v>
      </c>
    </row>
    <row r="61">
      <c r="A61" s="26">
        <f t="shared" si="3"/>
        <v>57</v>
      </c>
      <c r="B61" s="27" t="s">
        <v>112</v>
      </c>
      <c r="C61" s="28">
        <v>75.0</v>
      </c>
      <c r="D61" s="29">
        <v>1.0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84</v>
      </c>
      <c r="N61" s="29">
        <f t="shared" si="58"/>
        <v>1</v>
      </c>
      <c r="O61" s="35" t="s">
        <v>46</v>
      </c>
      <c r="P61" s="35" t="s">
        <v>46</v>
      </c>
      <c r="Q61" s="31">
        <f>if(G61=13,1,0)+VLOOKUP(B61,'022424'!B:Q,16,false)</f>
        <v>0</v>
      </c>
      <c r="R61" s="31"/>
      <c r="S61" s="31">
        <f>if(G61=9,1,0)+VLOOKUP(B61,'022424'!B:S,18,false)</f>
        <v>8</v>
      </c>
    </row>
    <row r="62">
      <c r="A62" s="26">
        <f t="shared" si="3"/>
        <v>58</v>
      </c>
      <c r="B62" s="39" t="s">
        <v>97</v>
      </c>
      <c r="C62" s="28">
        <v>72.0</v>
      </c>
      <c r="D62" s="29">
        <v>1.0</v>
      </c>
      <c r="E62" s="30">
        <v>1.0</v>
      </c>
      <c r="F62" s="31">
        <v>7.0</v>
      </c>
      <c r="G62" s="28">
        <v>0.0</v>
      </c>
      <c r="H62" s="31">
        <v>0.0</v>
      </c>
      <c r="I62" s="31">
        <v>6.0</v>
      </c>
      <c r="J62" s="31">
        <v>0.0</v>
      </c>
      <c r="K62" s="33">
        <v>6.0</v>
      </c>
      <c r="L62" s="31">
        <v>1.0</v>
      </c>
      <c r="M62" s="28">
        <f t="shared" ref="M62:N62" si="59">C62+K62</f>
        <v>78</v>
      </c>
      <c r="N62" s="29">
        <f t="shared" si="59"/>
        <v>2</v>
      </c>
      <c r="O62" s="35" t="s">
        <v>46</v>
      </c>
      <c r="P62" s="35" t="s">
        <v>46</v>
      </c>
      <c r="Q62" s="31">
        <f>if(G62=13,1,0)+VLOOKUP(B62,'022424'!B:Q,16,false)</f>
        <v>0</v>
      </c>
      <c r="R62" s="31"/>
      <c r="S62" s="31">
        <f>if(G62=9,1,0)+VLOOKUP(B62,'022424'!B:S,18,false)</f>
        <v>2</v>
      </c>
    </row>
    <row r="63">
      <c r="A63" s="26">
        <f t="shared" si="3"/>
        <v>59</v>
      </c>
      <c r="B63" s="27" t="s">
        <v>74</v>
      </c>
      <c r="C63" s="28">
        <v>72.0</v>
      </c>
      <c r="D63" s="29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81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if(G63=13,1,0)+VLOOKUP(B63,'022424'!B:Q,16,false)</f>
        <v>0</v>
      </c>
      <c r="R63" s="31"/>
      <c r="S63" s="31">
        <f>if(G63=9,1,0)+VLOOKUP(B63,'022424'!B:S,18,false)</f>
        <v>9</v>
      </c>
    </row>
    <row r="64">
      <c r="A64" s="26">
        <f t="shared" si="3"/>
        <v>60</v>
      </c>
      <c r="B64" s="27" t="s">
        <v>56</v>
      </c>
      <c r="C64" s="28">
        <v>72.0</v>
      </c>
      <c r="D64" s="29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81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if(G64=13,1,0)+VLOOKUP(B64,'022424'!B:Q,16,false)</f>
        <v>0</v>
      </c>
      <c r="R64" s="31"/>
      <c r="S64" s="31">
        <f>if(G64=9,1,0)+VLOOKUP(B64,'022424'!B:S,18,false)</f>
        <v>9</v>
      </c>
    </row>
    <row r="65">
      <c r="A65" s="26">
        <f t="shared" si="3"/>
        <v>61</v>
      </c>
      <c r="B65" s="39" t="s">
        <v>124</v>
      </c>
      <c r="C65" s="28">
        <v>72.0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81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if(G65=13,1,0)+VLOOKUP(B65,'022424'!B:Q,16,false)</f>
        <v>0</v>
      </c>
      <c r="R65" s="31"/>
      <c r="S65" s="31">
        <f>if(G65=9,1,0)+VLOOKUP(B65,'022424'!B:S,18,false)</f>
        <v>9</v>
      </c>
    </row>
    <row r="66">
      <c r="A66" s="26">
        <f t="shared" si="3"/>
        <v>62</v>
      </c>
      <c r="B66" s="27" t="s">
        <v>115</v>
      </c>
      <c r="C66" s="28">
        <v>72.0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81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if(G66=13,1,0)+VLOOKUP(B66,'022424'!B:Q,16,false)</f>
        <v>0</v>
      </c>
      <c r="R66" s="31"/>
      <c r="S66" s="31">
        <f>if(G66=9,1,0)+VLOOKUP(B66,'022424'!B:S,18,false)</f>
        <v>9</v>
      </c>
    </row>
    <row r="67">
      <c r="A67" s="26">
        <f t="shared" si="3"/>
        <v>63</v>
      </c>
      <c r="B67" s="39" t="s">
        <v>125</v>
      </c>
      <c r="C67" s="28">
        <v>72.0</v>
      </c>
      <c r="D67" s="29">
        <v>0.0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81</v>
      </c>
      <c r="N67" s="29">
        <f t="shared" si="64"/>
        <v>0</v>
      </c>
      <c r="O67" s="35" t="s">
        <v>46</v>
      </c>
      <c r="P67" s="35" t="s">
        <v>46</v>
      </c>
      <c r="Q67" s="31">
        <f>if(G67=13,1,0)+VLOOKUP(B67,'022424'!B:Q,16,false)</f>
        <v>0</v>
      </c>
      <c r="R67" s="31"/>
      <c r="S67" s="31">
        <f>if(G67=9,1,0)+VLOOKUP(B67,'022424'!B:S,18,false)</f>
        <v>8</v>
      </c>
    </row>
    <row r="68">
      <c r="A68" s="26">
        <f t="shared" si="3"/>
        <v>64</v>
      </c>
      <c r="B68" s="39" t="s">
        <v>127</v>
      </c>
      <c r="C68" s="28">
        <v>72.0</v>
      </c>
      <c r="D68" s="29">
        <v>0.0</v>
      </c>
      <c r="E68" s="30">
        <v>1.0</v>
      </c>
      <c r="F68" s="31">
        <v>7.0</v>
      </c>
      <c r="G68" s="28">
        <v>0.0</v>
      </c>
      <c r="H68" s="31">
        <v>6.0</v>
      </c>
      <c r="I68" s="31">
        <v>0.0</v>
      </c>
      <c r="J68" s="31">
        <v>0.0</v>
      </c>
      <c r="K68" s="33">
        <v>6.0</v>
      </c>
      <c r="L68" s="31">
        <v>1.0</v>
      </c>
      <c r="M68" s="28">
        <f t="shared" ref="M68:N68" si="65">C68+K68</f>
        <v>78</v>
      </c>
      <c r="N68" s="29">
        <f t="shared" si="65"/>
        <v>1</v>
      </c>
      <c r="O68" s="35" t="s">
        <v>46</v>
      </c>
      <c r="P68" s="35" t="s">
        <v>46</v>
      </c>
      <c r="Q68" s="31">
        <f>if(G68=13,1,0)+VLOOKUP(B68,'022424'!B:Q,16,false)</f>
        <v>0</v>
      </c>
      <c r="R68" s="31"/>
      <c r="S68" s="31">
        <f>if(G68=9,1,0)+VLOOKUP(B68,'022424'!B:S,18,false)</f>
        <v>8</v>
      </c>
    </row>
    <row r="69">
      <c r="A69" s="26">
        <f t="shared" si="3"/>
        <v>65</v>
      </c>
      <c r="B69" s="39" t="s">
        <v>126</v>
      </c>
      <c r="C69" s="28">
        <v>71.0</v>
      </c>
      <c r="D69" s="29">
        <v>2.0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80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if(G69=13,1,0)+VLOOKUP(B69,'022424'!B:Q,16,false)</f>
        <v>0</v>
      </c>
      <c r="R69" s="31"/>
      <c r="S69" s="31">
        <f>if(G69=9,1,0)+VLOOKUP(B69,'022424'!B:S,18,false)</f>
        <v>7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desc"",0)"),"Matthew Huang")</f>
        <v>Matthew Huang</v>
      </c>
      <c r="C79" s="60">
        <f>IFERROR(__xludf.DUMMYFUNCTION("""COMPUTED_VALUE"""),18.0)</f>
        <v>18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IFERROR(__xludf.DUMMYFUNCTION("""COMPUTED_VALUE"""),"Ramesh Bandaru")</f>
        <v>Ramesh Bandaru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IFERROR(__xludf.DUMMYFUNCTION("""COMPUTED_VALUE"""),"Manuel Rivera")</f>
        <v>Manuel Rivera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/>
      <c r="C82" s="39"/>
      <c r="D82" s="39"/>
      <c r="E82" s="1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1"")"),"David Shin")</f>
        <v>David Shin</v>
      </c>
      <c r="C92" s="63">
        <f>IFERROR(__xludf.DUMMYFUNCTION("""COMPUTED_VALUE"""),113.0)</f>
        <v>113</v>
      </c>
      <c r="D92" s="64">
        <f>IFERROR(__xludf.DUMMYFUNCTION("""COMPUTED_VALUE"""),12.0)</f>
        <v>12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IFERROR(__xludf.DUMMYFUNCTION("""COMPUTED_VALUE"""),2.0)</f>
        <v>2</v>
      </c>
      <c r="J92" s="65">
        <f>IFERROR(__xludf.DUMMYFUNCTION("""COMPUTED_VALUE"""),6.0)</f>
        <v>6</v>
      </c>
      <c r="K92" s="65">
        <f>IFERROR(__xludf.DUMMYFUNCTION("""COMPUTED_VALUE"""),14.0)</f>
        <v>14</v>
      </c>
      <c r="L92" s="65">
        <f>IFERROR(__xludf.DUMMYFUNCTION("""COMPUTED_VALUE"""),2.0)</f>
        <v>2</v>
      </c>
      <c r="M92" s="65">
        <f>IFERROR(__xludf.DUMMYFUNCTION("""COMPUTED_VALUE"""),127.0)</f>
        <v>127</v>
      </c>
      <c r="N92" s="66">
        <f>IFERROR(__xludf.DUMMYFUNCTION("""COMPUTED_VALUE"""),14.0)</f>
        <v>14</v>
      </c>
    </row>
    <row r="93">
      <c r="A93" s="1"/>
      <c r="B93" s="62" t="str">
        <f>IFERROR(__xludf.DUMMYFUNCTION("""COMPUTED_VALUE"""),"Jonathan Phan")</f>
        <v>Jonathan Phan</v>
      </c>
      <c r="C93" s="63">
        <f>IFERROR(__xludf.DUMMYFUNCTION("""COMPUTED_VALUE"""),105.0)</f>
        <v>105</v>
      </c>
      <c r="D93" s="64">
        <f>IFERROR(__xludf.DUMMYFUNCTION("""COMPUTED_VALUE"""),8.0)</f>
        <v>8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IFERROR(__xludf.DUMMYFUNCTION("""COMPUTED_VALUE"""),3.0)</f>
        <v>3</v>
      </c>
      <c r="I93" s="65">
        <f>IFERROR(__xludf.DUMMYFUNCTION("""COMPUTED_VALUE"""),6.0)</f>
        <v>6</v>
      </c>
      <c r="J93" s="65">
        <f>IFERROR(__xludf.DUMMYFUNCTION("""COMPUTED_VALUE"""),6.0)</f>
        <v>6</v>
      </c>
      <c r="K93" s="65">
        <f>IFERROR(__xludf.DUMMYFUNCTION("""COMPUTED_VALUE"""),15.0)</f>
        <v>15</v>
      </c>
      <c r="L93" s="65">
        <f>IFERROR(__xludf.DUMMYFUNCTION("""COMPUTED_VALUE"""),2.0)</f>
        <v>2</v>
      </c>
      <c r="M93" s="65">
        <f>IFERROR(__xludf.DUMMYFUNCTION("""COMPUTED_VALUE"""),120.0)</f>
        <v>120</v>
      </c>
      <c r="N93" s="66">
        <f>IFERROR(__xludf.DUMMYFUNCTION("""COMPUTED_VALUE"""),10.0)</f>
        <v>10</v>
      </c>
    </row>
    <row r="94">
      <c r="A94" s="1"/>
      <c r="B94" s="62" t="str">
        <f>IFERROR(__xludf.DUMMYFUNCTION("""COMPUTED_VALUE"""),"Mauricio Palacios")</f>
        <v>Mauricio Palacios</v>
      </c>
      <c r="C94" s="63">
        <f>IFERROR(__xludf.DUMMYFUNCTION("""COMPUTED_VALUE"""),104.0)</f>
        <v>104</v>
      </c>
      <c r="D94" s="64">
        <f>IFERROR(__xludf.DUMMYFUNCTION("""COMPUTED_VALUE"""),9.0)</f>
        <v>9</v>
      </c>
      <c r="E94" s="63">
        <f>IFERROR(__xludf.DUMMYFUNCTION("""COMPUTED_VALUE"""),2.0)</f>
        <v>2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IFERROR(__xludf.DUMMYFUNCTION("""COMPUTED_VALUE"""),6.0)</f>
        <v>6</v>
      </c>
      <c r="J94" s="65">
        <f>IFERROR(__xludf.DUMMYFUNCTION("""COMPUTED_VALUE"""),4.0)</f>
        <v>4</v>
      </c>
      <c r="K94" s="65">
        <f>IFERROR(__xludf.DUMMYFUNCTION("""COMPUTED_VALUE"""),16.0)</f>
        <v>16</v>
      </c>
      <c r="L94" s="65">
        <f>IFERROR(__xludf.DUMMYFUNCTION("""COMPUTED_VALUE"""),2.0)</f>
        <v>2</v>
      </c>
      <c r="M94" s="65">
        <f>IFERROR(__xludf.DUMMYFUNCTION("""COMPUTED_VALUE"""),120.0)</f>
        <v>120</v>
      </c>
      <c r="N94" s="66">
        <f>IFERROR(__xludf.DUMMYFUNCTION("""COMPUTED_VALUE"""),11.0)</f>
        <v>11</v>
      </c>
    </row>
    <row r="95">
      <c r="A95" s="1"/>
      <c r="B95" s="62" t="str">
        <f>IFERROR(__xludf.DUMMYFUNCTION("""COMPUTED_VALUE"""),"Joe Luzzi")</f>
        <v>Joe Luzzi</v>
      </c>
      <c r="C95" s="63">
        <f>IFERROR(__xludf.DUMMYFUNCTION("""COMPUTED_VALUE"""),104.0)</f>
        <v>104</v>
      </c>
      <c r="D95" s="64">
        <f>IFERROR(__xludf.DUMMYFUNCTION("""COMPUTED_VALUE"""),8.0)</f>
        <v>8</v>
      </c>
      <c r="E95" s="63">
        <f>IFERROR(__xludf.DUMMYFUNCTION("""COMPUTED_VALUE"""),2.0)</f>
        <v>2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IFERROR(__xludf.DUMMYFUNCTION("""COMPUTED_VALUE"""),3.0)</f>
        <v>3</v>
      </c>
      <c r="I95" s="65">
        <f>IFERROR(__xludf.DUMMYFUNCTION("""COMPUTED_VALUE"""),2.0)</f>
        <v>2</v>
      </c>
      <c r="J95" s="65">
        <f>IFERROR(__xludf.DUMMYFUNCTION("""COMPUTED_VALUE"""),4.0)</f>
        <v>4</v>
      </c>
      <c r="K95" s="65">
        <f>IFERROR(__xludf.DUMMYFUNCTION("""COMPUTED_VALUE"""),9.0)</f>
        <v>9</v>
      </c>
      <c r="L95" s="65">
        <f>IFERROR(__xludf.DUMMYFUNCTION("""COMPUTED_VALUE"""),0.0)</f>
        <v>0</v>
      </c>
      <c r="M95" s="65">
        <f>IFERROR(__xludf.DUMMYFUNCTION("""COMPUTED_VALUE"""),113.0)</f>
        <v>113</v>
      </c>
      <c r="N95" s="66">
        <f>IFERROR(__xludf.DUMMYFUNCTION("""COMPUTED_VALUE"""),8.0)</f>
        <v>8</v>
      </c>
    </row>
    <row r="96">
      <c r="A96" s="1"/>
      <c r="B96" s="67" t="str">
        <f>IFERROR(__xludf.DUMMYFUNCTION("""COMPUTED_VALUE"""),"Andrew Wen")</f>
        <v>Andrew Wen</v>
      </c>
      <c r="C96" s="68">
        <f>IFERROR(__xludf.DUMMYFUNCTION("""COMPUTED_VALUE"""),102.0)</f>
        <v>102</v>
      </c>
      <c r="D96" s="69">
        <f>IFERROR(__xludf.DUMMYFUNCTION("""COMPUTED_VALUE"""),11.0)</f>
        <v>11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IFERROR(__xludf.DUMMYFUNCTION("""COMPUTED_VALUE"""),0.0)</f>
        <v>0</v>
      </c>
      <c r="K96" s="70">
        <f>IFERROR(__xludf.DUMMYFUNCTION("""COMPUTED_VALUE"""),12.0)</f>
        <v>12</v>
      </c>
      <c r="L96" s="70">
        <f>IFERROR(__xludf.DUMMYFUNCTION("""COMPUTED_VALUE"""),2.0)</f>
        <v>2</v>
      </c>
      <c r="M96" s="70">
        <f>IFERROR(__xludf.DUMMYFUNCTION("""COMPUTED_VALUE"""),114.0)</f>
        <v>114</v>
      </c>
      <c r="N96" s="71">
        <f>IFERROR(__xludf.DUMMYFUNCTION("""COMPUTED_VALUE"""),13.0)</f>
        <v>13</v>
      </c>
    </row>
    <row r="97">
      <c r="A97" s="1"/>
      <c r="B97" s="67" t="str">
        <f>IFERROR(__xludf.DUMMYFUNCTION("""COMPUTED_VALUE"""),"Ted Shen")</f>
        <v>Ted Shen</v>
      </c>
      <c r="C97" s="68">
        <f>IFERROR(__xludf.DUMMYFUNCTION("""COMPUTED_VALUE"""),100.0)</f>
        <v>100</v>
      </c>
      <c r="D97" s="69">
        <f>IFERROR(__xludf.DUMMYFUNCTION("""COMPUTED_VALUE"""),8.0)</f>
        <v>8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IFERROR(__xludf.DUMMYFUNCTION("""COMPUTED_VALUE"""),0.0)</f>
        <v>0</v>
      </c>
      <c r="I97" s="70">
        <f>IFERROR(__xludf.DUMMYFUNCTION("""COMPUTED_VALUE"""),6.0)</f>
        <v>6</v>
      </c>
      <c r="J97" s="70">
        <f>IFERROR(__xludf.DUMMYFUNCTION("""COMPUTED_VALUE"""),6.0)</f>
        <v>6</v>
      </c>
      <c r="K97" s="70">
        <f>IFERROR(__xludf.DUMMYFUNCTION("""COMPUTED_VALUE"""),12.0)</f>
        <v>12</v>
      </c>
      <c r="L97" s="70">
        <f>IFERROR(__xludf.DUMMYFUNCTION("""COMPUTED_VALUE"""),2.0)</f>
        <v>2</v>
      </c>
      <c r="M97" s="70">
        <f>IFERROR(__xludf.DUMMYFUNCTION("""COMPUTED_VALUE"""),112.0)</f>
        <v>112</v>
      </c>
      <c r="N97" s="71">
        <f>IFERROR(__xludf.DUMMYFUNCTION("""COMPUTED_VALUE"""),10.0)</f>
        <v>10</v>
      </c>
    </row>
    <row r="98">
      <c r="A98" s="1"/>
      <c r="B98" s="67" t="str">
        <f>IFERROR(__xludf.DUMMYFUNCTION("""COMPUTED_VALUE"""),"Naveen Raj")</f>
        <v>Naveen Raj</v>
      </c>
      <c r="C98" s="68">
        <f>IFERROR(__xludf.DUMMYFUNCTION("""COMPUTED_VALUE"""),98.0)</f>
        <v>98</v>
      </c>
      <c r="D98" s="69">
        <f>IFERROR(__xludf.DUMMYFUNCTION("""COMPUTED_VALUE"""),7.0)</f>
        <v>7</v>
      </c>
      <c r="E98" s="68">
        <f>IFERROR(__xludf.DUMMYFUNCTION("""COMPUTED_VALUE"""),2.0)</f>
        <v>2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IFERROR(__xludf.DUMMYFUNCTION("""COMPUTED_VALUE"""),0.0)</f>
        <v>0</v>
      </c>
      <c r="I98" s="70">
        <f>IFERROR(__xludf.DUMMYFUNCTION("""COMPUTED_VALUE"""),3.0)</f>
        <v>3</v>
      </c>
      <c r="J98" s="70">
        <f>IFERROR(__xludf.DUMMYFUNCTION("""COMPUTED_VALUE"""),0.0)</f>
        <v>0</v>
      </c>
      <c r="K98" s="70">
        <f>IFERROR(__xludf.DUMMYFUNCTION("""COMPUTED_VALUE"""),3.0)</f>
        <v>3</v>
      </c>
      <c r="L98" s="70">
        <f>IFERROR(__xludf.DUMMYFUNCTION("""COMPUTED_VALUE"""),0.0)</f>
        <v>0</v>
      </c>
      <c r="M98" s="70">
        <f>IFERROR(__xludf.DUMMYFUNCTION("""COMPUTED_VALUE"""),101.0)</f>
        <v>101</v>
      </c>
      <c r="N98" s="71">
        <f>IFERROR(__xludf.DUMMYFUNCTION("""COMPUTED_VALUE"""),7.0)</f>
        <v>7</v>
      </c>
    </row>
    <row r="99">
      <c r="A99" s="1"/>
      <c r="B99" s="67" t="str">
        <f>IFERROR(__xludf.DUMMYFUNCTION("""COMPUTED_VALUE"""),"Suleman Alidina")</f>
        <v>Suleman Alidina</v>
      </c>
      <c r="C99" s="68">
        <f>IFERROR(__xludf.DUMMYFUNCTION("""COMPUTED_VALUE"""),94.0)</f>
        <v>94</v>
      </c>
      <c r="D99" s="69">
        <f>IFERROR(__xludf.DUMMYFUNCTION("""COMPUTED_VALUE"""),8.0)</f>
        <v>8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IFERROR(__xludf.DUMMYFUNCTION("""COMPUTED_VALUE"""),6.0)</f>
        <v>6</v>
      </c>
      <c r="I99" s="70">
        <f>IFERROR(__xludf.DUMMYFUNCTION("""COMPUTED_VALUE"""),3.0)</f>
        <v>3</v>
      </c>
      <c r="J99" s="70">
        <f>IFERROR(__xludf.DUMMYFUNCTION("""COMPUTED_VALUE"""),6.0)</f>
        <v>6</v>
      </c>
      <c r="K99" s="70">
        <f>IFERROR(__xludf.DUMMYFUNCTION("""COMPUTED_VALUE"""),15.0)</f>
        <v>15</v>
      </c>
      <c r="L99" s="70">
        <f>IFERROR(__xludf.DUMMYFUNCTION("""COMPUTED_VALUE"""),2.0)</f>
        <v>2</v>
      </c>
      <c r="M99" s="70">
        <f>IFERROR(__xludf.DUMMYFUNCTION("""COMPUTED_VALUE"""),109.0)</f>
        <v>109</v>
      </c>
      <c r="N99" s="71">
        <f>IFERROR(__xludf.DUMMYFUNCTION("""COMPUTED_VALUE"""),10.0)</f>
        <v>10</v>
      </c>
    </row>
    <row r="100">
      <c r="A100" s="1"/>
      <c r="B100" s="67" t="str">
        <f>IFERROR(__xludf.DUMMYFUNCTION("""COMPUTED_VALUE"""),"Chinna Ponnaganti")</f>
        <v>Chinna Ponnaganti</v>
      </c>
      <c r="C100" s="63">
        <f>IFERROR(__xludf.DUMMYFUNCTION("""COMPUTED_VALUE"""),93.0)</f>
        <v>93</v>
      </c>
      <c r="D100" s="64">
        <f>IFERROR(__xludf.DUMMYFUNCTION("""COMPUTED_VALUE"""),8.0)</f>
        <v>8</v>
      </c>
      <c r="E100" s="63">
        <f>IFERROR(__xludf.DUMMYFUNCTION("""COMPUTED_VALUE"""),2.0)</f>
        <v>2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IFERROR(__xludf.DUMMYFUNCTION("""COMPUTED_VALUE"""),4.0)</f>
        <v>4</v>
      </c>
      <c r="J100" s="65">
        <f>IFERROR(__xludf.DUMMYFUNCTION("""COMPUTED_VALUE"""),6.0)</f>
        <v>6</v>
      </c>
      <c r="K100" s="65">
        <f>IFERROR(__xludf.DUMMYFUNCTION("""COMPUTED_VALUE"""),16.0)</f>
        <v>16</v>
      </c>
      <c r="L100" s="65">
        <f>IFERROR(__xludf.DUMMYFUNCTION("""COMPUTED_VALUE"""),2.0)</f>
        <v>2</v>
      </c>
      <c r="M100" s="65">
        <f>IFERROR(__xludf.DUMMYFUNCTION("""COMPUTED_VALUE"""),109.0)</f>
        <v>109</v>
      </c>
      <c r="N100" s="66">
        <f>IFERROR(__xludf.DUMMYFUNCTION("""COMPUTED_VALUE"""),10.0)</f>
        <v>10</v>
      </c>
    </row>
    <row r="101">
      <c r="A101" s="1"/>
      <c r="B101" s="67" t="str">
        <f>IFERROR(__xludf.DUMMYFUNCTION("""COMPUTED_VALUE"""),"Oscar Bonilla")</f>
        <v>Oscar Bonilla</v>
      </c>
      <c r="C101" s="63">
        <f>IFERROR(__xludf.DUMMYFUNCTION("""COMPUTED_VALUE"""),93.0)</f>
        <v>93</v>
      </c>
      <c r="D101" s="64">
        <f>IFERROR(__xludf.DUMMYFUNCTION("""COMPUTED_VALUE"""),6.0)</f>
        <v>6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IFERROR(__xludf.DUMMYFUNCTION("""COMPUTED_VALUE"""),6.0)</f>
        <v>6</v>
      </c>
      <c r="J101" s="65">
        <f>IFERROR(__xludf.DUMMYFUNCTION("""COMPUTED_VALUE"""),4.0)</f>
        <v>4</v>
      </c>
      <c r="K101" s="65">
        <f>IFERROR(__xludf.DUMMYFUNCTION("""COMPUTED_VALUE"""),16.0)</f>
        <v>16</v>
      </c>
      <c r="L101" s="65">
        <f>IFERROR(__xludf.DUMMYFUNCTION("""COMPUTED_VALUE"""),2.0)</f>
        <v>2</v>
      </c>
      <c r="M101" s="65">
        <f>IFERROR(__xludf.DUMMYFUNCTION("""COMPUTED_VALUE"""),109.0)</f>
        <v>109</v>
      </c>
      <c r="N101" s="66">
        <f>IFERROR(__xludf.DUMMYFUNCTION("""COMPUTED_VALUE"""),8.0)</f>
        <v>8</v>
      </c>
    </row>
    <row r="102">
      <c r="A102" s="1"/>
      <c r="B102" s="62" t="str">
        <f>IFERROR(__xludf.DUMMYFUNCTION("""COMPUTED_VALUE"""),"Scott Li")</f>
        <v>Scott Li</v>
      </c>
      <c r="C102" s="63">
        <f>IFERROR(__xludf.DUMMYFUNCTION("""COMPUTED_VALUE"""),91.0)</f>
        <v>91</v>
      </c>
      <c r="D102" s="64">
        <f>IFERROR(__xludf.DUMMYFUNCTION("""COMPUTED_VALUE"""),9.0)</f>
        <v>9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IFERROR(__xludf.DUMMYFUNCTION("""COMPUTED_VALUE"""),2.0)</f>
        <v>2</v>
      </c>
      <c r="I102" s="65">
        <f>IFERROR(__xludf.DUMMYFUNCTION("""COMPUTED_VALUE"""),4.0)</f>
        <v>4</v>
      </c>
      <c r="J102" s="65">
        <f>IFERROR(__xludf.DUMMYFUNCTION("""COMPUTED_VALUE"""),4.0)</f>
        <v>4</v>
      </c>
      <c r="K102" s="65">
        <f>IFERROR(__xludf.DUMMYFUNCTION("""COMPUTED_VALUE"""),10.0)</f>
        <v>10</v>
      </c>
      <c r="L102" s="65">
        <f>IFERROR(__xludf.DUMMYFUNCTION("""COMPUTED_VALUE"""),0.0)</f>
        <v>0</v>
      </c>
      <c r="M102" s="65">
        <f>IFERROR(__xludf.DUMMYFUNCTION("""COMPUTED_VALUE"""),101.0)</f>
        <v>101</v>
      </c>
      <c r="N102" s="66">
        <f>IFERROR(__xludf.DUMMYFUNCTION("""COMPUTED_VALUE"""),9.0)</f>
        <v>9</v>
      </c>
    </row>
    <row r="103">
      <c r="A103" s="1"/>
      <c r="B103" s="62" t="str">
        <f>IFERROR(__xludf.DUMMYFUNCTION("""COMPUTED_VALUE"""),"Rajasekar Ramasamy")</f>
        <v>Rajasekar Ramasamy</v>
      </c>
      <c r="C103" s="63">
        <f>IFERROR(__xludf.DUMMYFUNCTION("""COMPUTED_VALUE"""),91.0)</f>
        <v>91</v>
      </c>
      <c r="D103" s="64">
        <f>IFERROR(__xludf.DUMMYFUNCTION("""COMPUTED_VALUE"""),6.0)</f>
        <v>6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IFERROR(__xludf.DUMMYFUNCTION("""COMPUTED_VALUE"""),2.0)</f>
        <v>2</v>
      </c>
      <c r="I103" s="65">
        <f>IFERROR(__xludf.DUMMYFUNCTION("""COMPUTED_VALUE"""),6.0)</f>
        <v>6</v>
      </c>
      <c r="J103" s="65">
        <f>IFERROR(__xludf.DUMMYFUNCTION("""COMPUTED_VALUE"""),6.0)</f>
        <v>6</v>
      </c>
      <c r="K103" s="65">
        <f>IFERROR(__xludf.DUMMYFUNCTION("""COMPUTED_VALUE"""),14.0)</f>
        <v>14</v>
      </c>
      <c r="L103" s="65">
        <f>IFERROR(__xludf.DUMMYFUNCTION("""COMPUTED_VALUE"""),2.0)</f>
        <v>2</v>
      </c>
      <c r="M103" s="65">
        <f>IFERROR(__xludf.DUMMYFUNCTION("""COMPUTED_VALUE"""),105.0)</f>
        <v>105</v>
      </c>
      <c r="N103" s="66">
        <f>IFERROR(__xludf.DUMMYFUNCTION("""COMPUTED_VALUE"""),8.0)</f>
        <v>8</v>
      </c>
    </row>
    <row r="104">
      <c r="A104" s="1"/>
      <c r="B104" s="67" t="str">
        <f>IFERROR(__xludf.DUMMYFUNCTION("""COMPUTED_VALUE"""),"David Tam")</f>
        <v>David Tam</v>
      </c>
      <c r="C104" s="68">
        <f>IFERROR(__xludf.DUMMYFUNCTION("""COMPUTED_VALUE"""),89.0)</f>
        <v>89</v>
      </c>
      <c r="D104" s="69">
        <f>IFERROR(__xludf.DUMMYFUNCTION("""COMPUTED_VALUE"""),9.0)</f>
        <v>9</v>
      </c>
      <c r="E104" s="68">
        <f>IFERROR(__xludf.DUMMYFUNCTION("""COMPUTED_VALUE"""),1.0)</f>
        <v>1</v>
      </c>
      <c r="F104" s="70">
        <f>IFERROR(__xludf.DUMMYFUNCTION("""COMPUTED_VALUE"""),5.0)</f>
        <v>5</v>
      </c>
      <c r="G104" s="70">
        <f>IFERROR(__xludf.DUMMYFUNCTION("""COMPUTED_VALUE"""),0.0)</f>
        <v>0</v>
      </c>
      <c r="H104" s="70">
        <f>IFERROR(__xludf.DUMMYFUNCTION("""COMPUTED_VALUE"""),4.0)</f>
        <v>4</v>
      </c>
      <c r="I104" s="70">
        <f>IFERROR(__xludf.DUMMYFUNCTION("""COMPUTED_VALUE"""),2.0)</f>
        <v>2</v>
      </c>
      <c r="J104" s="70">
        <f>IFERROR(__xludf.DUMMYFUNCTION("""COMPUTED_VALUE"""),6.0)</f>
        <v>6</v>
      </c>
      <c r="K104" s="70">
        <f>IFERROR(__xludf.DUMMYFUNCTION("""COMPUTED_VALUE"""),12.0)</f>
        <v>12</v>
      </c>
      <c r="L104" s="70">
        <f>IFERROR(__xludf.DUMMYFUNCTION("""COMPUTED_VALUE"""),1.0)</f>
        <v>1</v>
      </c>
      <c r="M104" s="70">
        <f>IFERROR(__xludf.DUMMYFUNCTION("""COMPUTED_VALUE"""),101.0)</f>
        <v>101</v>
      </c>
      <c r="N104" s="71">
        <f>IFERROR(__xludf.DUMMYFUNCTION("""COMPUTED_VALUE"""),10.0)</f>
        <v>10</v>
      </c>
    </row>
    <row r="105">
      <c r="A105" s="1"/>
      <c r="B105" s="67" t="str">
        <f>IFERROR(__xludf.DUMMYFUNCTION("""COMPUTED_VALUE"""),"Elayaraja Thangaraj ")</f>
        <v>Elayaraja Thangaraj </v>
      </c>
      <c r="C105" s="68">
        <f>IFERROR(__xludf.DUMMYFUNCTION("""COMPUTED_VALUE"""),89.0)</f>
        <v>89</v>
      </c>
      <c r="D105" s="69">
        <f>IFERROR(__xludf.DUMMYFUNCTION("""COMPUTED_VALUE"""),7.0)</f>
        <v>7</v>
      </c>
      <c r="E105" s="68">
        <f>IFERROR(__xludf.DUMMYFUNCTION("""COMPUTED_VALUE"""),1.0)</f>
        <v>1</v>
      </c>
      <c r="F105" s="70">
        <f>IFERROR(__xludf.DUMMYFUNCTION("""COMPUTED_VALUE"""),5.0)</f>
        <v>5</v>
      </c>
      <c r="G105" s="70">
        <f>IFERROR(__xludf.DUMMYFUNCTION("""COMPUTED_VALUE"""),0.0)</f>
        <v>0</v>
      </c>
      <c r="H105" s="70">
        <f>IFERROR(__xludf.DUMMYFUNCTION("""COMPUTED_VALUE"""),4.0)</f>
        <v>4</v>
      </c>
      <c r="I105" s="70">
        <f>IFERROR(__xludf.DUMMYFUNCTION("""COMPUTED_VALUE"""),6.0)</f>
        <v>6</v>
      </c>
      <c r="J105" s="70">
        <f>IFERROR(__xludf.DUMMYFUNCTION("""COMPUTED_VALUE"""),0.0)</f>
        <v>0</v>
      </c>
      <c r="K105" s="70">
        <f>IFERROR(__xludf.DUMMYFUNCTION("""COMPUTED_VALUE"""),10.0)</f>
        <v>10</v>
      </c>
      <c r="L105" s="70">
        <f>IFERROR(__xludf.DUMMYFUNCTION("""COMPUTED_VALUE"""),1.0)</f>
        <v>1</v>
      </c>
      <c r="M105" s="70">
        <f>IFERROR(__xludf.DUMMYFUNCTION("""COMPUTED_VALUE"""),99.0)</f>
        <v>99</v>
      </c>
      <c r="N105" s="71">
        <f>IFERROR(__xludf.DUMMYFUNCTION("""COMPUTED_VALUE"""),8.0)</f>
        <v>8</v>
      </c>
    </row>
    <row r="106">
      <c r="A106" s="1"/>
      <c r="B106" s="67" t="str">
        <f>IFERROR(__xludf.DUMMYFUNCTION("""COMPUTED_VALUE"""),"Tony Wong")</f>
        <v>Tony Wong</v>
      </c>
      <c r="C106" s="68">
        <f>IFERROR(__xludf.DUMMYFUNCTION("""COMPUTED_VALUE"""),89.0)</f>
        <v>89</v>
      </c>
      <c r="D106" s="69">
        <f>IFERROR(__xludf.DUMMYFUNCTION("""COMPUTED_VALUE"""),6.0)</f>
        <v>6</v>
      </c>
      <c r="E106" s="68">
        <f>IFERROR(__xludf.DUMMYFUNCTION("""COMPUTED_VALUE"""),2.0)</f>
        <v>2</v>
      </c>
      <c r="F106" s="70">
        <f>IFERROR(__xludf.DUMMYFUNCTION("""COMPUTED_VALUE"""),5.0)</f>
        <v>5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IFERROR(__xludf.DUMMYFUNCTION("""COMPUTED_VALUE"""),2.0)</f>
        <v>2</v>
      </c>
      <c r="J106" s="70">
        <f>IFERROR(__xludf.DUMMYFUNCTION("""COMPUTED_VALUE"""),0.0)</f>
        <v>0</v>
      </c>
      <c r="K106" s="70">
        <f>IFERROR(__xludf.DUMMYFUNCTION("""COMPUTED_VALUE"""),8.0)</f>
        <v>8</v>
      </c>
      <c r="L106" s="70">
        <f>IFERROR(__xludf.DUMMYFUNCTION("""COMPUTED_VALUE"""),1.0)</f>
        <v>1</v>
      </c>
      <c r="M106" s="70">
        <f>IFERROR(__xludf.DUMMYFUNCTION("""COMPUTED_VALUE"""),97.0)</f>
        <v>97</v>
      </c>
      <c r="N106" s="71">
        <f>IFERROR(__xludf.DUMMYFUNCTION("""COMPUTED_VALUE"""),7.0)</f>
        <v>7</v>
      </c>
    </row>
    <row r="107">
      <c r="A107" s="1"/>
      <c r="B107" s="67" t="str">
        <f>IFERROR(__xludf.DUMMYFUNCTION("""COMPUTED_VALUE"""),"Matthew Huang")</f>
        <v>Matthew Huang</v>
      </c>
      <c r="C107" s="68">
        <f>IFERROR(__xludf.DUMMYFUNCTION("""COMPUTED_VALUE"""),89.0)</f>
        <v>89</v>
      </c>
      <c r="D107" s="69">
        <f>IFERROR(__xludf.DUMMYFUNCTION("""COMPUTED_VALUE"""),3.0)</f>
        <v>3</v>
      </c>
      <c r="E107" s="68">
        <f>IFERROR(__xludf.DUMMYFUNCTION("""COMPUTED_VALUE"""),1.0)</f>
        <v>1</v>
      </c>
      <c r="F107" s="70">
        <f>IFERROR(__xludf.DUMMYFUNCTION("""COMPUTED_VALUE"""),5.0)</f>
        <v>5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IFERROR(__xludf.DUMMYFUNCTION("""COMPUTED_VALUE"""),6.0)</f>
        <v>6</v>
      </c>
      <c r="J107" s="70">
        <f>IFERROR(__xludf.DUMMYFUNCTION("""COMPUTED_VALUE"""),6.0)</f>
        <v>6</v>
      </c>
      <c r="K107" s="70">
        <f>IFERROR(__xludf.DUMMYFUNCTION("""COMPUTED_VALUE"""),18.0)</f>
        <v>18</v>
      </c>
      <c r="L107" s="70">
        <f>IFERROR(__xludf.DUMMYFUNCTION("""COMPUTED_VALUE"""),3.0)</f>
        <v>3</v>
      </c>
      <c r="M107" s="70">
        <f>IFERROR(__xludf.DUMMYFUNCTION("""COMPUTED_VALUE"""),107.0)</f>
        <v>107</v>
      </c>
      <c r="N107" s="71">
        <f>IFERROR(__xludf.DUMMYFUNCTION("""COMPUTED_VALUE"""),6.0)</f>
        <v>6</v>
      </c>
    </row>
    <row r="108">
      <c r="A108" s="1"/>
      <c r="B108" s="62" t="str">
        <f>IFERROR(__xludf.DUMMYFUNCTION("""COMPUTED_VALUE"""),"Sandy Weyant")</f>
        <v>Sandy Weyant</v>
      </c>
      <c r="C108" s="63">
        <f>IFERROR(__xludf.DUMMYFUNCTION("""COMPUTED_VALUE"""),88.0)</f>
        <v>88</v>
      </c>
      <c r="D108" s="64">
        <f>IFERROR(__xludf.DUMMYFUNCTION("""COMPUTED_VALUE"""),6.0)</f>
        <v>6</v>
      </c>
      <c r="E108" s="63">
        <f>IFERROR(__xludf.DUMMYFUNCTION("""COMPUTED_VALUE"""),1.0)</f>
        <v>1</v>
      </c>
      <c r="F108" s="65">
        <f>IFERROR(__xludf.DUMMYFUNCTION("""COMPUTED_VALUE"""),6.0)</f>
        <v>6</v>
      </c>
      <c r="G108" s="65">
        <f>IFERROR(__xludf.DUMMYFUNCTION("""COMPUTED_VALUE"""),0.0)</f>
        <v>0</v>
      </c>
      <c r="H108" s="65">
        <f>IFERROR(__xludf.DUMMYFUNCTION("""COMPUTED_VALUE"""),4.0)</f>
        <v>4</v>
      </c>
      <c r="I108" s="65">
        <f>IFERROR(__xludf.DUMMYFUNCTION("""COMPUTED_VALUE"""),6.0)</f>
        <v>6</v>
      </c>
      <c r="J108" s="65">
        <f>IFERROR(__xludf.DUMMYFUNCTION("""COMPUTED_VALUE"""),4.0)</f>
        <v>4</v>
      </c>
      <c r="K108" s="65">
        <f>IFERROR(__xludf.DUMMYFUNCTION("""COMPUTED_VALUE"""),14.0)</f>
        <v>14</v>
      </c>
      <c r="L108" s="65">
        <f>IFERROR(__xludf.DUMMYFUNCTION("""COMPUTED_VALUE"""),1.0)</f>
        <v>1</v>
      </c>
      <c r="M108" s="65">
        <f>IFERROR(__xludf.DUMMYFUNCTION("""COMPUTED_VALUE"""),102.0)</f>
        <v>102</v>
      </c>
      <c r="N108" s="66">
        <f>IFERROR(__xludf.DUMMYFUNCTION("""COMPUTED_VALUE"""),7.0)</f>
        <v>7</v>
      </c>
    </row>
    <row r="109">
      <c r="A109" s="1"/>
      <c r="B109" s="62" t="str">
        <f>IFERROR(__xludf.DUMMYFUNCTION("""COMPUTED_VALUE"""),"Eric Tan")</f>
        <v>Eric Tan</v>
      </c>
      <c r="C109" s="63">
        <f>IFERROR(__xludf.DUMMYFUNCTION("""COMPUTED_VALUE"""),85.0)</f>
        <v>85</v>
      </c>
      <c r="D109" s="64">
        <f>IFERROR(__xludf.DUMMYFUNCTION("""COMPUTED_VALUE"""),7.0)</f>
        <v>7</v>
      </c>
      <c r="E109" s="63">
        <f>IFERROR(__xludf.DUMMYFUNCTION("""COMPUTED_VALUE"""),1.0)</f>
        <v>1</v>
      </c>
      <c r="F109" s="65">
        <f>IFERROR(__xludf.DUMMYFUNCTION("""COMPUTED_VALUE"""),6.0)</f>
        <v>6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IFERROR(__xludf.DUMMYFUNCTION("""COMPUTED_VALUE"""),1.0)</f>
        <v>1</v>
      </c>
      <c r="J109" s="65">
        <f>IFERROR(__xludf.DUMMYFUNCTION("""COMPUTED_VALUE"""),4.0)</f>
        <v>4</v>
      </c>
      <c r="K109" s="65">
        <f>IFERROR(__xludf.DUMMYFUNCTION("""COMPUTED_VALUE"""),11.0)</f>
        <v>11</v>
      </c>
      <c r="L109" s="65">
        <f>IFERROR(__xludf.DUMMYFUNCTION("""COMPUTED_VALUE"""),1.0)</f>
        <v>1</v>
      </c>
      <c r="M109" s="65">
        <f>IFERROR(__xludf.DUMMYFUNCTION("""COMPUTED_VALUE"""),96.0)</f>
        <v>96</v>
      </c>
      <c r="N109" s="66">
        <f>IFERROR(__xludf.DUMMYFUNCTION("""COMPUTED_VALUE"""),8.0)</f>
        <v>8</v>
      </c>
    </row>
    <row r="110">
      <c r="A110" s="1"/>
      <c r="B110" s="62" t="str">
        <f>IFERROR(__xludf.DUMMYFUNCTION("""COMPUTED_VALUE"""),"Ramesh Bandaru")</f>
        <v>Ramesh Bandaru</v>
      </c>
      <c r="C110" s="63">
        <f>IFERROR(__xludf.DUMMYFUNCTION("""COMPUTED_VALUE"""),84.0)</f>
        <v>84</v>
      </c>
      <c r="D110" s="64">
        <f>IFERROR(__xludf.DUMMYFUNCTION("""COMPUTED_VALUE"""),4.0)</f>
        <v>4</v>
      </c>
      <c r="E110" s="63">
        <f>IFERROR(__xludf.DUMMYFUNCTION("""COMPUTED_VALUE"""),1.0)</f>
        <v>1</v>
      </c>
      <c r="F110" s="65">
        <f>IFERROR(__xludf.DUMMYFUNCTION("""COMPUTED_VALUE"""),6.0)</f>
        <v>6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IFERROR(__xludf.DUMMYFUNCTION("""COMPUTED_VALUE"""),6.0)</f>
        <v>6</v>
      </c>
      <c r="J110" s="65">
        <f>IFERROR(__xludf.DUMMYFUNCTION("""COMPUTED_VALUE"""),6.0)</f>
        <v>6</v>
      </c>
      <c r="K110" s="65">
        <f>IFERROR(__xludf.DUMMYFUNCTION("""COMPUTED_VALUE"""),18.0)</f>
        <v>18</v>
      </c>
      <c r="L110" s="65">
        <f>IFERROR(__xludf.DUMMYFUNCTION("""COMPUTED_VALUE"""),3.0)</f>
        <v>3</v>
      </c>
      <c r="M110" s="65">
        <f>IFERROR(__xludf.DUMMYFUNCTION("""COMPUTED_VALUE"""),102.0)</f>
        <v>102</v>
      </c>
      <c r="N110" s="66">
        <f>IFERROR(__xludf.DUMMYFUNCTION("""COMPUTED_VALUE"""),7.0)</f>
        <v>7</v>
      </c>
    </row>
    <row r="111">
      <c r="A111" s="1"/>
      <c r="B111" s="62" t="str">
        <f>IFERROR(__xludf.DUMMYFUNCTION("""COMPUTED_VALUE"""),"Vinaya Kajla")</f>
        <v>Vinaya Kajla</v>
      </c>
      <c r="C111" s="63">
        <f>IFERROR(__xludf.DUMMYFUNCTION("""COMPUTED_VALUE"""),83.0)</f>
        <v>83</v>
      </c>
      <c r="D111" s="64">
        <f>IFERROR(__xludf.DUMMYFUNCTION("""COMPUTED_VALUE"""),7.0)</f>
        <v>7</v>
      </c>
      <c r="E111" s="63">
        <f>IFERROR(__xludf.DUMMYFUNCTION("""COMPUTED_VALUE"""),1.0)</f>
        <v>1</v>
      </c>
      <c r="F111" s="65">
        <f>IFERROR(__xludf.DUMMYFUNCTION("""COMPUTED_VALUE"""),6.0)</f>
        <v>6</v>
      </c>
      <c r="G111" s="65">
        <f>IFERROR(__xludf.DUMMYFUNCTION("""COMPUTED_VALUE"""),0.0)</f>
        <v>0</v>
      </c>
      <c r="H111" s="65">
        <f>IFERROR(__xludf.DUMMYFUNCTION("""COMPUTED_VALUE"""),4.0)</f>
        <v>4</v>
      </c>
      <c r="I111" s="65">
        <f>IFERROR(__xludf.DUMMYFUNCTION("""COMPUTED_VALUE"""),1.0)</f>
        <v>1</v>
      </c>
      <c r="J111" s="65">
        <f>IFERROR(__xludf.DUMMYFUNCTION("""COMPUTED_VALUE"""),6.0)</f>
        <v>6</v>
      </c>
      <c r="K111" s="65">
        <f>IFERROR(__xludf.DUMMYFUNCTION("""COMPUTED_VALUE"""),11.0)</f>
        <v>11</v>
      </c>
      <c r="L111" s="65">
        <f>IFERROR(__xludf.DUMMYFUNCTION("""COMPUTED_VALUE"""),1.0)</f>
        <v>1</v>
      </c>
      <c r="M111" s="65">
        <f>IFERROR(__xludf.DUMMYFUNCTION("""COMPUTED_VALUE"""),94.0)</f>
        <v>94</v>
      </c>
      <c r="N111" s="66">
        <f>IFERROR(__xludf.DUMMYFUNCTION("""COMPUTED_VALUE"""),8.0)</f>
        <v>8</v>
      </c>
    </row>
    <row r="112">
      <c r="A112" s="1"/>
      <c r="B112" s="67" t="str">
        <f>IFERROR(__xludf.DUMMYFUNCTION("""COMPUTED_VALUE"""),"Kumar Palakeel")</f>
        <v>Kumar Palakeel</v>
      </c>
      <c r="C112" s="68">
        <f>IFERROR(__xludf.DUMMYFUNCTION("""COMPUTED_VALUE"""),82.0)</f>
        <v>82</v>
      </c>
      <c r="D112" s="69">
        <f>IFERROR(__xludf.DUMMYFUNCTION("""COMPUTED_VALUE"""),7.0)</f>
        <v>7</v>
      </c>
      <c r="E112" s="68">
        <f>IFERROR(__xludf.DUMMYFUNCTION("""COMPUTED_VALUE"""),1.0)</f>
        <v>1</v>
      </c>
      <c r="F112" s="70">
        <f>IFERROR(__xludf.DUMMYFUNCTION("""COMPUTED_VALUE"""),7.0)</f>
        <v>7</v>
      </c>
      <c r="G112" s="70">
        <f>IFERROR(__xludf.DUMMYFUNCTION("""COMPUTED_VALUE"""),0.0)</f>
        <v>0</v>
      </c>
      <c r="H112" s="70">
        <f>IFERROR(__xludf.DUMMYFUNCTION("""COMPUTED_VALUE"""),0.0)</f>
        <v>0</v>
      </c>
      <c r="I112" s="70">
        <f>IFERROR(__xludf.DUMMYFUNCTION("""COMPUTED_VALUE"""),0.0)</f>
        <v>0</v>
      </c>
      <c r="J112" s="70">
        <f>IFERROR(__xludf.DUMMYFUNCTION("""COMPUTED_VALUE"""),6.0)</f>
        <v>6</v>
      </c>
      <c r="K112" s="70">
        <f>IFERROR(__xludf.DUMMYFUNCTION("""COMPUTED_VALUE"""),6.0)</f>
        <v>6</v>
      </c>
      <c r="L112" s="70">
        <f>IFERROR(__xludf.DUMMYFUNCTION("""COMPUTED_VALUE"""),1.0)</f>
        <v>1</v>
      </c>
      <c r="M112" s="70">
        <f>IFERROR(__xludf.DUMMYFUNCTION("""COMPUTED_VALUE"""),88.0)</f>
        <v>88</v>
      </c>
      <c r="N112" s="71">
        <f>IFERROR(__xludf.DUMMYFUNCTION("""COMPUTED_VALUE"""),8.0)</f>
        <v>8</v>
      </c>
    </row>
    <row r="113">
      <c r="A113" s="1"/>
      <c r="B113" s="67" t="str">
        <f>IFERROR(__xludf.DUMMYFUNCTION("""COMPUTED_VALUE"""),"Manuel Rivera")</f>
        <v>Manuel Rivera</v>
      </c>
      <c r="C113" s="68">
        <f>IFERROR(__xludf.DUMMYFUNCTION("""COMPUTED_VALUE"""),82.0)</f>
        <v>82</v>
      </c>
      <c r="D113" s="69">
        <f>IFERROR(__xludf.DUMMYFUNCTION("""COMPUTED_VALUE"""),5.0)</f>
        <v>5</v>
      </c>
      <c r="E113" s="68">
        <f>IFERROR(__xludf.DUMMYFUNCTION("""COMPUTED_VALUE"""),2.0)</f>
        <v>2</v>
      </c>
      <c r="F113" s="70">
        <f>IFERROR(__xludf.DUMMYFUNCTION("""COMPUTED_VALUE"""),7.0)</f>
        <v>7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IFERROR(__xludf.DUMMYFUNCTION("""COMPUTED_VALUE"""),6.0)</f>
        <v>6</v>
      </c>
      <c r="J113" s="70">
        <f>IFERROR(__xludf.DUMMYFUNCTION("""COMPUTED_VALUE"""),6.0)</f>
        <v>6</v>
      </c>
      <c r="K113" s="70">
        <f>IFERROR(__xludf.DUMMYFUNCTION("""COMPUTED_VALUE"""),18.0)</f>
        <v>18</v>
      </c>
      <c r="L113" s="70">
        <f>IFERROR(__xludf.DUMMYFUNCTION("""COMPUTED_VALUE"""),3.0)</f>
        <v>3</v>
      </c>
      <c r="M113" s="70">
        <f>IFERROR(__xludf.DUMMYFUNCTION("""COMPUTED_VALUE"""),100.0)</f>
        <v>100</v>
      </c>
      <c r="N113" s="71">
        <f>IFERROR(__xludf.DUMMYFUNCTION("""COMPUTED_VALUE"""),8.0)</f>
        <v>8</v>
      </c>
    </row>
    <row r="114">
      <c r="A114" s="1"/>
      <c r="B114" s="67" t="str">
        <f>IFERROR(__xludf.DUMMYFUNCTION("""COMPUTED_VALUE"""),"Joyce Zhu")</f>
        <v>Joyce Zhu</v>
      </c>
      <c r="C114" s="68">
        <f>IFERROR(__xludf.DUMMYFUNCTION("""COMPUTED_VALUE"""),72.0)</f>
        <v>72</v>
      </c>
      <c r="D114" s="69">
        <f>IFERROR(__xludf.DUMMYFUNCTION("""COMPUTED_VALUE"""),1.0)</f>
        <v>1</v>
      </c>
      <c r="E114" s="68">
        <f>IFERROR(__xludf.DUMMYFUNCTION("""COMPUTED_VALUE"""),1.0)</f>
        <v>1</v>
      </c>
      <c r="F114" s="70">
        <f>IFERROR(__xludf.DUMMYFUNCTION("""COMPUTED_VALUE"""),7.0)</f>
        <v>7</v>
      </c>
      <c r="G114" s="70">
        <f>IFERROR(__xludf.DUMMYFUNCTION("""COMPUTED_VALUE"""),0.0)</f>
        <v>0</v>
      </c>
      <c r="H114" s="70">
        <f>IFERROR(__xludf.DUMMYFUNCTION("""COMPUTED_VALUE"""),0.0)</f>
        <v>0</v>
      </c>
      <c r="I114" s="70">
        <f>IFERROR(__xludf.DUMMYFUNCTION("""COMPUTED_VALUE"""),6.0)</f>
        <v>6</v>
      </c>
      <c r="J114" s="70">
        <f>IFERROR(__xludf.DUMMYFUNCTION("""COMPUTED_VALUE"""),0.0)</f>
        <v>0</v>
      </c>
      <c r="K114" s="70">
        <f>IFERROR(__xludf.DUMMYFUNCTION("""COMPUTED_VALUE"""),6.0)</f>
        <v>6</v>
      </c>
      <c r="L114" s="70">
        <f>IFERROR(__xludf.DUMMYFUNCTION("""COMPUTED_VALUE"""),1.0)</f>
        <v>1</v>
      </c>
      <c r="M114" s="70">
        <f>IFERROR(__xludf.DUMMYFUNCTION("""COMPUTED_VALUE"""),78.0)</f>
        <v>78</v>
      </c>
      <c r="N114" s="71">
        <f>IFERROR(__xludf.DUMMYFUNCTION("""COMPUTED_VALUE"""),2.0)</f>
        <v>2</v>
      </c>
    </row>
    <row r="115">
      <c r="A115" s="1"/>
      <c r="B115" s="67" t="str">
        <f>IFERROR(__xludf.DUMMYFUNCTION("""COMPUTED_VALUE"""),"Jose Ortiz")</f>
        <v>Jose Ortiz</v>
      </c>
      <c r="C115" s="68">
        <f>IFERROR(__xludf.DUMMYFUNCTION("""COMPUTED_VALUE"""),72.0)</f>
        <v>72</v>
      </c>
      <c r="D115" s="69">
        <f>IFERROR(__xludf.DUMMYFUNCTION("""COMPUTED_VALUE"""),0.0)</f>
        <v>0</v>
      </c>
      <c r="E115" s="68">
        <f>IFERROR(__xludf.DUMMYFUNCTION("""COMPUTED_VALUE"""),1.0)</f>
        <v>1</v>
      </c>
      <c r="F115" s="70">
        <f>IFERROR(__xludf.DUMMYFUNCTION("""COMPUTED_VALUE"""),7.0)</f>
        <v>7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IFERROR(__xludf.DUMMYFUNCTION("""COMPUTED_VALUE"""),0.0)</f>
        <v>0</v>
      </c>
      <c r="J115" s="70">
        <f>IFERROR(__xludf.DUMMYFUNCTION("""COMPUTED_VALUE"""),0.0)</f>
        <v>0</v>
      </c>
      <c r="K115" s="70">
        <f>IFERROR(__xludf.DUMMYFUNCTION("""COMPUTED_VALUE"""),6.0)</f>
        <v>6</v>
      </c>
      <c r="L115" s="70">
        <f>IFERROR(__xludf.DUMMYFUNCTION("""COMPUTED_VALUE"""),1.0)</f>
        <v>1</v>
      </c>
      <c r="M115" s="70">
        <f>IFERROR(__xludf.DUMMYFUNCTION("""COMPUTED_VALUE"""),78.0)</f>
        <v>78</v>
      </c>
      <c r="N115" s="71">
        <f>IFERROR(__xludf.DUMMYFUNCTION("""COMPUTED_VALUE"""),1.0)</f>
        <v>1</v>
      </c>
    </row>
    <row r="116">
      <c r="A116" s="1"/>
      <c r="B116" s="62"/>
      <c r="C116" s="73"/>
      <c r="D116" s="73"/>
      <c r="E116" s="73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1"/>
      <c r="B117" s="62"/>
      <c r="C117" s="73"/>
      <c r="D117" s="73"/>
      <c r="E117" s="73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1"/>
      <c r="B118" s="62"/>
      <c r="C118" s="73"/>
      <c r="D118" s="73"/>
      <c r="E118" s="73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1"/>
      <c r="B119" s="62"/>
      <c r="C119" s="73"/>
      <c r="D119" s="73"/>
      <c r="E119" s="73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0"")"),"Eric Pan")</f>
        <v>Eric Pan</v>
      </c>
      <c r="C136" s="63">
        <f>IFERROR(__xludf.DUMMYFUNCTION("""COMPUTED_VALUE"""),122.0)</f>
        <v>122</v>
      </c>
      <c r="D136" s="64">
        <f>IFERROR(__xludf.DUMMYFUNCTION("""COMPUTED_VALUE"""),15.0)</f>
        <v>15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IFERROR(__xludf.DUMMYFUNCTION("""COMPUTED_VALUE"""),131.0)</f>
        <v>131</v>
      </c>
      <c r="N136" s="66">
        <f>IFERROR(__xludf.DUMMYFUNCTION("""COMPUTED_VALUE"""),15.0)</f>
        <v>15</v>
      </c>
    </row>
    <row r="137">
      <c r="A137" s="1"/>
      <c r="B137" s="62" t="str">
        <f>IFERROR(__xludf.DUMMYFUNCTION("""COMPUTED_VALUE"""),"Lam Bui")</f>
        <v>Lam Bui</v>
      </c>
      <c r="C137" s="63">
        <f>IFERROR(__xludf.DUMMYFUNCTION("""COMPUTED_VALUE"""),114.0)</f>
        <v>114</v>
      </c>
      <c r="D137" s="64">
        <f>IFERROR(__xludf.DUMMYFUNCTION("""COMPUTED_VALUE"""),10.0)</f>
        <v>10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IFERROR(__xludf.DUMMYFUNCTION("""COMPUTED_VALUE"""),123.0)</f>
        <v>123</v>
      </c>
      <c r="N137" s="66">
        <f>IFERROR(__xludf.DUMMYFUNCTION("""COMPUTED_VALUE"""),10.0)</f>
        <v>10</v>
      </c>
    </row>
    <row r="138">
      <c r="A138" s="1"/>
      <c r="B138" s="62" t="str">
        <f>IFERROR(__xludf.DUMMYFUNCTION("""COMPUTED_VALUE"""),"Sean Chang")</f>
        <v>Sean Chang</v>
      </c>
      <c r="C138" s="63">
        <f>IFERROR(__xludf.DUMMYFUNCTION("""COMPUTED_VALUE"""),114.0)</f>
        <v>114</v>
      </c>
      <c r="D138" s="64">
        <f>IFERROR(__xludf.DUMMYFUNCTION("""COMPUTED_VALUE"""),8.0)</f>
        <v>8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IFERROR(__xludf.DUMMYFUNCTION("""COMPUTED_VALUE"""),123.0)</f>
        <v>123</v>
      </c>
      <c r="N138" s="66">
        <f>IFERROR(__xludf.DUMMYFUNCTION("""COMPUTED_VALUE"""),8.0)</f>
        <v>8</v>
      </c>
    </row>
    <row r="139">
      <c r="A139" s="1"/>
      <c r="B139" s="62" t="str">
        <f>IFERROR(__xludf.DUMMYFUNCTION("""COMPUTED_VALUE"""),"Adrian Tay")</f>
        <v>Adrian Tay</v>
      </c>
      <c r="C139" s="63">
        <f>IFERROR(__xludf.DUMMYFUNCTION("""COMPUTED_VALUE"""),111.0)</f>
        <v>111</v>
      </c>
      <c r="D139" s="64">
        <f>IFERROR(__xludf.DUMMYFUNCTION("""COMPUTED_VALUE"""),12.0)</f>
        <v>12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IFERROR(__xludf.DUMMYFUNCTION("""COMPUTED_VALUE"""),120.0)</f>
        <v>120</v>
      </c>
      <c r="N139" s="66">
        <f>IFERROR(__xludf.DUMMYFUNCTION("""COMPUTED_VALUE"""),12.0)</f>
        <v>12</v>
      </c>
    </row>
    <row r="140">
      <c r="A140" s="1"/>
      <c r="B140" s="62" t="str">
        <f>IFERROR(__xludf.DUMMYFUNCTION("""COMPUTED_VALUE"""),"Peter Cheng")</f>
        <v>Peter Cheng</v>
      </c>
      <c r="C140" s="63">
        <f>IFERROR(__xludf.DUMMYFUNCTION("""COMPUTED_VALUE"""),110.0)</f>
        <v>110</v>
      </c>
      <c r="D140" s="64">
        <f>IFERROR(__xludf.DUMMYFUNCTION("""COMPUTED_VALUE"""),10.0)</f>
        <v>10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IFERROR(__xludf.DUMMYFUNCTION("""COMPUTED_VALUE"""),119.0)</f>
        <v>119</v>
      </c>
      <c r="N140" s="66">
        <f>IFERROR(__xludf.DUMMYFUNCTION("""COMPUTED_VALUE"""),10.0)</f>
        <v>10</v>
      </c>
    </row>
    <row r="141">
      <c r="A141" s="1"/>
      <c r="B141" s="62" t="str">
        <f>IFERROR(__xludf.DUMMYFUNCTION("""COMPUTED_VALUE"""),"Kingsley Kuo")</f>
        <v>Kingsley Kuo</v>
      </c>
      <c r="C141" s="63">
        <f>IFERROR(__xludf.DUMMYFUNCTION("""COMPUTED_VALUE"""),107.0)</f>
        <v>107</v>
      </c>
      <c r="D141" s="64">
        <f>IFERROR(__xludf.DUMMYFUNCTION("""COMPUTED_VALUE"""),11.0)</f>
        <v>11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IFERROR(__xludf.DUMMYFUNCTION("""COMPUTED_VALUE"""),116.0)</f>
        <v>116</v>
      </c>
      <c r="N141" s="66">
        <f>IFERROR(__xludf.DUMMYFUNCTION("""COMPUTED_VALUE"""),11.0)</f>
        <v>11</v>
      </c>
    </row>
    <row r="142">
      <c r="A142" s="1"/>
      <c r="B142" s="62" t="str">
        <f>IFERROR(__xludf.DUMMYFUNCTION("""COMPUTED_VALUE"""),"Andrew Chin")</f>
        <v>Andrew Chin</v>
      </c>
      <c r="C142" s="63">
        <f>IFERROR(__xludf.DUMMYFUNCTION("""COMPUTED_VALUE"""),103.0)</f>
        <v>103</v>
      </c>
      <c r="D142" s="64">
        <f>IFERROR(__xludf.DUMMYFUNCTION("""COMPUTED_VALUE"""),10.0)</f>
        <v>10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IFERROR(__xludf.DUMMYFUNCTION("""COMPUTED_VALUE"""),112.0)</f>
        <v>112</v>
      </c>
      <c r="N142" s="66">
        <f>IFERROR(__xludf.DUMMYFUNCTION("""COMPUTED_VALUE"""),10.0)</f>
        <v>10</v>
      </c>
    </row>
    <row r="143">
      <c r="A143" s="1"/>
      <c r="B143" s="62" t="str">
        <f>IFERROR(__xludf.DUMMYFUNCTION("""COMPUTED_VALUE"""),"Erik Hoeckmann")</f>
        <v>Erik Hoeckmann</v>
      </c>
      <c r="C143" s="63">
        <f>IFERROR(__xludf.DUMMYFUNCTION("""COMPUTED_VALUE"""),102.0)</f>
        <v>102</v>
      </c>
      <c r="D143" s="64">
        <f>IFERROR(__xludf.DUMMYFUNCTION("""COMPUTED_VALUE"""),11.0)</f>
        <v>11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IFERROR(__xludf.DUMMYFUNCTION("""COMPUTED_VALUE"""),111.0)</f>
        <v>111</v>
      </c>
      <c r="N143" s="66">
        <f>IFERROR(__xludf.DUMMYFUNCTION("""COMPUTED_VALUE"""),11.0)</f>
        <v>11</v>
      </c>
    </row>
    <row r="144">
      <c r="A144" s="1"/>
      <c r="B144" s="62" t="str">
        <f>IFERROR(__xludf.DUMMYFUNCTION("""COMPUTED_VALUE"""),"Pavan Akkimsetty")</f>
        <v>Pavan Akkimsetty</v>
      </c>
      <c r="C144" s="63">
        <f>IFERROR(__xludf.DUMMYFUNCTION("""COMPUTED_VALUE"""),102.0)</f>
        <v>102</v>
      </c>
      <c r="D144" s="64">
        <f>IFERROR(__xludf.DUMMYFUNCTION("""COMPUTED_VALUE"""),10.0)</f>
        <v>10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IFERROR(__xludf.DUMMYFUNCTION("""COMPUTED_VALUE"""),111.0)</f>
        <v>111</v>
      </c>
      <c r="N144" s="66">
        <f>IFERROR(__xludf.DUMMYFUNCTION("""COMPUTED_VALUE"""),10.0)</f>
        <v>10</v>
      </c>
    </row>
    <row r="145">
      <c r="A145" s="1"/>
      <c r="B145" s="62" t="str">
        <f>IFERROR(__xludf.DUMMYFUNCTION("""COMPUTED_VALUE"""),"Peter Homsey")</f>
        <v>Peter Homsey</v>
      </c>
      <c r="C145" s="63">
        <f>IFERROR(__xludf.DUMMYFUNCTION("""COMPUTED_VALUE"""),95.0)</f>
        <v>95</v>
      </c>
      <c r="D145" s="64">
        <f>IFERROR(__xludf.DUMMYFUNCTION("""COMPUTED_VALUE"""),8.0)</f>
        <v>8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IFERROR(__xludf.DUMMYFUNCTION("""COMPUTED_VALUE"""),104.0)</f>
        <v>104</v>
      </c>
      <c r="N145" s="66">
        <f>IFERROR(__xludf.DUMMYFUNCTION("""COMPUTED_VALUE"""),8.0)</f>
        <v>8</v>
      </c>
    </row>
    <row r="146">
      <c r="A146" s="1"/>
      <c r="B146" s="62" t="str">
        <f>IFERROR(__xludf.DUMMYFUNCTION("""COMPUTED_VALUE"""),"Luis Hsu")</f>
        <v>Luis Hsu</v>
      </c>
      <c r="C146" s="63">
        <f>IFERROR(__xludf.DUMMYFUNCTION("""COMPUTED_VALUE"""),95.0)</f>
        <v>95</v>
      </c>
      <c r="D146" s="64">
        <f>IFERROR(__xludf.DUMMYFUNCTION("""COMPUTED_VALUE"""),7.0)</f>
        <v>7</v>
      </c>
      <c r="E146" s="63">
        <f>IFERROR(__xludf.DUMMYFUNCTION("""COMPUTED_VALUE"""),4.0)</f>
        <v>4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IFERROR(__xludf.DUMMYFUNCTION("""COMPUTED_VALUE"""),104.0)</f>
        <v>104</v>
      </c>
      <c r="N146" s="66">
        <f>IFERROR(__xludf.DUMMYFUNCTION("""COMPUTED_VALUE"""),7.0)</f>
        <v>7</v>
      </c>
    </row>
    <row r="147">
      <c r="A147" s="1"/>
      <c r="B147" s="62" t="str">
        <f>IFERROR(__xludf.DUMMYFUNCTION("""COMPUTED_VALUE"""),"Savay Lieu")</f>
        <v>Savay Lieu</v>
      </c>
      <c r="C147" s="63">
        <f>IFERROR(__xludf.DUMMYFUNCTION("""COMPUTED_VALUE"""),95.0)</f>
        <v>95</v>
      </c>
      <c r="D147" s="64">
        <f>IFERROR(__xludf.DUMMYFUNCTION("""COMPUTED_VALUE"""),5.0)</f>
        <v>5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IFERROR(__xludf.DUMMYFUNCTION("""COMPUTED_VALUE"""),104.0)</f>
        <v>104</v>
      </c>
      <c r="N147" s="66">
        <f>IFERROR(__xludf.DUMMYFUNCTION("""COMPUTED_VALUE"""),5.0)</f>
        <v>5</v>
      </c>
    </row>
    <row r="148">
      <c r="A148" s="1"/>
      <c r="B148" s="62" t="str">
        <f>IFERROR(__xludf.DUMMYFUNCTION("""COMPUTED_VALUE"""),"Balaji Alahari")</f>
        <v>Balaji Alahari</v>
      </c>
      <c r="C148" s="63">
        <f>IFERROR(__xludf.DUMMYFUNCTION("""COMPUTED_VALUE"""),93.0)</f>
        <v>93</v>
      </c>
      <c r="D148" s="64">
        <f>IFERROR(__xludf.DUMMYFUNCTION("""COMPUTED_VALUE"""),5.0)</f>
        <v>5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IFERROR(__xludf.DUMMYFUNCTION("""COMPUTED_VALUE"""),102.0)</f>
        <v>102</v>
      </c>
      <c r="N148" s="66">
        <f>IFERROR(__xludf.DUMMYFUNCTION("""COMPUTED_VALUE"""),5.0)</f>
        <v>5</v>
      </c>
    </row>
    <row r="149">
      <c r="A149" s="1"/>
      <c r="B149" s="62" t="str">
        <f>IFERROR(__xludf.DUMMYFUNCTION("""COMPUTED_VALUE"""),"Pulkit Mathur")</f>
        <v>Pulkit Mathur</v>
      </c>
      <c r="C149" s="63">
        <f>IFERROR(__xludf.DUMMYFUNCTION("""COMPUTED_VALUE"""),90.0)</f>
        <v>90</v>
      </c>
      <c r="D149" s="64">
        <f>IFERROR(__xludf.DUMMYFUNCTION("""COMPUTED_VALUE"""),6.0)</f>
        <v>6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IFERROR(__xludf.DUMMYFUNCTION("""COMPUTED_VALUE"""),99.0)</f>
        <v>99</v>
      </c>
      <c r="N149" s="66">
        <f>IFERROR(__xludf.DUMMYFUNCTION("""COMPUTED_VALUE"""),6.0)</f>
        <v>6</v>
      </c>
    </row>
    <row r="150">
      <c r="A150" s="1"/>
      <c r="B150" s="62" t="str">
        <f>IFERROR(__xludf.DUMMYFUNCTION("""COMPUTED_VALUE"""),"Manish Anand")</f>
        <v>Manish Anand</v>
      </c>
      <c r="C150" s="63">
        <f>IFERROR(__xludf.DUMMYFUNCTION("""COMPUTED_VALUE"""),90.0)</f>
        <v>90</v>
      </c>
      <c r="D150" s="64">
        <f>IFERROR(__xludf.DUMMYFUNCTION("""COMPUTED_VALUE"""),6.0)</f>
        <v>6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IFERROR(__xludf.DUMMYFUNCTION("""COMPUTED_VALUE"""),99.0)</f>
        <v>99</v>
      </c>
      <c r="N150" s="66">
        <f>IFERROR(__xludf.DUMMYFUNCTION("""COMPUTED_VALUE"""),6.0)</f>
        <v>6</v>
      </c>
    </row>
    <row r="151">
      <c r="A151" s="1"/>
      <c r="B151" s="62" t="str">
        <f>IFERROR(__xludf.DUMMYFUNCTION("""COMPUTED_VALUE"""),"Trinath Goteti")</f>
        <v>Trinath Goteti</v>
      </c>
      <c r="C151" s="63">
        <f>IFERROR(__xludf.DUMMYFUNCTION("""COMPUTED_VALUE"""),90.0)</f>
        <v>90</v>
      </c>
      <c r="D151" s="64">
        <f>IFERROR(__xludf.DUMMYFUNCTION("""COMPUTED_VALUE"""),5.0)</f>
        <v>5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IFERROR(__xludf.DUMMYFUNCTION("""COMPUTED_VALUE"""),99.0)</f>
        <v>99</v>
      </c>
      <c r="N151" s="66">
        <f>IFERROR(__xludf.DUMMYFUNCTION("""COMPUTED_VALUE"""),5.0)</f>
        <v>5</v>
      </c>
    </row>
    <row r="152">
      <c r="A152" s="1"/>
      <c r="B152" s="62" t="str">
        <f>IFERROR(__xludf.DUMMYFUNCTION("""COMPUTED_VALUE"""),"Robert Chang")</f>
        <v>Robert Chang</v>
      </c>
      <c r="C152" s="63">
        <f>IFERROR(__xludf.DUMMYFUNCTION("""COMPUTED_VALUE"""),90.0)</f>
        <v>90</v>
      </c>
      <c r="D152" s="64">
        <f>IFERROR(__xludf.DUMMYFUNCTION("""COMPUTED_VALUE"""),4.0)</f>
        <v>4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IFERROR(__xludf.DUMMYFUNCTION("""COMPUTED_VALUE"""),99.0)</f>
        <v>99</v>
      </c>
      <c r="N152" s="66">
        <f>IFERROR(__xludf.DUMMYFUNCTION("""COMPUTED_VALUE"""),4.0)</f>
        <v>4</v>
      </c>
    </row>
    <row r="153">
      <c r="A153" s="1"/>
      <c r="B153" s="62" t="str">
        <f>IFERROR(__xludf.DUMMYFUNCTION("""COMPUTED_VALUE"""),"Christopher Li")</f>
        <v>Christopher Li</v>
      </c>
      <c r="C153" s="63">
        <f>IFERROR(__xludf.DUMMYFUNCTION("""COMPUTED_VALUE"""),89.0)</f>
        <v>89</v>
      </c>
      <c r="D153" s="64">
        <f>IFERROR(__xludf.DUMMYFUNCTION("""COMPUTED_VALUE"""),7.0)</f>
        <v>7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IFERROR(__xludf.DUMMYFUNCTION("""COMPUTED_VALUE"""),98.0)</f>
        <v>98</v>
      </c>
      <c r="N153" s="66">
        <f>IFERROR(__xludf.DUMMYFUNCTION("""COMPUTED_VALUE"""),7.0)</f>
        <v>7</v>
      </c>
    </row>
    <row r="154">
      <c r="A154" s="1"/>
      <c r="B154" s="62" t="str">
        <f>IFERROR(__xludf.DUMMYFUNCTION("""COMPUTED_VALUE"""),"Alejandro Mejia")</f>
        <v>Alejandro Mejia</v>
      </c>
      <c r="C154" s="63">
        <f>IFERROR(__xludf.DUMMYFUNCTION("""COMPUTED_VALUE"""),88.0)</f>
        <v>88</v>
      </c>
      <c r="D154" s="64">
        <f>IFERROR(__xludf.DUMMYFUNCTION("""COMPUTED_VALUE"""),4.0)</f>
        <v>4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IFERROR(__xludf.DUMMYFUNCTION("""COMPUTED_VALUE"""),97.0)</f>
        <v>97</v>
      </c>
      <c r="N154" s="66">
        <f>IFERROR(__xludf.DUMMYFUNCTION("""COMPUTED_VALUE"""),4.0)</f>
        <v>4</v>
      </c>
    </row>
    <row r="155">
      <c r="A155" s="1"/>
      <c r="B155" s="62" t="str">
        <f>IFERROR(__xludf.DUMMYFUNCTION("""COMPUTED_VALUE"""),"Vamsi Lolla ")</f>
        <v>Vamsi Lolla </v>
      </c>
      <c r="C155" s="63">
        <f>IFERROR(__xludf.DUMMYFUNCTION("""COMPUTED_VALUE"""),88.0)</f>
        <v>88</v>
      </c>
      <c r="D155" s="64">
        <f>IFERROR(__xludf.DUMMYFUNCTION("""COMPUTED_VALUE"""),4.0)</f>
        <v>4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IFERROR(__xludf.DUMMYFUNCTION("""COMPUTED_VALUE"""),97.0)</f>
        <v>97</v>
      </c>
      <c r="N155" s="66">
        <f>IFERROR(__xludf.DUMMYFUNCTION("""COMPUTED_VALUE"""),4.0)</f>
        <v>4</v>
      </c>
    </row>
    <row r="156">
      <c r="A156" s="1"/>
      <c r="B156" s="62" t="str">
        <f>IFERROR(__xludf.DUMMYFUNCTION("""COMPUTED_VALUE"""),"Rosie Bonilla")</f>
        <v>Rosie Bonilla</v>
      </c>
      <c r="C156" s="63">
        <f>IFERROR(__xludf.DUMMYFUNCTION("""COMPUTED_VALUE"""),87.0)</f>
        <v>87</v>
      </c>
      <c r="D156" s="64">
        <f>IFERROR(__xludf.DUMMYFUNCTION("""COMPUTED_VALUE"""),2.0)</f>
        <v>2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IFERROR(__xludf.DUMMYFUNCTION("""COMPUTED_VALUE"""),96.0)</f>
        <v>96</v>
      </c>
      <c r="N156" s="66">
        <f>IFERROR(__xludf.DUMMYFUNCTION("""COMPUTED_VALUE"""),2.0)</f>
        <v>2</v>
      </c>
    </row>
    <row r="157">
      <c r="A157" s="1"/>
      <c r="B157" s="62" t="str">
        <f>IFERROR(__xludf.DUMMYFUNCTION("""COMPUTED_VALUE"""),"Lloyd Sagar")</f>
        <v>Lloyd Sagar</v>
      </c>
      <c r="C157" s="63">
        <f>IFERROR(__xludf.DUMMYFUNCTION("""COMPUTED_VALUE"""),86.0)</f>
        <v>86</v>
      </c>
      <c r="D157" s="64">
        <f>IFERROR(__xludf.DUMMYFUNCTION("""COMPUTED_VALUE"""),4.0)</f>
        <v>4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IFERROR(__xludf.DUMMYFUNCTION("""COMPUTED_VALUE"""),95.0)</f>
        <v>95</v>
      </c>
      <c r="N157" s="66">
        <f>IFERROR(__xludf.DUMMYFUNCTION("""COMPUTED_VALUE"""),4.0)</f>
        <v>4</v>
      </c>
    </row>
    <row r="158">
      <c r="A158" s="1"/>
      <c r="B158" s="62" t="str">
        <f>IFERROR(__xludf.DUMMYFUNCTION("""COMPUTED_VALUE"""),"Marcus Yovas")</f>
        <v>Marcus Yovas</v>
      </c>
      <c r="C158" s="63">
        <f>IFERROR(__xludf.DUMMYFUNCTION("""COMPUTED_VALUE"""),85.0)</f>
        <v>85</v>
      </c>
      <c r="D158" s="64">
        <f>IFERROR(__xludf.DUMMYFUNCTION("""COMPUTED_VALUE"""),2.0)</f>
        <v>2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IFERROR(__xludf.DUMMYFUNCTION("""COMPUTED_VALUE"""),94.0)</f>
        <v>94</v>
      </c>
      <c r="N158" s="66">
        <f>IFERROR(__xludf.DUMMYFUNCTION("""COMPUTED_VALUE"""),2.0)</f>
        <v>2</v>
      </c>
    </row>
    <row r="159">
      <c r="A159" s="1"/>
      <c r="B159" s="62" t="str">
        <f>IFERROR(__xludf.DUMMYFUNCTION("""COMPUTED_VALUE"""),"Nohely Mejia")</f>
        <v>Nohely Mejia</v>
      </c>
      <c r="C159" s="63">
        <f>IFERROR(__xludf.DUMMYFUNCTION("""COMPUTED_VALUE"""),85.0)</f>
        <v>85</v>
      </c>
      <c r="D159" s="64">
        <f>IFERROR(__xludf.DUMMYFUNCTION("""COMPUTED_VALUE"""),2.0)</f>
        <v>2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IFERROR(__xludf.DUMMYFUNCTION("""COMPUTED_VALUE"""),94.0)</f>
        <v>94</v>
      </c>
      <c r="N159" s="66">
        <f>IFERROR(__xludf.DUMMYFUNCTION("""COMPUTED_VALUE"""),2.0)</f>
        <v>2</v>
      </c>
    </row>
    <row r="160">
      <c r="A160" s="1"/>
      <c r="B160" s="62" t="str">
        <f>IFERROR(__xludf.DUMMYFUNCTION("""COMPUTED_VALUE"""),"Sudhagar Subbaian")</f>
        <v>Sudhagar Subbaian</v>
      </c>
      <c r="C160" s="63">
        <f>IFERROR(__xludf.DUMMYFUNCTION("""COMPUTED_VALUE"""),84.0)</f>
        <v>84</v>
      </c>
      <c r="D160" s="64">
        <f>IFERROR(__xludf.DUMMYFUNCTION("""COMPUTED_VALUE"""),4.0)</f>
        <v>4</v>
      </c>
      <c r="E160" s="63">
        <f>IFERROR(__xludf.DUMMYFUNCTION("""COMPUTED_VALUE"""),4.0)</f>
        <v>4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IFERROR(__xludf.DUMMYFUNCTION("""COMPUTED_VALUE"""),93.0)</f>
        <v>93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IFERROR(__xludf.DUMMYFUNCTION("""COMPUTED_VALUE"""),"Santosh Sundaresan ")</f>
        <v>Santosh Sundaresan </v>
      </c>
      <c r="C161" s="63">
        <f>IFERROR(__xludf.DUMMYFUNCTION("""COMPUTED_VALUE"""),84.0)</f>
        <v>84</v>
      </c>
      <c r="D161" s="64">
        <f>IFERROR(__xludf.DUMMYFUNCTION("""COMPUTED_VALUE"""),2.0)</f>
        <v>2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IFERROR(__xludf.DUMMYFUNCTION("""COMPUTED_VALUE"""),93.0)</f>
        <v>93</v>
      </c>
      <c r="N161" s="66">
        <f>IFERROR(__xludf.DUMMYFUNCTION("""COMPUTED_VALUE"""),2.0)</f>
        <v>2</v>
      </c>
    </row>
    <row r="162">
      <c r="A162" s="1"/>
      <c r="B162" s="62" t="str">
        <f>IFERROR(__xludf.DUMMYFUNCTION("""COMPUTED_VALUE"""),"Ash Nikravan")</f>
        <v>Ash Nikravan</v>
      </c>
      <c r="C162" s="63">
        <f>IFERROR(__xludf.DUMMYFUNCTION("""COMPUTED_VALUE"""),83.0)</f>
        <v>83</v>
      </c>
      <c r="D162" s="64">
        <f>IFERROR(__xludf.DUMMYFUNCTION("""COMPUTED_VALUE"""),5.0)</f>
        <v>5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IFERROR(__xludf.DUMMYFUNCTION("""COMPUTED_VALUE"""),92.0)</f>
        <v>92</v>
      </c>
      <c r="N162" s="66">
        <f>IFERROR(__xludf.DUMMYFUNCTION("""COMPUTED_VALUE"""),5.0)</f>
        <v>5</v>
      </c>
    </row>
    <row r="163">
      <c r="A163" s="1"/>
      <c r="B163" s="62" t="str">
        <f>IFERROR(__xludf.DUMMYFUNCTION("""COMPUTED_VALUE"""),"Troy Wong")</f>
        <v>Troy Wong</v>
      </c>
      <c r="C163" s="63">
        <f>IFERROR(__xludf.DUMMYFUNCTION("""COMPUTED_VALUE"""),82.0)</f>
        <v>82</v>
      </c>
      <c r="D163" s="64">
        <f>IFERROR(__xludf.DUMMYFUNCTION("""COMPUTED_VALUE"""),4.0)</f>
        <v>4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IFERROR(__xludf.DUMMYFUNCTION("""COMPUTED_VALUE"""),91.0)</f>
        <v>91</v>
      </c>
      <c r="N163" s="66">
        <f>IFERROR(__xludf.DUMMYFUNCTION("""COMPUTED_VALUE"""),4.0)</f>
        <v>4</v>
      </c>
    </row>
    <row r="164">
      <c r="A164" s="1"/>
      <c r="B164" s="62" t="str">
        <f>IFERROR(__xludf.DUMMYFUNCTION("""COMPUTED_VALUE"""),"Jimmy Awolesi")</f>
        <v>Jimmy Awolesi</v>
      </c>
      <c r="C164" s="63">
        <f>IFERROR(__xludf.DUMMYFUNCTION("""COMPUTED_VALUE"""),81.0)</f>
        <v>81</v>
      </c>
      <c r="D164" s="64">
        <f>IFERROR(__xludf.DUMMYFUNCTION("""COMPUTED_VALUE"""),7.0)</f>
        <v>7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IFERROR(__xludf.DUMMYFUNCTION("""COMPUTED_VALUE"""),90.0)</f>
        <v>90</v>
      </c>
      <c r="N164" s="66">
        <f>IFERROR(__xludf.DUMMYFUNCTION("""COMPUTED_VALUE"""),7.0)</f>
        <v>7</v>
      </c>
    </row>
    <row r="165">
      <c r="A165" s="1"/>
      <c r="B165" s="62" t="str">
        <f>IFERROR(__xludf.DUMMYFUNCTION("""COMPUTED_VALUE"""),"Tony Lin")</f>
        <v>Tony Lin</v>
      </c>
      <c r="C165" s="63">
        <f>IFERROR(__xludf.DUMMYFUNCTION("""COMPUTED_VALUE"""),81.0)</f>
        <v>81</v>
      </c>
      <c r="D165" s="64">
        <f>IFERROR(__xludf.DUMMYFUNCTION("""COMPUTED_VALUE"""),3.0)</f>
        <v>3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IFERROR(__xludf.DUMMYFUNCTION("""COMPUTED_VALUE"""),90.0)</f>
        <v>90</v>
      </c>
      <c r="N165" s="66">
        <f>IFERROR(__xludf.DUMMYFUNCTION("""COMPUTED_VALUE"""),3.0)</f>
        <v>3</v>
      </c>
    </row>
    <row r="166">
      <c r="A166" s="1"/>
      <c r="B166" s="62" t="str">
        <f>IFERROR(__xludf.DUMMYFUNCTION("""COMPUTED_VALUE"""),"Tom Le")</f>
        <v>Tom Le</v>
      </c>
      <c r="C166" s="63">
        <f>IFERROR(__xludf.DUMMYFUNCTION("""COMPUTED_VALUE"""),81.0)</f>
        <v>81</v>
      </c>
      <c r="D166" s="64">
        <f>IFERROR(__xludf.DUMMYFUNCTION("""COMPUTED_VALUE"""),3.0)</f>
        <v>3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IFERROR(__xludf.DUMMYFUNCTION("""COMPUTED_VALUE"""),90.0)</f>
        <v>90</v>
      </c>
      <c r="N166" s="66">
        <f>IFERROR(__xludf.DUMMYFUNCTION("""COMPUTED_VALUE"""),3.0)</f>
        <v>3</v>
      </c>
    </row>
    <row r="167">
      <c r="A167" s="1"/>
      <c r="B167" s="62" t="str">
        <f>IFERROR(__xludf.DUMMYFUNCTION("""COMPUTED_VALUE"""),"Chandrasekar Chinnathambi")</f>
        <v>Chandrasekar Chinnathambi</v>
      </c>
      <c r="C167" s="63">
        <f>IFERROR(__xludf.DUMMYFUNCTION("""COMPUTED_VALUE"""),79.0)</f>
        <v>79</v>
      </c>
      <c r="D167" s="64">
        <f>IFERROR(__xludf.DUMMYFUNCTION("""COMPUTED_VALUE"""),1.0)</f>
        <v>1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IFERROR(__xludf.DUMMYFUNCTION("""COMPUTED_VALUE"""),88.0)</f>
        <v>88</v>
      </c>
      <c r="N167" s="66">
        <f>IFERROR(__xludf.DUMMYFUNCTION("""COMPUTED_VALUE"""),1.0)</f>
        <v>1</v>
      </c>
    </row>
    <row r="168">
      <c r="A168" s="1"/>
      <c r="B168" s="62" t="str">
        <f>IFERROR(__xludf.DUMMYFUNCTION("""COMPUTED_VALUE"""),"Vishnu Amarnath")</f>
        <v>Vishnu Amarnath</v>
      </c>
      <c r="C168" s="63">
        <f>IFERROR(__xludf.DUMMYFUNCTION("""COMPUTED_VALUE"""),77.0)</f>
        <v>77</v>
      </c>
      <c r="D168" s="64">
        <f>IFERROR(__xludf.DUMMYFUNCTION("""COMPUTED_VALUE"""),7.0)</f>
        <v>7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IFERROR(__xludf.DUMMYFUNCTION("""COMPUTED_VALUE"""),86.0)</f>
        <v>86</v>
      </c>
      <c r="N168" s="66">
        <f>IFERROR(__xludf.DUMMYFUNCTION("""COMPUTED_VALUE"""),7.0)</f>
        <v>7</v>
      </c>
    </row>
    <row r="169">
      <c r="A169" s="1"/>
      <c r="B169" s="62" t="str">
        <f>IFERROR(__xludf.DUMMYFUNCTION("""COMPUTED_VALUE"""),"Sanjaye Elayattu")</f>
        <v>Sanjaye Elayattu</v>
      </c>
      <c r="C169" s="63">
        <f>IFERROR(__xludf.DUMMYFUNCTION("""COMPUTED_VALUE"""),76.0)</f>
        <v>76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IFERROR(__xludf.DUMMYFUNCTION("""COMPUTED_VALUE"""),85.0)</f>
        <v>85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IFERROR(__xludf.DUMMYFUNCTION("""COMPUTED_VALUE"""),"Vinot Kumar Nagappan")</f>
        <v>Vinot Kumar Nagappan</v>
      </c>
      <c r="C170" s="63">
        <f>IFERROR(__xludf.DUMMYFUNCTION("""COMPUTED_VALUE"""),75.0)</f>
        <v>75</v>
      </c>
      <c r="D170" s="64">
        <f>IFERROR(__xludf.DUMMYFUNCTION("""COMPUTED_VALUE"""),1.0)</f>
        <v>1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IFERROR(__xludf.DUMMYFUNCTION("""COMPUTED_VALUE"""),84.0)</f>
        <v>84</v>
      </c>
      <c r="N170" s="66">
        <f>IFERROR(__xludf.DUMMYFUNCTION("""COMPUTED_VALUE"""),1.0)</f>
        <v>1</v>
      </c>
    </row>
    <row r="171">
      <c r="A171" s="1"/>
      <c r="B171" s="62" t="str">
        <f>IFERROR(__xludf.DUMMYFUNCTION("""COMPUTED_VALUE"""),"Sai Dilip Ponnaganti")</f>
        <v>Sai Dilip Ponnaganti</v>
      </c>
      <c r="C171" s="63">
        <f>IFERROR(__xludf.DUMMYFUNCTION("""COMPUTED_VALUE"""),72.0)</f>
        <v>72</v>
      </c>
      <c r="D171" s="64">
        <f>IFERROR(__xludf.DUMMYFUNCTION("""COMPUTED_VALUE"""),0.0)</f>
        <v>0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IFERROR(__xludf.DUMMYFUNCTION("""COMPUTED_VALUE"""),81.0)</f>
        <v>81</v>
      </c>
      <c r="N171" s="66">
        <f>IFERROR(__xludf.DUMMYFUNCTION("""COMPUTED_VALUE"""),0.0)</f>
        <v>0</v>
      </c>
    </row>
    <row r="172">
      <c r="A172" s="1"/>
      <c r="B172" s="62" t="str">
        <f>IFERROR(__xludf.DUMMYFUNCTION("""COMPUTED_VALUE"""),"Susanta Mishra")</f>
        <v>Susanta Mishra</v>
      </c>
      <c r="C172" s="63">
        <f>IFERROR(__xludf.DUMMYFUNCTION("""COMPUTED_VALUE"""),72.0)</f>
        <v>72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IFERROR(__xludf.DUMMYFUNCTION("""COMPUTED_VALUE"""),81.0)</f>
        <v>81</v>
      </c>
      <c r="N172" s="66">
        <f>IFERROR(__xludf.DUMMYFUNCTION("""COMPUTED_VALUE"""),0.0)</f>
        <v>0</v>
      </c>
    </row>
    <row r="173">
      <c r="A173" s="1"/>
      <c r="B173" s="62" t="str">
        <f>IFERROR(__xludf.DUMMYFUNCTION("""COMPUTED_VALUE"""),"Vilas Janardhanan")</f>
        <v>Vilas Janardhanan</v>
      </c>
      <c r="C173" s="63">
        <f>IFERROR(__xludf.DUMMYFUNCTION("""COMPUTED_VALUE"""),72.0)</f>
        <v>72</v>
      </c>
      <c r="D173" s="64">
        <f>IFERROR(__xludf.DUMMYFUNCTION("""COMPUTED_VALUE"""),0.0)</f>
        <v>0</v>
      </c>
      <c r="E173" s="63">
        <f>IFERROR(__xludf.DUMMYFUNCTION("""COMPUTED_VALUE"""),3.0)</f>
        <v>3</v>
      </c>
      <c r="F173" s="65">
        <f>IFERROR(__xludf.DUMMYFUNCTION("""COMPUTED_VALUE"""),0.0)</f>
        <v>0</v>
      </c>
      <c r="G173" s="65">
        <f>IFERROR(__xludf.DUMMYFUNCTION("""COMPUTED_VALUE"""),9.0)</f>
        <v>9</v>
      </c>
      <c r="H173" s="65">
        <f>IFERROR(__xludf.DUMMYFUNCTION("""COMPUTED_VALUE"""),0.0)</f>
        <v>0</v>
      </c>
      <c r="I173" s="65">
        <f>IFERROR(__xludf.DUMMYFUNCTION("""COMPUTED_VALUE"""),0.0)</f>
        <v>0</v>
      </c>
      <c r="J173" s="65">
        <f>IFERROR(__xludf.DUMMYFUNCTION("""COMPUTED_VALUE"""),0.0)</f>
        <v>0</v>
      </c>
      <c r="K173" s="65">
        <f>IFERROR(__xludf.DUMMYFUNCTION("""COMPUTED_VALUE"""),9.0)</f>
        <v>9</v>
      </c>
      <c r="L173" s="65">
        <f>IFERROR(__xludf.DUMMYFUNCTION("""COMPUTED_VALUE"""),0.0)</f>
        <v>0</v>
      </c>
      <c r="M173" s="65">
        <f>IFERROR(__xludf.DUMMYFUNCTION("""COMPUTED_VALUE"""),81.0)</f>
        <v>81</v>
      </c>
      <c r="N173" s="66">
        <f>IFERROR(__xludf.DUMMYFUNCTION("""COMPUTED_VALUE"""),0.0)</f>
        <v>0</v>
      </c>
    </row>
    <row r="174">
      <c r="A174" s="1"/>
      <c r="B174" s="62" t="str">
        <f>IFERROR(__xludf.DUMMYFUNCTION("""COMPUTED_VALUE"""),"Amit Patel")</f>
        <v>Amit Patel</v>
      </c>
      <c r="C174" s="63">
        <f>IFERROR(__xludf.DUMMYFUNCTION("""COMPUTED_VALUE"""),72.0)</f>
        <v>72</v>
      </c>
      <c r="D174" s="64">
        <f>IFERROR(__xludf.DUMMYFUNCTION("""COMPUTED_VALUE"""),0.0)</f>
        <v>0</v>
      </c>
      <c r="E174" s="63">
        <f>IFERROR(__xludf.DUMMYFUNCTION("""COMPUTED_VALUE"""),3.0)</f>
        <v>3</v>
      </c>
      <c r="F174" s="65">
        <f>IFERROR(__xludf.DUMMYFUNCTION("""COMPUTED_VALUE"""),0.0)</f>
        <v>0</v>
      </c>
      <c r="G174" s="65">
        <f>IFERROR(__xludf.DUMMYFUNCTION("""COMPUTED_VALUE"""),9.0)</f>
        <v>9</v>
      </c>
      <c r="H174" s="65">
        <f>IFERROR(__xludf.DUMMYFUNCTION("""COMPUTED_VALUE"""),0.0)</f>
        <v>0</v>
      </c>
      <c r="I174" s="65">
        <f>IFERROR(__xludf.DUMMYFUNCTION("""COMPUTED_VALUE"""),0.0)</f>
        <v>0</v>
      </c>
      <c r="J174" s="65">
        <f>IFERROR(__xludf.DUMMYFUNCTION("""COMPUTED_VALUE"""),0.0)</f>
        <v>0</v>
      </c>
      <c r="K174" s="65">
        <f>IFERROR(__xludf.DUMMYFUNCTION("""COMPUTED_VALUE"""),9.0)</f>
        <v>9</v>
      </c>
      <c r="L174" s="65">
        <f>IFERROR(__xludf.DUMMYFUNCTION("""COMPUTED_VALUE"""),0.0)</f>
        <v>0</v>
      </c>
      <c r="M174" s="65">
        <f>IFERROR(__xludf.DUMMYFUNCTION("""COMPUTED_VALUE"""),81.0)</f>
        <v>81</v>
      </c>
      <c r="N174" s="66">
        <f>IFERROR(__xludf.DUMMYFUNCTION("""COMPUTED_VALUE"""),0.0)</f>
        <v>0</v>
      </c>
    </row>
    <row r="175">
      <c r="A175" s="1"/>
      <c r="B175" s="62" t="str">
        <f>IFERROR(__xludf.DUMMYFUNCTION("""COMPUTED_VALUE"""),"Coco Yan")</f>
        <v>Coco Yan</v>
      </c>
      <c r="C175" s="63">
        <f>IFERROR(__xludf.DUMMYFUNCTION("""COMPUTED_VALUE"""),72.0)</f>
        <v>72</v>
      </c>
      <c r="D175" s="64">
        <f>IFERROR(__xludf.DUMMYFUNCTION("""COMPUTED_VALUE"""),0.0)</f>
        <v>0</v>
      </c>
      <c r="E175" s="63">
        <f>IFERROR(__xludf.DUMMYFUNCTION("""COMPUTED_VALUE"""),3.0)</f>
        <v>3</v>
      </c>
      <c r="F175" s="65">
        <f>IFERROR(__xludf.DUMMYFUNCTION("""COMPUTED_VALUE"""),0.0)</f>
        <v>0</v>
      </c>
      <c r="G175" s="65">
        <f>IFERROR(__xludf.DUMMYFUNCTION("""COMPUTED_VALUE"""),9.0)</f>
        <v>9</v>
      </c>
      <c r="H175" s="65">
        <f>IFERROR(__xludf.DUMMYFUNCTION("""COMPUTED_VALUE"""),0.0)</f>
        <v>0</v>
      </c>
      <c r="I175" s="65">
        <f>IFERROR(__xludf.DUMMYFUNCTION("""COMPUTED_VALUE"""),0.0)</f>
        <v>0</v>
      </c>
      <c r="J175" s="65">
        <f>IFERROR(__xludf.DUMMYFUNCTION("""COMPUTED_VALUE"""),0.0)</f>
        <v>0</v>
      </c>
      <c r="K175" s="65">
        <f>IFERROR(__xludf.DUMMYFUNCTION("""COMPUTED_VALUE"""),9.0)</f>
        <v>9</v>
      </c>
      <c r="L175" s="65">
        <f>IFERROR(__xludf.DUMMYFUNCTION("""COMPUTED_VALUE"""),0.0)</f>
        <v>0</v>
      </c>
      <c r="M175" s="65">
        <f>IFERROR(__xludf.DUMMYFUNCTION("""COMPUTED_VALUE"""),81.0)</f>
        <v>81</v>
      </c>
      <c r="N175" s="66">
        <f>IFERROR(__xludf.DUMMYFUNCTION("""COMPUTED_VALUE"""),0.0)</f>
        <v>0</v>
      </c>
    </row>
    <row r="176">
      <c r="A176" s="1"/>
      <c r="B176" s="62" t="str">
        <f>IFERROR(__xludf.DUMMYFUNCTION("""COMPUTED_VALUE"""),"Tiffany Yu")</f>
        <v>Tiffany Yu</v>
      </c>
      <c r="C176" s="63">
        <f>IFERROR(__xludf.DUMMYFUNCTION("""COMPUTED_VALUE"""),71.0)</f>
        <v>71</v>
      </c>
      <c r="D176" s="64">
        <f>IFERROR(__xludf.DUMMYFUNCTION("""COMPUTED_VALUE"""),2.0)</f>
        <v>2</v>
      </c>
      <c r="E176" s="63">
        <f>IFERROR(__xludf.DUMMYFUNCTION("""COMPUTED_VALUE"""),3.0)</f>
        <v>3</v>
      </c>
      <c r="F176" s="65">
        <f>IFERROR(__xludf.DUMMYFUNCTION("""COMPUTED_VALUE"""),0.0)</f>
        <v>0</v>
      </c>
      <c r="G176" s="65">
        <f>IFERROR(__xludf.DUMMYFUNCTION("""COMPUTED_VALUE"""),9.0)</f>
        <v>9</v>
      </c>
      <c r="H176" s="65">
        <f>IFERROR(__xludf.DUMMYFUNCTION("""COMPUTED_VALUE"""),0.0)</f>
        <v>0</v>
      </c>
      <c r="I176" s="65">
        <f>IFERROR(__xludf.DUMMYFUNCTION("""COMPUTED_VALUE"""),0.0)</f>
        <v>0</v>
      </c>
      <c r="J176" s="65">
        <f>IFERROR(__xludf.DUMMYFUNCTION("""COMPUTED_VALUE"""),0.0)</f>
        <v>0</v>
      </c>
      <c r="K176" s="65">
        <f>IFERROR(__xludf.DUMMYFUNCTION("""COMPUTED_VALUE"""),9.0)</f>
        <v>9</v>
      </c>
      <c r="L176" s="65">
        <f>IFERROR(__xludf.DUMMYFUNCTION("""COMPUTED_VALUE"""),0.0)</f>
        <v>0</v>
      </c>
      <c r="M176" s="65">
        <f>IFERROR(__xludf.DUMMYFUNCTION("""COMPUTED_VALUE"""),80.0)</f>
        <v>80</v>
      </c>
      <c r="N176" s="66">
        <f>IFERROR(__xludf.DUMMYFUNCTION("""COMPUTED_VALUE"""),2.0)</f>
        <v>2</v>
      </c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45346.0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8.0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82</v>
      </c>
      <c r="C5" s="28">
        <v>105.0</v>
      </c>
      <c r="D5" s="29">
        <v>13.0</v>
      </c>
      <c r="E5" s="30">
        <v>2.0</v>
      </c>
      <c r="F5" s="31">
        <v>1.0</v>
      </c>
      <c r="G5" s="28">
        <v>0.0</v>
      </c>
      <c r="H5" s="31">
        <v>6.0</v>
      </c>
      <c r="I5" s="31">
        <v>4.0</v>
      </c>
      <c r="J5" s="31">
        <v>7.0</v>
      </c>
      <c r="K5" s="33">
        <v>17.0</v>
      </c>
      <c r="L5" s="31">
        <v>2.0</v>
      </c>
      <c r="M5" s="28">
        <f t="shared" ref="M5:N5" si="1">C5+K5</f>
        <v>122</v>
      </c>
      <c r="N5" s="29">
        <f t="shared" si="1"/>
        <v>15</v>
      </c>
      <c r="O5" s="35" t="s">
        <v>46</v>
      </c>
      <c r="P5" s="35" t="s">
        <v>46</v>
      </c>
      <c r="Q5" s="31">
        <f>if(G5=13,1,0)+VLOOKUP(B5,'021724'!B:Q,16,false)</f>
        <v>1</v>
      </c>
      <c r="R5" s="31"/>
      <c r="S5" s="31">
        <f>if(G5=9,1,0)+VLOOKUP(B5,'021724'!B:S,18,false)</f>
        <v>1</v>
      </c>
    </row>
    <row r="6">
      <c r="A6" s="26">
        <f t="shared" ref="A6:A69" si="3">A5+1</f>
        <v>2</v>
      </c>
      <c r="B6" s="27" t="s">
        <v>60</v>
      </c>
      <c r="C6" s="28">
        <v>101.0</v>
      </c>
      <c r="D6" s="29">
        <v>10.0</v>
      </c>
      <c r="E6" s="30">
        <v>5.0</v>
      </c>
      <c r="F6" s="31">
        <v>0.0</v>
      </c>
      <c r="G6" s="28">
        <v>13.0</v>
      </c>
      <c r="H6" s="31">
        <v>0.0</v>
      </c>
      <c r="I6" s="31">
        <v>0.0</v>
      </c>
      <c r="J6" s="31">
        <v>0.0</v>
      </c>
      <c r="K6" s="33">
        <v>13.0</v>
      </c>
      <c r="L6" s="31">
        <v>0.0</v>
      </c>
      <c r="M6" s="28">
        <f t="shared" ref="M6:N6" si="2">C6+K6</f>
        <v>114</v>
      </c>
      <c r="N6" s="29">
        <f t="shared" si="2"/>
        <v>10</v>
      </c>
      <c r="O6" s="35" t="s">
        <v>46</v>
      </c>
      <c r="P6" s="35" t="s">
        <v>46</v>
      </c>
      <c r="Q6" s="31">
        <f>if(G6=13,1,0)+VLOOKUP(B6,'021724'!B:Q,16,false)</f>
        <v>2</v>
      </c>
      <c r="R6" s="31"/>
      <c r="S6" s="31">
        <f>if(G6=9,1,0)+VLOOKUP(B6,'021724'!B:S,18,false)</f>
        <v>2</v>
      </c>
    </row>
    <row r="7">
      <c r="A7" s="26">
        <f t="shared" si="3"/>
        <v>3</v>
      </c>
      <c r="B7" s="27" t="s">
        <v>77</v>
      </c>
      <c r="C7" s="28">
        <v>101.0</v>
      </c>
      <c r="D7" s="29">
        <v>8.0</v>
      </c>
      <c r="E7" s="30">
        <v>5.0</v>
      </c>
      <c r="F7" s="31">
        <v>0.0</v>
      </c>
      <c r="G7" s="28">
        <v>13.0</v>
      </c>
      <c r="H7" s="31">
        <v>0.0</v>
      </c>
      <c r="I7" s="31">
        <v>0.0</v>
      </c>
      <c r="J7" s="31">
        <v>0.0</v>
      </c>
      <c r="K7" s="33">
        <v>13.0</v>
      </c>
      <c r="L7" s="31">
        <v>0.0</v>
      </c>
      <c r="M7" s="28">
        <f t="shared" ref="M7:N7" si="4">C7+K7</f>
        <v>114</v>
      </c>
      <c r="N7" s="29">
        <f t="shared" si="4"/>
        <v>8</v>
      </c>
      <c r="O7" s="35" t="s">
        <v>46</v>
      </c>
      <c r="P7" s="35" t="s">
        <v>46</v>
      </c>
      <c r="Q7" s="31">
        <f>if(G7=13,1,0)+VLOOKUP(B7,'021724'!B:Q,16,false)</f>
        <v>2</v>
      </c>
      <c r="R7" s="31"/>
      <c r="S7" s="31">
        <f>if(G7=9,1,0)+VLOOKUP(B7,'021724'!B:S,18,false)</f>
        <v>1</v>
      </c>
    </row>
    <row r="8">
      <c r="A8" s="26">
        <f t="shared" si="3"/>
        <v>4</v>
      </c>
      <c r="B8" s="27" t="s">
        <v>38</v>
      </c>
      <c r="C8" s="28">
        <v>98.0</v>
      </c>
      <c r="D8" s="29">
        <v>12.0</v>
      </c>
      <c r="E8" s="30">
        <v>5.0</v>
      </c>
      <c r="F8" s="31">
        <v>0.0</v>
      </c>
      <c r="G8" s="28">
        <v>13.0</v>
      </c>
      <c r="H8" s="31">
        <v>0.0</v>
      </c>
      <c r="I8" s="31">
        <v>0.0</v>
      </c>
      <c r="J8" s="31">
        <v>0.0</v>
      </c>
      <c r="K8" s="33">
        <v>13.0</v>
      </c>
      <c r="L8" s="31">
        <v>0.0</v>
      </c>
      <c r="M8" s="28">
        <f t="shared" ref="M8:N8" si="5">C8+K8</f>
        <v>111</v>
      </c>
      <c r="N8" s="29">
        <f t="shared" si="5"/>
        <v>12</v>
      </c>
      <c r="O8" s="35" t="s">
        <v>46</v>
      </c>
      <c r="P8" s="35" t="s">
        <v>46</v>
      </c>
      <c r="Q8" s="31">
        <f>if(G8=13,1,0)+VLOOKUP(B8,'021724'!B:Q,16,false)</f>
        <v>1</v>
      </c>
      <c r="R8" s="31"/>
      <c r="S8" s="31">
        <f>if(G8=9,1,0)+VLOOKUP(B8,'021724'!B:S,18,false)</f>
        <v>2</v>
      </c>
    </row>
    <row r="9">
      <c r="A9" s="26">
        <f t="shared" si="3"/>
        <v>5</v>
      </c>
      <c r="B9" s="27" t="s">
        <v>61</v>
      </c>
      <c r="C9" s="28">
        <v>98.0</v>
      </c>
      <c r="D9" s="29">
        <v>10.0</v>
      </c>
      <c r="E9" s="30">
        <v>2.0</v>
      </c>
      <c r="F9" s="31">
        <v>1.0</v>
      </c>
      <c r="G9" s="28">
        <v>0.0</v>
      </c>
      <c r="H9" s="31">
        <v>2.0</v>
      </c>
      <c r="I9" s="31">
        <v>6.0</v>
      </c>
      <c r="J9" s="31">
        <v>7.0</v>
      </c>
      <c r="K9" s="33">
        <v>15.0</v>
      </c>
      <c r="L9" s="31">
        <v>2.0</v>
      </c>
      <c r="M9" s="28">
        <f t="shared" ref="M9:N9" si="6">C9+K9</f>
        <v>113</v>
      </c>
      <c r="N9" s="29">
        <f t="shared" si="6"/>
        <v>12</v>
      </c>
      <c r="O9" s="35" t="s">
        <v>46</v>
      </c>
      <c r="P9" s="35" t="s">
        <v>46</v>
      </c>
      <c r="Q9" s="31">
        <f>if(G9=13,1,0)+VLOOKUP(B9,'021724'!B:Q,16,false)</f>
        <v>1</v>
      </c>
      <c r="R9" s="31"/>
      <c r="S9" s="31">
        <f>if(G9=9,1,0)+VLOOKUP(B9,'021724'!B:S,18,false)</f>
        <v>1</v>
      </c>
    </row>
    <row r="10">
      <c r="A10" s="26">
        <f t="shared" si="3"/>
        <v>6</v>
      </c>
      <c r="B10" s="27" t="s">
        <v>75</v>
      </c>
      <c r="C10" s="28">
        <v>94.0</v>
      </c>
      <c r="D10" s="29">
        <v>8.0</v>
      </c>
      <c r="E10" s="30">
        <v>1.0</v>
      </c>
      <c r="F10" s="31">
        <v>1.0</v>
      </c>
      <c r="G10" s="28">
        <v>0.0</v>
      </c>
      <c r="H10" s="31">
        <v>2.0</v>
      </c>
      <c r="I10" s="31">
        <v>4.0</v>
      </c>
      <c r="J10" s="31">
        <v>5.0</v>
      </c>
      <c r="K10" s="33">
        <v>11.0</v>
      </c>
      <c r="L10" s="31">
        <v>0.0</v>
      </c>
      <c r="M10" s="28">
        <f t="shared" ref="M10:N10" si="7">C10+K10</f>
        <v>105</v>
      </c>
      <c r="N10" s="29">
        <f t="shared" si="7"/>
        <v>8</v>
      </c>
      <c r="O10" s="35" t="s">
        <v>46</v>
      </c>
      <c r="P10" s="35" t="s">
        <v>46</v>
      </c>
      <c r="Q10" s="31">
        <f>if(G10=13,1,0)+VLOOKUP(B10,'021724'!B:Q,16,false)</f>
        <v>1</v>
      </c>
      <c r="R10" s="31"/>
      <c r="S10" s="31">
        <f>if(G10=9,1,0)+VLOOKUP(B10,'021724'!B:S,18,false)</f>
        <v>0</v>
      </c>
    </row>
    <row r="11">
      <c r="A11" s="26">
        <f t="shared" si="3"/>
        <v>7</v>
      </c>
      <c r="B11" s="27" t="s">
        <v>48</v>
      </c>
      <c r="C11" s="28">
        <v>93.0</v>
      </c>
      <c r="D11" s="29">
        <v>8.0</v>
      </c>
      <c r="E11" s="30">
        <v>2.0</v>
      </c>
      <c r="F11" s="31">
        <v>1.0</v>
      </c>
      <c r="G11" s="28">
        <v>0.0</v>
      </c>
      <c r="H11" s="31">
        <v>6.0</v>
      </c>
      <c r="I11" s="31">
        <v>6.0</v>
      </c>
      <c r="J11" s="31">
        <v>5.0</v>
      </c>
      <c r="K11" s="33">
        <v>17.0</v>
      </c>
      <c r="L11" s="31">
        <v>2.0</v>
      </c>
      <c r="M11" s="28">
        <f t="shared" ref="M11:N11" si="8">C11+K11</f>
        <v>110</v>
      </c>
      <c r="N11" s="29">
        <f t="shared" si="8"/>
        <v>10</v>
      </c>
      <c r="O11" s="35" t="s">
        <v>46</v>
      </c>
      <c r="P11" s="35" t="s">
        <v>46</v>
      </c>
      <c r="Q11" s="31">
        <f>if(G11=13,1,0)+VLOOKUP(B11,'021724'!B:Q,16,false)</f>
        <v>2</v>
      </c>
      <c r="R11" s="31"/>
      <c r="S11" s="31">
        <f>if(G11=9,1,0)+VLOOKUP(B11,'021724'!B:S,18,false)</f>
        <v>2</v>
      </c>
    </row>
    <row r="12">
      <c r="A12" s="26">
        <f t="shared" si="3"/>
        <v>8</v>
      </c>
      <c r="B12" s="27" t="s">
        <v>84</v>
      </c>
      <c r="C12" s="28">
        <v>91.0</v>
      </c>
      <c r="D12" s="29">
        <v>8.0</v>
      </c>
      <c r="E12" s="30">
        <v>5.0</v>
      </c>
      <c r="F12" s="31">
        <v>0.0</v>
      </c>
      <c r="G12" s="28">
        <v>13.0</v>
      </c>
      <c r="H12" s="31">
        <v>0.0</v>
      </c>
      <c r="I12" s="31">
        <v>0.0</v>
      </c>
      <c r="J12" s="31">
        <v>0.0</v>
      </c>
      <c r="K12" s="33">
        <v>13.0</v>
      </c>
      <c r="L12" s="31">
        <v>0.0</v>
      </c>
      <c r="M12" s="28">
        <f t="shared" ref="M12:N12" si="9">C12+K12</f>
        <v>104</v>
      </c>
      <c r="N12" s="29">
        <f t="shared" si="9"/>
        <v>8</v>
      </c>
      <c r="O12" s="35" t="s">
        <v>46</v>
      </c>
      <c r="P12" s="35" t="s">
        <v>46</v>
      </c>
      <c r="Q12" s="31">
        <f>if(G12=13,1,0)+VLOOKUP(B12,'021724'!B:Q,16,false)</f>
        <v>2</v>
      </c>
      <c r="R12" s="31"/>
      <c r="S12" s="31">
        <f>if(G12=9,1,0)+VLOOKUP(B12,'021724'!B:S,18,false)</f>
        <v>0</v>
      </c>
    </row>
    <row r="13">
      <c r="A13" s="26">
        <f t="shared" si="3"/>
        <v>9</v>
      </c>
      <c r="B13" s="27" t="s">
        <v>81</v>
      </c>
      <c r="C13" s="28">
        <v>90.0</v>
      </c>
      <c r="D13" s="29">
        <v>9.0</v>
      </c>
      <c r="E13" s="30">
        <v>1.0</v>
      </c>
      <c r="F13" s="31">
        <v>2.0</v>
      </c>
      <c r="G13" s="28">
        <v>0.0</v>
      </c>
      <c r="H13" s="31">
        <v>4.0</v>
      </c>
      <c r="I13" s="31">
        <v>2.0</v>
      </c>
      <c r="J13" s="31">
        <v>6.0</v>
      </c>
      <c r="K13" s="33">
        <v>12.0</v>
      </c>
      <c r="L13" s="31">
        <v>1.0</v>
      </c>
      <c r="M13" s="28">
        <f t="shared" ref="M13:N13" si="10">C13+K13</f>
        <v>102</v>
      </c>
      <c r="N13" s="29">
        <f t="shared" si="10"/>
        <v>10</v>
      </c>
      <c r="O13" s="35" t="s">
        <v>46</v>
      </c>
      <c r="P13" s="35" t="s">
        <v>46</v>
      </c>
      <c r="Q13" s="31">
        <f>if(G13=13,1,0)+VLOOKUP(B13,'021724'!B:Q,16,false)</f>
        <v>0</v>
      </c>
      <c r="R13" s="31"/>
      <c r="S13" s="31">
        <f>if(G13=9,1,0)+VLOOKUP(B13,'021724'!B:S,18,false)</f>
        <v>2</v>
      </c>
    </row>
    <row r="14">
      <c r="A14" s="26">
        <f t="shared" si="3"/>
        <v>10</v>
      </c>
      <c r="B14" s="39" t="s">
        <v>71</v>
      </c>
      <c r="C14" s="28">
        <v>89.0</v>
      </c>
      <c r="D14" s="29">
        <v>8.0</v>
      </c>
      <c r="E14" s="30">
        <v>1.0</v>
      </c>
      <c r="F14" s="31">
        <v>2.0</v>
      </c>
      <c r="G14" s="28">
        <v>0.0</v>
      </c>
      <c r="H14" s="31">
        <v>6.0</v>
      </c>
      <c r="I14" s="31">
        <v>6.0</v>
      </c>
      <c r="J14" s="31">
        <v>6.0</v>
      </c>
      <c r="K14" s="33">
        <v>18.0</v>
      </c>
      <c r="L14" s="31">
        <v>3.0</v>
      </c>
      <c r="M14" s="28">
        <f t="shared" ref="M14:N14" si="11">C14+K14</f>
        <v>107</v>
      </c>
      <c r="N14" s="29">
        <f t="shared" si="11"/>
        <v>11</v>
      </c>
      <c r="O14" s="35" t="s">
        <v>46</v>
      </c>
      <c r="P14" s="35" t="s">
        <v>46</v>
      </c>
      <c r="Q14" s="31">
        <f>if(G14=13,1,0)+VLOOKUP(B14,'021724'!B:Q,16,false)</f>
        <v>0</v>
      </c>
      <c r="R14" s="31"/>
      <c r="S14" s="31">
        <f>if(G14=9,1,0)+VLOOKUP(B14,'021724'!B:S,18,false)</f>
        <v>2</v>
      </c>
    </row>
    <row r="15">
      <c r="A15" s="26">
        <f t="shared" si="3"/>
        <v>11</v>
      </c>
      <c r="B15" s="27" t="s">
        <v>78</v>
      </c>
      <c r="C15" s="28">
        <v>88.0</v>
      </c>
      <c r="D15" s="29">
        <v>10.0</v>
      </c>
      <c r="E15" s="30">
        <v>1.0</v>
      </c>
      <c r="F15" s="31">
        <v>2.0</v>
      </c>
      <c r="G15" s="28">
        <v>0.0</v>
      </c>
      <c r="H15" s="31">
        <v>4.0</v>
      </c>
      <c r="I15" s="31">
        <v>6.0</v>
      </c>
      <c r="J15" s="31">
        <v>4.0</v>
      </c>
      <c r="K15" s="33">
        <v>14.0</v>
      </c>
      <c r="L15" s="31">
        <v>1.0</v>
      </c>
      <c r="M15" s="28">
        <f t="shared" ref="M15:N15" si="12">C15+K15</f>
        <v>102</v>
      </c>
      <c r="N15" s="29">
        <f t="shared" si="12"/>
        <v>11</v>
      </c>
      <c r="O15" s="35" t="s">
        <v>46</v>
      </c>
      <c r="P15" s="35" t="s">
        <v>46</v>
      </c>
      <c r="Q15" s="31">
        <f>if(G15=13,1,0)+VLOOKUP(B15,'021724'!B:Q,16,false)</f>
        <v>0</v>
      </c>
      <c r="R15" s="31"/>
      <c r="S15" s="31">
        <f>if(G15=9,1,0)+VLOOKUP(B15,'021724'!B:S,18,false)</f>
        <v>1</v>
      </c>
    </row>
    <row r="16">
      <c r="A16" s="26">
        <f t="shared" si="3"/>
        <v>12</v>
      </c>
      <c r="B16" s="27" t="s">
        <v>63</v>
      </c>
      <c r="C16" s="28">
        <v>88.0</v>
      </c>
      <c r="D16" s="29">
        <v>7.0</v>
      </c>
      <c r="E16" s="30">
        <v>1.0</v>
      </c>
      <c r="F16" s="31">
        <v>2.0</v>
      </c>
      <c r="G16" s="28">
        <v>0.0</v>
      </c>
      <c r="H16" s="31">
        <v>6.0</v>
      </c>
      <c r="I16" s="31">
        <v>2.0</v>
      </c>
      <c r="J16" s="31">
        <v>4.0</v>
      </c>
      <c r="K16" s="33">
        <v>12.0</v>
      </c>
      <c r="L16" s="31">
        <v>1.0</v>
      </c>
      <c r="M16" s="28">
        <f t="shared" ref="M16:N16" si="13">C16+K16</f>
        <v>100</v>
      </c>
      <c r="N16" s="29">
        <f t="shared" si="13"/>
        <v>8</v>
      </c>
      <c r="O16" s="35" t="s">
        <v>46</v>
      </c>
      <c r="P16" s="35" t="s">
        <v>46</v>
      </c>
      <c r="Q16" s="31">
        <f>if(G16=13,1,0)+VLOOKUP(B16,'021724'!B:Q,16,false)</f>
        <v>1</v>
      </c>
      <c r="R16" s="31"/>
      <c r="S16" s="31">
        <f>if(G16=9,1,0)+VLOOKUP(B16,'021724'!B:S,18,false)</f>
        <v>0</v>
      </c>
    </row>
    <row r="17">
      <c r="A17" s="26">
        <f t="shared" si="3"/>
        <v>13</v>
      </c>
      <c r="B17" s="39" t="s">
        <v>111</v>
      </c>
      <c r="C17" s="28">
        <v>86.0</v>
      </c>
      <c r="D17" s="29">
        <v>8.0</v>
      </c>
      <c r="E17" s="30">
        <v>1.0</v>
      </c>
      <c r="F17" s="31">
        <v>3.0</v>
      </c>
      <c r="G17" s="28">
        <v>0.0</v>
      </c>
      <c r="H17" s="31">
        <v>7.0</v>
      </c>
      <c r="I17" s="31">
        <v>7.0</v>
      </c>
      <c r="J17" s="31">
        <v>3.0</v>
      </c>
      <c r="K17" s="33">
        <v>17.0</v>
      </c>
      <c r="L17" s="31">
        <v>2.0</v>
      </c>
      <c r="M17" s="28">
        <f t="shared" ref="M17:N17" si="14">C17+K17</f>
        <v>103</v>
      </c>
      <c r="N17" s="29">
        <f t="shared" si="14"/>
        <v>10</v>
      </c>
      <c r="O17" s="35" t="s">
        <v>46</v>
      </c>
      <c r="P17" s="35" t="s">
        <v>46</v>
      </c>
      <c r="Q17" s="31">
        <f>if(G17=13,1,0)+VLOOKUP(B17,'021724'!B:Q,16,false)</f>
        <v>0</v>
      </c>
      <c r="R17" s="31"/>
      <c r="S17" s="31">
        <f>if(G17=9,1,0)+VLOOKUP(B17,'021724'!B:S,18,false)</f>
        <v>3</v>
      </c>
    </row>
    <row r="18">
      <c r="A18" s="26">
        <f t="shared" si="3"/>
        <v>14</v>
      </c>
      <c r="B18" s="27" t="s">
        <v>96</v>
      </c>
      <c r="C18" s="28">
        <v>86.0</v>
      </c>
      <c r="D18" s="29">
        <v>7.0</v>
      </c>
      <c r="E18" s="30">
        <v>2.0</v>
      </c>
      <c r="F18" s="31">
        <v>3.0</v>
      </c>
      <c r="G18" s="28">
        <v>0.0</v>
      </c>
      <c r="H18" s="31">
        <v>7.0</v>
      </c>
      <c r="I18" s="31">
        <v>5.0</v>
      </c>
      <c r="J18" s="31">
        <v>6.0</v>
      </c>
      <c r="K18" s="33">
        <v>18.0</v>
      </c>
      <c r="L18" s="31">
        <v>2.0</v>
      </c>
      <c r="M18" s="28">
        <f t="shared" ref="M18:N18" si="15">C18+K18</f>
        <v>104</v>
      </c>
      <c r="N18" s="29">
        <f t="shared" si="15"/>
        <v>9</v>
      </c>
      <c r="O18" s="35" t="s">
        <v>46</v>
      </c>
      <c r="P18" s="35" t="s">
        <v>46</v>
      </c>
      <c r="Q18" s="31">
        <f>if(G18=13,1,0)+VLOOKUP(B18,'021724'!B:Q,16,false)</f>
        <v>1</v>
      </c>
      <c r="R18" s="31"/>
      <c r="S18" s="31">
        <f>if(G18=9,1,0)+VLOOKUP(B18,'021724'!B:S,18,false)</f>
        <v>1</v>
      </c>
    </row>
    <row r="19">
      <c r="A19" s="26">
        <f t="shared" si="3"/>
        <v>15</v>
      </c>
      <c r="B19" s="27" t="s">
        <v>113</v>
      </c>
      <c r="C19" s="28">
        <v>86.0</v>
      </c>
      <c r="D19" s="29">
        <v>5.0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95</v>
      </c>
      <c r="N19" s="29">
        <f t="shared" si="16"/>
        <v>5</v>
      </c>
      <c r="O19" s="35" t="s">
        <v>46</v>
      </c>
      <c r="P19" s="35" t="s">
        <v>46</v>
      </c>
      <c r="Q19" s="31">
        <f>if(G19=13,1,0)+VLOOKUP(B19,'021724'!B:Q,16,false)</f>
        <v>1</v>
      </c>
      <c r="R19" s="31"/>
      <c r="S19" s="31">
        <f>if(G19=9,1,0)+VLOOKUP(B19,'021724'!B:S,18,false)</f>
        <v>5</v>
      </c>
    </row>
    <row r="20">
      <c r="A20" s="26">
        <f t="shared" si="3"/>
        <v>16</v>
      </c>
      <c r="B20" s="27" t="s">
        <v>66</v>
      </c>
      <c r="C20" s="28">
        <v>85.0</v>
      </c>
      <c r="D20" s="29">
        <v>7.0</v>
      </c>
      <c r="E20" s="30">
        <v>1.0</v>
      </c>
      <c r="F20" s="31">
        <v>3.0</v>
      </c>
      <c r="G20" s="28">
        <v>0.0</v>
      </c>
      <c r="H20" s="31">
        <v>5.0</v>
      </c>
      <c r="I20" s="31">
        <v>5.0</v>
      </c>
      <c r="J20" s="31">
        <v>3.0</v>
      </c>
      <c r="K20" s="33">
        <v>13.0</v>
      </c>
      <c r="L20" s="31">
        <v>0.0</v>
      </c>
      <c r="M20" s="28">
        <f t="shared" ref="M20:N20" si="17">C20+K20</f>
        <v>98</v>
      </c>
      <c r="N20" s="29">
        <f t="shared" si="17"/>
        <v>7</v>
      </c>
      <c r="O20" s="35" t="s">
        <v>46</v>
      </c>
      <c r="P20" s="35" t="s">
        <v>46</v>
      </c>
      <c r="Q20" s="31">
        <f>if(G20=13,1,0)+VLOOKUP(B20,'021724'!B:Q,16,false)</f>
        <v>1</v>
      </c>
      <c r="R20" s="31"/>
      <c r="S20" s="31">
        <f>if(G20=9,1,0)+VLOOKUP(B20,'021724'!B:S,18,false)</f>
        <v>1</v>
      </c>
    </row>
    <row r="21">
      <c r="A21" s="26">
        <f t="shared" si="3"/>
        <v>17</v>
      </c>
      <c r="B21" s="54" t="s">
        <v>95</v>
      </c>
      <c r="C21" s="28">
        <v>84.0</v>
      </c>
      <c r="D21" s="29">
        <v>9.0</v>
      </c>
      <c r="E21" s="30">
        <v>1.0</v>
      </c>
      <c r="F21" s="31">
        <v>3.0</v>
      </c>
      <c r="G21" s="28">
        <v>0.0</v>
      </c>
      <c r="H21" s="31">
        <v>5.0</v>
      </c>
      <c r="I21" s="31">
        <v>7.0</v>
      </c>
      <c r="J21" s="31">
        <v>6.0</v>
      </c>
      <c r="K21" s="33">
        <v>18.0</v>
      </c>
      <c r="L21" s="31">
        <v>2.0</v>
      </c>
      <c r="M21" s="28">
        <f t="shared" ref="M21:N21" si="18">C21+K21</f>
        <v>102</v>
      </c>
      <c r="N21" s="29">
        <f t="shared" si="18"/>
        <v>11</v>
      </c>
      <c r="O21" s="35" t="s">
        <v>46</v>
      </c>
      <c r="P21" s="35" t="s">
        <v>46</v>
      </c>
      <c r="Q21" s="31">
        <f>if(G21=13,1,0)+VLOOKUP(B21,'021724'!B:Q,16,false)</f>
        <v>0</v>
      </c>
      <c r="R21" s="31"/>
      <c r="S21" s="31">
        <f>if(G21=9,1,0)+VLOOKUP(B21,'021724'!B:S,18,false)</f>
        <v>0</v>
      </c>
    </row>
    <row r="22">
      <c r="A22" s="26">
        <f t="shared" si="3"/>
        <v>18</v>
      </c>
      <c r="B22" s="39" t="s">
        <v>86</v>
      </c>
      <c r="C22" s="28">
        <v>84.0</v>
      </c>
      <c r="D22" s="29">
        <v>8.0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93</v>
      </c>
      <c r="N22" s="29">
        <f t="shared" si="19"/>
        <v>8</v>
      </c>
      <c r="O22" s="35" t="s">
        <v>46</v>
      </c>
      <c r="P22" s="35" t="s">
        <v>46</v>
      </c>
      <c r="Q22" s="31">
        <f>if(G22=13,1,0)+VLOOKUP(B22,'021724'!B:Q,16,false)</f>
        <v>1</v>
      </c>
      <c r="R22" s="31"/>
      <c r="S22" s="31">
        <f>if(G22=9,1,0)+VLOOKUP(B22,'021724'!B:S,18,false)</f>
        <v>3</v>
      </c>
    </row>
    <row r="23">
      <c r="A23" s="26">
        <f t="shared" si="3"/>
        <v>19</v>
      </c>
      <c r="B23" s="27" t="s">
        <v>102</v>
      </c>
      <c r="C23" s="28">
        <v>84.0</v>
      </c>
      <c r="D23" s="29">
        <v>6.0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93</v>
      </c>
      <c r="N23" s="29">
        <f t="shared" si="20"/>
        <v>6</v>
      </c>
      <c r="O23" s="35" t="s">
        <v>46</v>
      </c>
      <c r="P23" s="35" t="s">
        <v>46</v>
      </c>
      <c r="Q23" s="31">
        <f>if(G23=13,1,0)+VLOOKUP(B23,'021724'!B:Q,16,false)</f>
        <v>0</v>
      </c>
      <c r="R23" s="31"/>
      <c r="S23" s="31">
        <f>if(G23=9,1,0)+VLOOKUP(B23,'021724'!B:S,18,false)</f>
        <v>5</v>
      </c>
    </row>
    <row r="24">
      <c r="A24" s="26">
        <f t="shared" si="3"/>
        <v>20</v>
      </c>
      <c r="B24" s="27" t="s">
        <v>98</v>
      </c>
      <c r="C24" s="28">
        <v>84.0</v>
      </c>
      <c r="D24" s="29">
        <v>5.0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93</v>
      </c>
      <c r="N24" s="29">
        <f t="shared" si="21"/>
        <v>5</v>
      </c>
      <c r="O24" s="35" t="s">
        <v>46</v>
      </c>
      <c r="P24" s="35" t="s">
        <v>46</v>
      </c>
      <c r="Q24" s="31">
        <f>if(G24=13,1,0)+VLOOKUP(B24,'021724'!B:Q,16,false)</f>
        <v>1</v>
      </c>
      <c r="R24" s="31"/>
      <c r="S24" s="31">
        <f>if(G24=9,1,0)+VLOOKUP(B24,'021724'!B:S,18,false)</f>
        <v>5</v>
      </c>
    </row>
    <row r="25">
      <c r="A25" s="26">
        <f t="shared" si="3"/>
        <v>21</v>
      </c>
      <c r="B25" s="27" t="s">
        <v>79</v>
      </c>
      <c r="C25" s="28">
        <v>82.0</v>
      </c>
      <c r="D25" s="29">
        <v>6.0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91</v>
      </c>
      <c r="N25" s="29">
        <f t="shared" si="22"/>
        <v>6</v>
      </c>
      <c r="O25" s="35" t="s">
        <v>46</v>
      </c>
      <c r="P25" s="35" t="s">
        <v>46</v>
      </c>
      <c r="Q25" s="31">
        <f>if(G25=13,1,0)+VLOOKUP(B25,'021724'!B:Q,16,false)</f>
        <v>0</v>
      </c>
      <c r="R25" s="31"/>
      <c r="S25" s="31">
        <f>if(G25=9,1,0)+VLOOKUP(B25,'021724'!B:S,18,false)</f>
        <v>3</v>
      </c>
    </row>
    <row r="26">
      <c r="A26" s="26">
        <f t="shared" si="3"/>
        <v>22</v>
      </c>
      <c r="B26" s="39" t="s">
        <v>52</v>
      </c>
      <c r="C26" s="28">
        <v>81.0</v>
      </c>
      <c r="D26" s="29">
        <v>6.0</v>
      </c>
      <c r="E26" s="30">
        <v>1.0</v>
      </c>
      <c r="F26" s="31">
        <v>4.0</v>
      </c>
      <c r="G26" s="28">
        <v>0.0</v>
      </c>
      <c r="H26" s="31">
        <v>6.0</v>
      </c>
      <c r="I26" s="31">
        <v>6.0</v>
      </c>
      <c r="J26" s="31">
        <v>1.0</v>
      </c>
      <c r="K26" s="33">
        <v>13.0</v>
      </c>
      <c r="L26" s="31">
        <v>2.0</v>
      </c>
      <c r="M26" s="28">
        <f t="shared" ref="M26:N26" si="23">C26+K26</f>
        <v>94</v>
      </c>
      <c r="N26" s="29">
        <f t="shared" si="23"/>
        <v>8</v>
      </c>
      <c r="O26" s="35" t="s">
        <v>46</v>
      </c>
      <c r="P26" s="35" t="s">
        <v>46</v>
      </c>
      <c r="Q26" s="31">
        <f>if(G26=13,1,0)+VLOOKUP(B26,'021724'!B:Q,16,false)</f>
        <v>0</v>
      </c>
      <c r="R26" s="31"/>
      <c r="S26" s="31">
        <f>if(G26=9,1,0)+VLOOKUP(B26,'021724'!B:S,18,false)</f>
        <v>4</v>
      </c>
    </row>
    <row r="27">
      <c r="A27" s="26">
        <f t="shared" si="3"/>
        <v>23</v>
      </c>
      <c r="B27" s="27" t="s">
        <v>65</v>
      </c>
      <c r="C27" s="28">
        <v>81.0</v>
      </c>
      <c r="D27" s="29">
        <v>6.0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90</v>
      </c>
      <c r="N27" s="29">
        <f t="shared" si="24"/>
        <v>6</v>
      </c>
      <c r="O27" s="35" t="s">
        <v>46</v>
      </c>
      <c r="P27" s="35" t="s">
        <v>46</v>
      </c>
      <c r="Q27" s="31">
        <f>if(G27=13,1,0)+VLOOKUP(B27,'021724'!B:Q,16,false)</f>
        <v>0</v>
      </c>
      <c r="R27" s="31"/>
      <c r="S27" s="31">
        <f>if(G27=9,1,0)+VLOOKUP(B27,'021724'!B:S,18,false)</f>
        <v>6</v>
      </c>
    </row>
    <row r="28">
      <c r="A28" s="26">
        <f t="shared" si="3"/>
        <v>24</v>
      </c>
      <c r="B28" s="27" t="s">
        <v>110</v>
      </c>
      <c r="C28" s="28">
        <v>81.0</v>
      </c>
      <c r="D28" s="29">
        <v>6.0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90</v>
      </c>
      <c r="N28" s="29">
        <f t="shared" si="25"/>
        <v>6</v>
      </c>
      <c r="O28" s="35" t="s">
        <v>46</v>
      </c>
      <c r="P28" s="35" t="s">
        <v>46</v>
      </c>
      <c r="Q28" s="31">
        <f>if(G28=13,1,0)+VLOOKUP(B28,'021724'!B:Q,16,false)</f>
        <v>1</v>
      </c>
      <c r="R28" s="31"/>
      <c r="S28" s="31">
        <f>if(G28=9,1,0)+VLOOKUP(B28,'021724'!B:S,18,false)</f>
        <v>3</v>
      </c>
    </row>
    <row r="29">
      <c r="A29" s="26">
        <f t="shared" si="3"/>
        <v>25</v>
      </c>
      <c r="B29" s="27" t="s">
        <v>117</v>
      </c>
      <c r="C29" s="28">
        <v>81.0</v>
      </c>
      <c r="D29" s="29">
        <v>4.0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90</v>
      </c>
      <c r="N29" s="29">
        <f t="shared" si="26"/>
        <v>4</v>
      </c>
      <c r="O29" s="35" t="s">
        <v>46</v>
      </c>
      <c r="P29" s="35" t="s">
        <v>46</v>
      </c>
      <c r="Q29" s="31">
        <f>if(G29=13,1,0)+VLOOKUP(B29,'021724'!B:Q,16,false)</f>
        <v>2</v>
      </c>
      <c r="R29" s="31"/>
      <c r="S29" s="31">
        <f>if(G29=9,1,0)+VLOOKUP(B29,'021724'!B:S,18,false)</f>
        <v>4</v>
      </c>
    </row>
    <row r="30">
      <c r="A30" s="26">
        <f t="shared" si="3"/>
        <v>26</v>
      </c>
      <c r="B30" s="39" t="s">
        <v>105</v>
      </c>
      <c r="C30" s="28">
        <v>80.0</v>
      </c>
      <c r="D30" s="29">
        <v>7.0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89</v>
      </c>
      <c r="N30" s="29">
        <f t="shared" si="27"/>
        <v>7</v>
      </c>
      <c r="O30" s="35" t="s">
        <v>46</v>
      </c>
      <c r="P30" s="35" t="s">
        <v>46</v>
      </c>
      <c r="Q30" s="31">
        <f>if(G30=13,1,0)+VLOOKUP(B30,'021724'!B:Q,16,false)</f>
        <v>0</v>
      </c>
      <c r="R30" s="31"/>
      <c r="S30" s="31">
        <f>if(G30=9,1,0)+VLOOKUP(B30,'021724'!B:S,18,false)</f>
        <v>2</v>
      </c>
    </row>
    <row r="31">
      <c r="A31" s="26">
        <f t="shared" si="3"/>
        <v>27</v>
      </c>
      <c r="B31" s="27" t="s">
        <v>57</v>
      </c>
      <c r="C31" s="28">
        <v>80.0</v>
      </c>
      <c r="D31" s="29">
        <v>6.0</v>
      </c>
      <c r="E31" s="30">
        <v>1.0</v>
      </c>
      <c r="F31" s="31">
        <v>4.0</v>
      </c>
      <c r="G31" s="28">
        <v>0.0</v>
      </c>
      <c r="H31" s="31">
        <v>3.0</v>
      </c>
      <c r="I31" s="31">
        <v>6.0</v>
      </c>
      <c r="J31" s="31">
        <v>6.0</v>
      </c>
      <c r="K31" s="33">
        <v>15.0</v>
      </c>
      <c r="L31" s="31">
        <v>2.0</v>
      </c>
      <c r="M31" s="28">
        <f t="shared" ref="M31:N31" si="28">C31+K31</f>
        <v>95</v>
      </c>
      <c r="N31" s="29">
        <f t="shared" si="28"/>
        <v>8</v>
      </c>
      <c r="O31" s="35" t="s">
        <v>46</v>
      </c>
      <c r="P31" s="35" t="s">
        <v>46</v>
      </c>
      <c r="Q31" s="31">
        <f>if(G31=13,1,0)+VLOOKUP(B31,'021724'!B:Q,16,false)</f>
        <v>0</v>
      </c>
      <c r="R31" s="31"/>
      <c r="S31" s="31">
        <f>if(G31=9,1,0)+VLOOKUP(B31,'021724'!B:S,18,false)</f>
        <v>4</v>
      </c>
    </row>
    <row r="32">
      <c r="A32" s="26">
        <f t="shared" si="3"/>
        <v>28</v>
      </c>
      <c r="B32" s="39" t="s">
        <v>45</v>
      </c>
      <c r="C32" s="28">
        <v>80.0</v>
      </c>
      <c r="D32" s="29">
        <v>6.0</v>
      </c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f t="shared" ref="M32:N32" si="29">C32+K32</f>
        <v>89</v>
      </c>
      <c r="N32" s="29">
        <f t="shared" si="29"/>
        <v>6</v>
      </c>
      <c r="O32" s="35" t="s">
        <v>46</v>
      </c>
      <c r="P32" s="35" t="s">
        <v>46</v>
      </c>
      <c r="Q32" s="31">
        <f>if(G32=13,1,0)+VLOOKUP(B32,'021724'!B:Q,16,false)</f>
        <v>1</v>
      </c>
      <c r="R32" s="31"/>
      <c r="S32" s="31">
        <f>if(G32=9,1,0)+VLOOKUP(B32,'021724'!B:S,18,false)</f>
        <v>2</v>
      </c>
    </row>
    <row r="33">
      <c r="A33" s="26">
        <f t="shared" si="3"/>
        <v>29</v>
      </c>
      <c r="B33" s="27" t="s">
        <v>107</v>
      </c>
      <c r="C33" s="28">
        <v>80.0</v>
      </c>
      <c r="D33" s="29">
        <v>3.0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89</v>
      </c>
      <c r="N33" s="29">
        <f t="shared" si="30"/>
        <v>3</v>
      </c>
      <c r="O33" s="35" t="s">
        <v>46</v>
      </c>
      <c r="P33" s="35" t="s">
        <v>46</v>
      </c>
      <c r="Q33" s="31">
        <f>if(G33=13,1,0)+VLOOKUP(B33,'021724'!B:Q,16,false)</f>
        <v>2</v>
      </c>
      <c r="R33" s="31"/>
      <c r="S33" s="31">
        <f>if(G33=9,1,0)+VLOOKUP(B33,'021724'!B:S,18,false)</f>
        <v>4</v>
      </c>
    </row>
    <row r="34">
      <c r="A34" s="26">
        <f t="shared" si="3"/>
        <v>30</v>
      </c>
      <c r="B34" s="27" t="s">
        <v>39</v>
      </c>
      <c r="C34" s="28">
        <v>79.0</v>
      </c>
      <c r="D34" s="29">
        <v>4.0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88</v>
      </c>
      <c r="N34" s="29">
        <f t="shared" si="31"/>
        <v>4</v>
      </c>
      <c r="O34" s="35" t="s">
        <v>46</v>
      </c>
      <c r="P34" s="35" t="s">
        <v>46</v>
      </c>
      <c r="Q34" s="31">
        <f>if(G34=13,1,0)+VLOOKUP(B34,'021724'!B:Q,16,false)</f>
        <v>0</v>
      </c>
      <c r="R34" s="31"/>
      <c r="S34" s="31">
        <f>if(G34=9,1,0)+VLOOKUP(B34,'021724'!B:S,18,false)</f>
        <v>6</v>
      </c>
    </row>
    <row r="35">
      <c r="A35" s="26">
        <f t="shared" si="3"/>
        <v>31</v>
      </c>
      <c r="B35" s="27" t="s">
        <v>76</v>
      </c>
      <c r="C35" s="28">
        <v>79.0</v>
      </c>
      <c r="D35" s="29">
        <v>4.0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88</v>
      </c>
      <c r="N35" s="29">
        <f t="shared" si="32"/>
        <v>4</v>
      </c>
      <c r="O35" s="35" t="s">
        <v>46</v>
      </c>
      <c r="P35" s="35" t="s">
        <v>46</v>
      </c>
      <c r="Q35" s="31">
        <f>if(G35=13,1,0)+VLOOKUP(B35,'021724'!B:Q,16,false)</f>
        <v>1</v>
      </c>
      <c r="R35" s="31"/>
      <c r="S35" s="31">
        <f>if(G35=9,1,0)+VLOOKUP(B35,'021724'!B:S,18,false)</f>
        <v>3</v>
      </c>
    </row>
    <row r="36">
      <c r="A36" s="26">
        <f t="shared" si="3"/>
        <v>32</v>
      </c>
      <c r="B36" s="54" t="s">
        <v>73</v>
      </c>
      <c r="C36" s="28">
        <v>78.0</v>
      </c>
      <c r="D36" s="29">
        <v>7.0</v>
      </c>
      <c r="E36" s="30">
        <v>1.0</v>
      </c>
      <c r="F36" s="31">
        <v>4.0</v>
      </c>
      <c r="G36" s="28">
        <v>0.0</v>
      </c>
      <c r="H36" s="31">
        <v>6.0</v>
      </c>
      <c r="I36" s="31">
        <v>1.0</v>
      </c>
      <c r="J36" s="31">
        <v>6.0</v>
      </c>
      <c r="K36" s="33">
        <v>13.0</v>
      </c>
      <c r="L36" s="31">
        <v>2.0</v>
      </c>
      <c r="M36" s="28">
        <f t="shared" ref="M36:N36" si="33">C36+K36</f>
        <v>91</v>
      </c>
      <c r="N36" s="29">
        <f t="shared" si="33"/>
        <v>9</v>
      </c>
      <c r="O36" s="35" t="s">
        <v>46</v>
      </c>
      <c r="P36" s="35" t="s">
        <v>46</v>
      </c>
      <c r="Q36" s="31">
        <f>if(G36=13,1,0)+VLOOKUP(B36,'021724'!B:Q,16,false)</f>
        <v>0</v>
      </c>
      <c r="R36" s="31"/>
      <c r="S36" s="31">
        <f>if(G36=9,1,0)+VLOOKUP(B36,'021724'!B:S,18,false)</f>
        <v>0</v>
      </c>
    </row>
    <row r="37">
      <c r="A37" s="26">
        <f t="shared" si="3"/>
        <v>33</v>
      </c>
      <c r="B37" s="54" t="s">
        <v>54</v>
      </c>
      <c r="C37" s="28">
        <v>78.0</v>
      </c>
      <c r="D37" s="29">
        <v>5.0</v>
      </c>
      <c r="E37" s="30">
        <v>2.0</v>
      </c>
      <c r="F37" s="31">
        <v>4.0</v>
      </c>
      <c r="G37" s="28">
        <v>0.0</v>
      </c>
      <c r="H37" s="31">
        <v>3.0</v>
      </c>
      <c r="I37" s="31">
        <v>1.0</v>
      </c>
      <c r="J37" s="31">
        <v>1.0</v>
      </c>
      <c r="K37" s="33">
        <v>5.0</v>
      </c>
      <c r="L37" s="31">
        <v>0.0</v>
      </c>
      <c r="M37" s="28">
        <f t="shared" ref="M37:N37" si="34">C37+K37</f>
        <v>83</v>
      </c>
      <c r="N37" s="29">
        <f t="shared" si="34"/>
        <v>5</v>
      </c>
      <c r="O37" s="35" t="s">
        <v>46</v>
      </c>
      <c r="P37" s="35" t="s">
        <v>46</v>
      </c>
      <c r="Q37" s="31">
        <f>if(G37=13,1,0)+VLOOKUP(B37,'021724'!B:Q,16,false)</f>
        <v>1</v>
      </c>
      <c r="R37" s="31"/>
      <c r="S37" s="31">
        <f>if(G37=9,1,0)+VLOOKUP(B37,'021724'!B:S,18,false)</f>
        <v>2</v>
      </c>
    </row>
    <row r="38">
      <c r="A38" s="26">
        <f t="shared" si="3"/>
        <v>34</v>
      </c>
      <c r="B38" s="27" t="s">
        <v>68</v>
      </c>
      <c r="C38" s="28">
        <v>78.0</v>
      </c>
      <c r="D38" s="29">
        <v>3.0</v>
      </c>
      <c r="E38" s="30">
        <v>2.0</v>
      </c>
      <c r="F38" s="31">
        <v>5.0</v>
      </c>
      <c r="G38" s="28">
        <v>0.0</v>
      </c>
      <c r="H38" s="31">
        <v>6.0</v>
      </c>
      <c r="I38" s="31">
        <v>6.0</v>
      </c>
      <c r="J38" s="31">
        <v>0.0</v>
      </c>
      <c r="K38" s="33">
        <v>12.0</v>
      </c>
      <c r="L38" s="31">
        <v>2.0</v>
      </c>
      <c r="M38" s="28">
        <f t="shared" ref="M38:N38" si="35">C38+K38</f>
        <v>90</v>
      </c>
      <c r="N38" s="29">
        <f t="shared" si="35"/>
        <v>5</v>
      </c>
      <c r="O38" s="35" t="s">
        <v>46</v>
      </c>
      <c r="P38" s="35" t="s">
        <v>46</v>
      </c>
      <c r="Q38" s="31">
        <f>if(G38=13,1,0)+VLOOKUP(B38,'021724'!B:Q,16,false)</f>
        <v>2</v>
      </c>
      <c r="R38" s="31"/>
      <c r="S38" s="31">
        <f>if(G38=9,1,0)+VLOOKUP(B38,'021724'!B:S,18,false)</f>
        <v>3</v>
      </c>
    </row>
    <row r="39">
      <c r="A39" s="26">
        <f t="shared" si="3"/>
        <v>35</v>
      </c>
      <c r="B39" s="27" t="s">
        <v>118</v>
      </c>
      <c r="C39" s="28">
        <v>78.0</v>
      </c>
      <c r="D39" s="29">
        <v>2.0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87</v>
      </c>
      <c r="N39" s="29">
        <f t="shared" si="36"/>
        <v>2</v>
      </c>
      <c r="O39" s="35" t="s">
        <v>46</v>
      </c>
      <c r="P39" s="35" t="s">
        <v>46</v>
      </c>
      <c r="Q39" s="31">
        <f>if(G39=13,1,0)+VLOOKUP(B39,'021724'!B:Q,16,false)</f>
        <v>2</v>
      </c>
      <c r="R39" s="31"/>
      <c r="S39" s="31">
        <f>if(G39=9,1,0)+VLOOKUP(B39,'021724'!B:S,18,false)</f>
        <v>5</v>
      </c>
    </row>
    <row r="40">
      <c r="A40" s="26">
        <f t="shared" si="3"/>
        <v>36</v>
      </c>
      <c r="B40" s="54" t="s">
        <v>59</v>
      </c>
      <c r="C40" s="28">
        <v>77.0</v>
      </c>
      <c r="D40" s="29">
        <v>7.0</v>
      </c>
      <c r="E40" s="30">
        <v>1.0</v>
      </c>
      <c r="F40" s="31">
        <v>5.0</v>
      </c>
      <c r="G40" s="28">
        <v>0.0</v>
      </c>
      <c r="H40" s="31">
        <v>6.0</v>
      </c>
      <c r="I40" s="31">
        <v>0.0</v>
      </c>
      <c r="J40" s="31">
        <v>6.0</v>
      </c>
      <c r="K40" s="33">
        <v>12.0</v>
      </c>
      <c r="L40" s="31">
        <v>2.0</v>
      </c>
      <c r="M40" s="28">
        <f t="shared" ref="M40:N40" si="37">C40+K40</f>
        <v>89</v>
      </c>
      <c r="N40" s="29">
        <f t="shared" si="37"/>
        <v>9</v>
      </c>
      <c r="O40" s="35" t="s">
        <v>46</v>
      </c>
      <c r="P40" s="35" t="s">
        <v>46</v>
      </c>
      <c r="Q40" s="31">
        <f>if(G40=13,1,0)+VLOOKUP(B40,'021724'!B:Q,16,false)</f>
        <v>1</v>
      </c>
      <c r="R40" s="31"/>
      <c r="S40" s="31">
        <f>if(G40=9,1,0)+VLOOKUP(B40,'021724'!B:S,18,false)</f>
        <v>1</v>
      </c>
    </row>
    <row r="41">
      <c r="A41" s="26">
        <f t="shared" si="3"/>
        <v>37</v>
      </c>
      <c r="B41" s="54" t="s">
        <v>89</v>
      </c>
      <c r="C41" s="28">
        <v>77.0</v>
      </c>
      <c r="D41" s="29">
        <v>7.0</v>
      </c>
      <c r="E41" s="30">
        <v>1.0</v>
      </c>
      <c r="F41" s="31">
        <v>5.0</v>
      </c>
      <c r="G41" s="28">
        <v>0.0</v>
      </c>
      <c r="H41" s="31">
        <v>0.0</v>
      </c>
      <c r="I41" s="31">
        <v>0.0</v>
      </c>
      <c r="J41" s="31">
        <v>0.0</v>
      </c>
      <c r="K41" s="33">
        <v>0.0</v>
      </c>
      <c r="L41" s="31">
        <v>0.0</v>
      </c>
      <c r="M41" s="28">
        <f t="shared" ref="M41:N41" si="38">C41+K41</f>
        <v>77</v>
      </c>
      <c r="N41" s="29">
        <f t="shared" si="38"/>
        <v>7</v>
      </c>
      <c r="O41" s="35" t="s">
        <v>46</v>
      </c>
      <c r="P41" s="35" t="s">
        <v>46</v>
      </c>
      <c r="Q41" s="31">
        <f>if(G41=13,1,0)+VLOOKUP(B41,'021724'!B:Q,16,false)</f>
        <v>0</v>
      </c>
      <c r="R41" s="31"/>
      <c r="S41" s="31">
        <f>if(G41=9,1,0)+VLOOKUP(B41,'021724'!B:S,18,false)</f>
        <v>1</v>
      </c>
    </row>
    <row r="42">
      <c r="A42" s="26">
        <f t="shared" si="3"/>
        <v>38</v>
      </c>
      <c r="B42" s="39" t="s">
        <v>50</v>
      </c>
      <c r="C42" s="28">
        <v>77.0</v>
      </c>
      <c r="D42" s="29">
        <v>5.0</v>
      </c>
      <c r="E42" s="30">
        <v>1.0</v>
      </c>
      <c r="F42" s="31">
        <v>5.0</v>
      </c>
      <c r="G42" s="28">
        <v>0.0</v>
      </c>
      <c r="H42" s="31">
        <v>0.0</v>
      </c>
      <c r="I42" s="31">
        <v>6.0</v>
      </c>
      <c r="J42" s="31">
        <v>6.0</v>
      </c>
      <c r="K42" s="33">
        <v>12.0</v>
      </c>
      <c r="L42" s="31">
        <v>2.0</v>
      </c>
      <c r="M42" s="28">
        <f t="shared" ref="M42:N42" si="39">C42+K42</f>
        <v>89</v>
      </c>
      <c r="N42" s="29">
        <f t="shared" si="39"/>
        <v>7</v>
      </c>
      <c r="O42" s="35" t="s">
        <v>46</v>
      </c>
      <c r="P42" s="35" t="s">
        <v>46</v>
      </c>
      <c r="Q42" s="31">
        <f>if(G42=13,1,0)+VLOOKUP(B42,'021724'!B:Q,16,false)</f>
        <v>0</v>
      </c>
      <c r="R42" s="31"/>
      <c r="S42" s="31">
        <f>if(G42=9,1,0)+VLOOKUP(B42,'021724'!B:S,18,false)</f>
        <v>5</v>
      </c>
    </row>
    <row r="43">
      <c r="A43" s="26">
        <f t="shared" si="3"/>
        <v>39</v>
      </c>
      <c r="B43" s="39" t="s">
        <v>103</v>
      </c>
      <c r="C43" s="28">
        <v>77.0</v>
      </c>
      <c r="D43" s="29">
        <v>4.0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86</v>
      </c>
      <c r="N43" s="29">
        <f t="shared" si="40"/>
        <v>4</v>
      </c>
      <c r="O43" s="35" t="s">
        <v>46</v>
      </c>
      <c r="P43" s="35" t="s">
        <v>46</v>
      </c>
      <c r="Q43" s="31">
        <f>if(G43=13,1,0)+VLOOKUP(B43,'021724'!B:Q,16,false)</f>
        <v>1</v>
      </c>
      <c r="R43" s="31"/>
      <c r="S43" s="31">
        <f>if(G43=9,1,0)+VLOOKUP(B43,'021724'!B:S,18,false)</f>
        <v>5</v>
      </c>
    </row>
    <row r="44">
      <c r="A44" s="26">
        <f t="shared" si="3"/>
        <v>40</v>
      </c>
      <c r="B44" s="39" t="s">
        <v>55</v>
      </c>
      <c r="C44" s="28">
        <v>77.0</v>
      </c>
      <c r="D44" s="29">
        <v>4.0</v>
      </c>
      <c r="E44" s="30">
        <v>1.0</v>
      </c>
      <c r="F44" s="31">
        <v>6.0</v>
      </c>
      <c r="G44" s="28">
        <v>0.0</v>
      </c>
      <c r="H44" s="31">
        <v>6.0</v>
      </c>
      <c r="I44" s="31">
        <v>6.0</v>
      </c>
      <c r="J44" s="31">
        <v>6.0</v>
      </c>
      <c r="K44" s="33">
        <v>18.0</v>
      </c>
      <c r="L44" s="31">
        <v>3.0</v>
      </c>
      <c r="M44" s="28">
        <f t="shared" ref="M44:N44" si="41">C44+K44</f>
        <v>95</v>
      </c>
      <c r="N44" s="29">
        <f t="shared" si="41"/>
        <v>7</v>
      </c>
      <c r="O44" s="35" t="s">
        <v>46</v>
      </c>
      <c r="P44" s="35" t="s">
        <v>46</v>
      </c>
      <c r="Q44" s="31">
        <f>if(G44=13,1,0)+VLOOKUP(B44,'021724'!B:Q,16,false)</f>
        <v>1</v>
      </c>
      <c r="R44" s="31"/>
      <c r="S44" s="31">
        <f>if(G44=9,1,0)+VLOOKUP(B44,'021724'!B:S,18,false)</f>
        <v>4</v>
      </c>
    </row>
    <row r="45">
      <c r="A45" s="26">
        <f t="shared" si="3"/>
        <v>41</v>
      </c>
      <c r="B45" s="39" t="s">
        <v>106</v>
      </c>
      <c r="C45" s="28">
        <v>76.0</v>
      </c>
      <c r="D45" s="29">
        <v>5.0</v>
      </c>
      <c r="E45" s="30">
        <v>1.0</v>
      </c>
      <c r="F45" s="31">
        <v>6.0</v>
      </c>
      <c r="G45" s="28">
        <v>0.0</v>
      </c>
      <c r="H45" s="31">
        <v>4.0</v>
      </c>
      <c r="I45" s="31">
        <v>6.0</v>
      </c>
      <c r="J45" s="31">
        <v>2.0</v>
      </c>
      <c r="K45" s="33">
        <v>12.0</v>
      </c>
      <c r="L45" s="31">
        <v>1.0</v>
      </c>
      <c r="M45" s="28">
        <f t="shared" ref="M45:N45" si="42">C45+K45</f>
        <v>88</v>
      </c>
      <c r="N45" s="29">
        <f t="shared" si="42"/>
        <v>6</v>
      </c>
      <c r="O45" s="35" t="s">
        <v>46</v>
      </c>
      <c r="P45" s="35" t="s">
        <v>46</v>
      </c>
      <c r="Q45" s="31">
        <f>if(G45=13,1,0)+VLOOKUP(B45,'021724'!B:Q,16,false)</f>
        <v>0</v>
      </c>
      <c r="R45" s="31"/>
      <c r="S45" s="31">
        <f>if(G45=9,1,0)+VLOOKUP(B45,'021724'!B:S,18,false)</f>
        <v>4</v>
      </c>
    </row>
    <row r="46">
      <c r="A46" s="26">
        <f t="shared" si="3"/>
        <v>42</v>
      </c>
      <c r="B46" s="54" t="s">
        <v>123</v>
      </c>
      <c r="C46" s="28">
        <v>76.0</v>
      </c>
      <c r="D46" s="29">
        <v>2.0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85</v>
      </c>
      <c r="N46" s="29">
        <f t="shared" si="43"/>
        <v>2</v>
      </c>
      <c r="O46" s="35" t="s">
        <v>46</v>
      </c>
      <c r="P46" s="35" t="s">
        <v>46</v>
      </c>
      <c r="Q46" s="31">
        <f>if(G46=13,1,0)+VLOOKUP(B46,'021724'!B:Q,16,false)</f>
        <v>1</v>
      </c>
      <c r="R46" s="31"/>
      <c r="S46" s="31">
        <f>if(G46=9,1,0)+VLOOKUP(B46,'021724'!B:S,18,false)</f>
        <v>6</v>
      </c>
    </row>
    <row r="47">
      <c r="A47" s="26">
        <f t="shared" si="3"/>
        <v>43</v>
      </c>
      <c r="B47" s="27" t="s">
        <v>109</v>
      </c>
      <c r="C47" s="28">
        <v>76.0</v>
      </c>
      <c r="D47" s="29">
        <v>2.0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85</v>
      </c>
      <c r="N47" s="29">
        <f t="shared" si="44"/>
        <v>2</v>
      </c>
      <c r="O47" s="35" t="s">
        <v>46</v>
      </c>
      <c r="P47" s="35" t="s">
        <v>46</v>
      </c>
      <c r="Q47" s="31">
        <f>if(G47=13,1,0)+VLOOKUP(B47,'021724'!B:Q,16,false)</f>
        <v>2</v>
      </c>
      <c r="R47" s="31"/>
      <c r="S47" s="31">
        <f>if(G47=9,1,0)+VLOOKUP(B47,'021724'!B:S,18,false)</f>
        <v>4</v>
      </c>
    </row>
    <row r="48">
      <c r="A48" s="26">
        <f t="shared" si="3"/>
        <v>44</v>
      </c>
      <c r="B48" s="54" t="s">
        <v>116</v>
      </c>
      <c r="C48" s="28">
        <v>75.0</v>
      </c>
      <c r="D48" s="29">
        <v>4.0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84</v>
      </c>
      <c r="N48" s="29">
        <f t="shared" si="45"/>
        <v>4</v>
      </c>
      <c r="O48" s="35" t="s">
        <v>46</v>
      </c>
      <c r="P48" s="35" t="s">
        <v>46</v>
      </c>
      <c r="Q48" s="31">
        <f>if(G48=13,1,0)+VLOOKUP(B48,'021724'!B:Q,16,false)</f>
        <v>0</v>
      </c>
      <c r="R48" s="31"/>
      <c r="S48" s="31">
        <f>if(G48=9,1,0)+VLOOKUP(B48,'021724'!B:S,18,false)</f>
        <v>5</v>
      </c>
    </row>
    <row r="49">
      <c r="A49" s="26">
        <f t="shared" si="3"/>
        <v>45</v>
      </c>
      <c r="B49" s="54" t="s">
        <v>100</v>
      </c>
      <c r="C49" s="28">
        <v>75.0</v>
      </c>
      <c r="D49" s="29">
        <v>4.0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84</v>
      </c>
      <c r="N49" s="29">
        <f t="shared" si="46"/>
        <v>4</v>
      </c>
      <c r="O49" s="35" t="s">
        <v>46</v>
      </c>
      <c r="P49" s="35" t="s">
        <v>46</v>
      </c>
      <c r="Q49" s="31">
        <f>if(G49=13,1,0)+VLOOKUP(B49,'021724'!B:Q,16,false)</f>
        <v>1</v>
      </c>
      <c r="R49" s="31"/>
      <c r="S49" s="31">
        <f>if(G49=9,1,0)+VLOOKUP(B49,'021724'!B:S,18,false)</f>
        <v>4</v>
      </c>
    </row>
    <row r="50">
      <c r="A50" s="26">
        <f t="shared" si="3"/>
        <v>46</v>
      </c>
      <c r="B50" s="27" t="s">
        <v>120</v>
      </c>
      <c r="C50" s="28">
        <v>75.0</v>
      </c>
      <c r="D50" s="29">
        <v>2.0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84</v>
      </c>
      <c r="N50" s="29">
        <f t="shared" si="47"/>
        <v>2</v>
      </c>
      <c r="O50" s="35" t="s">
        <v>46</v>
      </c>
      <c r="P50" s="35" t="s">
        <v>46</v>
      </c>
      <c r="Q50" s="31">
        <f>if(G50=13,1,0)+VLOOKUP(B50,'021724'!B:Q,16,false)</f>
        <v>1</v>
      </c>
      <c r="R50" s="31"/>
      <c r="S50" s="31">
        <f>if(G50=9,1,0)+VLOOKUP(B50,'021724'!B:S,18,false)</f>
        <v>6</v>
      </c>
    </row>
    <row r="51">
      <c r="A51" s="26">
        <f t="shared" si="3"/>
        <v>47</v>
      </c>
      <c r="B51" s="76" t="s">
        <v>47</v>
      </c>
      <c r="C51" s="28">
        <v>73.0</v>
      </c>
      <c r="D51" s="29">
        <v>6.0</v>
      </c>
      <c r="E51" s="30">
        <v>1.0</v>
      </c>
      <c r="F51" s="31">
        <v>6.0</v>
      </c>
      <c r="G51" s="28">
        <v>0.0</v>
      </c>
      <c r="H51" s="31">
        <v>6.0</v>
      </c>
      <c r="I51" s="31">
        <v>2.0</v>
      </c>
      <c r="J51" s="31">
        <v>2.0</v>
      </c>
      <c r="K51" s="33">
        <v>10.0</v>
      </c>
      <c r="L51" s="31">
        <v>1.0</v>
      </c>
      <c r="M51" s="28">
        <f t="shared" ref="M51:N51" si="48">C51+K51</f>
        <v>83</v>
      </c>
      <c r="N51" s="29">
        <f t="shared" si="48"/>
        <v>7</v>
      </c>
      <c r="O51" s="35" t="s">
        <v>46</v>
      </c>
      <c r="P51" s="35" t="s">
        <v>46</v>
      </c>
      <c r="Q51" s="31">
        <f>if(G51=13,1,0)+VLOOKUP(B51,'021724'!B:Q,16,false)</f>
        <v>0</v>
      </c>
      <c r="R51" s="31"/>
      <c r="S51" s="31">
        <f>if(G51=9,1,0)+VLOOKUP(B51,'021724'!B:S,18,false)</f>
        <v>0</v>
      </c>
    </row>
    <row r="52">
      <c r="A52" s="26">
        <f t="shared" si="3"/>
        <v>48</v>
      </c>
      <c r="B52" s="39" t="s">
        <v>119</v>
      </c>
      <c r="C52" s="28">
        <v>73.0</v>
      </c>
      <c r="D52" s="29">
        <v>4.0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82</v>
      </c>
      <c r="N52" s="29">
        <f t="shared" si="49"/>
        <v>4</v>
      </c>
      <c r="O52" s="35" t="s">
        <v>46</v>
      </c>
      <c r="P52" s="35" t="s">
        <v>46</v>
      </c>
      <c r="Q52" s="31">
        <f>if(G52=13,1,0)+VLOOKUP(B52,'021724'!B:Q,16,false)</f>
        <v>0</v>
      </c>
      <c r="R52" s="31"/>
      <c r="S52" s="31">
        <f>if(G52=9,1,0)+VLOOKUP(B52,'021724'!B:S,18,false)</f>
        <v>6</v>
      </c>
    </row>
    <row r="53">
      <c r="A53" s="26">
        <f t="shared" si="3"/>
        <v>49</v>
      </c>
      <c r="B53" s="27" t="s">
        <v>42</v>
      </c>
      <c r="C53" s="28">
        <v>72.0</v>
      </c>
      <c r="D53" s="29">
        <v>7.0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81</v>
      </c>
      <c r="N53" s="29">
        <f t="shared" si="50"/>
        <v>7</v>
      </c>
      <c r="O53" s="35" t="s">
        <v>46</v>
      </c>
      <c r="P53" s="35" t="s">
        <v>46</v>
      </c>
      <c r="Q53" s="31">
        <f>if(G53=13,1,0)+VLOOKUP(B53,'021724'!B:Q,16,false)</f>
        <v>0</v>
      </c>
      <c r="R53" s="31"/>
      <c r="S53" s="31">
        <f>if(G53=9,1,0)+VLOOKUP(B53,'021724'!B:S,18,false)</f>
        <v>1</v>
      </c>
    </row>
    <row r="54">
      <c r="A54" s="26">
        <f t="shared" si="3"/>
        <v>50</v>
      </c>
      <c r="B54" s="39" t="s">
        <v>121</v>
      </c>
      <c r="C54" s="28">
        <v>72.0</v>
      </c>
      <c r="D54" s="29">
        <v>3.0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81</v>
      </c>
      <c r="N54" s="29">
        <f t="shared" si="51"/>
        <v>3</v>
      </c>
      <c r="O54" s="35" t="s">
        <v>46</v>
      </c>
      <c r="P54" s="35" t="s">
        <v>46</v>
      </c>
      <c r="Q54" s="31">
        <f>if(G54=13,1,0)+VLOOKUP(B54,'021724'!B:Q,16,false)</f>
        <v>0</v>
      </c>
      <c r="R54" s="31"/>
      <c r="S54" s="31">
        <f>if(G54=9,1,0)+VLOOKUP(B54,'021724'!B:S,18,false)</f>
        <v>6</v>
      </c>
    </row>
    <row r="55">
      <c r="A55" s="26">
        <f t="shared" si="3"/>
        <v>51</v>
      </c>
      <c r="B55" s="27" t="s">
        <v>90</v>
      </c>
      <c r="C55" s="28">
        <v>72.0</v>
      </c>
      <c r="D55" s="29">
        <v>3.0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81</v>
      </c>
      <c r="N55" s="29">
        <f t="shared" si="52"/>
        <v>3</v>
      </c>
      <c r="O55" s="35" t="s">
        <v>46</v>
      </c>
      <c r="P55" s="35" t="s">
        <v>46</v>
      </c>
      <c r="Q55" s="31">
        <f>if(G55=13,1,0)+VLOOKUP(B55,'021724'!B:Q,16,false)</f>
        <v>0</v>
      </c>
      <c r="R55" s="31"/>
      <c r="S55" s="31">
        <f>if(G55=9,1,0)+VLOOKUP(B55,'021724'!B:S,18,false)</f>
        <v>7</v>
      </c>
    </row>
    <row r="56">
      <c r="A56" s="26">
        <f t="shared" si="3"/>
        <v>52</v>
      </c>
      <c r="B56" s="54" t="s">
        <v>108</v>
      </c>
      <c r="C56" s="28">
        <v>70.0</v>
      </c>
      <c r="D56" s="29">
        <v>6.0</v>
      </c>
      <c r="E56" s="30">
        <v>1.0</v>
      </c>
      <c r="F56" s="31">
        <v>6.0</v>
      </c>
      <c r="G56" s="28">
        <v>0.0</v>
      </c>
      <c r="H56" s="31">
        <v>4.0</v>
      </c>
      <c r="I56" s="31">
        <v>2.0</v>
      </c>
      <c r="J56" s="31">
        <v>6.0</v>
      </c>
      <c r="K56" s="33">
        <v>12.0</v>
      </c>
      <c r="L56" s="31">
        <v>1.0</v>
      </c>
      <c r="M56" s="28">
        <f t="shared" ref="M56:N56" si="53">C56+K56</f>
        <v>82</v>
      </c>
      <c r="N56" s="29">
        <f t="shared" si="53"/>
        <v>7</v>
      </c>
      <c r="O56" s="35" t="s">
        <v>46</v>
      </c>
      <c r="P56" s="35" t="s">
        <v>46</v>
      </c>
      <c r="Q56" s="31">
        <f>if(G56=13,1,0)+VLOOKUP(B56,'021724'!B:Q,16,false)</f>
        <v>0</v>
      </c>
      <c r="R56" s="31"/>
      <c r="S56" s="31">
        <f>if(G56=9,1,0)+VLOOKUP(B56,'021724'!B:S,18,false)</f>
        <v>1</v>
      </c>
    </row>
    <row r="57">
      <c r="A57" s="26">
        <f t="shared" si="3"/>
        <v>53</v>
      </c>
      <c r="B57" s="54" t="s">
        <v>122</v>
      </c>
      <c r="C57" s="28">
        <v>70.0</v>
      </c>
      <c r="D57" s="29">
        <v>1.0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79</v>
      </c>
      <c r="N57" s="29">
        <f t="shared" si="54"/>
        <v>1</v>
      </c>
      <c r="O57" s="35" t="s">
        <v>46</v>
      </c>
      <c r="P57" s="35" t="s">
        <v>46</v>
      </c>
      <c r="Q57" s="31">
        <f>if(G57=13,1,0)+VLOOKUP(B57,'021724'!B:Q,16,false)</f>
        <v>0</v>
      </c>
      <c r="R57" s="31"/>
      <c r="S57" s="31">
        <f>if(G57=9,1,0)+VLOOKUP(B57,'021724'!B:S,18,false)</f>
        <v>7</v>
      </c>
    </row>
    <row r="58">
      <c r="A58" s="26">
        <f t="shared" si="3"/>
        <v>54</v>
      </c>
      <c r="B58" s="54" t="s">
        <v>94</v>
      </c>
      <c r="C58" s="28">
        <v>68.0</v>
      </c>
      <c r="D58" s="29">
        <v>5.0</v>
      </c>
      <c r="E58" s="30">
        <v>1.0</v>
      </c>
      <c r="F58" s="31">
        <v>7.0</v>
      </c>
      <c r="G58" s="28">
        <v>0.0</v>
      </c>
      <c r="H58" s="31">
        <v>6.0</v>
      </c>
      <c r="I58" s="31">
        <v>5.0</v>
      </c>
      <c r="J58" s="31">
        <v>6.0</v>
      </c>
      <c r="K58" s="33">
        <v>17.0</v>
      </c>
      <c r="L58" s="31">
        <v>2.0</v>
      </c>
      <c r="M58" s="28">
        <f t="shared" ref="M58:N58" si="55">C58+K58</f>
        <v>85</v>
      </c>
      <c r="N58" s="29">
        <f t="shared" si="55"/>
        <v>7</v>
      </c>
      <c r="O58" s="35" t="s">
        <v>46</v>
      </c>
      <c r="P58" s="35" t="s">
        <v>46</v>
      </c>
      <c r="Q58" s="31">
        <f>if(G58=13,1,0)+VLOOKUP(B58,'021724'!B:Q,16,false)</f>
        <v>0</v>
      </c>
      <c r="R58" s="31"/>
      <c r="S58" s="31">
        <f>if(G58=9,1,0)+VLOOKUP(B58,'021724'!B:S,18,false)</f>
        <v>1</v>
      </c>
    </row>
    <row r="59">
      <c r="A59" s="26">
        <f t="shared" si="3"/>
        <v>55</v>
      </c>
      <c r="B59" s="27" t="s">
        <v>83</v>
      </c>
      <c r="C59" s="28">
        <v>67.0</v>
      </c>
      <c r="D59" s="29">
        <v>3.0</v>
      </c>
      <c r="E59" s="30">
        <v>2.0</v>
      </c>
      <c r="F59" s="31">
        <v>7.0</v>
      </c>
      <c r="G59" s="28">
        <v>0.0</v>
      </c>
      <c r="H59" s="31">
        <v>2.0</v>
      </c>
      <c r="I59" s="31">
        <v>7.0</v>
      </c>
      <c r="J59" s="31">
        <v>6.0</v>
      </c>
      <c r="K59" s="33">
        <v>15.0</v>
      </c>
      <c r="L59" s="31">
        <v>2.0</v>
      </c>
      <c r="M59" s="28">
        <f t="shared" ref="M59:N59" si="56">C59+K59</f>
        <v>82</v>
      </c>
      <c r="N59" s="29">
        <f t="shared" si="56"/>
        <v>5</v>
      </c>
      <c r="O59" s="35" t="s">
        <v>46</v>
      </c>
      <c r="P59" s="35" t="s">
        <v>46</v>
      </c>
      <c r="Q59" s="31">
        <f>if(G59=13,1,0)+VLOOKUP(B59,'021724'!B:Q,16,false)</f>
        <v>1</v>
      </c>
      <c r="R59" s="31"/>
      <c r="S59" s="31">
        <f>if(G59=9,1,0)+VLOOKUP(B59,'021724'!B:S,18,false)</f>
        <v>2</v>
      </c>
    </row>
    <row r="60">
      <c r="A60" s="26">
        <f t="shared" si="3"/>
        <v>56</v>
      </c>
      <c r="B60" s="27" t="s">
        <v>114</v>
      </c>
      <c r="C60" s="28">
        <v>67.0</v>
      </c>
      <c r="D60" s="29">
        <v>0.0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76</v>
      </c>
      <c r="N60" s="29">
        <f t="shared" si="57"/>
        <v>0</v>
      </c>
      <c r="O60" s="35" t="s">
        <v>46</v>
      </c>
      <c r="P60" s="35" t="s">
        <v>46</v>
      </c>
      <c r="Q60" s="31">
        <f>if(G60=13,1,0)+VLOOKUP(B60,'021724'!B:Q,16,false)</f>
        <v>1</v>
      </c>
      <c r="R60" s="31"/>
      <c r="S60" s="31">
        <f>if(G60=9,1,0)+VLOOKUP(B60,'021724'!B:S,18,false)</f>
        <v>7</v>
      </c>
    </row>
    <row r="61">
      <c r="A61" s="26">
        <f t="shared" si="3"/>
        <v>57</v>
      </c>
      <c r="B61" s="27" t="s">
        <v>112</v>
      </c>
      <c r="C61" s="28">
        <v>66.0</v>
      </c>
      <c r="D61" s="29">
        <v>1.0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75</v>
      </c>
      <c r="N61" s="29">
        <f t="shared" si="58"/>
        <v>1</v>
      </c>
      <c r="O61" s="35" t="s">
        <v>46</v>
      </c>
      <c r="P61" s="35" t="s">
        <v>46</v>
      </c>
      <c r="Q61" s="31">
        <f>if(G61=13,1,0)+VLOOKUP(B61,'021724'!B:Q,16,false)</f>
        <v>0</v>
      </c>
      <c r="R61" s="31"/>
      <c r="S61" s="31">
        <f>if(G61=9,1,0)+VLOOKUP(B61,'021724'!B:S,18,false)</f>
        <v>7</v>
      </c>
    </row>
    <row r="62">
      <c r="A62" s="26">
        <f t="shared" si="3"/>
        <v>58</v>
      </c>
      <c r="B62" s="39" t="s">
        <v>97</v>
      </c>
      <c r="C62" s="28">
        <v>65.0</v>
      </c>
      <c r="D62" s="29">
        <v>1.0</v>
      </c>
      <c r="E62" s="30">
        <v>1.0</v>
      </c>
      <c r="F62" s="31">
        <v>7.0</v>
      </c>
      <c r="G62" s="28">
        <v>0.0</v>
      </c>
      <c r="H62" s="31">
        <v>2.0</v>
      </c>
      <c r="I62" s="31">
        <v>5.0</v>
      </c>
      <c r="J62" s="31">
        <v>0.0</v>
      </c>
      <c r="K62" s="33">
        <v>7.0</v>
      </c>
      <c r="L62" s="31">
        <v>0.0</v>
      </c>
      <c r="M62" s="28">
        <f t="shared" ref="M62:N62" si="59">C62+K62</f>
        <v>72</v>
      </c>
      <c r="N62" s="29">
        <f t="shared" si="59"/>
        <v>1</v>
      </c>
      <c r="O62" s="35" t="s">
        <v>46</v>
      </c>
      <c r="P62" s="35" t="s">
        <v>46</v>
      </c>
      <c r="Q62" s="31">
        <f>if(G62=13,1,0)+VLOOKUP(B62,'021724'!B:Q,16,false)</f>
        <v>0</v>
      </c>
      <c r="R62" s="31"/>
      <c r="S62" s="31">
        <f>if(G62=9,1,0)+VLOOKUP(B62,'021724'!B:S,18,false)</f>
        <v>2</v>
      </c>
    </row>
    <row r="63">
      <c r="A63" s="26">
        <f t="shared" si="3"/>
        <v>59</v>
      </c>
      <c r="B63" s="27" t="s">
        <v>74</v>
      </c>
      <c r="C63" s="28">
        <v>63.0</v>
      </c>
      <c r="D63" s="29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72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if(G63=13,1,0)+VLOOKUP(B63,'021724'!B:Q,16,false)</f>
        <v>0</v>
      </c>
      <c r="R63" s="31"/>
      <c r="S63" s="31">
        <f>if(G63=9,1,0)+VLOOKUP(B63,'021724'!B:S,18,false)</f>
        <v>8</v>
      </c>
    </row>
    <row r="64">
      <c r="A64" s="26">
        <f t="shared" si="3"/>
        <v>60</v>
      </c>
      <c r="B64" s="27" t="s">
        <v>56</v>
      </c>
      <c r="C64" s="28">
        <v>63.0</v>
      </c>
      <c r="D64" s="29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72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if(G64=13,1,0)+VLOOKUP(B64,'021724'!B:Q,16,false)</f>
        <v>0</v>
      </c>
      <c r="R64" s="31"/>
      <c r="S64" s="31">
        <f>if(G64=9,1,0)+VLOOKUP(B64,'021724'!B:S,18,false)</f>
        <v>8</v>
      </c>
    </row>
    <row r="65">
      <c r="A65" s="26">
        <f t="shared" si="3"/>
        <v>61</v>
      </c>
      <c r="B65" s="39" t="s">
        <v>124</v>
      </c>
      <c r="C65" s="28">
        <v>63.0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72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if(G65=13,1,0)+VLOOKUP(B65,'021724'!B:Q,16,false)</f>
        <v>0</v>
      </c>
      <c r="R65" s="31"/>
      <c r="S65" s="31">
        <f>if(G65=9,1,0)+VLOOKUP(B65,'021724'!B:S,18,false)</f>
        <v>8</v>
      </c>
    </row>
    <row r="66">
      <c r="A66" s="26">
        <f t="shared" si="3"/>
        <v>62</v>
      </c>
      <c r="B66" s="27" t="s">
        <v>115</v>
      </c>
      <c r="C66" s="28">
        <v>63.0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72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if(G66=13,1,0)+VLOOKUP(B66,'021724'!B:Q,16,false)</f>
        <v>0</v>
      </c>
      <c r="R66" s="31"/>
      <c r="S66" s="31">
        <f>if(G66=9,1,0)+VLOOKUP(B66,'021724'!B:S,18,false)</f>
        <v>8</v>
      </c>
    </row>
    <row r="67">
      <c r="A67" s="26">
        <f t="shared" si="3"/>
        <v>63</v>
      </c>
      <c r="B67" s="39" t="s">
        <v>125</v>
      </c>
      <c r="C67" s="28">
        <v>63.0</v>
      </c>
      <c r="D67" s="29">
        <v>0.0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72</v>
      </c>
      <c r="N67" s="29">
        <f t="shared" si="64"/>
        <v>0</v>
      </c>
      <c r="O67" s="35" t="s">
        <v>46</v>
      </c>
      <c r="P67" s="35" t="s">
        <v>46</v>
      </c>
      <c r="Q67" s="31">
        <f>if(G67=13,1,0)+VLOOKUP(B67,'021724'!B:Q,16,false)</f>
        <v>0</v>
      </c>
      <c r="R67" s="31"/>
      <c r="S67" s="31">
        <f>if(G67=9,1,0)+VLOOKUP(B67,'021724'!B:S,18,false)</f>
        <v>7</v>
      </c>
    </row>
    <row r="68">
      <c r="A68" s="26">
        <f t="shared" si="3"/>
        <v>64</v>
      </c>
      <c r="B68" s="39" t="s">
        <v>127</v>
      </c>
      <c r="C68" s="28">
        <v>63.0</v>
      </c>
      <c r="D68" s="29">
        <v>0.0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72</v>
      </c>
      <c r="N68" s="29">
        <f t="shared" si="65"/>
        <v>0</v>
      </c>
      <c r="O68" s="35" t="s">
        <v>46</v>
      </c>
      <c r="P68" s="35" t="s">
        <v>46</v>
      </c>
      <c r="Q68" s="31">
        <f>if(G68=13,1,0)+VLOOKUP(B68,'021724'!B:Q,16,false)</f>
        <v>0</v>
      </c>
      <c r="R68" s="31"/>
      <c r="S68" s="31">
        <f>if(G68=9,1,0)+VLOOKUP(B68,'021724'!B:S,18,false)</f>
        <v>8</v>
      </c>
    </row>
    <row r="69">
      <c r="A69" s="26">
        <f t="shared" si="3"/>
        <v>65</v>
      </c>
      <c r="B69" s="39" t="s">
        <v>126</v>
      </c>
      <c r="C69" s="28">
        <v>58.0</v>
      </c>
      <c r="D69" s="29">
        <v>0.0</v>
      </c>
      <c r="E69" s="30">
        <v>1.0</v>
      </c>
      <c r="F69" s="31">
        <v>7.0</v>
      </c>
      <c r="G69" s="28">
        <v>0.0</v>
      </c>
      <c r="H69" s="31">
        <v>6.0</v>
      </c>
      <c r="I69" s="31">
        <v>7.0</v>
      </c>
      <c r="J69" s="31">
        <v>0.0</v>
      </c>
      <c r="K69" s="33">
        <v>13.0</v>
      </c>
      <c r="L69" s="31">
        <v>2.0</v>
      </c>
      <c r="M69" s="28">
        <f t="shared" ref="M69:N69" si="66">C69+K69</f>
        <v>71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if(G69=13,1,0)+VLOOKUP(B69,'021724'!B:Q,16,false)</f>
        <v>0</v>
      </c>
      <c r="R69" s="31"/>
      <c r="S69" s="31">
        <f>if(G69=9,1,0)+VLOOKUP(B69,'021724'!B:S,18,false)</f>
        <v>6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desc"",0)"),"Kingsley Kuo")</f>
        <v>Kingsley Kuo</v>
      </c>
      <c r="C79" s="60">
        <f>IFERROR(__xludf.DUMMYFUNCTION("""COMPUTED_VALUE"""),18.0)</f>
        <v>18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IFERROR(__xludf.DUMMYFUNCTION("""COMPUTED_VALUE"""),"Luis Hsu")</f>
        <v>Luis Hsu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IFERROR(__xludf.DUMMYFUNCTION("""COMPUTED_VALUE"""),"Mauricio Palacios")</f>
        <v>Mauricio Palacios</v>
      </c>
      <c r="C81" s="60">
        <f>IFERROR(__xludf.DUMMYFUNCTION("""COMPUTED_VALUE"""),18.0)</f>
        <v>18</v>
      </c>
      <c r="D81" s="60">
        <f>IFERROR(__xludf.DUMMYFUNCTION("""COMPUTED_VALUE"""),2.0)</f>
        <v>2</v>
      </c>
      <c r="E81" s="1"/>
    </row>
    <row r="82">
      <c r="A82" s="1"/>
      <c r="B82" s="39" t="str">
        <f>IFERROR(__xludf.DUMMYFUNCTION("""COMPUTED_VALUE"""),"Andrew Wen")</f>
        <v>Andrew Wen</v>
      </c>
      <c r="C82" s="60">
        <f>IFERROR(__xludf.DUMMYFUNCTION("""COMPUTED_VALUE"""),18.0)</f>
        <v>18</v>
      </c>
      <c r="D82" s="60">
        <f>IFERROR(__xludf.DUMMYFUNCTION("""COMPUTED_VALUE"""),2.0)</f>
        <v>2</v>
      </c>
      <c r="E82" s="1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1"")"),"Eric Pan")</f>
        <v>Eric Pan</v>
      </c>
      <c r="C92" s="63">
        <f>IFERROR(__xludf.DUMMYFUNCTION("""COMPUTED_VALUE"""),105.0)</f>
        <v>105</v>
      </c>
      <c r="D92" s="64">
        <f>IFERROR(__xludf.DUMMYFUNCTION("""COMPUTED_VALUE"""),13.0)</f>
        <v>13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IFERROR(__xludf.DUMMYFUNCTION("""COMPUTED_VALUE"""),4.0)</f>
        <v>4</v>
      </c>
      <c r="J92" s="65">
        <f>IFERROR(__xludf.DUMMYFUNCTION("""COMPUTED_VALUE"""),7.0)</f>
        <v>7</v>
      </c>
      <c r="K92" s="65">
        <f>IFERROR(__xludf.DUMMYFUNCTION("""COMPUTED_VALUE"""),17.0)</f>
        <v>17</v>
      </c>
      <c r="L92" s="65">
        <f>IFERROR(__xludf.DUMMYFUNCTION("""COMPUTED_VALUE"""),2.0)</f>
        <v>2</v>
      </c>
      <c r="M92" s="65">
        <f>IFERROR(__xludf.DUMMYFUNCTION("""COMPUTED_VALUE"""),122.0)</f>
        <v>122</v>
      </c>
      <c r="N92" s="66">
        <f>IFERROR(__xludf.DUMMYFUNCTION("""COMPUTED_VALUE"""),15.0)</f>
        <v>15</v>
      </c>
    </row>
    <row r="93">
      <c r="A93" s="1"/>
      <c r="B93" s="62" t="str">
        <f>IFERROR(__xludf.DUMMYFUNCTION("""COMPUTED_VALUE"""),"David Shin")</f>
        <v>David Shin</v>
      </c>
      <c r="C93" s="63">
        <f>IFERROR(__xludf.DUMMYFUNCTION("""COMPUTED_VALUE"""),98.0)</f>
        <v>98</v>
      </c>
      <c r="D93" s="64">
        <f>IFERROR(__xludf.DUMMYFUNCTION("""COMPUTED_VALUE"""),10.0)</f>
        <v>10</v>
      </c>
      <c r="E93" s="63">
        <f>IFERROR(__xludf.DUMMYFUNCTION("""COMPUTED_VALUE"""),2.0)</f>
        <v>2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IFERROR(__xludf.DUMMYFUNCTION("""COMPUTED_VALUE"""),2.0)</f>
        <v>2</v>
      </c>
      <c r="I93" s="65">
        <f>IFERROR(__xludf.DUMMYFUNCTION("""COMPUTED_VALUE"""),6.0)</f>
        <v>6</v>
      </c>
      <c r="J93" s="65">
        <f>IFERROR(__xludf.DUMMYFUNCTION("""COMPUTED_VALUE"""),7.0)</f>
        <v>7</v>
      </c>
      <c r="K93" s="65">
        <f>IFERROR(__xludf.DUMMYFUNCTION("""COMPUTED_VALUE"""),15.0)</f>
        <v>15</v>
      </c>
      <c r="L93" s="65">
        <f>IFERROR(__xludf.DUMMYFUNCTION("""COMPUTED_VALUE"""),2.0)</f>
        <v>2</v>
      </c>
      <c r="M93" s="65">
        <f>IFERROR(__xludf.DUMMYFUNCTION("""COMPUTED_VALUE"""),113.0)</f>
        <v>113</v>
      </c>
      <c r="N93" s="66">
        <f>IFERROR(__xludf.DUMMYFUNCTION("""COMPUTED_VALUE"""),12.0)</f>
        <v>12</v>
      </c>
    </row>
    <row r="94">
      <c r="A94" s="1"/>
      <c r="B94" s="62" t="str">
        <f>IFERROR(__xludf.DUMMYFUNCTION("""COMPUTED_VALUE"""),"Jonathan Phan")</f>
        <v>Jonathan Phan</v>
      </c>
      <c r="C94" s="63">
        <f>IFERROR(__xludf.DUMMYFUNCTION("""COMPUTED_VALUE"""),94.0)</f>
        <v>94</v>
      </c>
      <c r="D94" s="64">
        <f>IFERROR(__xludf.DUMMYFUNCTION("""COMPUTED_VALUE"""),8.0)</f>
        <v>8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IFERROR(__xludf.DUMMYFUNCTION("""COMPUTED_VALUE"""),2.0)</f>
        <v>2</v>
      </c>
      <c r="I94" s="65">
        <f>IFERROR(__xludf.DUMMYFUNCTION("""COMPUTED_VALUE"""),4.0)</f>
        <v>4</v>
      </c>
      <c r="J94" s="65">
        <f>IFERROR(__xludf.DUMMYFUNCTION("""COMPUTED_VALUE"""),5.0)</f>
        <v>5</v>
      </c>
      <c r="K94" s="65">
        <f>IFERROR(__xludf.DUMMYFUNCTION("""COMPUTED_VALUE"""),11.0)</f>
        <v>11</v>
      </c>
      <c r="L94" s="65">
        <f>IFERROR(__xludf.DUMMYFUNCTION("""COMPUTED_VALUE"""),0.0)</f>
        <v>0</v>
      </c>
      <c r="M94" s="65">
        <f>IFERROR(__xludf.DUMMYFUNCTION("""COMPUTED_VALUE"""),105.0)</f>
        <v>105</v>
      </c>
      <c r="N94" s="66">
        <f>IFERROR(__xludf.DUMMYFUNCTION("""COMPUTED_VALUE"""),8.0)</f>
        <v>8</v>
      </c>
    </row>
    <row r="95">
      <c r="A95" s="1"/>
      <c r="B95" s="62" t="str">
        <f>IFERROR(__xludf.DUMMYFUNCTION("""COMPUTED_VALUE"""),"Peter Cheng")</f>
        <v>Peter Cheng</v>
      </c>
      <c r="C95" s="63">
        <f>IFERROR(__xludf.DUMMYFUNCTION("""COMPUTED_VALUE"""),93.0)</f>
        <v>93</v>
      </c>
      <c r="D95" s="64">
        <f>IFERROR(__xludf.DUMMYFUNCTION("""COMPUTED_VALUE"""),8.0)</f>
        <v>8</v>
      </c>
      <c r="E95" s="63">
        <f>IFERROR(__xludf.DUMMYFUNCTION("""COMPUTED_VALUE"""),2.0)</f>
        <v>2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IFERROR(__xludf.DUMMYFUNCTION("""COMPUTED_VALUE"""),6.0)</f>
        <v>6</v>
      </c>
      <c r="I95" s="65">
        <f>IFERROR(__xludf.DUMMYFUNCTION("""COMPUTED_VALUE"""),6.0)</f>
        <v>6</v>
      </c>
      <c r="J95" s="65">
        <f>IFERROR(__xludf.DUMMYFUNCTION("""COMPUTED_VALUE"""),5.0)</f>
        <v>5</v>
      </c>
      <c r="K95" s="65">
        <f>IFERROR(__xludf.DUMMYFUNCTION("""COMPUTED_VALUE"""),17.0)</f>
        <v>17</v>
      </c>
      <c r="L95" s="65">
        <f>IFERROR(__xludf.DUMMYFUNCTION("""COMPUTED_VALUE"""),2.0)</f>
        <v>2</v>
      </c>
      <c r="M95" s="65">
        <f>IFERROR(__xludf.DUMMYFUNCTION("""COMPUTED_VALUE"""),110.0)</f>
        <v>110</v>
      </c>
      <c r="N95" s="66">
        <f>IFERROR(__xludf.DUMMYFUNCTION("""COMPUTED_VALUE"""),10.0)</f>
        <v>10</v>
      </c>
    </row>
    <row r="96">
      <c r="A96" s="1"/>
      <c r="B96" s="67" t="str">
        <f>IFERROR(__xludf.DUMMYFUNCTION("""COMPUTED_VALUE"""),"Pavan Akkimsetty")</f>
        <v>Pavan Akkimsetty</v>
      </c>
      <c r="C96" s="68">
        <f>IFERROR(__xludf.DUMMYFUNCTION("""COMPUTED_VALUE"""),90.0)</f>
        <v>90</v>
      </c>
      <c r="D96" s="69">
        <f>IFERROR(__xludf.DUMMYFUNCTION("""COMPUTED_VALUE"""),9.0)</f>
        <v>9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IFERROR(__xludf.DUMMYFUNCTION("""COMPUTED_VALUE"""),4.0)</f>
        <v>4</v>
      </c>
      <c r="I96" s="70">
        <f>IFERROR(__xludf.DUMMYFUNCTION("""COMPUTED_VALUE"""),2.0)</f>
        <v>2</v>
      </c>
      <c r="J96" s="70">
        <f>IFERROR(__xludf.DUMMYFUNCTION("""COMPUTED_VALUE"""),6.0)</f>
        <v>6</v>
      </c>
      <c r="K96" s="70">
        <f>IFERROR(__xludf.DUMMYFUNCTION("""COMPUTED_VALUE"""),12.0)</f>
        <v>12</v>
      </c>
      <c r="L96" s="70">
        <f>IFERROR(__xludf.DUMMYFUNCTION("""COMPUTED_VALUE"""),1.0)</f>
        <v>1</v>
      </c>
      <c r="M96" s="70">
        <f>IFERROR(__xludf.DUMMYFUNCTION("""COMPUTED_VALUE"""),102.0)</f>
        <v>102</v>
      </c>
      <c r="N96" s="71">
        <f>IFERROR(__xludf.DUMMYFUNCTION("""COMPUTED_VALUE"""),10.0)</f>
        <v>10</v>
      </c>
    </row>
    <row r="97">
      <c r="A97" s="1"/>
      <c r="B97" s="67" t="str">
        <f>IFERROR(__xludf.DUMMYFUNCTION("""COMPUTED_VALUE"""),"Kingsley Kuo")</f>
        <v>Kingsley Kuo</v>
      </c>
      <c r="C97" s="68">
        <f>IFERROR(__xludf.DUMMYFUNCTION("""COMPUTED_VALUE"""),89.0)</f>
        <v>89</v>
      </c>
      <c r="D97" s="69">
        <f>IFERROR(__xludf.DUMMYFUNCTION("""COMPUTED_VALUE"""),8.0)</f>
        <v>8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IFERROR(__xludf.DUMMYFUNCTION("""COMPUTED_VALUE"""),6.0)</f>
        <v>6</v>
      </c>
      <c r="J97" s="70">
        <f>IFERROR(__xludf.DUMMYFUNCTION("""COMPUTED_VALUE"""),6.0)</f>
        <v>6</v>
      </c>
      <c r="K97" s="70">
        <f>IFERROR(__xludf.DUMMYFUNCTION("""COMPUTED_VALUE"""),18.0)</f>
        <v>18</v>
      </c>
      <c r="L97" s="70">
        <f>IFERROR(__xludf.DUMMYFUNCTION("""COMPUTED_VALUE"""),3.0)</f>
        <v>3</v>
      </c>
      <c r="M97" s="70">
        <f>IFERROR(__xludf.DUMMYFUNCTION("""COMPUTED_VALUE"""),107.0)</f>
        <v>107</v>
      </c>
      <c r="N97" s="71">
        <f>IFERROR(__xludf.DUMMYFUNCTION("""COMPUTED_VALUE"""),11.0)</f>
        <v>11</v>
      </c>
    </row>
    <row r="98">
      <c r="A98" s="1"/>
      <c r="B98" s="67" t="str">
        <f>IFERROR(__xludf.DUMMYFUNCTION("""COMPUTED_VALUE"""),"Erik Hoeckmann")</f>
        <v>Erik Hoeckmann</v>
      </c>
      <c r="C98" s="68">
        <f>IFERROR(__xludf.DUMMYFUNCTION("""COMPUTED_VALUE"""),88.0)</f>
        <v>88</v>
      </c>
      <c r="D98" s="69">
        <f>IFERROR(__xludf.DUMMYFUNCTION("""COMPUTED_VALUE"""),10.0)</f>
        <v>10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IFERROR(__xludf.DUMMYFUNCTION("""COMPUTED_VALUE"""),4.0)</f>
        <v>4</v>
      </c>
      <c r="I98" s="70">
        <f>IFERROR(__xludf.DUMMYFUNCTION("""COMPUTED_VALUE"""),6.0)</f>
        <v>6</v>
      </c>
      <c r="J98" s="70">
        <f>IFERROR(__xludf.DUMMYFUNCTION("""COMPUTED_VALUE"""),4.0)</f>
        <v>4</v>
      </c>
      <c r="K98" s="70">
        <f>IFERROR(__xludf.DUMMYFUNCTION("""COMPUTED_VALUE"""),14.0)</f>
        <v>14</v>
      </c>
      <c r="L98" s="70">
        <f>IFERROR(__xludf.DUMMYFUNCTION("""COMPUTED_VALUE"""),1.0)</f>
        <v>1</v>
      </c>
      <c r="M98" s="70">
        <f>IFERROR(__xludf.DUMMYFUNCTION("""COMPUTED_VALUE"""),102.0)</f>
        <v>102</v>
      </c>
      <c r="N98" s="71">
        <f>IFERROR(__xludf.DUMMYFUNCTION("""COMPUTED_VALUE"""),11.0)</f>
        <v>11</v>
      </c>
    </row>
    <row r="99">
      <c r="A99" s="1"/>
      <c r="B99" s="67" t="str">
        <f>IFERROR(__xludf.DUMMYFUNCTION("""COMPUTED_VALUE"""),"Ted Shen")</f>
        <v>Ted Shen</v>
      </c>
      <c r="C99" s="68">
        <f>IFERROR(__xludf.DUMMYFUNCTION("""COMPUTED_VALUE"""),88.0)</f>
        <v>88</v>
      </c>
      <c r="D99" s="69">
        <f>IFERROR(__xludf.DUMMYFUNCTION("""COMPUTED_VALUE"""),7.0)</f>
        <v>7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IFERROR(__xludf.DUMMYFUNCTION("""COMPUTED_VALUE"""),6.0)</f>
        <v>6</v>
      </c>
      <c r="I99" s="70">
        <f>IFERROR(__xludf.DUMMYFUNCTION("""COMPUTED_VALUE"""),2.0)</f>
        <v>2</v>
      </c>
      <c r="J99" s="70">
        <f>IFERROR(__xludf.DUMMYFUNCTION("""COMPUTED_VALUE"""),4.0)</f>
        <v>4</v>
      </c>
      <c r="K99" s="70">
        <f>IFERROR(__xludf.DUMMYFUNCTION("""COMPUTED_VALUE"""),12.0)</f>
        <v>12</v>
      </c>
      <c r="L99" s="70">
        <f>IFERROR(__xludf.DUMMYFUNCTION("""COMPUTED_VALUE"""),1.0)</f>
        <v>1</v>
      </c>
      <c r="M99" s="70">
        <f>IFERROR(__xludf.DUMMYFUNCTION("""COMPUTED_VALUE"""),100.0)</f>
        <v>100</v>
      </c>
      <c r="N99" s="71">
        <f>IFERROR(__xludf.DUMMYFUNCTION("""COMPUTED_VALUE"""),8.0)</f>
        <v>8</v>
      </c>
    </row>
    <row r="100">
      <c r="A100" s="1"/>
      <c r="B100" s="62" t="str">
        <f>IFERROR(__xludf.DUMMYFUNCTION("""COMPUTED_VALUE"""),"Andrew Chin")</f>
        <v>Andrew Chin</v>
      </c>
      <c r="C100" s="63">
        <f>IFERROR(__xludf.DUMMYFUNCTION("""COMPUTED_VALUE"""),86.0)</f>
        <v>86</v>
      </c>
      <c r="D100" s="64">
        <f>IFERROR(__xludf.DUMMYFUNCTION("""COMPUTED_VALUE"""),8.0)</f>
        <v>8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IFERROR(__xludf.DUMMYFUNCTION("""COMPUTED_VALUE"""),7.0)</f>
        <v>7</v>
      </c>
      <c r="I100" s="65">
        <f>IFERROR(__xludf.DUMMYFUNCTION("""COMPUTED_VALUE"""),7.0)</f>
        <v>7</v>
      </c>
      <c r="J100" s="65">
        <f>IFERROR(__xludf.DUMMYFUNCTION("""COMPUTED_VALUE"""),3.0)</f>
        <v>3</v>
      </c>
      <c r="K100" s="65">
        <f>IFERROR(__xludf.DUMMYFUNCTION("""COMPUTED_VALUE"""),17.0)</f>
        <v>17</v>
      </c>
      <c r="L100" s="65">
        <f>IFERROR(__xludf.DUMMYFUNCTION("""COMPUTED_VALUE"""),2.0)</f>
        <v>2</v>
      </c>
      <c r="M100" s="65">
        <f>IFERROR(__xludf.DUMMYFUNCTION("""COMPUTED_VALUE"""),103.0)</f>
        <v>103</v>
      </c>
      <c r="N100" s="66">
        <f>IFERROR(__xludf.DUMMYFUNCTION("""COMPUTED_VALUE"""),10.0)</f>
        <v>10</v>
      </c>
    </row>
    <row r="101">
      <c r="A101" s="1"/>
      <c r="B101" s="62" t="str">
        <f>IFERROR(__xludf.DUMMYFUNCTION("""COMPUTED_VALUE"""),"Mauricio Palacios")</f>
        <v>Mauricio Palacios</v>
      </c>
      <c r="C101" s="63">
        <f>IFERROR(__xludf.DUMMYFUNCTION("""COMPUTED_VALUE"""),86.0)</f>
        <v>86</v>
      </c>
      <c r="D101" s="64">
        <f>IFERROR(__xludf.DUMMYFUNCTION("""COMPUTED_VALUE"""),7.0)</f>
        <v>7</v>
      </c>
      <c r="E101" s="63">
        <f>IFERROR(__xludf.DUMMYFUNCTION("""COMPUTED_VALUE"""),2.0)</f>
        <v>2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IFERROR(__xludf.DUMMYFUNCTION("""COMPUTED_VALUE"""),7.0)</f>
        <v>7</v>
      </c>
      <c r="I101" s="65">
        <f>IFERROR(__xludf.DUMMYFUNCTION("""COMPUTED_VALUE"""),5.0)</f>
        <v>5</v>
      </c>
      <c r="J101" s="65">
        <f>IFERROR(__xludf.DUMMYFUNCTION("""COMPUTED_VALUE"""),6.0)</f>
        <v>6</v>
      </c>
      <c r="K101" s="65">
        <f>IFERROR(__xludf.DUMMYFUNCTION("""COMPUTED_VALUE"""),18.0)</f>
        <v>18</v>
      </c>
      <c r="L101" s="65">
        <f>IFERROR(__xludf.DUMMYFUNCTION("""COMPUTED_VALUE"""),2.0)</f>
        <v>2</v>
      </c>
      <c r="M101" s="65">
        <f>IFERROR(__xludf.DUMMYFUNCTION("""COMPUTED_VALUE"""),104.0)</f>
        <v>104</v>
      </c>
      <c r="N101" s="66">
        <f>IFERROR(__xludf.DUMMYFUNCTION("""COMPUTED_VALUE"""),9.0)</f>
        <v>9</v>
      </c>
    </row>
    <row r="102">
      <c r="A102" s="1"/>
      <c r="B102" s="62" t="str">
        <f>IFERROR(__xludf.DUMMYFUNCTION("""COMPUTED_VALUE"""),"Naveen Raj")</f>
        <v>Naveen Raj</v>
      </c>
      <c r="C102" s="63">
        <f>IFERROR(__xludf.DUMMYFUNCTION("""COMPUTED_VALUE"""),85.0)</f>
        <v>85</v>
      </c>
      <c r="D102" s="64">
        <f>IFERROR(__xludf.DUMMYFUNCTION("""COMPUTED_VALUE"""),7.0)</f>
        <v>7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IFERROR(__xludf.DUMMYFUNCTION("""COMPUTED_VALUE"""),5.0)</f>
        <v>5</v>
      </c>
      <c r="I102" s="65">
        <f>IFERROR(__xludf.DUMMYFUNCTION("""COMPUTED_VALUE"""),5.0)</f>
        <v>5</v>
      </c>
      <c r="J102" s="65">
        <f>IFERROR(__xludf.DUMMYFUNCTION("""COMPUTED_VALUE"""),3.0)</f>
        <v>3</v>
      </c>
      <c r="K102" s="65">
        <f>IFERROR(__xludf.DUMMYFUNCTION("""COMPUTED_VALUE"""),13.0)</f>
        <v>13</v>
      </c>
      <c r="L102" s="65">
        <f>IFERROR(__xludf.DUMMYFUNCTION("""COMPUTED_VALUE"""),0.0)</f>
        <v>0</v>
      </c>
      <c r="M102" s="65">
        <f>IFERROR(__xludf.DUMMYFUNCTION("""COMPUTED_VALUE"""),98.0)</f>
        <v>98</v>
      </c>
      <c r="N102" s="66">
        <f>IFERROR(__xludf.DUMMYFUNCTION("""COMPUTED_VALUE"""),7.0)</f>
        <v>7</v>
      </c>
    </row>
    <row r="103">
      <c r="A103" s="1"/>
      <c r="B103" s="62" t="str">
        <f>IFERROR(__xludf.DUMMYFUNCTION("""COMPUTED_VALUE"""),"Andrew Wen")</f>
        <v>Andrew Wen</v>
      </c>
      <c r="C103" s="63">
        <f>IFERROR(__xludf.DUMMYFUNCTION("""COMPUTED_VALUE"""),84.0)</f>
        <v>84</v>
      </c>
      <c r="D103" s="64">
        <f>IFERROR(__xludf.DUMMYFUNCTION("""COMPUTED_VALUE"""),9.0)</f>
        <v>9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IFERROR(__xludf.DUMMYFUNCTION("""COMPUTED_VALUE"""),5.0)</f>
        <v>5</v>
      </c>
      <c r="I103" s="65">
        <f>IFERROR(__xludf.DUMMYFUNCTION("""COMPUTED_VALUE"""),7.0)</f>
        <v>7</v>
      </c>
      <c r="J103" s="65">
        <f>IFERROR(__xludf.DUMMYFUNCTION("""COMPUTED_VALUE"""),6.0)</f>
        <v>6</v>
      </c>
      <c r="K103" s="65">
        <f>IFERROR(__xludf.DUMMYFUNCTION("""COMPUTED_VALUE"""),18.0)</f>
        <v>18</v>
      </c>
      <c r="L103" s="65">
        <f>IFERROR(__xludf.DUMMYFUNCTION("""COMPUTED_VALUE"""),2.0)</f>
        <v>2</v>
      </c>
      <c r="M103" s="65">
        <f>IFERROR(__xludf.DUMMYFUNCTION("""COMPUTED_VALUE"""),102.0)</f>
        <v>102</v>
      </c>
      <c r="N103" s="66">
        <f>IFERROR(__xludf.DUMMYFUNCTION("""COMPUTED_VALUE"""),11.0)</f>
        <v>11</v>
      </c>
    </row>
    <row r="104">
      <c r="A104" s="1"/>
      <c r="B104" s="67" t="str">
        <f>IFERROR(__xludf.DUMMYFUNCTION("""COMPUTED_VALUE"""),"Suleman Alidina")</f>
        <v>Suleman Alidina</v>
      </c>
      <c r="C104" s="68">
        <f>IFERROR(__xludf.DUMMYFUNCTION("""COMPUTED_VALUE"""),81.0)</f>
        <v>81</v>
      </c>
      <c r="D104" s="69">
        <f>IFERROR(__xludf.DUMMYFUNCTION("""COMPUTED_VALUE"""),6.0)</f>
        <v>6</v>
      </c>
      <c r="E104" s="68">
        <f>IFERROR(__xludf.DUMMYFUNCTION("""COMPUTED_VALUE"""),1.0)</f>
        <v>1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IFERROR(__xludf.DUMMYFUNCTION("""COMPUTED_VALUE"""),6.0)</f>
        <v>6</v>
      </c>
      <c r="J104" s="70">
        <f>IFERROR(__xludf.DUMMYFUNCTION("""COMPUTED_VALUE"""),1.0)</f>
        <v>1</v>
      </c>
      <c r="K104" s="70">
        <f>IFERROR(__xludf.DUMMYFUNCTION("""COMPUTED_VALUE"""),13.0)</f>
        <v>13</v>
      </c>
      <c r="L104" s="70">
        <f>IFERROR(__xludf.DUMMYFUNCTION("""COMPUTED_VALUE"""),2.0)</f>
        <v>2</v>
      </c>
      <c r="M104" s="70">
        <f>IFERROR(__xludf.DUMMYFUNCTION("""COMPUTED_VALUE"""),94.0)</f>
        <v>94</v>
      </c>
      <c r="N104" s="71">
        <f>IFERROR(__xludf.DUMMYFUNCTION("""COMPUTED_VALUE"""),8.0)</f>
        <v>8</v>
      </c>
    </row>
    <row r="105">
      <c r="A105" s="1"/>
      <c r="B105" s="67" t="str">
        <f>IFERROR(__xludf.DUMMYFUNCTION("""COMPUTED_VALUE"""),"Peter Homsey")</f>
        <v>Peter Homsey</v>
      </c>
      <c r="C105" s="68">
        <f>IFERROR(__xludf.DUMMYFUNCTION("""COMPUTED_VALUE"""),80.0)</f>
        <v>80</v>
      </c>
      <c r="D105" s="69">
        <f>IFERROR(__xludf.DUMMYFUNCTION("""COMPUTED_VALUE"""),6.0)</f>
        <v>6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IFERROR(__xludf.DUMMYFUNCTION("""COMPUTED_VALUE"""),3.0)</f>
        <v>3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IFERROR(__xludf.DUMMYFUNCTION("""COMPUTED_VALUE"""),15.0)</f>
        <v>15</v>
      </c>
      <c r="L105" s="70">
        <f>IFERROR(__xludf.DUMMYFUNCTION("""COMPUTED_VALUE"""),2.0)</f>
        <v>2</v>
      </c>
      <c r="M105" s="70">
        <f>IFERROR(__xludf.DUMMYFUNCTION("""COMPUTED_VALUE"""),95.0)</f>
        <v>95</v>
      </c>
      <c r="N105" s="71">
        <f>IFERROR(__xludf.DUMMYFUNCTION("""COMPUTED_VALUE"""),8.0)</f>
        <v>8</v>
      </c>
    </row>
    <row r="106">
      <c r="A106" s="1"/>
      <c r="B106" s="67" t="str">
        <f>IFERROR(__xludf.DUMMYFUNCTION("""COMPUTED_VALUE"""),"Scott Li")</f>
        <v>Scott Li</v>
      </c>
      <c r="C106" s="68">
        <f>IFERROR(__xludf.DUMMYFUNCTION("""COMPUTED_VALUE"""),78.0)</f>
        <v>78</v>
      </c>
      <c r="D106" s="69">
        <f>IFERROR(__xludf.DUMMYFUNCTION("""COMPUTED_VALUE"""),7.0)</f>
        <v>7</v>
      </c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IFERROR(__xludf.DUMMYFUNCTION("""COMPUTED_VALUE"""),1.0)</f>
        <v>1</v>
      </c>
      <c r="J106" s="70">
        <f>IFERROR(__xludf.DUMMYFUNCTION("""COMPUTED_VALUE"""),6.0)</f>
        <v>6</v>
      </c>
      <c r="K106" s="70">
        <f>IFERROR(__xludf.DUMMYFUNCTION("""COMPUTED_VALUE"""),13.0)</f>
        <v>13</v>
      </c>
      <c r="L106" s="70">
        <f>IFERROR(__xludf.DUMMYFUNCTION("""COMPUTED_VALUE"""),2.0)</f>
        <v>2</v>
      </c>
      <c r="M106" s="70">
        <f>IFERROR(__xludf.DUMMYFUNCTION("""COMPUTED_VALUE"""),91.0)</f>
        <v>91</v>
      </c>
      <c r="N106" s="71">
        <f>IFERROR(__xludf.DUMMYFUNCTION("""COMPUTED_VALUE"""),9.0)</f>
        <v>9</v>
      </c>
    </row>
    <row r="107">
      <c r="A107" s="1"/>
      <c r="B107" s="67" t="str">
        <f>IFERROR(__xludf.DUMMYFUNCTION("""COMPUTED_VALUE"""),"Ash Nikravan")</f>
        <v>Ash Nikravan</v>
      </c>
      <c r="C107" s="68">
        <f>IFERROR(__xludf.DUMMYFUNCTION("""COMPUTED_VALUE"""),78.0)</f>
        <v>78</v>
      </c>
      <c r="D107" s="69">
        <f>IFERROR(__xludf.DUMMYFUNCTION("""COMPUTED_VALUE"""),5.0)</f>
        <v>5</v>
      </c>
      <c r="E107" s="68">
        <f>IFERROR(__xludf.DUMMYFUNCTION("""COMPUTED_VALUE"""),2.0)</f>
        <v>2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IFERROR(__xludf.DUMMYFUNCTION("""COMPUTED_VALUE"""),3.0)</f>
        <v>3</v>
      </c>
      <c r="I107" s="70">
        <f>IFERROR(__xludf.DUMMYFUNCTION("""COMPUTED_VALUE"""),1.0)</f>
        <v>1</v>
      </c>
      <c r="J107" s="70">
        <f>IFERROR(__xludf.DUMMYFUNCTION("""COMPUTED_VALUE"""),1.0)</f>
        <v>1</v>
      </c>
      <c r="K107" s="70">
        <f>IFERROR(__xludf.DUMMYFUNCTION("""COMPUTED_VALUE"""),5.0)</f>
        <v>5</v>
      </c>
      <c r="L107" s="70">
        <f>IFERROR(__xludf.DUMMYFUNCTION("""COMPUTED_VALUE"""),0.0)</f>
        <v>0</v>
      </c>
      <c r="M107" s="70">
        <f>IFERROR(__xludf.DUMMYFUNCTION("""COMPUTED_VALUE"""),83.0)</f>
        <v>83</v>
      </c>
      <c r="N107" s="71">
        <f>IFERROR(__xludf.DUMMYFUNCTION("""COMPUTED_VALUE"""),5.0)</f>
        <v>5</v>
      </c>
    </row>
    <row r="108">
      <c r="A108" s="1"/>
      <c r="B108" s="62" t="str">
        <f>IFERROR(__xludf.DUMMYFUNCTION("""COMPUTED_VALUE"""),"Trinath Goteti")</f>
        <v>Trinath Goteti</v>
      </c>
      <c r="C108" s="63">
        <f>IFERROR(__xludf.DUMMYFUNCTION("""COMPUTED_VALUE"""),78.0)</f>
        <v>78</v>
      </c>
      <c r="D108" s="64">
        <f>IFERROR(__xludf.DUMMYFUNCTION("""COMPUTED_VALUE"""),3.0)</f>
        <v>3</v>
      </c>
      <c r="E108" s="63">
        <f>IFERROR(__xludf.DUMMYFUNCTION("""COMPUTED_VALUE"""),2.0)</f>
        <v>2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IFERROR(__xludf.DUMMYFUNCTION("""COMPUTED_VALUE"""),6.0)</f>
        <v>6</v>
      </c>
      <c r="J108" s="65">
        <f>IFERROR(__xludf.DUMMYFUNCTION("""COMPUTED_VALUE"""),0.0)</f>
        <v>0</v>
      </c>
      <c r="K108" s="65">
        <f>IFERROR(__xludf.DUMMYFUNCTION("""COMPUTED_VALUE"""),12.0)</f>
        <v>12</v>
      </c>
      <c r="L108" s="65">
        <f>IFERROR(__xludf.DUMMYFUNCTION("""COMPUTED_VALUE"""),2.0)</f>
        <v>2</v>
      </c>
      <c r="M108" s="65">
        <f>IFERROR(__xludf.DUMMYFUNCTION("""COMPUTED_VALUE"""),90.0)</f>
        <v>90</v>
      </c>
      <c r="N108" s="66">
        <f>IFERROR(__xludf.DUMMYFUNCTION("""COMPUTED_VALUE"""),5.0)</f>
        <v>5</v>
      </c>
    </row>
    <row r="109">
      <c r="A109" s="1"/>
      <c r="B109" s="62" t="str">
        <f>IFERROR(__xludf.DUMMYFUNCTION("""COMPUTED_VALUE"""),"David Tam")</f>
        <v>David Tam</v>
      </c>
      <c r="C109" s="63">
        <f>IFERROR(__xludf.DUMMYFUNCTION("""COMPUTED_VALUE"""),77.0)</f>
        <v>77</v>
      </c>
      <c r="D109" s="64">
        <f>IFERROR(__xludf.DUMMYFUNCTION("""COMPUTED_VALUE"""),7.0)</f>
        <v>7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IFERROR(__xludf.DUMMYFUNCTION("""COMPUTED_VALUE"""),0.0)</f>
        <v>0</v>
      </c>
      <c r="J109" s="65">
        <f>IFERROR(__xludf.DUMMYFUNCTION("""COMPUTED_VALUE"""),6.0)</f>
        <v>6</v>
      </c>
      <c r="K109" s="65">
        <f>IFERROR(__xludf.DUMMYFUNCTION("""COMPUTED_VALUE"""),12.0)</f>
        <v>12</v>
      </c>
      <c r="L109" s="65">
        <f>IFERROR(__xludf.DUMMYFUNCTION("""COMPUTED_VALUE"""),2.0)</f>
        <v>2</v>
      </c>
      <c r="M109" s="65">
        <f>IFERROR(__xludf.DUMMYFUNCTION("""COMPUTED_VALUE"""),89.0)</f>
        <v>89</v>
      </c>
      <c r="N109" s="66">
        <f>IFERROR(__xludf.DUMMYFUNCTION("""COMPUTED_VALUE"""),9.0)</f>
        <v>9</v>
      </c>
    </row>
    <row r="110">
      <c r="A110" s="1"/>
      <c r="B110" s="62" t="str">
        <f>IFERROR(__xludf.DUMMYFUNCTION("""COMPUTED_VALUE"""),"Vishnu Amarnath")</f>
        <v>Vishnu Amarnath</v>
      </c>
      <c r="C110" s="63">
        <f>IFERROR(__xludf.DUMMYFUNCTION("""COMPUTED_VALUE"""),77.0)</f>
        <v>77</v>
      </c>
      <c r="D110" s="64">
        <f>IFERROR(__xludf.DUMMYFUNCTION("""COMPUTED_VALUE"""),7.0)</f>
        <v>7</v>
      </c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IFERROR(__xludf.DUMMYFUNCTION("""COMPUTED_VALUE"""),0.0)</f>
        <v>0</v>
      </c>
      <c r="I110" s="65">
        <f>IFERROR(__xludf.DUMMYFUNCTION("""COMPUTED_VALUE"""),0.0)</f>
        <v>0</v>
      </c>
      <c r="J110" s="65">
        <f>IFERROR(__xludf.DUMMYFUNCTION("""COMPUTED_VALUE"""),0.0)</f>
        <v>0</v>
      </c>
      <c r="K110" s="65">
        <f>IFERROR(__xludf.DUMMYFUNCTION("""COMPUTED_VALUE"""),0.0)</f>
        <v>0</v>
      </c>
      <c r="L110" s="65">
        <f>IFERROR(__xludf.DUMMYFUNCTION("""COMPUTED_VALUE"""),0.0)</f>
        <v>0</v>
      </c>
      <c r="M110" s="65">
        <f>IFERROR(__xludf.DUMMYFUNCTION("""COMPUTED_VALUE"""),77.0)</f>
        <v>77</v>
      </c>
      <c r="N110" s="66">
        <f>IFERROR(__xludf.DUMMYFUNCTION("""COMPUTED_VALUE"""),7.0)</f>
        <v>7</v>
      </c>
    </row>
    <row r="111">
      <c r="A111" s="1"/>
      <c r="B111" s="62" t="str">
        <f>IFERROR(__xludf.DUMMYFUNCTION("""COMPUTED_VALUE"""),"Christopher Li")</f>
        <v>Christopher Li</v>
      </c>
      <c r="C111" s="63">
        <f>IFERROR(__xludf.DUMMYFUNCTION("""COMPUTED_VALUE"""),77.0)</f>
        <v>77</v>
      </c>
      <c r="D111" s="64">
        <f>IFERROR(__xludf.DUMMYFUNCTION("""COMPUTED_VALUE"""),5.0)</f>
        <v>5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IFERROR(__xludf.DUMMYFUNCTION("""COMPUTED_VALUE"""),0.0)</f>
        <v>0</v>
      </c>
      <c r="I111" s="65">
        <f>IFERROR(__xludf.DUMMYFUNCTION("""COMPUTED_VALUE"""),6.0)</f>
        <v>6</v>
      </c>
      <c r="J111" s="65">
        <f>IFERROR(__xludf.DUMMYFUNCTION("""COMPUTED_VALUE"""),6.0)</f>
        <v>6</v>
      </c>
      <c r="K111" s="65">
        <f>IFERROR(__xludf.DUMMYFUNCTION("""COMPUTED_VALUE"""),12.0)</f>
        <v>12</v>
      </c>
      <c r="L111" s="65">
        <f>IFERROR(__xludf.DUMMYFUNCTION("""COMPUTED_VALUE"""),2.0)</f>
        <v>2</v>
      </c>
      <c r="M111" s="65">
        <f>IFERROR(__xludf.DUMMYFUNCTION("""COMPUTED_VALUE"""),89.0)</f>
        <v>89</v>
      </c>
      <c r="N111" s="66">
        <f>IFERROR(__xludf.DUMMYFUNCTION("""COMPUTED_VALUE"""),7.0)</f>
        <v>7</v>
      </c>
    </row>
    <row r="112">
      <c r="A112" s="1"/>
      <c r="B112" s="67" t="str">
        <f>IFERROR(__xludf.DUMMYFUNCTION("""COMPUTED_VALUE"""),"Luis Hsu")</f>
        <v>Luis Hsu</v>
      </c>
      <c r="C112" s="68">
        <f>IFERROR(__xludf.DUMMYFUNCTION("""COMPUTED_VALUE"""),77.0)</f>
        <v>77</v>
      </c>
      <c r="D112" s="69">
        <f>IFERROR(__xludf.DUMMYFUNCTION("""COMPUTED_VALUE"""),4.0)</f>
        <v>4</v>
      </c>
      <c r="E112" s="68">
        <f>IFERROR(__xludf.DUMMYFUNCTION("""COMPUTED_VALUE"""),1.0)</f>
        <v>1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IFERROR(__xludf.DUMMYFUNCTION("""COMPUTED_VALUE"""),6.0)</f>
        <v>6</v>
      </c>
      <c r="J112" s="70">
        <f>IFERROR(__xludf.DUMMYFUNCTION("""COMPUTED_VALUE"""),6.0)</f>
        <v>6</v>
      </c>
      <c r="K112" s="70">
        <f>IFERROR(__xludf.DUMMYFUNCTION("""COMPUTED_VALUE"""),18.0)</f>
        <v>18</v>
      </c>
      <c r="L112" s="70">
        <f>IFERROR(__xludf.DUMMYFUNCTION("""COMPUTED_VALUE"""),3.0)</f>
        <v>3</v>
      </c>
      <c r="M112" s="70">
        <f>IFERROR(__xludf.DUMMYFUNCTION("""COMPUTED_VALUE"""),95.0)</f>
        <v>95</v>
      </c>
      <c r="N112" s="71">
        <f>IFERROR(__xludf.DUMMYFUNCTION("""COMPUTED_VALUE"""),7.0)</f>
        <v>7</v>
      </c>
    </row>
    <row r="113">
      <c r="A113" s="1"/>
      <c r="B113" s="67" t="str">
        <f>IFERROR(__xludf.DUMMYFUNCTION("""COMPUTED_VALUE"""),"Sandy Weyant")</f>
        <v>Sandy Weyant</v>
      </c>
      <c r="C113" s="68">
        <f>IFERROR(__xludf.DUMMYFUNCTION("""COMPUTED_VALUE"""),76.0)</f>
        <v>76</v>
      </c>
      <c r="D113" s="69">
        <f>IFERROR(__xludf.DUMMYFUNCTION("""COMPUTED_VALUE"""),5.0)</f>
        <v>5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IFERROR(__xludf.DUMMYFUNCTION("""COMPUTED_VALUE"""),4.0)</f>
        <v>4</v>
      </c>
      <c r="I113" s="70">
        <f>IFERROR(__xludf.DUMMYFUNCTION("""COMPUTED_VALUE"""),6.0)</f>
        <v>6</v>
      </c>
      <c r="J113" s="70">
        <f>IFERROR(__xludf.DUMMYFUNCTION("""COMPUTED_VALUE"""),2.0)</f>
        <v>2</v>
      </c>
      <c r="K113" s="70">
        <f>IFERROR(__xludf.DUMMYFUNCTION("""COMPUTED_VALUE"""),12.0)</f>
        <v>12</v>
      </c>
      <c r="L113" s="70">
        <f>IFERROR(__xludf.DUMMYFUNCTION("""COMPUTED_VALUE"""),1.0)</f>
        <v>1</v>
      </c>
      <c r="M113" s="70">
        <f>IFERROR(__xludf.DUMMYFUNCTION("""COMPUTED_VALUE"""),88.0)</f>
        <v>88</v>
      </c>
      <c r="N113" s="71">
        <f>IFERROR(__xludf.DUMMYFUNCTION("""COMPUTED_VALUE"""),6.0)</f>
        <v>6</v>
      </c>
    </row>
    <row r="114">
      <c r="A114" s="1"/>
      <c r="B114" s="67" t="str">
        <f>IFERROR(__xludf.DUMMYFUNCTION("""COMPUTED_VALUE"""),"Vinaya Kajla")</f>
        <v>Vinaya Kajla</v>
      </c>
      <c r="C114" s="68">
        <f>IFERROR(__xludf.DUMMYFUNCTION("""COMPUTED_VALUE"""),73.0)</f>
        <v>73</v>
      </c>
      <c r="D114" s="69">
        <f>IFERROR(__xludf.DUMMYFUNCTION("""COMPUTED_VALUE"""),6.0)</f>
        <v>6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IFERROR(__xludf.DUMMYFUNCTION("""COMPUTED_VALUE"""),6.0)</f>
        <v>6</v>
      </c>
      <c r="I114" s="70">
        <f>IFERROR(__xludf.DUMMYFUNCTION("""COMPUTED_VALUE"""),2.0)</f>
        <v>2</v>
      </c>
      <c r="J114" s="70">
        <f>IFERROR(__xludf.DUMMYFUNCTION("""COMPUTED_VALUE"""),2.0)</f>
        <v>2</v>
      </c>
      <c r="K114" s="70">
        <f>IFERROR(__xludf.DUMMYFUNCTION("""COMPUTED_VALUE"""),10.0)</f>
        <v>10</v>
      </c>
      <c r="L114" s="70">
        <f>IFERROR(__xludf.DUMMYFUNCTION("""COMPUTED_VALUE"""),1.0)</f>
        <v>1</v>
      </c>
      <c r="M114" s="70">
        <f>IFERROR(__xludf.DUMMYFUNCTION("""COMPUTED_VALUE"""),83.0)</f>
        <v>83</v>
      </c>
      <c r="N114" s="71">
        <f>IFERROR(__xludf.DUMMYFUNCTION("""COMPUTED_VALUE"""),7.0)</f>
        <v>7</v>
      </c>
    </row>
    <row r="115">
      <c r="A115" s="1"/>
      <c r="B115" s="67" t="str">
        <f>IFERROR(__xludf.DUMMYFUNCTION("""COMPUTED_VALUE"""),"Kumar Palakeel")</f>
        <v>Kumar Palakeel</v>
      </c>
      <c r="C115" s="68">
        <f>IFERROR(__xludf.DUMMYFUNCTION("""COMPUTED_VALUE"""),70.0)</f>
        <v>70</v>
      </c>
      <c r="D115" s="69">
        <f>IFERROR(__xludf.DUMMYFUNCTION("""COMPUTED_VALUE"""),6.0)</f>
        <v>6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IFERROR(__xludf.DUMMYFUNCTION("""COMPUTED_VALUE"""),4.0)</f>
        <v>4</v>
      </c>
      <c r="I115" s="70">
        <f>IFERROR(__xludf.DUMMYFUNCTION("""COMPUTED_VALUE"""),2.0)</f>
        <v>2</v>
      </c>
      <c r="J115" s="70">
        <f>IFERROR(__xludf.DUMMYFUNCTION("""COMPUTED_VALUE"""),6.0)</f>
        <v>6</v>
      </c>
      <c r="K115" s="70">
        <f>IFERROR(__xludf.DUMMYFUNCTION("""COMPUTED_VALUE"""),12.0)</f>
        <v>12</v>
      </c>
      <c r="L115" s="70">
        <f>IFERROR(__xludf.DUMMYFUNCTION("""COMPUTED_VALUE"""),1.0)</f>
        <v>1</v>
      </c>
      <c r="M115" s="70">
        <f>IFERROR(__xludf.DUMMYFUNCTION("""COMPUTED_VALUE"""),82.0)</f>
        <v>82</v>
      </c>
      <c r="N115" s="71">
        <f>IFERROR(__xludf.DUMMYFUNCTION("""COMPUTED_VALUE"""),7.0)</f>
        <v>7</v>
      </c>
    </row>
    <row r="116">
      <c r="A116" s="1"/>
      <c r="B116" s="62" t="str">
        <f>IFERROR(__xludf.DUMMYFUNCTION("""COMPUTED_VALUE"""),"Eric Tan")</f>
        <v>Eric Tan</v>
      </c>
      <c r="C116" s="63">
        <f>IFERROR(__xludf.DUMMYFUNCTION("""COMPUTED_VALUE"""),68.0)</f>
        <v>68</v>
      </c>
      <c r="D116" s="64">
        <f>IFERROR(__xludf.DUMMYFUNCTION("""COMPUTED_VALUE"""),5.0)</f>
        <v>5</v>
      </c>
      <c r="E116" s="63">
        <f>IFERROR(__xludf.DUMMYFUNCTION("""COMPUTED_VALUE"""),1.0)</f>
        <v>1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IFERROR(__xludf.DUMMYFUNCTION("""COMPUTED_VALUE"""),6.0)</f>
        <v>6</v>
      </c>
      <c r="I116" s="65">
        <f>IFERROR(__xludf.DUMMYFUNCTION("""COMPUTED_VALUE"""),5.0)</f>
        <v>5</v>
      </c>
      <c r="J116" s="65">
        <f>IFERROR(__xludf.DUMMYFUNCTION("""COMPUTED_VALUE"""),6.0)</f>
        <v>6</v>
      </c>
      <c r="K116" s="65">
        <f>IFERROR(__xludf.DUMMYFUNCTION("""COMPUTED_VALUE"""),17.0)</f>
        <v>17</v>
      </c>
      <c r="L116" s="65">
        <f>IFERROR(__xludf.DUMMYFUNCTION("""COMPUTED_VALUE"""),2.0)</f>
        <v>2</v>
      </c>
      <c r="M116" s="65">
        <f>IFERROR(__xludf.DUMMYFUNCTION("""COMPUTED_VALUE"""),85.0)</f>
        <v>85</v>
      </c>
      <c r="N116" s="66">
        <f>IFERROR(__xludf.DUMMYFUNCTION("""COMPUTED_VALUE"""),7.0)</f>
        <v>7</v>
      </c>
    </row>
    <row r="117">
      <c r="A117" s="1"/>
      <c r="B117" s="62" t="str">
        <f>IFERROR(__xludf.DUMMYFUNCTION("""COMPUTED_VALUE"""),"Manuel Rivera")</f>
        <v>Manuel Rivera</v>
      </c>
      <c r="C117" s="63">
        <f>IFERROR(__xludf.DUMMYFUNCTION("""COMPUTED_VALUE"""),67.0)</f>
        <v>67</v>
      </c>
      <c r="D117" s="64">
        <f>IFERROR(__xludf.DUMMYFUNCTION("""COMPUTED_VALUE"""),3.0)</f>
        <v>3</v>
      </c>
      <c r="E117" s="63">
        <f>IFERROR(__xludf.DUMMYFUNCTION("""COMPUTED_VALUE"""),2.0)</f>
        <v>2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IFERROR(__xludf.DUMMYFUNCTION("""COMPUTED_VALUE"""),2.0)</f>
        <v>2</v>
      </c>
      <c r="I117" s="65">
        <f>IFERROR(__xludf.DUMMYFUNCTION("""COMPUTED_VALUE"""),7.0)</f>
        <v>7</v>
      </c>
      <c r="J117" s="65">
        <f>IFERROR(__xludf.DUMMYFUNCTION("""COMPUTED_VALUE"""),6.0)</f>
        <v>6</v>
      </c>
      <c r="K117" s="65">
        <f>IFERROR(__xludf.DUMMYFUNCTION("""COMPUTED_VALUE"""),15.0)</f>
        <v>15</v>
      </c>
      <c r="L117" s="65">
        <f>IFERROR(__xludf.DUMMYFUNCTION("""COMPUTED_VALUE"""),2.0)</f>
        <v>2</v>
      </c>
      <c r="M117" s="65">
        <f>IFERROR(__xludf.DUMMYFUNCTION("""COMPUTED_VALUE"""),82.0)</f>
        <v>82</v>
      </c>
      <c r="N117" s="66">
        <f>IFERROR(__xludf.DUMMYFUNCTION("""COMPUTED_VALUE"""),5.0)</f>
        <v>5</v>
      </c>
    </row>
    <row r="118">
      <c r="A118" s="1"/>
      <c r="B118" s="62" t="str">
        <f>IFERROR(__xludf.DUMMYFUNCTION("""COMPUTED_VALUE"""),"Joyce Zhu")</f>
        <v>Joyce Zhu</v>
      </c>
      <c r="C118" s="63">
        <f>IFERROR(__xludf.DUMMYFUNCTION("""COMPUTED_VALUE"""),65.0)</f>
        <v>65</v>
      </c>
      <c r="D118" s="64">
        <f>IFERROR(__xludf.DUMMYFUNCTION("""COMPUTED_VALUE"""),1.0)</f>
        <v>1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IFERROR(__xludf.DUMMYFUNCTION("""COMPUTED_VALUE"""),2.0)</f>
        <v>2</v>
      </c>
      <c r="I118" s="65">
        <f>IFERROR(__xludf.DUMMYFUNCTION("""COMPUTED_VALUE"""),5.0)</f>
        <v>5</v>
      </c>
      <c r="J118" s="65">
        <f>IFERROR(__xludf.DUMMYFUNCTION("""COMPUTED_VALUE"""),0.0)</f>
        <v>0</v>
      </c>
      <c r="K118" s="65">
        <f>IFERROR(__xludf.DUMMYFUNCTION("""COMPUTED_VALUE"""),7.0)</f>
        <v>7</v>
      </c>
      <c r="L118" s="65">
        <f>IFERROR(__xludf.DUMMYFUNCTION("""COMPUTED_VALUE"""),0.0)</f>
        <v>0</v>
      </c>
      <c r="M118" s="65">
        <f>IFERROR(__xludf.DUMMYFUNCTION("""COMPUTED_VALUE"""),72.0)</f>
        <v>72</v>
      </c>
      <c r="N118" s="66">
        <f>IFERROR(__xludf.DUMMYFUNCTION("""COMPUTED_VALUE"""),1.0)</f>
        <v>1</v>
      </c>
    </row>
    <row r="119">
      <c r="A119" s="1"/>
      <c r="B119" s="62" t="str">
        <f>IFERROR(__xludf.DUMMYFUNCTION("""COMPUTED_VALUE"""),"Tiffany Yu")</f>
        <v>Tiffany Yu</v>
      </c>
      <c r="C119" s="63">
        <f>IFERROR(__xludf.DUMMYFUNCTION("""COMPUTED_VALUE"""),58.0)</f>
        <v>58</v>
      </c>
      <c r="D119" s="64">
        <f>IFERROR(__xludf.DUMMYFUNCTION("""COMPUTED_VALUE"""),0.0)</f>
        <v>0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IFERROR(__xludf.DUMMYFUNCTION("""COMPUTED_VALUE"""),7.0)</f>
        <v>7</v>
      </c>
      <c r="J119" s="65">
        <f>IFERROR(__xludf.DUMMYFUNCTION("""COMPUTED_VALUE"""),0.0)</f>
        <v>0</v>
      </c>
      <c r="K119" s="65">
        <f>IFERROR(__xludf.DUMMYFUNCTION("""COMPUTED_VALUE"""),13.0)</f>
        <v>13</v>
      </c>
      <c r="L119" s="65">
        <f>IFERROR(__xludf.DUMMYFUNCTION("""COMPUTED_VALUE"""),2.0)</f>
        <v>2</v>
      </c>
      <c r="M119" s="65">
        <f>IFERROR(__xludf.DUMMYFUNCTION("""COMPUTED_VALUE"""),71.0)</f>
        <v>71</v>
      </c>
      <c r="N119" s="66">
        <f>IFERROR(__xludf.DUMMYFUNCTION("""COMPUTED_VALUE"""),2.0)</f>
        <v>2</v>
      </c>
    </row>
    <row r="120">
      <c r="A120" s="1"/>
      <c r="B120" s="67"/>
      <c r="C120" s="72"/>
      <c r="D120" s="72"/>
      <c r="E120" s="72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1"/>
      <c r="B121" s="67"/>
      <c r="C121" s="72"/>
      <c r="D121" s="72"/>
      <c r="E121" s="72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1"/>
      <c r="B122" s="67"/>
      <c r="C122" s="72"/>
      <c r="D122" s="72"/>
      <c r="E122" s="72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1"/>
      <c r="B123" s="67"/>
      <c r="C123" s="72"/>
      <c r="D123" s="72"/>
      <c r="E123" s="72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0"")"),"Lam Bui")</f>
        <v>Lam Bui</v>
      </c>
      <c r="C136" s="63">
        <f>IFERROR(__xludf.DUMMYFUNCTION("""COMPUTED_VALUE"""),101.0)</f>
        <v>101</v>
      </c>
      <c r="D136" s="64">
        <f>IFERROR(__xludf.DUMMYFUNCTION("""COMPUTED_VALUE"""),10.0)</f>
        <v>10</v>
      </c>
      <c r="E136" s="63">
        <f>IFERROR(__xludf.DUMMYFUNCTION("""COMPUTED_VALUE"""),5.0)</f>
        <v>5</v>
      </c>
      <c r="F136" s="65">
        <f>IFERROR(__xludf.DUMMYFUNCTION("""COMPUTED_VALUE"""),0.0)</f>
        <v>0</v>
      </c>
      <c r="G136" s="65">
        <f>IFERROR(__xludf.DUMMYFUNCTION("""COMPUTED_VALUE"""),13.0)</f>
        <v>13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IFERROR(__xludf.DUMMYFUNCTION("""COMPUTED_VALUE"""),13.0)</f>
        <v>13</v>
      </c>
      <c r="L136" s="65">
        <f>IFERROR(__xludf.DUMMYFUNCTION("""COMPUTED_VALUE"""),0.0)</f>
        <v>0</v>
      </c>
      <c r="M136" s="65">
        <f>IFERROR(__xludf.DUMMYFUNCTION("""COMPUTED_VALUE"""),114.0)</f>
        <v>114</v>
      </c>
      <c r="N136" s="66">
        <f>IFERROR(__xludf.DUMMYFUNCTION("""COMPUTED_VALUE"""),10.0)</f>
        <v>10</v>
      </c>
    </row>
    <row r="137">
      <c r="A137" s="1"/>
      <c r="B137" s="62" t="str">
        <f>IFERROR(__xludf.DUMMYFUNCTION("""COMPUTED_VALUE"""),"Sean Chang")</f>
        <v>Sean Chang</v>
      </c>
      <c r="C137" s="63">
        <f>IFERROR(__xludf.DUMMYFUNCTION("""COMPUTED_VALUE"""),101.0)</f>
        <v>101</v>
      </c>
      <c r="D137" s="64">
        <f>IFERROR(__xludf.DUMMYFUNCTION("""COMPUTED_VALUE"""),8.0)</f>
        <v>8</v>
      </c>
      <c r="E137" s="63">
        <f>IFERROR(__xludf.DUMMYFUNCTION("""COMPUTED_VALUE"""),5.0)</f>
        <v>5</v>
      </c>
      <c r="F137" s="65">
        <f>IFERROR(__xludf.DUMMYFUNCTION("""COMPUTED_VALUE"""),0.0)</f>
        <v>0</v>
      </c>
      <c r="G137" s="65">
        <f>IFERROR(__xludf.DUMMYFUNCTION("""COMPUTED_VALUE"""),13.0)</f>
        <v>13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IFERROR(__xludf.DUMMYFUNCTION("""COMPUTED_VALUE"""),13.0)</f>
        <v>13</v>
      </c>
      <c r="L137" s="65">
        <f>IFERROR(__xludf.DUMMYFUNCTION("""COMPUTED_VALUE"""),0.0)</f>
        <v>0</v>
      </c>
      <c r="M137" s="65">
        <f>IFERROR(__xludf.DUMMYFUNCTION("""COMPUTED_VALUE"""),114.0)</f>
        <v>114</v>
      </c>
      <c r="N137" s="66">
        <f>IFERROR(__xludf.DUMMYFUNCTION("""COMPUTED_VALUE"""),8.0)</f>
        <v>8</v>
      </c>
    </row>
    <row r="138">
      <c r="A138" s="1"/>
      <c r="B138" s="62" t="str">
        <f>IFERROR(__xludf.DUMMYFUNCTION("""COMPUTED_VALUE"""),"Adrian Tay")</f>
        <v>Adrian Tay</v>
      </c>
      <c r="C138" s="63">
        <f>IFERROR(__xludf.DUMMYFUNCTION("""COMPUTED_VALUE"""),98.0)</f>
        <v>98</v>
      </c>
      <c r="D138" s="64">
        <f>IFERROR(__xludf.DUMMYFUNCTION("""COMPUTED_VALUE"""),12.0)</f>
        <v>12</v>
      </c>
      <c r="E138" s="63">
        <f>IFERROR(__xludf.DUMMYFUNCTION("""COMPUTED_VALUE"""),5.0)</f>
        <v>5</v>
      </c>
      <c r="F138" s="65">
        <f>IFERROR(__xludf.DUMMYFUNCTION("""COMPUTED_VALUE"""),0.0)</f>
        <v>0</v>
      </c>
      <c r="G138" s="65">
        <f>IFERROR(__xludf.DUMMYFUNCTION("""COMPUTED_VALUE"""),13.0)</f>
        <v>13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IFERROR(__xludf.DUMMYFUNCTION("""COMPUTED_VALUE"""),13.0)</f>
        <v>13</v>
      </c>
      <c r="L138" s="65">
        <f>IFERROR(__xludf.DUMMYFUNCTION("""COMPUTED_VALUE"""),0.0)</f>
        <v>0</v>
      </c>
      <c r="M138" s="65">
        <f>IFERROR(__xludf.DUMMYFUNCTION("""COMPUTED_VALUE"""),111.0)</f>
        <v>111</v>
      </c>
      <c r="N138" s="66">
        <f>IFERROR(__xludf.DUMMYFUNCTION("""COMPUTED_VALUE"""),12.0)</f>
        <v>12</v>
      </c>
    </row>
    <row r="139">
      <c r="A139" s="1"/>
      <c r="B139" s="62" t="str">
        <f>IFERROR(__xludf.DUMMYFUNCTION("""COMPUTED_VALUE"""),"Joe Luzzi")</f>
        <v>Joe Luzzi</v>
      </c>
      <c r="C139" s="63">
        <f>IFERROR(__xludf.DUMMYFUNCTION("""COMPUTED_VALUE"""),91.0)</f>
        <v>91</v>
      </c>
      <c r="D139" s="64">
        <f>IFERROR(__xludf.DUMMYFUNCTION("""COMPUTED_VALUE"""),8.0)</f>
        <v>8</v>
      </c>
      <c r="E139" s="63">
        <f>IFERROR(__xludf.DUMMYFUNCTION("""COMPUTED_VALUE"""),5.0)</f>
        <v>5</v>
      </c>
      <c r="F139" s="65">
        <f>IFERROR(__xludf.DUMMYFUNCTION("""COMPUTED_VALUE"""),0.0)</f>
        <v>0</v>
      </c>
      <c r="G139" s="65">
        <f>IFERROR(__xludf.DUMMYFUNCTION("""COMPUTED_VALUE"""),13.0)</f>
        <v>13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IFERROR(__xludf.DUMMYFUNCTION("""COMPUTED_VALUE"""),13.0)</f>
        <v>13</v>
      </c>
      <c r="L139" s="65">
        <f>IFERROR(__xludf.DUMMYFUNCTION("""COMPUTED_VALUE"""),0.0)</f>
        <v>0</v>
      </c>
      <c r="M139" s="65">
        <f>IFERROR(__xludf.DUMMYFUNCTION("""COMPUTED_VALUE"""),104.0)</f>
        <v>104</v>
      </c>
      <c r="N139" s="66">
        <f>IFERROR(__xludf.DUMMYFUNCTION("""COMPUTED_VALUE"""),8.0)</f>
        <v>8</v>
      </c>
    </row>
    <row r="140">
      <c r="A140" s="1"/>
      <c r="B140" s="62" t="str">
        <f>IFERROR(__xludf.DUMMYFUNCTION("""COMPUTED_VALUE"""),"Savay Lieu")</f>
        <v>Savay Lieu</v>
      </c>
      <c r="C140" s="63">
        <f>IFERROR(__xludf.DUMMYFUNCTION("""COMPUTED_VALUE"""),86.0)</f>
        <v>86</v>
      </c>
      <c r="D140" s="64">
        <f>IFERROR(__xludf.DUMMYFUNCTION("""COMPUTED_VALUE"""),5.0)</f>
        <v>5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IFERROR(__xludf.DUMMYFUNCTION("""COMPUTED_VALUE"""),95.0)</f>
        <v>95</v>
      </c>
      <c r="N140" s="66">
        <f>IFERROR(__xludf.DUMMYFUNCTION("""COMPUTED_VALUE"""),5.0)</f>
        <v>5</v>
      </c>
    </row>
    <row r="141">
      <c r="A141" s="1"/>
      <c r="B141" s="62" t="str">
        <f>IFERROR(__xludf.DUMMYFUNCTION("""COMPUTED_VALUE"""),"Chinna Ponnaganti")</f>
        <v>Chinna Ponnaganti</v>
      </c>
      <c r="C141" s="63">
        <f>IFERROR(__xludf.DUMMYFUNCTION("""COMPUTED_VALUE"""),84.0)</f>
        <v>84</v>
      </c>
      <c r="D141" s="64">
        <f>IFERROR(__xludf.DUMMYFUNCTION("""COMPUTED_VALUE"""),8.0)</f>
        <v>8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IFERROR(__xludf.DUMMYFUNCTION("""COMPUTED_VALUE"""),93.0)</f>
        <v>93</v>
      </c>
      <c r="N141" s="66">
        <f>IFERROR(__xludf.DUMMYFUNCTION("""COMPUTED_VALUE"""),8.0)</f>
        <v>8</v>
      </c>
    </row>
    <row r="142">
      <c r="A142" s="1"/>
      <c r="B142" s="62" t="str">
        <f>IFERROR(__xludf.DUMMYFUNCTION("""COMPUTED_VALUE"""),"Oscar Bonilla")</f>
        <v>Oscar Bonilla</v>
      </c>
      <c r="C142" s="63">
        <f>IFERROR(__xludf.DUMMYFUNCTION("""COMPUTED_VALUE"""),84.0)</f>
        <v>84</v>
      </c>
      <c r="D142" s="64">
        <f>IFERROR(__xludf.DUMMYFUNCTION("""COMPUTED_VALUE"""),6.0)</f>
        <v>6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IFERROR(__xludf.DUMMYFUNCTION("""COMPUTED_VALUE"""),93.0)</f>
        <v>93</v>
      </c>
      <c r="N142" s="66">
        <f>IFERROR(__xludf.DUMMYFUNCTION("""COMPUTED_VALUE"""),6.0)</f>
        <v>6</v>
      </c>
    </row>
    <row r="143">
      <c r="A143" s="1"/>
      <c r="B143" s="62" t="str">
        <f>IFERROR(__xludf.DUMMYFUNCTION("""COMPUTED_VALUE"""),"Balaji Alahari")</f>
        <v>Balaji Alahari</v>
      </c>
      <c r="C143" s="63">
        <f>IFERROR(__xludf.DUMMYFUNCTION("""COMPUTED_VALUE"""),84.0)</f>
        <v>84</v>
      </c>
      <c r="D143" s="64">
        <f>IFERROR(__xludf.DUMMYFUNCTION("""COMPUTED_VALUE"""),5.0)</f>
        <v>5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IFERROR(__xludf.DUMMYFUNCTION("""COMPUTED_VALUE"""),93.0)</f>
        <v>93</v>
      </c>
      <c r="N143" s="66">
        <f>IFERROR(__xludf.DUMMYFUNCTION("""COMPUTED_VALUE"""),5.0)</f>
        <v>5</v>
      </c>
    </row>
    <row r="144">
      <c r="A144" s="1"/>
      <c r="B144" s="62" t="str">
        <f>IFERROR(__xludf.DUMMYFUNCTION("""COMPUTED_VALUE"""),"Rajasekar Ramasamy")</f>
        <v>Rajasekar Ramasamy</v>
      </c>
      <c r="C144" s="63">
        <f>IFERROR(__xludf.DUMMYFUNCTION("""COMPUTED_VALUE"""),82.0)</f>
        <v>82</v>
      </c>
      <c r="D144" s="64">
        <f>IFERROR(__xludf.DUMMYFUNCTION("""COMPUTED_VALUE"""),6.0)</f>
        <v>6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IFERROR(__xludf.DUMMYFUNCTION("""COMPUTED_VALUE"""),91.0)</f>
        <v>91</v>
      </c>
      <c r="N144" s="66">
        <f>IFERROR(__xludf.DUMMYFUNCTION("""COMPUTED_VALUE"""),6.0)</f>
        <v>6</v>
      </c>
    </row>
    <row r="145">
      <c r="A145" s="1"/>
      <c r="B145" s="62" t="str">
        <f>IFERROR(__xludf.DUMMYFUNCTION("""COMPUTED_VALUE"""),"Pulkit Mathur")</f>
        <v>Pulkit Mathur</v>
      </c>
      <c r="C145" s="63">
        <f>IFERROR(__xludf.DUMMYFUNCTION("""COMPUTED_VALUE"""),81.0)</f>
        <v>81</v>
      </c>
      <c r="D145" s="64">
        <f>IFERROR(__xludf.DUMMYFUNCTION("""COMPUTED_VALUE"""),6.0)</f>
        <v>6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IFERROR(__xludf.DUMMYFUNCTION("""COMPUTED_VALUE"""),90.0)</f>
        <v>90</v>
      </c>
      <c r="N145" s="66">
        <f>IFERROR(__xludf.DUMMYFUNCTION("""COMPUTED_VALUE"""),6.0)</f>
        <v>6</v>
      </c>
    </row>
    <row r="146">
      <c r="A146" s="1"/>
      <c r="B146" s="62" t="str">
        <f>IFERROR(__xludf.DUMMYFUNCTION("""COMPUTED_VALUE"""),"Manish Anand")</f>
        <v>Manish Anand</v>
      </c>
      <c r="C146" s="63">
        <f>IFERROR(__xludf.DUMMYFUNCTION("""COMPUTED_VALUE"""),81.0)</f>
        <v>81</v>
      </c>
      <c r="D146" s="64">
        <f>IFERROR(__xludf.DUMMYFUNCTION("""COMPUTED_VALUE"""),6.0)</f>
        <v>6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IFERROR(__xludf.DUMMYFUNCTION("""COMPUTED_VALUE"""),90.0)</f>
        <v>90</v>
      </c>
      <c r="N146" s="66">
        <f>IFERROR(__xludf.DUMMYFUNCTION("""COMPUTED_VALUE"""),6.0)</f>
        <v>6</v>
      </c>
    </row>
    <row r="147">
      <c r="A147" s="1"/>
      <c r="B147" s="62" t="str">
        <f>IFERROR(__xludf.DUMMYFUNCTION("""COMPUTED_VALUE"""),"Robert Chang")</f>
        <v>Robert Chang</v>
      </c>
      <c r="C147" s="63">
        <f>IFERROR(__xludf.DUMMYFUNCTION("""COMPUTED_VALUE"""),81.0)</f>
        <v>81</v>
      </c>
      <c r="D147" s="64">
        <f>IFERROR(__xludf.DUMMYFUNCTION("""COMPUTED_VALUE"""),4.0)</f>
        <v>4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IFERROR(__xludf.DUMMYFUNCTION("""COMPUTED_VALUE"""),90.0)</f>
        <v>90</v>
      </c>
      <c r="N147" s="66">
        <f>IFERROR(__xludf.DUMMYFUNCTION("""COMPUTED_VALUE"""),4.0)</f>
        <v>4</v>
      </c>
    </row>
    <row r="148">
      <c r="A148" s="1"/>
      <c r="B148" s="62" t="str">
        <f>IFERROR(__xludf.DUMMYFUNCTION("""COMPUTED_VALUE"""),"Elayaraja Thangaraj ")</f>
        <v>Elayaraja Thangaraj </v>
      </c>
      <c r="C148" s="63">
        <f>IFERROR(__xludf.DUMMYFUNCTION("""COMPUTED_VALUE"""),80.0)</f>
        <v>80</v>
      </c>
      <c r="D148" s="64">
        <f>IFERROR(__xludf.DUMMYFUNCTION("""COMPUTED_VALUE"""),7.0)</f>
        <v>7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IFERROR(__xludf.DUMMYFUNCTION("""COMPUTED_VALUE"""),89.0)</f>
        <v>89</v>
      </c>
      <c r="N148" s="66">
        <f>IFERROR(__xludf.DUMMYFUNCTION("""COMPUTED_VALUE"""),7.0)</f>
        <v>7</v>
      </c>
    </row>
    <row r="149">
      <c r="A149" s="1"/>
      <c r="B149" s="62" t="str">
        <f>IFERROR(__xludf.DUMMYFUNCTION("""COMPUTED_VALUE"""),"Tony Wong")</f>
        <v>Tony Wong</v>
      </c>
      <c r="C149" s="63">
        <f>IFERROR(__xludf.DUMMYFUNCTION("""COMPUTED_VALUE"""),80.0)</f>
        <v>80</v>
      </c>
      <c r="D149" s="64">
        <f>IFERROR(__xludf.DUMMYFUNCTION("""COMPUTED_VALUE"""),6.0)</f>
        <v>6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IFERROR(__xludf.DUMMYFUNCTION("""COMPUTED_VALUE"""),89.0)</f>
        <v>89</v>
      </c>
      <c r="N149" s="66">
        <f>IFERROR(__xludf.DUMMYFUNCTION("""COMPUTED_VALUE"""),6.0)</f>
        <v>6</v>
      </c>
    </row>
    <row r="150">
      <c r="A150" s="1"/>
      <c r="B150" s="62" t="str">
        <f>IFERROR(__xludf.DUMMYFUNCTION("""COMPUTED_VALUE"""),"Matthew Huang")</f>
        <v>Matthew Huang</v>
      </c>
      <c r="C150" s="63">
        <f>IFERROR(__xludf.DUMMYFUNCTION("""COMPUTED_VALUE"""),80.0)</f>
        <v>80</v>
      </c>
      <c r="D150" s="64">
        <f>IFERROR(__xludf.DUMMYFUNCTION("""COMPUTED_VALUE"""),3.0)</f>
        <v>3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IFERROR(__xludf.DUMMYFUNCTION("""COMPUTED_VALUE"""),89.0)</f>
        <v>89</v>
      </c>
      <c r="N150" s="66">
        <f>IFERROR(__xludf.DUMMYFUNCTION("""COMPUTED_VALUE"""),3.0)</f>
        <v>3</v>
      </c>
    </row>
    <row r="151">
      <c r="A151" s="1"/>
      <c r="B151" s="62" t="str">
        <f>IFERROR(__xludf.DUMMYFUNCTION("""COMPUTED_VALUE"""),"Alejandro Mejia")</f>
        <v>Alejandro Mejia</v>
      </c>
      <c r="C151" s="63">
        <f>IFERROR(__xludf.DUMMYFUNCTION("""COMPUTED_VALUE"""),79.0)</f>
        <v>79</v>
      </c>
      <c r="D151" s="64">
        <f>IFERROR(__xludf.DUMMYFUNCTION("""COMPUTED_VALUE"""),4.0)</f>
        <v>4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IFERROR(__xludf.DUMMYFUNCTION("""COMPUTED_VALUE"""),88.0)</f>
        <v>88</v>
      </c>
      <c r="N151" s="66">
        <f>IFERROR(__xludf.DUMMYFUNCTION("""COMPUTED_VALUE"""),4.0)</f>
        <v>4</v>
      </c>
    </row>
    <row r="152">
      <c r="A152" s="1"/>
      <c r="B152" s="62" t="str">
        <f>IFERROR(__xludf.DUMMYFUNCTION("""COMPUTED_VALUE"""),"Vamsi Lolla ")</f>
        <v>Vamsi Lolla </v>
      </c>
      <c r="C152" s="63">
        <f>IFERROR(__xludf.DUMMYFUNCTION("""COMPUTED_VALUE"""),79.0)</f>
        <v>79</v>
      </c>
      <c r="D152" s="64">
        <f>IFERROR(__xludf.DUMMYFUNCTION("""COMPUTED_VALUE"""),4.0)</f>
        <v>4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IFERROR(__xludf.DUMMYFUNCTION("""COMPUTED_VALUE"""),88.0)</f>
        <v>88</v>
      </c>
      <c r="N152" s="66">
        <f>IFERROR(__xludf.DUMMYFUNCTION("""COMPUTED_VALUE"""),4.0)</f>
        <v>4</v>
      </c>
    </row>
    <row r="153">
      <c r="A153" s="1"/>
      <c r="B153" s="62" t="str">
        <f>IFERROR(__xludf.DUMMYFUNCTION("""COMPUTED_VALUE"""),"Rosie Bonilla")</f>
        <v>Rosie Bonilla</v>
      </c>
      <c r="C153" s="63">
        <f>IFERROR(__xludf.DUMMYFUNCTION("""COMPUTED_VALUE"""),78.0)</f>
        <v>78</v>
      </c>
      <c r="D153" s="64">
        <f>IFERROR(__xludf.DUMMYFUNCTION("""COMPUTED_VALUE"""),2.0)</f>
        <v>2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IFERROR(__xludf.DUMMYFUNCTION("""COMPUTED_VALUE"""),87.0)</f>
        <v>87</v>
      </c>
      <c r="N153" s="66">
        <f>IFERROR(__xludf.DUMMYFUNCTION("""COMPUTED_VALUE"""),2.0)</f>
        <v>2</v>
      </c>
    </row>
    <row r="154">
      <c r="A154" s="1"/>
      <c r="B154" s="62" t="str">
        <f>IFERROR(__xludf.DUMMYFUNCTION("""COMPUTED_VALUE"""),"Lloyd Sagar")</f>
        <v>Lloyd Sagar</v>
      </c>
      <c r="C154" s="63">
        <f>IFERROR(__xludf.DUMMYFUNCTION("""COMPUTED_VALUE"""),77.0)</f>
        <v>77</v>
      </c>
      <c r="D154" s="64">
        <f>IFERROR(__xludf.DUMMYFUNCTION("""COMPUTED_VALUE"""),4.0)</f>
        <v>4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IFERROR(__xludf.DUMMYFUNCTION("""COMPUTED_VALUE"""),86.0)</f>
        <v>86</v>
      </c>
      <c r="N154" s="66">
        <f>IFERROR(__xludf.DUMMYFUNCTION("""COMPUTED_VALUE"""),4.0)</f>
        <v>4</v>
      </c>
    </row>
    <row r="155">
      <c r="A155" s="1"/>
      <c r="B155" s="62" t="str">
        <f>IFERROR(__xludf.DUMMYFUNCTION("""COMPUTED_VALUE"""),"Marcus Yovas")</f>
        <v>Marcus Yovas</v>
      </c>
      <c r="C155" s="63">
        <f>IFERROR(__xludf.DUMMYFUNCTION("""COMPUTED_VALUE"""),76.0)</f>
        <v>76</v>
      </c>
      <c r="D155" s="64">
        <f>IFERROR(__xludf.DUMMYFUNCTION("""COMPUTED_VALUE"""),2.0)</f>
        <v>2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IFERROR(__xludf.DUMMYFUNCTION("""COMPUTED_VALUE"""),85.0)</f>
        <v>85</v>
      </c>
      <c r="N155" s="66">
        <f>IFERROR(__xludf.DUMMYFUNCTION("""COMPUTED_VALUE"""),2.0)</f>
        <v>2</v>
      </c>
    </row>
    <row r="156">
      <c r="A156" s="1"/>
      <c r="B156" s="62" t="str">
        <f>IFERROR(__xludf.DUMMYFUNCTION("""COMPUTED_VALUE"""),"Nohely Mejia")</f>
        <v>Nohely Mejia</v>
      </c>
      <c r="C156" s="63">
        <f>IFERROR(__xludf.DUMMYFUNCTION("""COMPUTED_VALUE"""),76.0)</f>
        <v>76</v>
      </c>
      <c r="D156" s="64">
        <f>IFERROR(__xludf.DUMMYFUNCTION("""COMPUTED_VALUE"""),2.0)</f>
        <v>2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IFERROR(__xludf.DUMMYFUNCTION("""COMPUTED_VALUE"""),85.0)</f>
        <v>85</v>
      </c>
      <c r="N156" s="66">
        <f>IFERROR(__xludf.DUMMYFUNCTION("""COMPUTED_VALUE"""),2.0)</f>
        <v>2</v>
      </c>
    </row>
    <row r="157">
      <c r="A157" s="1"/>
      <c r="B157" s="62" t="str">
        <f>IFERROR(__xludf.DUMMYFUNCTION("""COMPUTED_VALUE"""),"Sudhagar Subbaian")</f>
        <v>Sudhagar Subbaian</v>
      </c>
      <c r="C157" s="63">
        <f>IFERROR(__xludf.DUMMYFUNCTION("""COMPUTED_VALUE"""),75.0)</f>
        <v>75</v>
      </c>
      <c r="D157" s="64">
        <f>IFERROR(__xludf.DUMMYFUNCTION("""COMPUTED_VALUE"""),4.0)</f>
        <v>4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IFERROR(__xludf.DUMMYFUNCTION("""COMPUTED_VALUE"""),84.0)</f>
        <v>84</v>
      </c>
      <c r="N157" s="66">
        <f>IFERROR(__xludf.DUMMYFUNCTION("""COMPUTED_VALUE"""),4.0)</f>
        <v>4</v>
      </c>
    </row>
    <row r="158">
      <c r="A158" s="1"/>
      <c r="B158" s="62" t="str">
        <f>IFERROR(__xludf.DUMMYFUNCTION("""COMPUTED_VALUE"""),"Ramesh Bandaru")</f>
        <v>Ramesh Bandaru</v>
      </c>
      <c r="C158" s="63">
        <f>IFERROR(__xludf.DUMMYFUNCTION("""COMPUTED_VALUE"""),75.0)</f>
        <v>75</v>
      </c>
      <c r="D158" s="64">
        <f>IFERROR(__xludf.DUMMYFUNCTION("""COMPUTED_VALUE"""),4.0)</f>
        <v>4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IFERROR(__xludf.DUMMYFUNCTION("""COMPUTED_VALUE"""),84.0)</f>
        <v>84</v>
      </c>
      <c r="N158" s="66">
        <f>IFERROR(__xludf.DUMMYFUNCTION("""COMPUTED_VALUE"""),4.0)</f>
        <v>4</v>
      </c>
    </row>
    <row r="159">
      <c r="A159" s="1"/>
      <c r="B159" s="62" t="str">
        <f>IFERROR(__xludf.DUMMYFUNCTION("""COMPUTED_VALUE"""),"Santosh Sundaresan ")</f>
        <v>Santosh Sundaresan </v>
      </c>
      <c r="C159" s="63">
        <f>IFERROR(__xludf.DUMMYFUNCTION("""COMPUTED_VALUE"""),75.0)</f>
        <v>75</v>
      </c>
      <c r="D159" s="64">
        <f>IFERROR(__xludf.DUMMYFUNCTION("""COMPUTED_VALUE"""),2.0)</f>
        <v>2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IFERROR(__xludf.DUMMYFUNCTION("""COMPUTED_VALUE"""),84.0)</f>
        <v>84</v>
      </c>
      <c r="N159" s="66">
        <f>IFERROR(__xludf.DUMMYFUNCTION("""COMPUTED_VALUE"""),2.0)</f>
        <v>2</v>
      </c>
    </row>
    <row r="160">
      <c r="A160" s="1"/>
      <c r="B160" s="62" t="str">
        <f>IFERROR(__xludf.DUMMYFUNCTION("""COMPUTED_VALUE"""),"Troy Wong")</f>
        <v>Troy Wong</v>
      </c>
      <c r="C160" s="63">
        <f>IFERROR(__xludf.DUMMYFUNCTION("""COMPUTED_VALUE"""),73.0)</f>
        <v>73</v>
      </c>
      <c r="D160" s="64">
        <f>IFERROR(__xludf.DUMMYFUNCTION("""COMPUTED_VALUE"""),4.0)</f>
        <v>4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IFERROR(__xludf.DUMMYFUNCTION("""COMPUTED_VALUE"""),82.0)</f>
        <v>82</v>
      </c>
      <c r="N160" s="66">
        <f>IFERROR(__xludf.DUMMYFUNCTION("""COMPUTED_VALUE"""),4.0)</f>
        <v>4</v>
      </c>
    </row>
    <row r="161">
      <c r="A161" s="1"/>
      <c r="B161" s="62" t="str">
        <f>IFERROR(__xludf.DUMMYFUNCTION("""COMPUTED_VALUE"""),"Jimmy Awolesi")</f>
        <v>Jimmy Awolesi</v>
      </c>
      <c r="C161" s="63">
        <f>IFERROR(__xludf.DUMMYFUNCTION("""COMPUTED_VALUE"""),72.0)</f>
        <v>72</v>
      </c>
      <c r="D161" s="64">
        <f>IFERROR(__xludf.DUMMYFUNCTION("""COMPUTED_VALUE"""),7.0)</f>
        <v>7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IFERROR(__xludf.DUMMYFUNCTION("""COMPUTED_VALUE"""),81.0)</f>
        <v>81</v>
      </c>
      <c r="N161" s="66">
        <f>IFERROR(__xludf.DUMMYFUNCTION("""COMPUTED_VALUE"""),7.0)</f>
        <v>7</v>
      </c>
    </row>
    <row r="162">
      <c r="A162" s="1"/>
      <c r="B162" s="62" t="str">
        <f>IFERROR(__xludf.DUMMYFUNCTION("""COMPUTED_VALUE"""),"Tony Lin")</f>
        <v>Tony Lin</v>
      </c>
      <c r="C162" s="63">
        <f>IFERROR(__xludf.DUMMYFUNCTION("""COMPUTED_VALUE"""),72.0)</f>
        <v>72</v>
      </c>
      <c r="D162" s="64">
        <f>IFERROR(__xludf.DUMMYFUNCTION("""COMPUTED_VALUE"""),3.0)</f>
        <v>3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IFERROR(__xludf.DUMMYFUNCTION("""COMPUTED_VALUE"""),81.0)</f>
        <v>81</v>
      </c>
      <c r="N162" s="66">
        <f>IFERROR(__xludf.DUMMYFUNCTION("""COMPUTED_VALUE"""),3.0)</f>
        <v>3</v>
      </c>
    </row>
    <row r="163">
      <c r="A163" s="1"/>
      <c r="B163" s="62" t="str">
        <f>IFERROR(__xludf.DUMMYFUNCTION("""COMPUTED_VALUE"""),"Tom Le")</f>
        <v>Tom Le</v>
      </c>
      <c r="C163" s="63">
        <f>IFERROR(__xludf.DUMMYFUNCTION("""COMPUTED_VALUE"""),72.0)</f>
        <v>72</v>
      </c>
      <c r="D163" s="64">
        <f>IFERROR(__xludf.DUMMYFUNCTION("""COMPUTED_VALUE"""),3.0)</f>
        <v>3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IFERROR(__xludf.DUMMYFUNCTION("""COMPUTED_VALUE"""),81.0)</f>
        <v>81</v>
      </c>
      <c r="N163" s="66">
        <f>IFERROR(__xludf.DUMMYFUNCTION("""COMPUTED_VALUE"""),3.0)</f>
        <v>3</v>
      </c>
    </row>
    <row r="164">
      <c r="A164" s="1"/>
      <c r="B164" s="62" t="str">
        <f>IFERROR(__xludf.DUMMYFUNCTION("""COMPUTED_VALUE"""),"Chandrasekar Chinnathambi")</f>
        <v>Chandrasekar Chinnathambi</v>
      </c>
      <c r="C164" s="63">
        <f>IFERROR(__xludf.DUMMYFUNCTION("""COMPUTED_VALUE"""),70.0)</f>
        <v>70</v>
      </c>
      <c r="D164" s="64">
        <f>IFERROR(__xludf.DUMMYFUNCTION("""COMPUTED_VALUE"""),1.0)</f>
        <v>1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IFERROR(__xludf.DUMMYFUNCTION("""COMPUTED_VALUE"""),79.0)</f>
        <v>79</v>
      </c>
      <c r="N164" s="66">
        <f>IFERROR(__xludf.DUMMYFUNCTION("""COMPUTED_VALUE"""),1.0)</f>
        <v>1</v>
      </c>
    </row>
    <row r="165">
      <c r="A165" s="1"/>
      <c r="B165" s="62" t="str">
        <f>IFERROR(__xludf.DUMMYFUNCTION("""COMPUTED_VALUE"""),"Sanjaye Elayattu")</f>
        <v>Sanjaye Elayattu</v>
      </c>
      <c r="C165" s="63">
        <f>IFERROR(__xludf.DUMMYFUNCTION("""COMPUTED_VALUE"""),67.0)</f>
        <v>67</v>
      </c>
      <c r="D165" s="64">
        <f>IFERROR(__xludf.DUMMYFUNCTION("""COMPUTED_VALUE"""),0.0)</f>
        <v>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IFERROR(__xludf.DUMMYFUNCTION("""COMPUTED_VALUE"""),76.0)</f>
        <v>76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IFERROR(__xludf.DUMMYFUNCTION("""COMPUTED_VALUE"""),"Vinot Kumar Nagappan")</f>
        <v>Vinot Kumar Nagappan</v>
      </c>
      <c r="C166" s="63">
        <f>IFERROR(__xludf.DUMMYFUNCTION("""COMPUTED_VALUE"""),66.0)</f>
        <v>66</v>
      </c>
      <c r="D166" s="64">
        <f>IFERROR(__xludf.DUMMYFUNCTION("""COMPUTED_VALUE"""),1.0)</f>
        <v>1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IFERROR(__xludf.DUMMYFUNCTION("""COMPUTED_VALUE"""),75.0)</f>
        <v>75</v>
      </c>
      <c r="N166" s="66">
        <f>IFERROR(__xludf.DUMMYFUNCTION("""COMPUTED_VALUE"""),1.0)</f>
        <v>1</v>
      </c>
    </row>
    <row r="167">
      <c r="A167" s="1"/>
      <c r="B167" s="62" t="str">
        <f>IFERROR(__xludf.DUMMYFUNCTION("""COMPUTED_VALUE"""),"Sai Dilip Ponnaganti")</f>
        <v>Sai Dilip Ponnaganti</v>
      </c>
      <c r="C167" s="63">
        <f>IFERROR(__xludf.DUMMYFUNCTION("""COMPUTED_VALUE"""),63.0)</f>
        <v>63</v>
      </c>
      <c r="D167" s="64">
        <f>IFERROR(__xludf.DUMMYFUNCTION("""COMPUTED_VALUE"""),0.0)</f>
        <v>0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IFERROR(__xludf.DUMMYFUNCTION("""COMPUTED_VALUE"""),72.0)</f>
        <v>72</v>
      </c>
      <c r="N167" s="66">
        <f>IFERROR(__xludf.DUMMYFUNCTION("""COMPUTED_VALUE"""),0.0)</f>
        <v>0</v>
      </c>
    </row>
    <row r="168">
      <c r="A168" s="1"/>
      <c r="B168" s="62" t="str">
        <f>IFERROR(__xludf.DUMMYFUNCTION("""COMPUTED_VALUE"""),"Susanta Mishra")</f>
        <v>Susanta Mishra</v>
      </c>
      <c r="C168" s="63">
        <f>IFERROR(__xludf.DUMMYFUNCTION("""COMPUTED_VALUE"""),63.0)</f>
        <v>63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IFERROR(__xludf.DUMMYFUNCTION("""COMPUTED_VALUE"""),72.0)</f>
        <v>72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IFERROR(__xludf.DUMMYFUNCTION("""COMPUTED_VALUE"""),"Vilas Janardhanan")</f>
        <v>Vilas Janardhanan</v>
      </c>
      <c r="C169" s="63">
        <f>IFERROR(__xludf.DUMMYFUNCTION("""COMPUTED_VALUE"""),63.0)</f>
        <v>63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IFERROR(__xludf.DUMMYFUNCTION("""COMPUTED_VALUE"""),72.0)</f>
        <v>72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IFERROR(__xludf.DUMMYFUNCTION("""COMPUTED_VALUE"""),"Amit Patel")</f>
        <v>Amit Patel</v>
      </c>
      <c r="C170" s="63">
        <f>IFERROR(__xludf.DUMMYFUNCTION("""COMPUTED_VALUE"""),63.0)</f>
        <v>63</v>
      </c>
      <c r="D170" s="64">
        <f>IFERROR(__xludf.DUMMYFUNCTION("""COMPUTED_VALUE"""),0.0)</f>
        <v>0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IFERROR(__xludf.DUMMYFUNCTION("""COMPUTED_VALUE"""),72.0)</f>
        <v>72</v>
      </c>
      <c r="N170" s="66">
        <f>IFERROR(__xludf.DUMMYFUNCTION("""COMPUTED_VALUE"""),0.0)</f>
        <v>0</v>
      </c>
    </row>
    <row r="171">
      <c r="A171" s="1"/>
      <c r="B171" s="62" t="str">
        <f>IFERROR(__xludf.DUMMYFUNCTION("""COMPUTED_VALUE"""),"Coco Yan")</f>
        <v>Coco Yan</v>
      </c>
      <c r="C171" s="63">
        <f>IFERROR(__xludf.DUMMYFUNCTION("""COMPUTED_VALUE"""),63.0)</f>
        <v>63</v>
      </c>
      <c r="D171" s="64">
        <f>IFERROR(__xludf.DUMMYFUNCTION("""COMPUTED_VALUE"""),0.0)</f>
        <v>0</v>
      </c>
      <c r="E171" s="63">
        <f>IFERROR(__xludf.DUMMYFUNCTION("""COMPUTED_VALUE"""),3.0)</f>
        <v>3</v>
      </c>
      <c r="F171" s="65">
        <f>IFERROR(__xludf.DUMMYFUNCTION("""COMPUTED_VALUE"""),0.0)</f>
        <v>0</v>
      </c>
      <c r="G171" s="65">
        <f>IFERROR(__xludf.DUMMYFUNCTION("""COMPUTED_VALUE"""),9.0)</f>
        <v>9</v>
      </c>
      <c r="H171" s="65">
        <f>IFERROR(__xludf.DUMMYFUNCTION("""COMPUTED_VALUE"""),0.0)</f>
        <v>0</v>
      </c>
      <c r="I171" s="65">
        <f>IFERROR(__xludf.DUMMYFUNCTION("""COMPUTED_VALUE"""),0.0)</f>
        <v>0</v>
      </c>
      <c r="J171" s="65">
        <f>IFERROR(__xludf.DUMMYFUNCTION("""COMPUTED_VALUE"""),0.0)</f>
        <v>0</v>
      </c>
      <c r="K171" s="65">
        <f>IFERROR(__xludf.DUMMYFUNCTION("""COMPUTED_VALUE"""),9.0)</f>
        <v>9</v>
      </c>
      <c r="L171" s="65">
        <f>IFERROR(__xludf.DUMMYFUNCTION("""COMPUTED_VALUE"""),0.0)</f>
        <v>0</v>
      </c>
      <c r="M171" s="65">
        <f>IFERROR(__xludf.DUMMYFUNCTION("""COMPUTED_VALUE"""),72.0)</f>
        <v>72</v>
      </c>
      <c r="N171" s="66">
        <f>IFERROR(__xludf.DUMMYFUNCTION("""COMPUTED_VALUE"""),0.0)</f>
        <v>0</v>
      </c>
    </row>
    <row r="172">
      <c r="A172" s="1"/>
      <c r="B172" s="62" t="str">
        <f>IFERROR(__xludf.DUMMYFUNCTION("""COMPUTED_VALUE"""),"Jose Ortiz")</f>
        <v>Jose Ortiz</v>
      </c>
      <c r="C172" s="63">
        <f>IFERROR(__xludf.DUMMYFUNCTION("""COMPUTED_VALUE"""),63.0)</f>
        <v>63</v>
      </c>
      <c r="D172" s="64">
        <f>IFERROR(__xludf.DUMMYFUNCTION("""COMPUTED_VALUE"""),0.0)</f>
        <v>0</v>
      </c>
      <c r="E172" s="63">
        <f>IFERROR(__xludf.DUMMYFUNCTION("""COMPUTED_VALUE"""),3.0)</f>
        <v>3</v>
      </c>
      <c r="F172" s="65">
        <f>IFERROR(__xludf.DUMMYFUNCTION("""COMPUTED_VALUE"""),0.0)</f>
        <v>0</v>
      </c>
      <c r="G172" s="65">
        <f>IFERROR(__xludf.DUMMYFUNCTION("""COMPUTED_VALUE"""),9.0)</f>
        <v>9</v>
      </c>
      <c r="H172" s="65">
        <f>IFERROR(__xludf.DUMMYFUNCTION("""COMPUTED_VALUE"""),0.0)</f>
        <v>0</v>
      </c>
      <c r="I172" s="65">
        <f>IFERROR(__xludf.DUMMYFUNCTION("""COMPUTED_VALUE"""),0.0)</f>
        <v>0</v>
      </c>
      <c r="J172" s="65">
        <f>IFERROR(__xludf.DUMMYFUNCTION("""COMPUTED_VALUE"""),0.0)</f>
        <v>0</v>
      </c>
      <c r="K172" s="65">
        <f>IFERROR(__xludf.DUMMYFUNCTION("""COMPUTED_VALUE"""),9.0)</f>
        <v>9</v>
      </c>
      <c r="L172" s="65">
        <f>IFERROR(__xludf.DUMMYFUNCTION("""COMPUTED_VALUE"""),0.0)</f>
        <v>0</v>
      </c>
      <c r="M172" s="65">
        <f>IFERROR(__xludf.DUMMYFUNCTION("""COMPUTED_VALUE"""),72.0)</f>
        <v>72</v>
      </c>
      <c r="N172" s="66">
        <f>IFERROR(__xludf.DUMMYFUNCTION("""COMPUTED_VALUE"""),0.0)</f>
        <v>0</v>
      </c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45339.0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7.0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82</v>
      </c>
      <c r="C5" s="28">
        <v>92.0</v>
      </c>
      <c r="D5" s="29">
        <v>11.0</v>
      </c>
      <c r="E5" s="30">
        <v>2.0</v>
      </c>
      <c r="F5" s="31">
        <v>1.0</v>
      </c>
      <c r="G5" s="28">
        <v>0.0</v>
      </c>
      <c r="H5" s="31">
        <v>6.0</v>
      </c>
      <c r="I5" s="31">
        <v>6.0</v>
      </c>
      <c r="J5" s="31">
        <v>1.0</v>
      </c>
      <c r="K5" s="33">
        <v>13.0</v>
      </c>
      <c r="L5" s="31">
        <v>2.0</v>
      </c>
      <c r="M5" s="28">
        <f t="shared" ref="M5:N5" si="1">C5+K5</f>
        <v>105</v>
      </c>
      <c r="N5" s="29">
        <f t="shared" si="1"/>
        <v>13</v>
      </c>
      <c r="O5" s="35" t="s">
        <v>46</v>
      </c>
      <c r="P5" s="35" t="s">
        <v>46</v>
      </c>
      <c r="Q5" s="31">
        <f>if(G5=13,1,0)+VLOOKUP(B5,'021024'!B:Q,16,false)</f>
        <v>1</v>
      </c>
      <c r="R5" s="31"/>
      <c r="S5" s="31">
        <f>if(G5=9,1,0)+VLOOKUP(B5,'021024'!B:S,18,false)</f>
        <v>1</v>
      </c>
    </row>
    <row r="6">
      <c r="A6" s="26">
        <f t="shared" ref="A6:A69" si="3">A5+1</f>
        <v>2</v>
      </c>
      <c r="B6" s="27" t="s">
        <v>38</v>
      </c>
      <c r="C6" s="28">
        <v>85.0</v>
      </c>
      <c r="D6" s="29">
        <v>10.0</v>
      </c>
      <c r="E6" s="30">
        <v>1.0</v>
      </c>
      <c r="F6" s="31">
        <v>1.0</v>
      </c>
      <c r="G6" s="28">
        <v>0.0</v>
      </c>
      <c r="H6" s="31">
        <v>1.0</v>
      </c>
      <c r="I6" s="31">
        <v>6.0</v>
      </c>
      <c r="J6" s="31">
        <v>6.0</v>
      </c>
      <c r="K6" s="33">
        <v>13.0</v>
      </c>
      <c r="L6" s="31">
        <v>2.0</v>
      </c>
      <c r="M6" s="28">
        <f t="shared" ref="M6:N6" si="2">C6+K6</f>
        <v>98</v>
      </c>
      <c r="N6" s="29">
        <f t="shared" si="2"/>
        <v>12</v>
      </c>
      <c r="O6" s="35" t="s">
        <v>46</v>
      </c>
      <c r="P6" s="35" t="s">
        <v>46</v>
      </c>
      <c r="Q6" s="31">
        <f>if(G6=13,1,0)+VLOOKUP(B6,'021024'!B:Q,16,false)</f>
        <v>0</v>
      </c>
      <c r="R6" s="31"/>
      <c r="S6" s="31">
        <f>if(G6=9,1,0)+VLOOKUP(B6,'021024'!B:S,18,false)</f>
        <v>2</v>
      </c>
    </row>
    <row r="7">
      <c r="A7" s="26">
        <f t="shared" si="3"/>
        <v>3</v>
      </c>
      <c r="B7" s="27" t="s">
        <v>61</v>
      </c>
      <c r="C7" s="28">
        <v>84.0</v>
      </c>
      <c r="D7" s="29">
        <v>8.0</v>
      </c>
      <c r="E7" s="30">
        <v>2.0</v>
      </c>
      <c r="F7" s="31">
        <v>1.0</v>
      </c>
      <c r="G7" s="28">
        <v>0.0</v>
      </c>
      <c r="H7" s="31">
        <v>6.0</v>
      </c>
      <c r="I7" s="31">
        <v>2.0</v>
      </c>
      <c r="J7" s="31">
        <v>6.0</v>
      </c>
      <c r="K7" s="33">
        <v>14.0</v>
      </c>
      <c r="L7" s="31">
        <v>2.0</v>
      </c>
      <c r="M7" s="28">
        <f t="shared" ref="M7:N7" si="4">C7+K7</f>
        <v>98</v>
      </c>
      <c r="N7" s="29">
        <f t="shared" si="4"/>
        <v>10</v>
      </c>
      <c r="O7" s="35" t="s">
        <v>46</v>
      </c>
      <c r="P7" s="35" t="s">
        <v>46</v>
      </c>
      <c r="Q7" s="31">
        <f>if(G7=13,1,0)+VLOOKUP(B7,'021024'!B:Q,16,false)</f>
        <v>1</v>
      </c>
      <c r="R7" s="31"/>
      <c r="S7" s="31">
        <f>if(G7=9,1,0)+VLOOKUP(B7,'021024'!B:S,18,false)</f>
        <v>1</v>
      </c>
    </row>
    <row r="8">
      <c r="A8" s="26">
        <f t="shared" si="3"/>
        <v>4</v>
      </c>
      <c r="B8" s="27" t="s">
        <v>63</v>
      </c>
      <c r="C8" s="28">
        <v>84.0</v>
      </c>
      <c r="D8" s="29">
        <v>7.0</v>
      </c>
      <c r="E8" s="30">
        <v>1.0</v>
      </c>
      <c r="F8" s="31">
        <v>1.0</v>
      </c>
      <c r="G8" s="28">
        <v>0.0</v>
      </c>
      <c r="H8" s="31">
        <v>1.0</v>
      </c>
      <c r="I8" s="31">
        <v>2.0</v>
      </c>
      <c r="J8" s="31">
        <v>1.0</v>
      </c>
      <c r="K8" s="33">
        <v>4.0</v>
      </c>
      <c r="L8" s="31">
        <v>0.0</v>
      </c>
      <c r="M8" s="28">
        <f t="shared" ref="M8:N8" si="5">C8+K8</f>
        <v>88</v>
      </c>
      <c r="N8" s="29">
        <f t="shared" si="5"/>
        <v>7</v>
      </c>
      <c r="O8" s="35" t="s">
        <v>46</v>
      </c>
      <c r="P8" s="35" t="s">
        <v>46</v>
      </c>
      <c r="Q8" s="31">
        <f>if(G8=13,1,0)+VLOOKUP(B8,'021024'!B:Q,16,false)</f>
        <v>1</v>
      </c>
      <c r="R8" s="31"/>
      <c r="S8" s="31">
        <f>if(G8=9,1,0)+VLOOKUP(B8,'021024'!B:S,18,false)</f>
        <v>0</v>
      </c>
    </row>
    <row r="9">
      <c r="A9" s="26">
        <f t="shared" si="3"/>
        <v>5</v>
      </c>
      <c r="B9" s="27" t="s">
        <v>77</v>
      </c>
      <c r="C9" s="28">
        <v>83.0</v>
      </c>
      <c r="D9" s="29">
        <v>7.0</v>
      </c>
      <c r="E9" s="30">
        <v>2.0</v>
      </c>
      <c r="F9" s="31">
        <v>2.0</v>
      </c>
      <c r="G9" s="28">
        <v>0.0</v>
      </c>
      <c r="H9" s="31">
        <v>6.0</v>
      </c>
      <c r="I9" s="31">
        <v>6.0</v>
      </c>
      <c r="J9" s="31">
        <v>6.0</v>
      </c>
      <c r="K9" s="33">
        <v>18.0</v>
      </c>
      <c r="L9" s="31">
        <v>1.0</v>
      </c>
      <c r="M9" s="28">
        <f t="shared" ref="M9:N9" si="6">C9+K9</f>
        <v>101</v>
      </c>
      <c r="N9" s="29">
        <f t="shared" si="6"/>
        <v>8</v>
      </c>
      <c r="O9" s="35" t="s">
        <v>46</v>
      </c>
      <c r="P9" s="35" t="s">
        <v>46</v>
      </c>
      <c r="Q9" s="31">
        <f>if(G9=13,1,0)+VLOOKUP(B9,'021024'!B:Q,16,false)</f>
        <v>1</v>
      </c>
      <c r="R9" s="31"/>
      <c r="S9" s="31">
        <f>if(G9=9,1,0)+VLOOKUP(B9,'021024'!B:S,18,false)</f>
        <v>1</v>
      </c>
    </row>
    <row r="10">
      <c r="A10" s="26">
        <f t="shared" si="3"/>
        <v>6</v>
      </c>
      <c r="B10" s="27" t="s">
        <v>81</v>
      </c>
      <c r="C10" s="28">
        <v>81.0</v>
      </c>
      <c r="D10" s="29">
        <v>9.0</v>
      </c>
      <c r="E10" s="30">
        <v>3.0</v>
      </c>
      <c r="F10" s="31">
        <v>0.0</v>
      </c>
      <c r="G10" s="28">
        <v>9.0</v>
      </c>
      <c r="H10" s="31">
        <v>0.0</v>
      </c>
      <c r="I10" s="31">
        <v>0.0</v>
      </c>
      <c r="J10" s="31">
        <v>0.0</v>
      </c>
      <c r="K10" s="33">
        <v>9.0</v>
      </c>
      <c r="L10" s="31">
        <v>0.0</v>
      </c>
      <c r="M10" s="28">
        <f t="shared" ref="M10:N10" si="7">C10+K10</f>
        <v>90</v>
      </c>
      <c r="N10" s="29">
        <f t="shared" si="7"/>
        <v>9</v>
      </c>
      <c r="O10" s="35" t="s">
        <v>46</v>
      </c>
      <c r="P10" s="35" t="s">
        <v>46</v>
      </c>
      <c r="Q10" s="31">
        <f>if(G10=13,1,0)+VLOOKUP(B10,'021024'!B:Q,16,false)</f>
        <v>0</v>
      </c>
      <c r="R10" s="31"/>
      <c r="S10" s="31">
        <f>if(G10=9,1,0)+VLOOKUP(B10,'021024'!B:S,18,false)</f>
        <v>2</v>
      </c>
    </row>
    <row r="11">
      <c r="A11" s="26">
        <f t="shared" si="3"/>
        <v>7</v>
      </c>
      <c r="B11" s="27" t="s">
        <v>60</v>
      </c>
      <c r="C11" s="28">
        <v>81.0</v>
      </c>
      <c r="D11" s="29">
        <v>7.0</v>
      </c>
      <c r="E11" s="30">
        <v>1.0</v>
      </c>
      <c r="F11" s="31">
        <v>2.0</v>
      </c>
      <c r="G11" s="28">
        <v>0.0</v>
      </c>
      <c r="H11" s="31">
        <v>6.0</v>
      </c>
      <c r="I11" s="31">
        <v>7.0</v>
      </c>
      <c r="J11" s="31">
        <v>7.0</v>
      </c>
      <c r="K11" s="33">
        <v>20.0</v>
      </c>
      <c r="L11" s="31">
        <v>3.0</v>
      </c>
      <c r="M11" s="28">
        <f t="shared" ref="M11:N11" si="8">C11+K11</f>
        <v>101</v>
      </c>
      <c r="N11" s="29">
        <f t="shared" si="8"/>
        <v>10</v>
      </c>
      <c r="O11" s="35" t="s">
        <v>46</v>
      </c>
      <c r="P11" s="35" t="s">
        <v>46</v>
      </c>
      <c r="Q11" s="31">
        <f>if(G11=13,1,0)+VLOOKUP(B11,'021024'!B:Q,16,false)</f>
        <v>1</v>
      </c>
      <c r="R11" s="31"/>
      <c r="S11" s="31">
        <f>if(G11=9,1,0)+VLOOKUP(B11,'021024'!B:S,18,false)</f>
        <v>2</v>
      </c>
    </row>
    <row r="12">
      <c r="A12" s="26">
        <f t="shared" si="3"/>
        <v>8</v>
      </c>
      <c r="B12" s="39" t="s">
        <v>71</v>
      </c>
      <c r="C12" s="28">
        <v>80.0</v>
      </c>
      <c r="D12" s="29">
        <v>8.0</v>
      </c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f t="shared" ref="M12:N12" si="9">C12+K12</f>
        <v>89</v>
      </c>
      <c r="N12" s="29">
        <f t="shared" si="9"/>
        <v>8</v>
      </c>
      <c r="O12" s="35" t="s">
        <v>46</v>
      </c>
      <c r="P12" s="35" t="s">
        <v>46</v>
      </c>
      <c r="Q12" s="31">
        <f>if(G12=13,1,0)+VLOOKUP(B12,'021024'!B:Q,16,false)</f>
        <v>0</v>
      </c>
      <c r="R12" s="31"/>
      <c r="S12" s="31">
        <f>if(G12=9,1,0)+VLOOKUP(B12,'021024'!B:S,18,false)</f>
        <v>2</v>
      </c>
    </row>
    <row r="13">
      <c r="A13" s="26">
        <f t="shared" si="3"/>
        <v>9</v>
      </c>
      <c r="B13" s="27" t="s">
        <v>75</v>
      </c>
      <c r="C13" s="28">
        <v>80.0</v>
      </c>
      <c r="D13" s="29">
        <v>7.0</v>
      </c>
      <c r="E13" s="30">
        <v>1.0</v>
      </c>
      <c r="F13" s="31">
        <v>2.0</v>
      </c>
      <c r="G13" s="28">
        <v>0.0</v>
      </c>
      <c r="H13" s="31">
        <v>1.0</v>
      </c>
      <c r="I13" s="31">
        <v>6.0</v>
      </c>
      <c r="J13" s="31">
        <v>7.0</v>
      </c>
      <c r="K13" s="33">
        <v>14.0</v>
      </c>
      <c r="L13" s="31">
        <v>1.0</v>
      </c>
      <c r="M13" s="28">
        <f t="shared" ref="M13:N13" si="10">C13+K13</f>
        <v>94</v>
      </c>
      <c r="N13" s="29">
        <f t="shared" si="10"/>
        <v>8</v>
      </c>
      <c r="O13" s="35" t="s">
        <v>46</v>
      </c>
      <c r="P13" s="35" t="s">
        <v>46</v>
      </c>
      <c r="Q13" s="31">
        <f>if(G13=13,1,0)+VLOOKUP(B13,'021024'!B:Q,16,false)</f>
        <v>1</v>
      </c>
      <c r="R13" s="31"/>
      <c r="S13" s="31">
        <f>if(G13=9,1,0)+VLOOKUP(B13,'021024'!B:S,18,false)</f>
        <v>0</v>
      </c>
    </row>
    <row r="14">
      <c r="A14" s="26">
        <f t="shared" si="3"/>
        <v>10</v>
      </c>
      <c r="B14" s="39" t="s">
        <v>111</v>
      </c>
      <c r="C14" s="28">
        <v>77.0</v>
      </c>
      <c r="D14" s="29">
        <v>8.0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86</v>
      </c>
      <c r="N14" s="29">
        <f t="shared" si="11"/>
        <v>8</v>
      </c>
      <c r="O14" s="35" t="s">
        <v>46</v>
      </c>
      <c r="P14" s="35" t="s">
        <v>46</v>
      </c>
      <c r="Q14" s="31">
        <f>if(G14=13,1,0)+VLOOKUP(B14,'021024'!B:Q,16,false)</f>
        <v>0</v>
      </c>
      <c r="R14" s="31"/>
      <c r="S14" s="31">
        <f>if(G14=9,1,0)+VLOOKUP(B14,'021024'!B:S,18,false)</f>
        <v>3</v>
      </c>
    </row>
    <row r="15">
      <c r="A15" s="26">
        <f t="shared" si="3"/>
        <v>11</v>
      </c>
      <c r="B15" s="27" t="s">
        <v>84</v>
      </c>
      <c r="C15" s="28">
        <v>77.0</v>
      </c>
      <c r="D15" s="29">
        <v>7.0</v>
      </c>
      <c r="E15" s="30">
        <v>2.0</v>
      </c>
      <c r="F15" s="31">
        <v>2.0</v>
      </c>
      <c r="G15" s="28">
        <v>0.0</v>
      </c>
      <c r="H15" s="31">
        <v>1.0</v>
      </c>
      <c r="I15" s="31">
        <v>7.0</v>
      </c>
      <c r="J15" s="31">
        <v>6.0</v>
      </c>
      <c r="K15" s="33">
        <v>14.0</v>
      </c>
      <c r="L15" s="31">
        <v>1.0</v>
      </c>
      <c r="M15" s="28">
        <f t="shared" ref="M15:N15" si="12">C15+K15</f>
        <v>91</v>
      </c>
      <c r="N15" s="29">
        <f t="shared" si="12"/>
        <v>8</v>
      </c>
      <c r="O15" s="35" t="s">
        <v>46</v>
      </c>
      <c r="P15" s="35" t="s">
        <v>46</v>
      </c>
      <c r="Q15" s="31">
        <f>if(G15=13,1,0)+VLOOKUP(B15,'021024'!B:Q,16,false)</f>
        <v>1</v>
      </c>
      <c r="R15" s="31"/>
      <c r="S15" s="31">
        <f>if(G15=9,1,0)+VLOOKUP(B15,'021024'!B:S,18,false)</f>
        <v>0</v>
      </c>
    </row>
    <row r="16">
      <c r="A16" s="26">
        <f t="shared" si="3"/>
        <v>12</v>
      </c>
      <c r="B16" s="27" t="s">
        <v>113</v>
      </c>
      <c r="C16" s="28">
        <v>77.0</v>
      </c>
      <c r="D16" s="29">
        <v>5.0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86</v>
      </c>
      <c r="N16" s="29">
        <f t="shared" si="13"/>
        <v>5</v>
      </c>
      <c r="O16" s="35" t="s">
        <v>46</v>
      </c>
      <c r="P16" s="35" t="s">
        <v>46</v>
      </c>
      <c r="Q16" s="31">
        <f>if(G16=13,1,0)+VLOOKUP(B16,'021024'!B:Q,16,false)</f>
        <v>1</v>
      </c>
      <c r="R16" s="31"/>
      <c r="S16" s="31">
        <f>if(G16=9,1,0)+VLOOKUP(B16,'021024'!B:S,18,false)</f>
        <v>4</v>
      </c>
    </row>
    <row r="17">
      <c r="A17" s="26">
        <f t="shared" si="3"/>
        <v>13</v>
      </c>
      <c r="B17" s="27" t="s">
        <v>78</v>
      </c>
      <c r="C17" s="28">
        <v>76.0</v>
      </c>
      <c r="D17" s="29">
        <v>9.0</v>
      </c>
      <c r="E17" s="30">
        <v>1.0</v>
      </c>
      <c r="F17" s="31">
        <v>3.0</v>
      </c>
      <c r="G17" s="28">
        <v>0.0</v>
      </c>
      <c r="H17" s="31">
        <v>6.0</v>
      </c>
      <c r="I17" s="31">
        <v>2.0</v>
      </c>
      <c r="J17" s="31">
        <v>4.0</v>
      </c>
      <c r="K17" s="33">
        <v>12.0</v>
      </c>
      <c r="L17" s="31">
        <v>1.0</v>
      </c>
      <c r="M17" s="28">
        <f t="shared" ref="M17:N17" si="14">C17+K17</f>
        <v>88</v>
      </c>
      <c r="N17" s="29">
        <f t="shared" si="14"/>
        <v>10</v>
      </c>
      <c r="O17" s="35" t="s">
        <v>46</v>
      </c>
      <c r="P17" s="35" t="s">
        <v>46</v>
      </c>
      <c r="Q17" s="31">
        <f>if(G17=13,1,0)+VLOOKUP(B17,'021024'!B:Q,16,false)</f>
        <v>0</v>
      </c>
      <c r="R17" s="31"/>
      <c r="S17" s="31">
        <f>if(G17=9,1,0)+VLOOKUP(B17,'021024'!B:S,18,false)</f>
        <v>1</v>
      </c>
    </row>
    <row r="18">
      <c r="A18" s="26">
        <f t="shared" si="3"/>
        <v>14</v>
      </c>
      <c r="B18" s="27" t="s">
        <v>102</v>
      </c>
      <c r="C18" s="28">
        <v>75.0</v>
      </c>
      <c r="D18" s="29">
        <v>6.0</v>
      </c>
      <c r="E18" s="30">
        <v>3.0</v>
      </c>
      <c r="F18" s="31">
        <v>0.0</v>
      </c>
      <c r="G18" s="28">
        <v>9.0</v>
      </c>
      <c r="H18" s="31">
        <v>0.0</v>
      </c>
      <c r="I18" s="31">
        <v>0.0</v>
      </c>
      <c r="J18" s="31">
        <v>0.0</v>
      </c>
      <c r="K18" s="33">
        <v>9.0</v>
      </c>
      <c r="L18" s="31">
        <v>0.0</v>
      </c>
      <c r="M18" s="28">
        <f t="shared" ref="M18:N18" si="15">C18+K18</f>
        <v>84</v>
      </c>
      <c r="N18" s="29">
        <f t="shared" si="15"/>
        <v>6</v>
      </c>
      <c r="O18" s="35" t="s">
        <v>46</v>
      </c>
      <c r="P18" s="35" t="s">
        <v>46</v>
      </c>
      <c r="Q18" s="31">
        <f>if(G18=13,1,0)+VLOOKUP(B18,'021024'!B:Q,16,false)</f>
        <v>0</v>
      </c>
      <c r="R18" s="31"/>
      <c r="S18" s="31">
        <f>if(G18=9,1,0)+VLOOKUP(B18,'021024'!B:S,18,false)</f>
        <v>4</v>
      </c>
    </row>
    <row r="19">
      <c r="A19" s="26">
        <f t="shared" si="3"/>
        <v>15</v>
      </c>
      <c r="B19" s="27" t="s">
        <v>96</v>
      </c>
      <c r="C19" s="28">
        <v>75.0</v>
      </c>
      <c r="D19" s="29">
        <v>6.0</v>
      </c>
      <c r="E19" s="30">
        <v>2.0</v>
      </c>
      <c r="F19" s="31">
        <v>3.0</v>
      </c>
      <c r="G19" s="28">
        <v>0.0</v>
      </c>
      <c r="H19" s="31">
        <v>1.0</v>
      </c>
      <c r="I19" s="31">
        <v>6.0</v>
      </c>
      <c r="J19" s="31">
        <v>4.0</v>
      </c>
      <c r="K19" s="33">
        <v>11.0</v>
      </c>
      <c r="L19" s="31">
        <v>1.0</v>
      </c>
      <c r="M19" s="28">
        <f t="shared" ref="M19:N19" si="16">C19+K19</f>
        <v>86</v>
      </c>
      <c r="N19" s="29">
        <f t="shared" si="16"/>
        <v>7</v>
      </c>
      <c r="O19" s="35" t="s">
        <v>46</v>
      </c>
      <c r="P19" s="35" t="s">
        <v>46</v>
      </c>
      <c r="Q19" s="31">
        <f>if(G19=13,1,0)+VLOOKUP(B19,'021024'!B:Q,16,false)</f>
        <v>1</v>
      </c>
      <c r="R19" s="31"/>
      <c r="S19" s="31">
        <f>if(G19=9,1,0)+VLOOKUP(B19,'021024'!B:S,18,false)</f>
        <v>1</v>
      </c>
    </row>
    <row r="20">
      <c r="A20" s="26">
        <f t="shared" si="3"/>
        <v>16</v>
      </c>
      <c r="B20" s="27" t="s">
        <v>98</v>
      </c>
      <c r="C20" s="28">
        <v>75.0</v>
      </c>
      <c r="D20" s="29">
        <v>5.0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84</v>
      </c>
      <c r="N20" s="29">
        <f t="shared" si="17"/>
        <v>5</v>
      </c>
      <c r="O20" s="35" t="s">
        <v>46</v>
      </c>
      <c r="P20" s="35" t="s">
        <v>46</v>
      </c>
      <c r="Q20" s="31">
        <f>if(G20=13,1,0)+VLOOKUP(B20,'021024'!B:Q,16,false)</f>
        <v>1</v>
      </c>
      <c r="R20" s="31"/>
      <c r="S20" s="31">
        <f>if(G20=9,1,0)+VLOOKUP(B20,'021024'!B:S,18,false)</f>
        <v>4</v>
      </c>
    </row>
    <row r="21">
      <c r="A21" s="26">
        <f t="shared" si="3"/>
        <v>17</v>
      </c>
      <c r="B21" s="27" t="s">
        <v>48</v>
      </c>
      <c r="C21" s="28">
        <v>75.0</v>
      </c>
      <c r="D21" s="29">
        <v>5.0</v>
      </c>
      <c r="E21" s="30">
        <v>2.0</v>
      </c>
      <c r="F21" s="31">
        <v>3.0</v>
      </c>
      <c r="G21" s="28">
        <v>0.0</v>
      </c>
      <c r="H21" s="31">
        <v>6.0</v>
      </c>
      <c r="I21" s="31">
        <v>6.0</v>
      </c>
      <c r="J21" s="31">
        <v>6.0</v>
      </c>
      <c r="K21" s="33">
        <v>18.0</v>
      </c>
      <c r="L21" s="31">
        <v>3.0</v>
      </c>
      <c r="M21" s="28">
        <f t="shared" ref="M21:N21" si="18">C21+K21</f>
        <v>93</v>
      </c>
      <c r="N21" s="29">
        <f t="shared" si="18"/>
        <v>8</v>
      </c>
      <c r="O21" s="35" t="s">
        <v>46</v>
      </c>
      <c r="P21" s="35" t="s">
        <v>46</v>
      </c>
      <c r="Q21" s="31">
        <f>if(G21=13,1,0)+VLOOKUP(B21,'021024'!B:Q,16,false)</f>
        <v>2</v>
      </c>
      <c r="R21" s="31"/>
      <c r="S21" s="31">
        <f>if(G21=9,1,0)+VLOOKUP(B21,'021024'!B:S,18,false)</f>
        <v>2</v>
      </c>
    </row>
    <row r="22">
      <c r="A22" s="26">
        <f t="shared" si="3"/>
        <v>18</v>
      </c>
      <c r="B22" s="27" t="s">
        <v>66</v>
      </c>
      <c r="C22" s="28">
        <v>72.0</v>
      </c>
      <c r="D22" s="29">
        <v>7.0</v>
      </c>
      <c r="E22" s="30">
        <v>5.0</v>
      </c>
      <c r="F22" s="31">
        <v>0.0</v>
      </c>
      <c r="G22" s="28">
        <v>13.0</v>
      </c>
      <c r="H22" s="31">
        <v>0.0</v>
      </c>
      <c r="I22" s="31">
        <v>0.0</v>
      </c>
      <c r="J22" s="31">
        <v>0.0</v>
      </c>
      <c r="K22" s="33">
        <v>13.0</v>
      </c>
      <c r="L22" s="31">
        <v>0.0</v>
      </c>
      <c r="M22" s="28">
        <f t="shared" ref="M22:N22" si="19">C22+K22</f>
        <v>85</v>
      </c>
      <c r="N22" s="29">
        <f t="shared" si="19"/>
        <v>7</v>
      </c>
      <c r="O22" s="35" t="s">
        <v>46</v>
      </c>
      <c r="P22" s="35" t="s">
        <v>46</v>
      </c>
      <c r="Q22" s="31">
        <f>if(G22=13,1,0)+VLOOKUP(B22,'021024'!B:Q,16,false)</f>
        <v>1</v>
      </c>
      <c r="R22" s="31"/>
      <c r="S22" s="31">
        <f>if(G22=9,1,0)+VLOOKUP(B22,'021024'!B:S,18,false)</f>
        <v>1</v>
      </c>
    </row>
    <row r="23">
      <c r="A23" s="26">
        <f t="shared" si="3"/>
        <v>19</v>
      </c>
      <c r="B23" s="39" t="s">
        <v>52</v>
      </c>
      <c r="C23" s="28">
        <v>72.0</v>
      </c>
      <c r="D23" s="29">
        <v>6.0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81</v>
      </c>
      <c r="N23" s="29">
        <f t="shared" si="20"/>
        <v>6</v>
      </c>
      <c r="O23" s="35" t="s">
        <v>46</v>
      </c>
      <c r="P23" s="35" t="s">
        <v>46</v>
      </c>
      <c r="Q23" s="31">
        <f>if(G23=13,1,0)+VLOOKUP(B23,'021024'!B:Q,16,false)</f>
        <v>0</v>
      </c>
      <c r="R23" s="31"/>
      <c r="S23" s="31">
        <f>if(G23=9,1,0)+VLOOKUP(B23,'021024'!B:S,18,false)</f>
        <v>4</v>
      </c>
    </row>
    <row r="24">
      <c r="A24" s="26">
        <f t="shared" si="3"/>
        <v>20</v>
      </c>
      <c r="B24" s="27" t="s">
        <v>65</v>
      </c>
      <c r="C24" s="28">
        <v>72.0</v>
      </c>
      <c r="D24" s="29">
        <v>6.0</v>
      </c>
      <c r="E24" s="30">
        <v>3.0</v>
      </c>
      <c r="F24" s="31">
        <v>0.0</v>
      </c>
      <c r="G24" s="28">
        <v>9.0</v>
      </c>
      <c r="H24" s="31">
        <v>0.0</v>
      </c>
      <c r="I24" s="31">
        <v>0.0</v>
      </c>
      <c r="J24" s="31">
        <v>0.0</v>
      </c>
      <c r="K24" s="33">
        <v>9.0</v>
      </c>
      <c r="L24" s="31">
        <v>0.0</v>
      </c>
      <c r="M24" s="28">
        <f t="shared" ref="M24:N24" si="21">C24+K24</f>
        <v>81</v>
      </c>
      <c r="N24" s="29">
        <f t="shared" si="21"/>
        <v>6</v>
      </c>
      <c r="O24" s="35" t="s">
        <v>46</v>
      </c>
      <c r="P24" s="35" t="s">
        <v>46</v>
      </c>
      <c r="Q24" s="31">
        <f>if(G24=13,1,0)+VLOOKUP(B24,'021024'!B:Q,16,false)</f>
        <v>0</v>
      </c>
      <c r="R24" s="31"/>
      <c r="S24" s="31">
        <f>if(G24=9,1,0)+VLOOKUP(B24,'021024'!B:S,18,false)</f>
        <v>5</v>
      </c>
    </row>
    <row r="25">
      <c r="A25" s="26">
        <f t="shared" si="3"/>
        <v>21</v>
      </c>
      <c r="B25" s="27" t="s">
        <v>117</v>
      </c>
      <c r="C25" s="28">
        <v>72.0</v>
      </c>
      <c r="D25" s="29">
        <v>4.0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81</v>
      </c>
      <c r="N25" s="29">
        <f t="shared" si="22"/>
        <v>4</v>
      </c>
      <c r="O25" s="35" t="s">
        <v>46</v>
      </c>
      <c r="P25" s="35" t="s">
        <v>46</v>
      </c>
      <c r="Q25" s="31">
        <f>if(G25=13,1,0)+VLOOKUP(B25,'021024'!B:Q,16,false)</f>
        <v>2</v>
      </c>
      <c r="R25" s="31"/>
      <c r="S25" s="31">
        <f>if(G25=9,1,0)+VLOOKUP(B25,'021024'!B:S,18,false)</f>
        <v>3</v>
      </c>
    </row>
    <row r="26">
      <c r="A26" s="26">
        <f t="shared" si="3"/>
        <v>22</v>
      </c>
      <c r="B26" s="27" t="s">
        <v>57</v>
      </c>
      <c r="C26" s="28">
        <v>71.0</v>
      </c>
      <c r="D26" s="29">
        <v>6.0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80</v>
      </c>
      <c r="N26" s="29">
        <f t="shared" si="23"/>
        <v>6</v>
      </c>
      <c r="O26" s="35" t="s">
        <v>46</v>
      </c>
      <c r="P26" s="35" t="s">
        <v>46</v>
      </c>
      <c r="Q26" s="31">
        <f>if(G26=13,1,0)+VLOOKUP(B26,'021024'!B:Q,16,false)</f>
        <v>0</v>
      </c>
      <c r="R26" s="31"/>
      <c r="S26" s="31">
        <f>if(G26=9,1,0)+VLOOKUP(B26,'021024'!B:S,18,false)</f>
        <v>4</v>
      </c>
    </row>
    <row r="27">
      <c r="A27" s="26">
        <f t="shared" si="3"/>
        <v>23</v>
      </c>
      <c r="B27" s="39" t="s">
        <v>45</v>
      </c>
      <c r="C27" s="28">
        <v>71.0</v>
      </c>
      <c r="D27" s="29">
        <v>5.0</v>
      </c>
      <c r="E27" s="30">
        <v>2.0</v>
      </c>
      <c r="F27" s="31">
        <v>3.0</v>
      </c>
      <c r="G27" s="28">
        <v>0.0</v>
      </c>
      <c r="H27" s="31">
        <v>1.0</v>
      </c>
      <c r="I27" s="31">
        <v>2.0</v>
      </c>
      <c r="J27" s="31">
        <v>6.0</v>
      </c>
      <c r="K27" s="33">
        <v>9.0</v>
      </c>
      <c r="L27" s="31">
        <v>1.0</v>
      </c>
      <c r="M27" s="28">
        <f t="shared" ref="M27:N27" si="24">C27+K27</f>
        <v>80</v>
      </c>
      <c r="N27" s="29">
        <f t="shared" si="24"/>
        <v>6</v>
      </c>
      <c r="O27" s="35" t="s">
        <v>46</v>
      </c>
      <c r="P27" s="35" t="s">
        <v>46</v>
      </c>
      <c r="Q27" s="31">
        <f>if(G27=13,1,0)+VLOOKUP(B27,'021024'!B:Q,16,false)</f>
        <v>1</v>
      </c>
      <c r="R27" s="31"/>
      <c r="S27" s="31">
        <f>if(G27=9,1,0)+VLOOKUP(B27,'021024'!B:S,18,false)</f>
        <v>1</v>
      </c>
    </row>
    <row r="28">
      <c r="A28" s="26">
        <f t="shared" si="3"/>
        <v>24</v>
      </c>
      <c r="B28" s="27" t="s">
        <v>107</v>
      </c>
      <c r="C28" s="28">
        <v>71.0</v>
      </c>
      <c r="D28" s="29">
        <v>3.0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80</v>
      </c>
      <c r="N28" s="29">
        <f t="shared" si="25"/>
        <v>3</v>
      </c>
      <c r="O28" s="35" t="s">
        <v>46</v>
      </c>
      <c r="P28" s="35" t="s">
        <v>46</v>
      </c>
      <c r="Q28" s="31">
        <f>if(G28=13,1,0)+VLOOKUP(B28,'021024'!B:Q,16,false)</f>
        <v>2</v>
      </c>
      <c r="R28" s="31"/>
      <c r="S28" s="31">
        <f>if(G28=9,1,0)+VLOOKUP(B28,'021024'!B:S,18,false)</f>
        <v>3</v>
      </c>
    </row>
    <row r="29">
      <c r="A29" s="26">
        <f t="shared" si="3"/>
        <v>25</v>
      </c>
      <c r="B29" s="27" t="s">
        <v>39</v>
      </c>
      <c r="C29" s="28">
        <v>70.0</v>
      </c>
      <c r="D29" s="29">
        <v>4.0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79</v>
      </c>
      <c r="N29" s="29">
        <f t="shared" si="26"/>
        <v>4</v>
      </c>
      <c r="O29" s="35" t="s">
        <v>46</v>
      </c>
      <c r="P29" s="35" t="s">
        <v>46</v>
      </c>
      <c r="Q29" s="31">
        <f>if(G29=13,1,0)+VLOOKUP(B29,'021024'!B:Q,16,false)</f>
        <v>0</v>
      </c>
      <c r="R29" s="31"/>
      <c r="S29" s="31">
        <f>if(G29=9,1,0)+VLOOKUP(B29,'021024'!B:S,18,false)</f>
        <v>5</v>
      </c>
    </row>
    <row r="30">
      <c r="A30" s="26">
        <f t="shared" si="3"/>
        <v>26</v>
      </c>
      <c r="B30" s="27" t="s">
        <v>118</v>
      </c>
      <c r="C30" s="28">
        <v>69.0</v>
      </c>
      <c r="D30" s="29">
        <v>2.0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78</v>
      </c>
      <c r="N30" s="29">
        <f t="shared" si="27"/>
        <v>2</v>
      </c>
      <c r="O30" s="35" t="s">
        <v>46</v>
      </c>
      <c r="P30" s="35" t="s">
        <v>46</v>
      </c>
      <c r="Q30" s="31">
        <f>if(G30=13,1,0)+VLOOKUP(B30,'021024'!B:Q,16,false)</f>
        <v>2</v>
      </c>
      <c r="R30" s="31"/>
      <c r="S30" s="31">
        <f>if(G30=9,1,0)+VLOOKUP(B30,'021024'!B:S,18,false)</f>
        <v>4</v>
      </c>
    </row>
    <row r="31">
      <c r="A31" s="26">
        <f t="shared" si="3"/>
        <v>27</v>
      </c>
      <c r="B31" s="54" t="s">
        <v>95</v>
      </c>
      <c r="C31" s="28">
        <v>68.0</v>
      </c>
      <c r="D31" s="29">
        <v>7.0</v>
      </c>
      <c r="E31" s="30">
        <v>1.0</v>
      </c>
      <c r="F31" s="31">
        <v>4.0</v>
      </c>
      <c r="G31" s="28">
        <v>0.0</v>
      </c>
      <c r="H31" s="31">
        <v>4.0</v>
      </c>
      <c r="I31" s="31">
        <v>6.0</v>
      </c>
      <c r="J31" s="31">
        <v>6.0</v>
      </c>
      <c r="K31" s="33">
        <v>16.0</v>
      </c>
      <c r="L31" s="31">
        <v>2.0</v>
      </c>
      <c r="M31" s="28">
        <f t="shared" ref="M31:N31" si="28">C31+K31</f>
        <v>84</v>
      </c>
      <c r="N31" s="29">
        <f t="shared" si="28"/>
        <v>9</v>
      </c>
      <c r="O31" s="35" t="s">
        <v>46</v>
      </c>
      <c r="P31" s="35" t="s">
        <v>46</v>
      </c>
      <c r="Q31" s="31">
        <f>if(G31=13,1,0)+VLOOKUP(B31,'021024'!B:Q,16,false)</f>
        <v>0</v>
      </c>
      <c r="R31" s="31"/>
      <c r="S31" s="31">
        <f>if(G31=9,1,0)+VLOOKUP(B31,'021024'!B:S,18,false)</f>
        <v>0</v>
      </c>
    </row>
    <row r="32">
      <c r="A32" s="26">
        <f t="shared" si="3"/>
        <v>28</v>
      </c>
      <c r="B32" s="39" t="s">
        <v>50</v>
      </c>
      <c r="C32" s="28">
        <v>68.0</v>
      </c>
      <c r="D32" s="29">
        <v>5.0</v>
      </c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f t="shared" ref="M32:N32" si="29">C32+K32</f>
        <v>77</v>
      </c>
      <c r="N32" s="29">
        <f t="shared" si="29"/>
        <v>5</v>
      </c>
      <c r="O32" s="35" t="s">
        <v>46</v>
      </c>
      <c r="P32" s="35" t="s">
        <v>46</v>
      </c>
      <c r="Q32" s="31">
        <f>if(G32=13,1,0)+VLOOKUP(B32,'021024'!B:Q,16,false)</f>
        <v>0</v>
      </c>
      <c r="R32" s="31"/>
      <c r="S32" s="31">
        <f>if(G32=9,1,0)+VLOOKUP(B32,'021024'!B:S,18,false)</f>
        <v>5</v>
      </c>
    </row>
    <row r="33">
      <c r="A33" s="26">
        <f t="shared" si="3"/>
        <v>29</v>
      </c>
      <c r="B33" s="39" t="s">
        <v>103</v>
      </c>
      <c r="C33" s="28">
        <v>68.0</v>
      </c>
      <c r="D33" s="29">
        <v>4.0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77</v>
      </c>
      <c r="N33" s="29">
        <f t="shared" si="30"/>
        <v>4</v>
      </c>
      <c r="O33" s="35" t="s">
        <v>46</v>
      </c>
      <c r="P33" s="35" t="s">
        <v>46</v>
      </c>
      <c r="Q33" s="31">
        <f>if(G33=13,1,0)+VLOOKUP(B33,'021024'!B:Q,16,false)</f>
        <v>1</v>
      </c>
      <c r="R33" s="31"/>
      <c r="S33" s="31">
        <f>if(G33=9,1,0)+VLOOKUP(B33,'021024'!B:S,18,false)</f>
        <v>4</v>
      </c>
    </row>
    <row r="34">
      <c r="A34" s="26">
        <f t="shared" si="3"/>
        <v>30</v>
      </c>
      <c r="B34" s="27" t="s">
        <v>76</v>
      </c>
      <c r="C34" s="28">
        <v>68.0</v>
      </c>
      <c r="D34" s="29">
        <v>4.0</v>
      </c>
      <c r="E34" s="30">
        <v>2.0</v>
      </c>
      <c r="F34" s="31">
        <v>4.0</v>
      </c>
      <c r="G34" s="28">
        <v>0.0</v>
      </c>
      <c r="H34" s="31">
        <v>4.0</v>
      </c>
      <c r="I34" s="31">
        <v>3.0</v>
      </c>
      <c r="J34" s="31">
        <v>4.0</v>
      </c>
      <c r="K34" s="33">
        <v>11.0</v>
      </c>
      <c r="L34" s="31">
        <v>0.0</v>
      </c>
      <c r="M34" s="28">
        <f t="shared" ref="M34:N34" si="31">C34+K34</f>
        <v>79</v>
      </c>
      <c r="N34" s="29">
        <f t="shared" si="31"/>
        <v>4</v>
      </c>
      <c r="O34" s="35" t="s">
        <v>46</v>
      </c>
      <c r="P34" s="35" t="s">
        <v>46</v>
      </c>
      <c r="Q34" s="31">
        <f>if(G34=13,1,0)+VLOOKUP(B34,'021024'!B:Q,16,false)</f>
        <v>1</v>
      </c>
      <c r="R34" s="31"/>
      <c r="S34" s="31">
        <f>if(G34=9,1,0)+VLOOKUP(B34,'021024'!B:S,18,false)</f>
        <v>2</v>
      </c>
    </row>
    <row r="35">
      <c r="A35" s="26">
        <f t="shared" si="3"/>
        <v>31</v>
      </c>
      <c r="B35" s="54" t="s">
        <v>123</v>
      </c>
      <c r="C35" s="28">
        <v>67.0</v>
      </c>
      <c r="D35" s="29">
        <v>2.0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76</v>
      </c>
      <c r="N35" s="29">
        <f t="shared" si="32"/>
        <v>2</v>
      </c>
      <c r="O35" s="35" t="s">
        <v>46</v>
      </c>
      <c r="P35" s="35" t="s">
        <v>46</v>
      </c>
      <c r="Q35" s="31">
        <f>if(G35=13,1,0)+VLOOKUP(B35,'021024'!B:Q,16,false)</f>
        <v>1</v>
      </c>
      <c r="R35" s="31"/>
      <c r="S35" s="31">
        <f>if(G35=9,1,0)+VLOOKUP(B35,'021024'!B:S,18,false)</f>
        <v>5</v>
      </c>
    </row>
    <row r="36">
      <c r="A36" s="26">
        <f t="shared" si="3"/>
        <v>32</v>
      </c>
      <c r="B36" s="27" t="s">
        <v>110</v>
      </c>
      <c r="C36" s="28">
        <v>66.0</v>
      </c>
      <c r="D36" s="29">
        <v>4.0</v>
      </c>
      <c r="E36" s="30">
        <v>1.0</v>
      </c>
      <c r="F36" s="31">
        <v>4.0</v>
      </c>
      <c r="G36" s="28">
        <v>0.0</v>
      </c>
      <c r="H36" s="31">
        <v>6.0</v>
      </c>
      <c r="I36" s="31">
        <v>3.0</v>
      </c>
      <c r="J36" s="31">
        <v>6.0</v>
      </c>
      <c r="K36" s="33">
        <v>15.0</v>
      </c>
      <c r="L36" s="31">
        <v>2.0</v>
      </c>
      <c r="M36" s="28">
        <f t="shared" ref="M36:N36" si="33">C36+K36</f>
        <v>81</v>
      </c>
      <c r="N36" s="29">
        <f t="shared" si="33"/>
        <v>6</v>
      </c>
      <c r="O36" s="35" t="s">
        <v>46</v>
      </c>
      <c r="P36" s="35" t="s">
        <v>46</v>
      </c>
      <c r="Q36" s="31">
        <f>if(G36=13,1,0)+VLOOKUP(B36,'021024'!B:Q,16,false)</f>
        <v>1</v>
      </c>
      <c r="R36" s="31"/>
      <c r="S36" s="31">
        <f>if(G36=9,1,0)+VLOOKUP(B36,'021024'!B:S,18,false)</f>
        <v>2</v>
      </c>
    </row>
    <row r="37">
      <c r="A37" s="26">
        <f t="shared" si="3"/>
        <v>33</v>
      </c>
      <c r="B37" s="54" t="s">
        <v>116</v>
      </c>
      <c r="C37" s="28">
        <v>66.0</v>
      </c>
      <c r="D37" s="29">
        <v>4.0</v>
      </c>
      <c r="E37" s="30">
        <v>3.0</v>
      </c>
      <c r="F37" s="31">
        <v>0.0</v>
      </c>
      <c r="G37" s="28">
        <v>9.0</v>
      </c>
      <c r="H37" s="31">
        <v>0.0</v>
      </c>
      <c r="I37" s="31">
        <v>0.0</v>
      </c>
      <c r="J37" s="31">
        <v>0.0</v>
      </c>
      <c r="K37" s="33">
        <v>9.0</v>
      </c>
      <c r="L37" s="31">
        <v>0.0</v>
      </c>
      <c r="M37" s="28">
        <f t="shared" ref="M37:N37" si="34">C37+K37</f>
        <v>75</v>
      </c>
      <c r="N37" s="29">
        <f t="shared" si="34"/>
        <v>4</v>
      </c>
      <c r="O37" s="35" t="s">
        <v>46</v>
      </c>
      <c r="P37" s="35" t="s">
        <v>46</v>
      </c>
      <c r="Q37" s="31">
        <f>if(G37=13,1,0)+VLOOKUP(B37,'021024'!B:Q,16,false)</f>
        <v>0</v>
      </c>
      <c r="R37" s="31"/>
      <c r="S37" s="31">
        <f>if(G37=9,1,0)+VLOOKUP(B37,'021024'!B:S,18,false)</f>
        <v>4</v>
      </c>
    </row>
    <row r="38">
      <c r="A38" s="26">
        <f t="shared" si="3"/>
        <v>34</v>
      </c>
      <c r="B38" s="27" t="s">
        <v>79</v>
      </c>
      <c r="C38" s="28">
        <v>66.0</v>
      </c>
      <c r="D38" s="29">
        <v>4.0</v>
      </c>
      <c r="E38" s="30">
        <v>1.0</v>
      </c>
      <c r="F38" s="31">
        <v>4.0</v>
      </c>
      <c r="G38" s="28">
        <v>0.0</v>
      </c>
      <c r="H38" s="31">
        <v>6.0</v>
      </c>
      <c r="I38" s="31">
        <v>6.0</v>
      </c>
      <c r="J38" s="31">
        <v>4.0</v>
      </c>
      <c r="K38" s="33">
        <v>16.0</v>
      </c>
      <c r="L38" s="31">
        <v>2.0</v>
      </c>
      <c r="M38" s="28">
        <f t="shared" ref="M38:N38" si="35">C38+K38</f>
        <v>82</v>
      </c>
      <c r="N38" s="29">
        <f t="shared" si="35"/>
        <v>6</v>
      </c>
      <c r="O38" s="35" t="s">
        <v>46</v>
      </c>
      <c r="P38" s="35" t="s">
        <v>46</v>
      </c>
      <c r="Q38" s="31">
        <f>if(G38=13,1,0)+VLOOKUP(B38,'021024'!B:Q,16,false)</f>
        <v>0</v>
      </c>
      <c r="R38" s="31"/>
      <c r="S38" s="31">
        <f>if(G38=9,1,0)+VLOOKUP(B38,'021024'!B:S,18,false)</f>
        <v>2</v>
      </c>
    </row>
    <row r="39">
      <c r="A39" s="26">
        <f t="shared" si="3"/>
        <v>35</v>
      </c>
      <c r="B39" s="54" t="s">
        <v>100</v>
      </c>
      <c r="C39" s="28">
        <v>66.0</v>
      </c>
      <c r="D39" s="29">
        <v>4.0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75</v>
      </c>
      <c r="N39" s="29">
        <f t="shared" si="36"/>
        <v>4</v>
      </c>
      <c r="O39" s="35" t="s">
        <v>46</v>
      </c>
      <c r="P39" s="35" t="s">
        <v>46</v>
      </c>
      <c r="Q39" s="31">
        <f>if(G39=13,1,0)+VLOOKUP(B39,'021024'!B:Q,16,false)</f>
        <v>1</v>
      </c>
      <c r="R39" s="31"/>
      <c r="S39" s="31">
        <f>if(G39=9,1,0)+VLOOKUP(B39,'021024'!B:S,18,false)</f>
        <v>3</v>
      </c>
    </row>
    <row r="40">
      <c r="A40" s="26">
        <f t="shared" si="3"/>
        <v>36</v>
      </c>
      <c r="B40" s="27" t="s">
        <v>120</v>
      </c>
      <c r="C40" s="28">
        <v>66.0</v>
      </c>
      <c r="D40" s="29">
        <v>2.0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75</v>
      </c>
      <c r="N40" s="29">
        <f t="shared" si="37"/>
        <v>2</v>
      </c>
      <c r="O40" s="35" t="s">
        <v>46</v>
      </c>
      <c r="P40" s="35" t="s">
        <v>46</v>
      </c>
      <c r="Q40" s="31">
        <f>if(G40=13,1,0)+VLOOKUP(B40,'021024'!B:Q,16,false)</f>
        <v>1</v>
      </c>
      <c r="R40" s="31"/>
      <c r="S40" s="31">
        <f>if(G40=9,1,0)+VLOOKUP(B40,'021024'!B:S,18,false)</f>
        <v>5</v>
      </c>
    </row>
    <row r="41">
      <c r="A41" s="26">
        <f t="shared" si="3"/>
        <v>37</v>
      </c>
      <c r="B41" s="54" t="s">
        <v>73</v>
      </c>
      <c r="C41" s="28">
        <v>65.0</v>
      </c>
      <c r="D41" s="29">
        <v>6.0</v>
      </c>
      <c r="E41" s="30">
        <v>1.0</v>
      </c>
      <c r="F41" s="31">
        <v>5.0</v>
      </c>
      <c r="G41" s="28">
        <v>0.0</v>
      </c>
      <c r="H41" s="31">
        <v>6.0</v>
      </c>
      <c r="I41" s="31">
        <v>2.0</v>
      </c>
      <c r="J41" s="31">
        <v>5.0</v>
      </c>
      <c r="K41" s="33">
        <v>13.0</v>
      </c>
      <c r="L41" s="31">
        <v>1.0</v>
      </c>
      <c r="M41" s="28">
        <f t="shared" ref="M41:N41" si="38">C41+K41</f>
        <v>78</v>
      </c>
      <c r="N41" s="29">
        <f t="shared" si="38"/>
        <v>7</v>
      </c>
      <c r="O41" s="35" t="s">
        <v>46</v>
      </c>
      <c r="P41" s="35" t="s">
        <v>46</v>
      </c>
      <c r="Q41" s="31">
        <f>if(G41=13,1,0)+VLOOKUP(B41,'021024'!B:Q,16,false)</f>
        <v>0</v>
      </c>
      <c r="R41" s="31"/>
      <c r="S41" s="31">
        <f>if(G41=9,1,0)+VLOOKUP(B41,'021024'!B:S,18,false)</f>
        <v>0</v>
      </c>
    </row>
    <row r="42">
      <c r="A42" s="26">
        <f t="shared" si="3"/>
        <v>38</v>
      </c>
      <c r="B42" s="39" t="s">
        <v>105</v>
      </c>
      <c r="C42" s="28">
        <v>65.0</v>
      </c>
      <c r="D42" s="29">
        <v>6.0</v>
      </c>
      <c r="E42" s="30">
        <v>2.0</v>
      </c>
      <c r="F42" s="31">
        <v>5.0</v>
      </c>
      <c r="G42" s="28">
        <v>0.0</v>
      </c>
      <c r="H42" s="31">
        <v>4.0</v>
      </c>
      <c r="I42" s="31">
        <v>6.0</v>
      </c>
      <c r="J42" s="31">
        <v>5.0</v>
      </c>
      <c r="K42" s="33">
        <v>15.0</v>
      </c>
      <c r="L42" s="31">
        <v>1.0</v>
      </c>
      <c r="M42" s="28">
        <f t="shared" ref="M42:N42" si="39">C42+K42</f>
        <v>80</v>
      </c>
      <c r="N42" s="29">
        <f t="shared" si="39"/>
        <v>7</v>
      </c>
      <c r="O42" s="35" t="s">
        <v>46</v>
      </c>
      <c r="P42" s="35" t="s">
        <v>46</v>
      </c>
      <c r="Q42" s="31">
        <f>if(G42=13,1,0)+VLOOKUP(B42,'021024'!B:Q,16,false)</f>
        <v>0</v>
      </c>
      <c r="R42" s="31"/>
      <c r="S42" s="31">
        <f>if(G42=9,1,0)+VLOOKUP(B42,'021024'!B:S,18,false)</f>
        <v>1</v>
      </c>
    </row>
    <row r="43">
      <c r="A43" s="26">
        <f t="shared" si="3"/>
        <v>39</v>
      </c>
      <c r="B43" s="39" t="s">
        <v>86</v>
      </c>
      <c r="C43" s="28">
        <v>65.0</v>
      </c>
      <c r="D43" s="29">
        <v>5.0</v>
      </c>
      <c r="E43" s="30">
        <v>2.0</v>
      </c>
      <c r="F43" s="31">
        <v>5.0</v>
      </c>
      <c r="G43" s="28">
        <v>0.0</v>
      </c>
      <c r="H43" s="31">
        <v>6.0</v>
      </c>
      <c r="I43" s="31">
        <v>6.0</v>
      </c>
      <c r="J43" s="31">
        <v>7.0</v>
      </c>
      <c r="K43" s="33">
        <v>19.0</v>
      </c>
      <c r="L43" s="31">
        <v>3.0</v>
      </c>
      <c r="M43" s="28">
        <f t="shared" ref="M43:N43" si="40">C43+K43</f>
        <v>84</v>
      </c>
      <c r="N43" s="29">
        <f t="shared" si="40"/>
        <v>8</v>
      </c>
      <c r="O43" s="35" t="s">
        <v>46</v>
      </c>
      <c r="P43" s="35" t="s">
        <v>46</v>
      </c>
      <c r="Q43" s="31">
        <f>if(G43=13,1,0)+VLOOKUP(B43,'021024'!B:Q,16,false)</f>
        <v>1</v>
      </c>
      <c r="R43" s="31"/>
      <c r="S43" s="31">
        <f>if(G43=9,1,0)+VLOOKUP(B43,'021024'!B:S,18,false)</f>
        <v>2</v>
      </c>
    </row>
    <row r="44">
      <c r="A44" s="26">
        <f t="shared" si="3"/>
        <v>40</v>
      </c>
      <c r="B44" s="54" t="s">
        <v>54</v>
      </c>
      <c r="C44" s="28">
        <v>65.0</v>
      </c>
      <c r="D44" s="29">
        <v>4.0</v>
      </c>
      <c r="E44" s="30">
        <v>2.0</v>
      </c>
      <c r="F44" s="31">
        <v>5.0</v>
      </c>
      <c r="G44" s="28">
        <v>0.0</v>
      </c>
      <c r="H44" s="31">
        <v>4.0</v>
      </c>
      <c r="I44" s="31">
        <v>2.0</v>
      </c>
      <c r="J44" s="31">
        <v>7.0</v>
      </c>
      <c r="K44" s="33">
        <v>13.0</v>
      </c>
      <c r="L44" s="31">
        <v>1.0</v>
      </c>
      <c r="M44" s="28">
        <f t="shared" ref="M44:N44" si="41">C44+K44</f>
        <v>78</v>
      </c>
      <c r="N44" s="29">
        <f t="shared" si="41"/>
        <v>5</v>
      </c>
      <c r="O44" s="35" t="s">
        <v>46</v>
      </c>
      <c r="P44" s="35" t="s">
        <v>46</v>
      </c>
      <c r="Q44" s="31">
        <f>if(G44=13,1,0)+VLOOKUP(B44,'021024'!B:Q,16,false)</f>
        <v>1</v>
      </c>
      <c r="R44" s="31"/>
      <c r="S44" s="31">
        <f>if(G44=9,1,0)+VLOOKUP(B44,'021024'!B:S,18,false)</f>
        <v>2</v>
      </c>
    </row>
    <row r="45">
      <c r="A45" s="26">
        <f t="shared" si="3"/>
        <v>41</v>
      </c>
      <c r="B45" s="27" t="s">
        <v>68</v>
      </c>
      <c r="C45" s="28">
        <v>65.0</v>
      </c>
      <c r="D45" s="29">
        <v>1.0</v>
      </c>
      <c r="E45" s="30">
        <v>2.0</v>
      </c>
      <c r="F45" s="31">
        <v>6.0</v>
      </c>
      <c r="G45" s="28">
        <v>0.0</v>
      </c>
      <c r="H45" s="31">
        <v>6.0</v>
      </c>
      <c r="I45" s="31">
        <v>1.0</v>
      </c>
      <c r="J45" s="31">
        <v>6.0</v>
      </c>
      <c r="K45" s="33">
        <v>13.0</v>
      </c>
      <c r="L45" s="31">
        <v>2.0</v>
      </c>
      <c r="M45" s="28">
        <f t="shared" ref="M45:N45" si="42">C45+K45</f>
        <v>78</v>
      </c>
      <c r="N45" s="29">
        <f t="shared" si="42"/>
        <v>3</v>
      </c>
      <c r="O45" s="35" t="s">
        <v>46</v>
      </c>
      <c r="P45" s="35" t="s">
        <v>46</v>
      </c>
      <c r="Q45" s="31">
        <f>if(G45=13,1,0)+VLOOKUP(B45,'021024'!B:Q,16,false)</f>
        <v>2</v>
      </c>
      <c r="R45" s="31"/>
      <c r="S45" s="31">
        <f>if(G45=9,1,0)+VLOOKUP(B45,'021024'!B:S,18,false)</f>
        <v>3</v>
      </c>
    </row>
    <row r="46">
      <c r="A46" s="26">
        <f t="shared" si="3"/>
        <v>42</v>
      </c>
      <c r="B46" s="54" t="s">
        <v>59</v>
      </c>
      <c r="C46" s="28">
        <v>64.0</v>
      </c>
      <c r="D46" s="29">
        <v>5.0</v>
      </c>
      <c r="E46" s="30">
        <v>1.0</v>
      </c>
      <c r="F46" s="31">
        <v>6.0</v>
      </c>
      <c r="G46" s="28">
        <v>0.0</v>
      </c>
      <c r="H46" s="31">
        <v>6.0</v>
      </c>
      <c r="I46" s="31">
        <v>6.0</v>
      </c>
      <c r="J46" s="31">
        <v>1.0</v>
      </c>
      <c r="K46" s="33">
        <v>13.0</v>
      </c>
      <c r="L46" s="31">
        <v>2.0</v>
      </c>
      <c r="M46" s="28">
        <f t="shared" ref="M46:N46" si="43">C46+K46</f>
        <v>77</v>
      </c>
      <c r="N46" s="29">
        <f t="shared" si="43"/>
        <v>7</v>
      </c>
      <c r="O46" s="35" t="s">
        <v>46</v>
      </c>
      <c r="P46" s="35" t="s">
        <v>46</v>
      </c>
      <c r="Q46" s="31">
        <f>if(G46=13,1,0)+VLOOKUP(B46,'021024'!B:Q,16,false)</f>
        <v>1</v>
      </c>
      <c r="R46" s="31"/>
      <c r="S46" s="31">
        <f>if(G46=9,1,0)+VLOOKUP(B46,'021024'!B:S,18,false)</f>
        <v>1</v>
      </c>
    </row>
    <row r="47">
      <c r="A47" s="26">
        <f t="shared" si="3"/>
        <v>43</v>
      </c>
      <c r="B47" s="39" t="s">
        <v>119</v>
      </c>
      <c r="C47" s="28">
        <v>64.0</v>
      </c>
      <c r="D47" s="29">
        <v>4.0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73</v>
      </c>
      <c r="N47" s="29">
        <f t="shared" si="44"/>
        <v>4</v>
      </c>
      <c r="O47" s="35" t="s">
        <v>46</v>
      </c>
      <c r="P47" s="35" t="s">
        <v>46</v>
      </c>
      <c r="Q47" s="31">
        <f>if(G47=13,1,0)+VLOOKUP(B47,'021024'!B:Q,16,false)</f>
        <v>0</v>
      </c>
      <c r="R47" s="31"/>
      <c r="S47" s="31">
        <f>if(G47=9,1,0)+VLOOKUP(B47,'021024'!B:S,18,false)</f>
        <v>5</v>
      </c>
    </row>
    <row r="48">
      <c r="A48" s="26">
        <f t="shared" si="3"/>
        <v>44</v>
      </c>
      <c r="B48" s="27" t="s">
        <v>83</v>
      </c>
      <c r="C48" s="28">
        <v>64.0</v>
      </c>
      <c r="D48" s="29">
        <v>3.0</v>
      </c>
      <c r="E48" s="30">
        <v>2.0</v>
      </c>
      <c r="F48" s="31">
        <v>6.0</v>
      </c>
      <c r="G48" s="28">
        <v>0.0</v>
      </c>
      <c r="H48" s="31">
        <v>1.0</v>
      </c>
      <c r="I48" s="31">
        <v>1.0</v>
      </c>
      <c r="J48" s="31">
        <v>1.0</v>
      </c>
      <c r="K48" s="33">
        <v>3.0</v>
      </c>
      <c r="L48" s="31">
        <v>0.0</v>
      </c>
      <c r="M48" s="28">
        <f t="shared" ref="M48:N48" si="45">C48+K48</f>
        <v>67</v>
      </c>
      <c r="N48" s="29">
        <f t="shared" si="45"/>
        <v>3</v>
      </c>
      <c r="O48" s="35" t="s">
        <v>46</v>
      </c>
      <c r="P48" s="35" t="s">
        <v>46</v>
      </c>
      <c r="Q48" s="31">
        <f>if(G48=13,1,0)+VLOOKUP(B48,'021024'!B:Q,16,false)</f>
        <v>1</v>
      </c>
      <c r="R48" s="31"/>
      <c r="S48" s="31">
        <f>if(G48=9,1,0)+VLOOKUP(B48,'021024'!B:S,18,false)</f>
        <v>2</v>
      </c>
    </row>
    <row r="49">
      <c r="A49" s="26">
        <f t="shared" si="3"/>
        <v>45</v>
      </c>
      <c r="B49" s="39" t="s">
        <v>55</v>
      </c>
      <c r="C49" s="28">
        <v>64.0</v>
      </c>
      <c r="D49" s="29">
        <v>2.0</v>
      </c>
      <c r="E49" s="30">
        <v>1.0</v>
      </c>
      <c r="F49" s="31">
        <v>6.0</v>
      </c>
      <c r="G49" s="28">
        <v>0.0</v>
      </c>
      <c r="H49" s="31">
        <v>1.0</v>
      </c>
      <c r="I49" s="31">
        <v>6.0</v>
      </c>
      <c r="J49" s="31">
        <v>6.0</v>
      </c>
      <c r="K49" s="33">
        <v>13.0</v>
      </c>
      <c r="L49" s="31">
        <v>2.0</v>
      </c>
      <c r="M49" s="28">
        <f t="shared" ref="M49:N49" si="46">C49+K49</f>
        <v>77</v>
      </c>
      <c r="N49" s="29">
        <f t="shared" si="46"/>
        <v>4</v>
      </c>
      <c r="O49" s="35" t="s">
        <v>46</v>
      </c>
      <c r="P49" s="35" t="s">
        <v>46</v>
      </c>
      <c r="Q49" s="31">
        <f>if(G49=13,1,0)+VLOOKUP(B49,'021024'!B:Q,16,false)</f>
        <v>1</v>
      </c>
      <c r="R49" s="31"/>
      <c r="S49" s="31">
        <f>if(G49=9,1,0)+VLOOKUP(B49,'021024'!B:S,18,false)</f>
        <v>4</v>
      </c>
    </row>
    <row r="50">
      <c r="A50" s="26">
        <f t="shared" si="3"/>
        <v>46</v>
      </c>
      <c r="B50" s="27" t="s">
        <v>42</v>
      </c>
      <c r="C50" s="28">
        <v>63.0</v>
      </c>
      <c r="D50" s="29">
        <v>6.0</v>
      </c>
      <c r="E50" s="30">
        <v>2.0</v>
      </c>
      <c r="F50" s="31">
        <v>7.0</v>
      </c>
      <c r="G50" s="28">
        <v>0.0</v>
      </c>
      <c r="H50" s="31">
        <v>2.0</v>
      </c>
      <c r="I50" s="31">
        <v>1.0</v>
      </c>
      <c r="J50" s="31">
        <v>6.0</v>
      </c>
      <c r="K50" s="33">
        <v>9.0</v>
      </c>
      <c r="L50" s="31">
        <v>1.0</v>
      </c>
      <c r="M50" s="28">
        <f t="shared" ref="M50:N50" si="47">C50+K50</f>
        <v>72</v>
      </c>
      <c r="N50" s="29">
        <f t="shared" si="47"/>
        <v>7</v>
      </c>
      <c r="O50" s="35" t="s">
        <v>46</v>
      </c>
      <c r="P50" s="35" t="s">
        <v>46</v>
      </c>
      <c r="Q50" s="31">
        <f>if(G50=13,1,0)+VLOOKUP(B50,'021024'!B:Q,16,false)</f>
        <v>0</v>
      </c>
      <c r="R50" s="31"/>
      <c r="S50" s="31">
        <f>if(G50=9,1,0)+VLOOKUP(B50,'021024'!B:S,18,false)</f>
        <v>0</v>
      </c>
    </row>
    <row r="51">
      <c r="A51" s="26">
        <f t="shared" si="3"/>
        <v>47</v>
      </c>
      <c r="B51" s="76" t="s">
        <v>47</v>
      </c>
      <c r="C51" s="28">
        <v>63.0</v>
      </c>
      <c r="D51" s="29">
        <v>5.0</v>
      </c>
      <c r="E51" s="30">
        <v>1.0</v>
      </c>
      <c r="F51" s="31">
        <v>7.0</v>
      </c>
      <c r="G51" s="28">
        <v>0.0</v>
      </c>
      <c r="H51" s="31">
        <v>6.0</v>
      </c>
      <c r="I51" s="31">
        <v>1.0</v>
      </c>
      <c r="J51" s="31">
        <v>3.0</v>
      </c>
      <c r="K51" s="33">
        <v>10.0</v>
      </c>
      <c r="L51" s="31">
        <v>1.0</v>
      </c>
      <c r="M51" s="28">
        <f t="shared" ref="M51:N51" si="48">C51+K51</f>
        <v>73</v>
      </c>
      <c r="N51" s="29">
        <f t="shared" si="48"/>
        <v>6</v>
      </c>
      <c r="O51" s="35" t="s">
        <v>46</v>
      </c>
      <c r="P51" s="35" t="s">
        <v>46</v>
      </c>
      <c r="Q51" s="31">
        <f>if(G51=13,1,0)+VLOOKUP(B51,'021024'!B:Q,16,false)</f>
        <v>0</v>
      </c>
      <c r="R51" s="31"/>
      <c r="S51" s="31">
        <f>if(G51=9,1,0)+VLOOKUP(B51,'021024'!B:S,18,false)</f>
        <v>0</v>
      </c>
    </row>
    <row r="52">
      <c r="A52" s="26">
        <f t="shared" si="3"/>
        <v>48</v>
      </c>
      <c r="B52" s="39" t="s">
        <v>121</v>
      </c>
      <c r="C52" s="28">
        <v>63.0</v>
      </c>
      <c r="D52" s="29">
        <v>3.0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72</v>
      </c>
      <c r="N52" s="29">
        <f t="shared" si="49"/>
        <v>3</v>
      </c>
      <c r="O52" s="35" t="s">
        <v>46</v>
      </c>
      <c r="P52" s="35" t="s">
        <v>46</v>
      </c>
      <c r="Q52" s="31">
        <f>if(G52=13,1,0)+VLOOKUP(B52,'021024'!B:Q,16,false)</f>
        <v>0</v>
      </c>
      <c r="R52" s="31"/>
      <c r="S52" s="31">
        <f>if(G52=9,1,0)+VLOOKUP(B52,'021024'!B:S,18,false)</f>
        <v>5</v>
      </c>
    </row>
    <row r="53">
      <c r="A53" s="26">
        <f t="shared" si="3"/>
        <v>49</v>
      </c>
      <c r="B53" s="27" t="s">
        <v>90</v>
      </c>
      <c r="C53" s="28">
        <v>63.0</v>
      </c>
      <c r="D53" s="29">
        <v>3.0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72</v>
      </c>
      <c r="N53" s="29">
        <f t="shared" si="50"/>
        <v>3</v>
      </c>
      <c r="O53" s="35" t="s">
        <v>46</v>
      </c>
      <c r="P53" s="35" t="s">
        <v>46</v>
      </c>
      <c r="Q53" s="31">
        <f>if(G53=13,1,0)+VLOOKUP(B53,'021024'!B:Q,16,false)</f>
        <v>0</v>
      </c>
      <c r="R53" s="31"/>
      <c r="S53" s="31">
        <f>if(G53=9,1,0)+VLOOKUP(B53,'021024'!B:S,18,false)</f>
        <v>6</v>
      </c>
    </row>
    <row r="54">
      <c r="A54" s="26">
        <f t="shared" si="3"/>
        <v>50</v>
      </c>
      <c r="B54" s="54" t="s">
        <v>122</v>
      </c>
      <c r="C54" s="28">
        <v>61.0</v>
      </c>
      <c r="D54" s="29">
        <v>1.0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70</v>
      </c>
      <c r="N54" s="29">
        <f t="shared" si="51"/>
        <v>1</v>
      </c>
      <c r="O54" s="35" t="s">
        <v>46</v>
      </c>
      <c r="P54" s="35" t="s">
        <v>46</v>
      </c>
      <c r="Q54" s="31">
        <f>if(G54=13,1,0)+VLOOKUP(B54,'021024'!B:Q,16,false)</f>
        <v>0</v>
      </c>
      <c r="R54" s="31"/>
      <c r="S54" s="31">
        <f>if(G54=9,1,0)+VLOOKUP(B54,'021024'!B:S,18,false)</f>
        <v>6</v>
      </c>
    </row>
    <row r="55">
      <c r="A55" s="26">
        <f t="shared" si="3"/>
        <v>51</v>
      </c>
      <c r="B55" s="54" t="s">
        <v>108</v>
      </c>
      <c r="C55" s="28">
        <v>59.0</v>
      </c>
      <c r="D55" s="29">
        <v>5.0</v>
      </c>
      <c r="E55" s="30">
        <v>1.0</v>
      </c>
      <c r="F55" s="31">
        <v>7.0</v>
      </c>
      <c r="G55" s="28">
        <v>0.0</v>
      </c>
      <c r="H55" s="31">
        <v>2.0</v>
      </c>
      <c r="I55" s="31">
        <v>6.0</v>
      </c>
      <c r="J55" s="31">
        <v>3.0</v>
      </c>
      <c r="K55" s="33">
        <v>11.0</v>
      </c>
      <c r="L55" s="31">
        <v>1.0</v>
      </c>
      <c r="M55" s="28">
        <f t="shared" ref="M55:N55" si="52">C55+K55</f>
        <v>70</v>
      </c>
      <c r="N55" s="29">
        <f t="shared" si="52"/>
        <v>6</v>
      </c>
      <c r="O55" s="35" t="s">
        <v>46</v>
      </c>
      <c r="P55" s="35" t="s">
        <v>46</v>
      </c>
      <c r="Q55" s="31">
        <f>if(G55=13,1,0)+VLOOKUP(B55,'021024'!B:Q,16,false)</f>
        <v>0</v>
      </c>
      <c r="R55" s="31"/>
      <c r="S55" s="31">
        <f>if(G55=9,1,0)+VLOOKUP(B55,'021024'!B:S,18,false)</f>
        <v>1</v>
      </c>
    </row>
    <row r="56">
      <c r="A56" s="26">
        <f t="shared" si="3"/>
        <v>52</v>
      </c>
      <c r="B56" s="54" t="s">
        <v>89</v>
      </c>
      <c r="C56" s="28">
        <v>59.0</v>
      </c>
      <c r="D56" s="29">
        <v>4.0</v>
      </c>
      <c r="E56" s="30">
        <v>1.0</v>
      </c>
      <c r="F56" s="31">
        <v>7.0</v>
      </c>
      <c r="G56" s="28">
        <v>0.0</v>
      </c>
      <c r="H56" s="31">
        <v>6.0</v>
      </c>
      <c r="I56" s="31">
        <v>6.0</v>
      </c>
      <c r="J56" s="31">
        <v>6.0</v>
      </c>
      <c r="K56" s="33">
        <v>18.0</v>
      </c>
      <c r="L56" s="31">
        <v>3.0</v>
      </c>
      <c r="M56" s="28">
        <f t="shared" ref="M56:N56" si="53">C56+K56</f>
        <v>77</v>
      </c>
      <c r="N56" s="29">
        <f t="shared" si="53"/>
        <v>7</v>
      </c>
      <c r="O56" s="35" t="s">
        <v>46</v>
      </c>
      <c r="P56" s="35" t="s">
        <v>46</v>
      </c>
      <c r="Q56" s="31">
        <f>if(G56=13,1,0)+VLOOKUP(B56,'021024'!B:Q,16,false)</f>
        <v>0</v>
      </c>
      <c r="R56" s="31"/>
      <c r="S56" s="31">
        <f>if(G56=9,1,0)+VLOOKUP(B56,'021024'!B:S,18,false)</f>
        <v>1</v>
      </c>
    </row>
    <row r="57">
      <c r="A57" s="26">
        <f t="shared" si="3"/>
        <v>53</v>
      </c>
      <c r="B57" s="39" t="s">
        <v>106</v>
      </c>
      <c r="C57" s="28">
        <v>58.0</v>
      </c>
      <c r="D57" s="29">
        <v>3.0</v>
      </c>
      <c r="E57" s="30">
        <v>1.0</v>
      </c>
      <c r="F57" s="31">
        <v>8.0</v>
      </c>
      <c r="G57" s="28">
        <v>0.0</v>
      </c>
      <c r="H57" s="31">
        <v>6.0</v>
      </c>
      <c r="I57" s="31">
        <v>5.0</v>
      </c>
      <c r="J57" s="31">
        <v>7.0</v>
      </c>
      <c r="K57" s="33">
        <v>18.0</v>
      </c>
      <c r="L57" s="31">
        <v>2.0</v>
      </c>
      <c r="M57" s="28">
        <f t="shared" ref="M57:N57" si="54">C57+K57</f>
        <v>76</v>
      </c>
      <c r="N57" s="29">
        <f t="shared" si="54"/>
        <v>5</v>
      </c>
      <c r="O57" s="35" t="s">
        <v>46</v>
      </c>
      <c r="P57" s="35" t="s">
        <v>46</v>
      </c>
      <c r="Q57" s="31">
        <f>if(G57=13,1,0)+VLOOKUP(B57,'021024'!B:Q,16,false)</f>
        <v>0</v>
      </c>
      <c r="R57" s="31"/>
      <c r="S57" s="31">
        <f>if(G57=9,1,0)+VLOOKUP(B57,'021024'!B:S,18,false)</f>
        <v>4</v>
      </c>
    </row>
    <row r="58">
      <c r="A58" s="26">
        <f t="shared" si="3"/>
        <v>54</v>
      </c>
      <c r="B58" s="27" t="s">
        <v>109</v>
      </c>
      <c r="C58" s="28">
        <v>58.0</v>
      </c>
      <c r="D58" s="29">
        <v>0.0</v>
      </c>
      <c r="E58" s="30">
        <v>2.0</v>
      </c>
      <c r="F58" s="31">
        <v>8.0</v>
      </c>
      <c r="G58" s="28">
        <v>0.0</v>
      </c>
      <c r="H58" s="31">
        <v>6.0</v>
      </c>
      <c r="I58" s="31">
        <v>7.0</v>
      </c>
      <c r="J58" s="31">
        <v>5.0</v>
      </c>
      <c r="K58" s="33">
        <v>18.0</v>
      </c>
      <c r="L58" s="31">
        <v>2.0</v>
      </c>
      <c r="M58" s="28">
        <f t="shared" ref="M58:N58" si="55">C58+K58</f>
        <v>76</v>
      </c>
      <c r="N58" s="29">
        <f t="shared" si="55"/>
        <v>2</v>
      </c>
      <c r="O58" s="35" t="s">
        <v>46</v>
      </c>
      <c r="P58" s="35" t="s">
        <v>46</v>
      </c>
      <c r="Q58" s="31">
        <f>if(G58=13,1,0)+VLOOKUP(B58,'021024'!B:Q,16,false)</f>
        <v>2</v>
      </c>
      <c r="R58" s="31"/>
      <c r="S58" s="31">
        <f>if(G58=9,1,0)+VLOOKUP(B58,'021024'!B:S,18,false)</f>
        <v>3</v>
      </c>
    </row>
    <row r="59">
      <c r="A59" s="26">
        <f t="shared" si="3"/>
        <v>55</v>
      </c>
      <c r="B59" s="27" t="s">
        <v>114</v>
      </c>
      <c r="C59" s="28">
        <v>58.0</v>
      </c>
      <c r="D59" s="29">
        <v>0.0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67</v>
      </c>
      <c r="N59" s="29">
        <f t="shared" si="56"/>
        <v>0</v>
      </c>
      <c r="O59" s="35" t="s">
        <v>46</v>
      </c>
      <c r="P59" s="35" t="s">
        <v>46</v>
      </c>
      <c r="Q59" s="31">
        <f>if(G59=13,1,0)+VLOOKUP(B59,'021024'!B:Q,16,false)</f>
        <v>1</v>
      </c>
      <c r="R59" s="31"/>
      <c r="S59" s="31">
        <f>if(G59=9,1,0)+VLOOKUP(B59,'021024'!B:S,18,false)</f>
        <v>6</v>
      </c>
    </row>
    <row r="60">
      <c r="A60" s="26">
        <f t="shared" si="3"/>
        <v>56</v>
      </c>
      <c r="B60" s="27" t="s">
        <v>112</v>
      </c>
      <c r="C60" s="28">
        <v>57.0</v>
      </c>
      <c r="D60" s="29">
        <v>1.0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66</v>
      </c>
      <c r="N60" s="29">
        <f t="shared" si="57"/>
        <v>1</v>
      </c>
      <c r="O60" s="35" t="s">
        <v>46</v>
      </c>
      <c r="P60" s="35" t="s">
        <v>46</v>
      </c>
      <c r="Q60" s="31">
        <f>if(G60=13,1,0)+VLOOKUP(B60,'021024'!B:Q,16,false)</f>
        <v>0</v>
      </c>
      <c r="R60" s="31"/>
      <c r="S60" s="31">
        <f>if(G60=9,1,0)+VLOOKUP(B60,'021024'!B:S,18,false)</f>
        <v>6</v>
      </c>
    </row>
    <row r="61">
      <c r="A61" s="26">
        <f t="shared" si="3"/>
        <v>57</v>
      </c>
      <c r="B61" s="27" t="s">
        <v>74</v>
      </c>
      <c r="C61" s="28">
        <v>54.0</v>
      </c>
      <c r="D61" s="29">
        <v>0.0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63</v>
      </c>
      <c r="N61" s="29">
        <f t="shared" si="58"/>
        <v>0</v>
      </c>
      <c r="O61" s="35" t="s">
        <v>46</v>
      </c>
      <c r="P61" s="35" t="s">
        <v>46</v>
      </c>
      <c r="Q61" s="31">
        <f>if(G61=13,1,0)+VLOOKUP(B61,'021024'!B:Q,16,false)</f>
        <v>0</v>
      </c>
      <c r="R61" s="31"/>
      <c r="S61" s="31">
        <f>if(G61=9,1,0)+VLOOKUP(B61,'021024'!B:S,18,false)</f>
        <v>7</v>
      </c>
    </row>
    <row r="62">
      <c r="A62" s="26">
        <f t="shared" si="3"/>
        <v>58</v>
      </c>
      <c r="B62" s="27" t="s">
        <v>56</v>
      </c>
      <c r="C62" s="28">
        <v>54.0</v>
      </c>
      <c r="D62" s="29">
        <v>0.0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63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if(G62=13,1,0)+VLOOKUP(B62,'021024'!B:Q,16,false)</f>
        <v>0</v>
      </c>
      <c r="R62" s="31"/>
      <c r="S62" s="31">
        <f>if(G62=9,1,0)+VLOOKUP(B62,'021024'!B:S,18,false)</f>
        <v>7</v>
      </c>
    </row>
    <row r="63">
      <c r="A63" s="26">
        <f t="shared" si="3"/>
        <v>59</v>
      </c>
      <c r="B63" s="39" t="s">
        <v>124</v>
      </c>
      <c r="C63" s="28">
        <v>54.0</v>
      </c>
      <c r="D63" s="29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63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if(G63=13,1,0)+VLOOKUP(B63,'021024'!B:Q,16,false)</f>
        <v>0</v>
      </c>
      <c r="R63" s="31"/>
      <c r="S63" s="31">
        <f>if(G63=9,1,0)+VLOOKUP(B63,'021024'!B:S,18,false)</f>
        <v>7</v>
      </c>
    </row>
    <row r="64">
      <c r="A64" s="26">
        <f t="shared" si="3"/>
        <v>60</v>
      </c>
      <c r="B64" s="27" t="s">
        <v>115</v>
      </c>
      <c r="C64" s="28">
        <v>54.0</v>
      </c>
      <c r="D64" s="29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63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if(G64=13,1,0)+VLOOKUP(B64,'021024'!B:Q,16,false)</f>
        <v>0</v>
      </c>
      <c r="R64" s="31"/>
      <c r="S64" s="31">
        <f>if(G64=9,1,0)+VLOOKUP(B64,'021024'!B:S,18,false)</f>
        <v>7</v>
      </c>
    </row>
    <row r="65">
      <c r="A65" s="26">
        <f t="shared" si="3"/>
        <v>61</v>
      </c>
      <c r="B65" s="39" t="s">
        <v>125</v>
      </c>
      <c r="C65" s="28">
        <v>54.0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63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if(G65=13,1,0)+VLOOKUP(B65,'021024'!B:Q,16,false)</f>
        <v>0</v>
      </c>
      <c r="R65" s="31"/>
      <c r="S65" s="31">
        <f>if(G65=9,1,0)+VLOOKUP(B65,'021024'!B:S,18,false)</f>
        <v>6</v>
      </c>
    </row>
    <row r="66">
      <c r="A66" s="26">
        <f t="shared" si="3"/>
        <v>62</v>
      </c>
      <c r="B66" s="39" t="s">
        <v>127</v>
      </c>
      <c r="C66" s="28">
        <v>54.0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63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if(G66=13,1,0)+VLOOKUP(B66,'021024'!B:Q,16,false)</f>
        <v>0</v>
      </c>
      <c r="R66" s="31"/>
      <c r="S66" s="31">
        <f>if(G66=9,1,0)+VLOOKUP(B66,'021024'!B:S,18,false)</f>
        <v>7</v>
      </c>
    </row>
    <row r="67">
      <c r="A67" s="26">
        <f t="shared" si="3"/>
        <v>63</v>
      </c>
      <c r="B67" s="39" t="s">
        <v>97</v>
      </c>
      <c r="C67" s="28">
        <v>51.0</v>
      </c>
      <c r="D67" s="29">
        <v>1.0</v>
      </c>
      <c r="E67" s="30">
        <v>1.0</v>
      </c>
      <c r="F67" s="31">
        <v>8.0</v>
      </c>
      <c r="G67" s="28">
        <v>0.0</v>
      </c>
      <c r="H67" s="31">
        <v>4.0</v>
      </c>
      <c r="I67" s="31">
        <v>5.0</v>
      </c>
      <c r="J67" s="31">
        <v>5.0</v>
      </c>
      <c r="K67" s="33">
        <v>14.0</v>
      </c>
      <c r="L67" s="31">
        <v>0.0</v>
      </c>
      <c r="M67" s="28">
        <f t="shared" ref="M67:N67" si="64">C67+K67</f>
        <v>65</v>
      </c>
      <c r="N67" s="29">
        <f t="shared" si="64"/>
        <v>1</v>
      </c>
      <c r="O67" s="35" t="s">
        <v>46</v>
      </c>
      <c r="P67" s="35" t="s">
        <v>46</v>
      </c>
      <c r="Q67" s="31">
        <f>if(G67=13,1,0)+VLOOKUP(B67,'021024'!B:Q,16,false)</f>
        <v>0</v>
      </c>
      <c r="R67" s="31"/>
      <c r="S67" s="31">
        <f>if(G67=9,1,0)+VLOOKUP(B67,'021024'!B:S,18,false)</f>
        <v>2</v>
      </c>
    </row>
    <row r="68">
      <c r="A68" s="26">
        <f t="shared" si="3"/>
        <v>64</v>
      </c>
      <c r="B68" s="54" t="s">
        <v>94</v>
      </c>
      <c r="C68" s="28">
        <v>50.0</v>
      </c>
      <c r="D68" s="29">
        <v>3.0</v>
      </c>
      <c r="E68" s="30">
        <v>1.0</v>
      </c>
      <c r="F68" s="31">
        <v>8.0</v>
      </c>
      <c r="G68" s="28">
        <v>0.0</v>
      </c>
      <c r="H68" s="31">
        <v>4.0</v>
      </c>
      <c r="I68" s="31">
        <v>7.0</v>
      </c>
      <c r="J68" s="31">
        <v>7.0</v>
      </c>
      <c r="K68" s="33">
        <v>18.0</v>
      </c>
      <c r="L68" s="31">
        <v>2.0</v>
      </c>
      <c r="M68" s="28">
        <f t="shared" ref="M68:N68" si="65">C68+K68</f>
        <v>68</v>
      </c>
      <c r="N68" s="29">
        <f t="shared" si="65"/>
        <v>5</v>
      </c>
      <c r="O68" s="35" t="s">
        <v>46</v>
      </c>
      <c r="P68" s="35" t="s">
        <v>46</v>
      </c>
      <c r="Q68" s="31">
        <f>if(G68=13,1,0)+VLOOKUP(B68,'021024'!B:Q,16,false)</f>
        <v>0</v>
      </c>
      <c r="R68" s="31"/>
      <c r="S68" s="31">
        <f>if(G68=9,1,0)+VLOOKUP(B68,'021024'!B:S,18,false)</f>
        <v>1</v>
      </c>
    </row>
    <row r="69">
      <c r="A69" s="26">
        <f t="shared" si="3"/>
        <v>65</v>
      </c>
      <c r="B69" s="39" t="s">
        <v>126</v>
      </c>
      <c r="C69" s="28">
        <v>49.0</v>
      </c>
      <c r="D69" s="29">
        <v>0.0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58</v>
      </c>
      <c r="N69" s="29">
        <f t="shared" si="66"/>
        <v>0</v>
      </c>
      <c r="O69" s="35" t="s">
        <v>46</v>
      </c>
      <c r="P69" s="35" t="s">
        <v>46</v>
      </c>
      <c r="Q69" s="31">
        <f>if(G69=13,1,0)+VLOOKUP(B69,'021024'!B:Q,16,false)</f>
        <v>0</v>
      </c>
      <c r="R69" s="31"/>
      <c r="S69" s="31">
        <f>if(G69=9,1,0)+VLOOKUP(B69,'021024'!B:S,18,false)</f>
        <v>6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desc"",0)"),"Lam Bui")</f>
        <v>Lam Bui</v>
      </c>
      <c r="C79" s="60">
        <f>IFERROR(__xludf.DUMMYFUNCTION("""COMPUTED_VALUE"""),20.0)</f>
        <v>20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IFERROR(__xludf.DUMMYFUNCTION("""COMPUTED_VALUE"""),"Chinna Ponnaganti")</f>
        <v>Chinna Ponnaganti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IFERROR(__xludf.DUMMYFUNCTION("""COMPUTED_VALUE"""),"Peter Cheng")</f>
        <v>Peter Cheng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IFERROR(__xludf.DUMMYFUNCTION("""COMPUTED_VALUE"""),"Vishnu Amarnath")</f>
        <v>Vishnu Amarnath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IFERROR(__xludf.DUMMYFUNCTION("""COMPUTED_VALUE"""),"Sandy Weyant")</f>
        <v>Sandy Weyant</v>
      </c>
      <c r="C83" s="60">
        <f>IFERROR(__xludf.DUMMYFUNCTION("""COMPUTED_VALUE"""),18.0)</f>
        <v>18</v>
      </c>
      <c r="D83" s="60">
        <f>IFERROR(__xludf.DUMMYFUNCTION("""COMPUTED_VALUE"""),2.0)</f>
        <v>2</v>
      </c>
      <c r="E83" s="1"/>
      <c r="K83" s="9"/>
    </row>
    <row r="84">
      <c r="A84" s="1"/>
      <c r="B84" s="39" t="str">
        <f>IFERROR(__xludf.DUMMYFUNCTION("""COMPUTED_VALUE"""),"Nohely Mejia")</f>
        <v>Nohely Mejia</v>
      </c>
      <c r="C84" s="60">
        <f>IFERROR(__xludf.DUMMYFUNCTION("""COMPUTED_VALUE"""),18.0)</f>
        <v>18</v>
      </c>
      <c r="D84" s="60">
        <f>IFERROR(__xludf.DUMMYFUNCTION("""COMPUTED_VALUE"""),2.0)</f>
        <v>2</v>
      </c>
      <c r="E84" s="1"/>
      <c r="K84" s="9"/>
    </row>
    <row r="85">
      <c r="A85" s="1"/>
      <c r="B85" s="39" t="str">
        <f>IFERROR(__xludf.DUMMYFUNCTION("""COMPUTED_VALUE"""),"Eric Tan")</f>
        <v>Eric Tan</v>
      </c>
      <c r="C85" s="60">
        <f>IFERROR(__xludf.DUMMYFUNCTION("""COMPUTED_VALUE"""),18.0)</f>
        <v>18</v>
      </c>
      <c r="D85" s="60">
        <f>IFERROR(__xludf.DUMMYFUNCTION("""COMPUTED_VALUE"""),2.0)</f>
        <v>2</v>
      </c>
      <c r="E85" s="1"/>
      <c r="K85" s="9"/>
    </row>
    <row r="86">
      <c r="A86" s="1"/>
      <c r="B86" s="39" t="str">
        <f>IFERROR(__xludf.DUMMYFUNCTION("""COMPUTED_VALUE"""),"Sean Chang")</f>
        <v>Sean Chang</v>
      </c>
      <c r="C86" s="60">
        <f>IFERROR(__xludf.DUMMYFUNCTION("""COMPUTED_VALUE"""),18.0)</f>
        <v>18</v>
      </c>
      <c r="D86" s="60">
        <f>IFERROR(__xludf.DUMMYFUNCTION("""COMPUTED_VALUE"""),1.0)</f>
        <v>1</v>
      </c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1"")"),"Eric Pan")</f>
        <v>Eric Pan</v>
      </c>
      <c r="C92" s="63">
        <f>IFERROR(__xludf.DUMMYFUNCTION("""COMPUTED_VALUE"""),92.0)</f>
        <v>92</v>
      </c>
      <c r="D92" s="64">
        <f>IFERROR(__xludf.DUMMYFUNCTION("""COMPUTED_VALUE"""),11.0)</f>
        <v>11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IFERROR(__xludf.DUMMYFUNCTION("""COMPUTED_VALUE"""),1.0)</f>
        <v>1</v>
      </c>
      <c r="K92" s="65">
        <f>IFERROR(__xludf.DUMMYFUNCTION("""COMPUTED_VALUE"""),13.0)</f>
        <v>13</v>
      </c>
      <c r="L92" s="65">
        <f>IFERROR(__xludf.DUMMYFUNCTION("""COMPUTED_VALUE"""),2.0)</f>
        <v>2</v>
      </c>
      <c r="M92" s="65">
        <f>IFERROR(__xludf.DUMMYFUNCTION("""COMPUTED_VALUE"""),105.0)</f>
        <v>105</v>
      </c>
      <c r="N92" s="66">
        <f>IFERROR(__xludf.DUMMYFUNCTION("""COMPUTED_VALUE"""),13.0)</f>
        <v>13</v>
      </c>
    </row>
    <row r="93">
      <c r="A93" s="1"/>
      <c r="B93" s="62" t="str">
        <f>IFERROR(__xludf.DUMMYFUNCTION("""COMPUTED_VALUE"""),"Adrian Tay")</f>
        <v>Adrian Tay</v>
      </c>
      <c r="C93" s="63">
        <f>IFERROR(__xludf.DUMMYFUNCTION("""COMPUTED_VALUE"""),85.0)</f>
        <v>85</v>
      </c>
      <c r="D93" s="64">
        <f>IFERROR(__xludf.DUMMYFUNCTION("""COMPUTED_VALUE"""),10.0)</f>
        <v>10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IFERROR(__xludf.DUMMYFUNCTION("""COMPUTED_VALUE"""),1.0)</f>
        <v>1</v>
      </c>
      <c r="I93" s="65">
        <f>IFERROR(__xludf.DUMMYFUNCTION("""COMPUTED_VALUE"""),6.0)</f>
        <v>6</v>
      </c>
      <c r="J93" s="65">
        <f>IFERROR(__xludf.DUMMYFUNCTION("""COMPUTED_VALUE"""),6.0)</f>
        <v>6</v>
      </c>
      <c r="K93" s="65">
        <f>IFERROR(__xludf.DUMMYFUNCTION("""COMPUTED_VALUE"""),13.0)</f>
        <v>13</v>
      </c>
      <c r="L93" s="65">
        <f>IFERROR(__xludf.DUMMYFUNCTION("""COMPUTED_VALUE"""),2.0)</f>
        <v>2</v>
      </c>
      <c r="M93" s="65">
        <f>IFERROR(__xludf.DUMMYFUNCTION("""COMPUTED_VALUE"""),98.0)</f>
        <v>98</v>
      </c>
      <c r="N93" s="66">
        <f>IFERROR(__xludf.DUMMYFUNCTION("""COMPUTED_VALUE"""),12.0)</f>
        <v>12</v>
      </c>
    </row>
    <row r="94">
      <c r="A94" s="1"/>
      <c r="B94" s="62" t="str">
        <f>IFERROR(__xludf.DUMMYFUNCTION("""COMPUTED_VALUE"""),"David Shin")</f>
        <v>David Shin</v>
      </c>
      <c r="C94" s="63">
        <f>IFERROR(__xludf.DUMMYFUNCTION("""COMPUTED_VALUE"""),84.0)</f>
        <v>84</v>
      </c>
      <c r="D94" s="64">
        <f>IFERROR(__xludf.DUMMYFUNCTION("""COMPUTED_VALUE"""),8.0)</f>
        <v>8</v>
      </c>
      <c r="E94" s="63">
        <f>IFERROR(__xludf.DUMMYFUNCTION("""COMPUTED_VALUE"""),2.0)</f>
        <v>2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IFERROR(__xludf.DUMMYFUNCTION("""COMPUTED_VALUE"""),2.0)</f>
        <v>2</v>
      </c>
      <c r="J94" s="65">
        <f>IFERROR(__xludf.DUMMYFUNCTION("""COMPUTED_VALUE"""),6.0)</f>
        <v>6</v>
      </c>
      <c r="K94" s="65">
        <f>IFERROR(__xludf.DUMMYFUNCTION("""COMPUTED_VALUE"""),14.0)</f>
        <v>14</v>
      </c>
      <c r="L94" s="65">
        <f>IFERROR(__xludf.DUMMYFUNCTION("""COMPUTED_VALUE"""),2.0)</f>
        <v>2</v>
      </c>
      <c r="M94" s="65">
        <f>IFERROR(__xludf.DUMMYFUNCTION("""COMPUTED_VALUE"""),98.0)</f>
        <v>98</v>
      </c>
      <c r="N94" s="66">
        <f>IFERROR(__xludf.DUMMYFUNCTION("""COMPUTED_VALUE"""),10.0)</f>
        <v>10</v>
      </c>
    </row>
    <row r="95">
      <c r="A95" s="1"/>
      <c r="B95" s="62" t="str">
        <f>IFERROR(__xludf.DUMMYFUNCTION("""COMPUTED_VALUE"""),"Ted Shen")</f>
        <v>Ted Shen</v>
      </c>
      <c r="C95" s="63">
        <f>IFERROR(__xludf.DUMMYFUNCTION("""COMPUTED_VALUE"""),84.0)</f>
        <v>84</v>
      </c>
      <c r="D95" s="64">
        <f>IFERROR(__xludf.DUMMYFUNCTION("""COMPUTED_VALUE"""),7.0)</f>
        <v>7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IFERROR(__xludf.DUMMYFUNCTION("""COMPUTED_VALUE"""),1.0)</f>
        <v>1</v>
      </c>
      <c r="I95" s="65">
        <f>IFERROR(__xludf.DUMMYFUNCTION("""COMPUTED_VALUE"""),2.0)</f>
        <v>2</v>
      </c>
      <c r="J95" s="65">
        <f>IFERROR(__xludf.DUMMYFUNCTION("""COMPUTED_VALUE"""),1.0)</f>
        <v>1</v>
      </c>
      <c r="K95" s="65">
        <f>IFERROR(__xludf.DUMMYFUNCTION("""COMPUTED_VALUE"""),4.0)</f>
        <v>4</v>
      </c>
      <c r="L95" s="65">
        <f>IFERROR(__xludf.DUMMYFUNCTION("""COMPUTED_VALUE"""),0.0)</f>
        <v>0</v>
      </c>
      <c r="M95" s="65">
        <f>IFERROR(__xludf.DUMMYFUNCTION("""COMPUTED_VALUE"""),88.0)</f>
        <v>88</v>
      </c>
      <c r="N95" s="66">
        <f>IFERROR(__xludf.DUMMYFUNCTION("""COMPUTED_VALUE"""),7.0)</f>
        <v>7</v>
      </c>
    </row>
    <row r="96">
      <c r="A96" s="1"/>
      <c r="B96" s="67" t="str">
        <f>IFERROR(__xludf.DUMMYFUNCTION("""COMPUTED_VALUE"""),"Sean Chang")</f>
        <v>Sean Chang</v>
      </c>
      <c r="C96" s="68">
        <f>IFERROR(__xludf.DUMMYFUNCTION("""COMPUTED_VALUE"""),83.0)</f>
        <v>83</v>
      </c>
      <c r="D96" s="69">
        <f>IFERROR(__xludf.DUMMYFUNCTION("""COMPUTED_VALUE"""),7.0)</f>
        <v>7</v>
      </c>
      <c r="E96" s="68">
        <f>IFERROR(__xludf.DUMMYFUNCTION("""COMPUTED_VALUE"""),2.0)</f>
        <v>2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IFERROR(__xludf.DUMMYFUNCTION("""COMPUTED_VALUE"""),6.0)</f>
        <v>6</v>
      </c>
      <c r="I96" s="70">
        <f>IFERROR(__xludf.DUMMYFUNCTION("""COMPUTED_VALUE"""),6.0)</f>
        <v>6</v>
      </c>
      <c r="J96" s="70">
        <f>IFERROR(__xludf.DUMMYFUNCTION("""COMPUTED_VALUE"""),6.0)</f>
        <v>6</v>
      </c>
      <c r="K96" s="70">
        <f>IFERROR(__xludf.DUMMYFUNCTION("""COMPUTED_VALUE"""),18.0)</f>
        <v>18</v>
      </c>
      <c r="L96" s="70">
        <f>IFERROR(__xludf.DUMMYFUNCTION("""COMPUTED_VALUE"""),1.0)</f>
        <v>1</v>
      </c>
      <c r="M96" s="70">
        <f>IFERROR(__xludf.DUMMYFUNCTION("""COMPUTED_VALUE"""),101.0)</f>
        <v>101</v>
      </c>
      <c r="N96" s="71">
        <f>IFERROR(__xludf.DUMMYFUNCTION("""COMPUTED_VALUE"""),8.0)</f>
        <v>8</v>
      </c>
    </row>
    <row r="97">
      <c r="A97" s="1"/>
      <c r="B97" s="67" t="str">
        <f>IFERROR(__xludf.DUMMYFUNCTION("""COMPUTED_VALUE"""),"Lam Bui")</f>
        <v>Lam Bui</v>
      </c>
      <c r="C97" s="68">
        <f>IFERROR(__xludf.DUMMYFUNCTION("""COMPUTED_VALUE"""),81.0)</f>
        <v>81</v>
      </c>
      <c r="D97" s="69">
        <f>IFERROR(__xludf.DUMMYFUNCTION("""COMPUTED_VALUE"""),7.0)</f>
        <v>7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IFERROR(__xludf.DUMMYFUNCTION("""COMPUTED_VALUE"""),7.0)</f>
        <v>7</v>
      </c>
      <c r="J97" s="70">
        <f>IFERROR(__xludf.DUMMYFUNCTION("""COMPUTED_VALUE"""),7.0)</f>
        <v>7</v>
      </c>
      <c r="K97" s="70">
        <f>IFERROR(__xludf.DUMMYFUNCTION("""COMPUTED_VALUE"""),20.0)</f>
        <v>20</v>
      </c>
      <c r="L97" s="70">
        <f>IFERROR(__xludf.DUMMYFUNCTION("""COMPUTED_VALUE"""),3.0)</f>
        <v>3</v>
      </c>
      <c r="M97" s="70">
        <f>IFERROR(__xludf.DUMMYFUNCTION("""COMPUTED_VALUE"""),101.0)</f>
        <v>101</v>
      </c>
      <c r="N97" s="71">
        <f>IFERROR(__xludf.DUMMYFUNCTION("""COMPUTED_VALUE"""),10.0)</f>
        <v>10</v>
      </c>
    </row>
    <row r="98">
      <c r="A98" s="1"/>
      <c r="B98" s="67" t="str">
        <f>IFERROR(__xludf.DUMMYFUNCTION("""COMPUTED_VALUE"""),"Jonathan Phan")</f>
        <v>Jonathan Phan</v>
      </c>
      <c r="C98" s="68">
        <f>IFERROR(__xludf.DUMMYFUNCTION("""COMPUTED_VALUE"""),80.0)</f>
        <v>80</v>
      </c>
      <c r="D98" s="69">
        <f>IFERROR(__xludf.DUMMYFUNCTION("""COMPUTED_VALUE"""),7.0)</f>
        <v>7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IFERROR(__xludf.DUMMYFUNCTION("""COMPUTED_VALUE"""),1.0)</f>
        <v>1</v>
      </c>
      <c r="I98" s="70">
        <f>IFERROR(__xludf.DUMMYFUNCTION("""COMPUTED_VALUE"""),6.0)</f>
        <v>6</v>
      </c>
      <c r="J98" s="70">
        <f>IFERROR(__xludf.DUMMYFUNCTION("""COMPUTED_VALUE"""),7.0)</f>
        <v>7</v>
      </c>
      <c r="K98" s="70">
        <f>IFERROR(__xludf.DUMMYFUNCTION("""COMPUTED_VALUE"""),14.0)</f>
        <v>14</v>
      </c>
      <c r="L98" s="70">
        <f>IFERROR(__xludf.DUMMYFUNCTION("""COMPUTED_VALUE"""),1.0)</f>
        <v>1</v>
      </c>
      <c r="M98" s="70">
        <f>IFERROR(__xludf.DUMMYFUNCTION("""COMPUTED_VALUE"""),94.0)</f>
        <v>94</v>
      </c>
      <c r="N98" s="71">
        <f>IFERROR(__xludf.DUMMYFUNCTION("""COMPUTED_VALUE"""),8.0)</f>
        <v>8</v>
      </c>
    </row>
    <row r="99">
      <c r="A99" s="1"/>
      <c r="B99" s="67" t="str">
        <f>IFERROR(__xludf.DUMMYFUNCTION("""COMPUTED_VALUE"""),"Joe Luzzi")</f>
        <v>Joe Luzzi</v>
      </c>
      <c r="C99" s="68">
        <f>IFERROR(__xludf.DUMMYFUNCTION("""COMPUTED_VALUE"""),77.0)</f>
        <v>77</v>
      </c>
      <c r="D99" s="69">
        <f>IFERROR(__xludf.DUMMYFUNCTION("""COMPUTED_VALUE"""),7.0)</f>
        <v>7</v>
      </c>
      <c r="E99" s="68">
        <f>IFERROR(__xludf.DUMMYFUNCTION("""COMPUTED_VALUE"""),2.0)</f>
        <v>2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IFERROR(__xludf.DUMMYFUNCTION("""COMPUTED_VALUE"""),1.0)</f>
        <v>1</v>
      </c>
      <c r="I99" s="70">
        <f>IFERROR(__xludf.DUMMYFUNCTION("""COMPUTED_VALUE"""),7.0)</f>
        <v>7</v>
      </c>
      <c r="J99" s="70">
        <f>IFERROR(__xludf.DUMMYFUNCTION("""COMPUTED_VALUE"""),6.0)</f>
        <v>6</v>
      </c>
      <c r="K99" s="70">
        <f>IFERROR(__xludf.DUMMYFUNCTION("""COMPUTED_VALUE"""),14.0)</f>
        <v>14</v>
      </c>
      <c r="L99" s="70">
        <f>IFERROR(__xludf.DUMMYFUNCTION("""COMPUTED_VALUE"""),1.0)</f>
        <v>1</v>
      </c>
      <c r="M99" s="70">
        <f>IFERROR(__xludf.DUMMYFUNCTION("""COMPUTED_VALUE"""),91.0)</f>
        <v>91</v>
      </c>
      <c r="N99" s="71">
        <f>IFERROR(__xludf.DUMMYFUNCTION("""COMPUTED_VALUE"""),8.0)</f>
        <v>8</v>
      </c>
    </row>
    <row r="100">
      <c r="A100" s="1"/>
      <c r="B100" s="62" t="str">
        <f>IFERROR(__xludf.DUMMYFUNCTION("""COMPUTED_VALUE"""),"Erik Hoeckmann")</f>
        <v>Erik Hoeckmann</v>
      </c>
      <c r="C100" s="63">
        <f>IFERROR(__xludf.DUMMYFUNCTION("""COMPUTED_VALUE"""),76.0)</f>
        <v>76</v>
      </c>
      <c r="D100" s="64">
        <f>IFERROR(__xludf.DUMMYFUNCTION("""COMPUTED_VALUE"""),9.0)</f>
        <v>9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IFERROR(__xludf.DUMMYFUNCTION("""COMPUTED_VALUE"""),6.0)</f>
        <v>6</v>
      </c>
      <c r="I100" s="65">
        <f>IFERROR(__xludf.DUMMYFUNCTION("""COMPUTED_VALUE"""),2.0)</f>
        <v>2</v>
      </c>
      <c r="J100" s="65">
        <f>IFERROR(__xludf.DUMMYFUNCTION("""COMPUTED_VALUE"""),4.0)</f>
        <v>4</v>
      </c>
      <c r="K100" s="65">
        <f>IFERROR(__xludf.DUMMYFUNCTION("""COMPUTED_VALUE"""),12.0)</f>
        <v>12</v>
      </c>
      <c r="L100" s="65">
        <f>IFERROR(__xludf.DUMMYFUNCTION("""COMPUTED_VALUE"""),1.0)</f>
        <v>1</v>
      </c>
      <c r="M100" s="65">
        <f>IFERROR(__xludf.DUMMYFUNCTION("""COMPUTED_VALUE"""),88.0)</f>
        <v>88</v>
      </c>
      <c r="N100" s="66">
        <f>IFERROR(__xludf.DUMMYFUNCTION("""COMPUTED_VALUE"""),10.0)</f>
        <v>10</v>
      </c>
    </row>
    <row r="101">
      <c r="A101" s="1"/>
      <c r="B101" s="62" t="str">
        <f>IFERROR(__xludf.DUMMYFUNCTION("""COMPUTED_VALUE"""),"Mauricio Palacios")</f>
        <v>Mauricio Palacios</v>
      </c>
      <c r="C101" s="63">
        <f>IFERROR(__xludf.DUMMYFUNCTION("""COMPUTED_VALUE"""),75.0)</f>
        <v>75</v>
      </c>
      <c r="D101" s="64">
        <f>IFERROR(__xludf.DUMMYFUNCTION("""COMPUTED_VALUE"""),6.0)</f>
        <v>6</v>
      </c>
      <c r="E101" s="63">
        <f>IFERROR(__xludf.DUMMYFUNCTION("""COMPUTED_VALUE"""),2.0)</f>
        <v>2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IFERROR(__xludf.DUMMYFUNCTION("""COMPUTED_VALUE"""),1.0)</f>
        <v>1</v>
      </c>
      <c r="I101" s="65">
        <f>IFERROR(__xludf.DUMMYFUNCTION("""COMPUTED_VALUE"""),6.0)</f>
        <v>6</v>
      </c>
      <c r="J101" s="65">
        <f>IFERROR(__xludf.DUMMYFUNCTION("""COMPUTED_VALUE"""),4.0)</f>
        <v>4</v>
      </c>
      <c r="K101" s="65">
        <f>IFERROR(__xludf.DUMMYFUNCTION("""COMPUTED_VALUE"""),11.0)</f>
        <v>11</v>
      </c>
      <c r="L101" s="65">
        <f>IFERROR(__xludf.DUMMYFUNCTION("""COMPUTED_VALUE"""),1.0)</f>
        <v>1</v>
      </c>
      <c r="M101" s="65">
        <f>IFERROR(__xludf.DUMMYFUNCTION("""COMPUTED_VALUE"""),86.0)</f>
        <v>86</v>
      </c>
      <c r="N101" s="66">
        <f>IFERROR(__xludf.DUMMYFUNCTION("""COMPUTED_VALUE"""),7.0)</f>
        <v>7</v>
      </c>
    </row>
    <row r="102">
      <c r="A102" s="1"/>
      <c r="B102" s="62" t="str">
        <f>IFERROR(__xludf.DUMMYFUNCTION("""COMPUTED_VALUE"""),"Peter Cheng")</f>
        <v>Peter Cheng</v>
      </c>
      <c r="C102" s="63">
        <f>IFERROR(__xludf.DUMMYFUNCTION("""COMPUTED_VALUE"""),75.0)</f>
        <v>75</v>
      </c>
      <c r="D102" s="64">
        <f>IFERROR(__xludf.DUMMYFUNCTION("""COMPUTED_VALUE"""),5.0)</f>
        <v>5</v>
      </c>
      <c r="E102" s="63">
        <f>IFERROR(__xludf.DUMMYFUNCTION("""COMPUTED_VALUE"""),2.0)</f>
        <v>2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IFERROR(__xludf.DUMMYFUNCTION("""COMPUTED_VALUE"""),6.0)</f>
        <v>6</v>
      </c>
      <c r="J102" s="65">
        <f>IFERROR(__xludf.DUMMYFUNCTION("""COMPUTED_VALUE"""),6.0)</f>
        <v>6</v>
      </c>
      <c r="K102" s="65">
        <f>IFERROR(__xludf.DUMMYFUNCTION("""COMPUTED_VALUE"""),18.0)</f>
        <v>18</v>
      </c>
      <c r="L102" s="65">
        <f>IFERROR(__xludf.DUMMYFUNCTION("""COMPUTED_VALUE"""),3.0)</f>
        <v>3</v>
      </c>
      <c r="M102" s="65">
        <f>IFERROR(__xludf.DUMMYFUNCTION("""COMPUTED_VALUE"""),93.0)</f>
        <v>93</v>
      </c>
      <c r="N102" s="66">
        <f>IFERROR(__xludf.DUMMYFUNCTION("""COMPUTED_VALUE"""),8.0)</f>
        <v>8</v>
      </c>
    </row>
    <row r="103">
      <c r="A103" s="1"/>
      <c r="B103" s="62" t="str">
        <f>IFERROR(__xludf.DUMMYFUNCTION("""COMPUTED_VALUE"""),"Tony Wong")</f>
        <v>Tony Wong</v>
      </c>
      <c r="C103" s="63">
        <f>IFERROR(__xludf.DUMMYFUNCTION("""COMPUTED_VALUE"""),71.0)</f>
        <v>71</v>
      </c>
      <c r="D103" s="64">
        <f>IFERROR(__xludf.DUMMYFUNCTION("""COMPUTED_VALUE"""),5.0)</f>
        <v>5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IFERROR(__xludf.DUMMYFUNCTION("""COMPUTED_VALUE"""),1.0)</f>
        <v>1</v>
      </c>
      <c r="I103" s="65">
        <f>IFERROR(__xludf.DUMMYFUNCTION("""COMPUTED_VALUE"""),2.0)</f>
        <v>2</v>
      </c>
      <c r="J103" s="65">
        <f>IFERROR(__xludf.DUMMYFUNCTION("""COMPUTED_VALUE"""),6.0)</f>
        <v>6</v>
      </c>
      <c r="K103" s="65">
        <f>IFERROR(__xludf.DUMMYFUNCTION("""COMPUTED_VALUE"""),9.0)</f>
        <v>9</v>
      </c>
      <c r="L103" s="65">
        <f>IFERROR(__xludf.DUMMYFUNCTION("""COMPUTED_VALUE"""),1.0)</f>
        <v>1</v>
      </c>
      <c r="M103" s="65">
        <f>IFERROR(__xludf.DUMMYFUNCTION("""COMPUTED_VALUE"""),80.0)</f>
        <v>80</v>
      </c>
      <c r="N103" s="66">
        <f>IFERROR(__xludf.DUMMYFUNCTION("""COMPUTED_VALUE"""),6.0)</f>
        <v>6</v>
      </c>
    </row>
    <row r="104">
      <c r="A104" s="1"/>
      <c r="B104" s="67" t="str">
        <f>IFERROR(__xludf.DUMMYFUNCTION("""COMPUTED_VALUE"""),"Andrew Wen")</f>
        <v>Andrew Wen</v>
      </c>
      <c r="C104" s="68">
        <f>IFERROR(__xludf.DUMMYFUNCTION("""COMPUTED_VALUE"""),68.0)</f>
        <v>68</v>
      </c>
      <c r="D104" s="69">
        <f>IFERROR(__xludf.DUMMYFUNCTION("""COMPUTED_VALUE"""),7.0)</f>
        <v>7</v>
      </c>
      <c r="E104" s="68">
        <f>IFERROR(__xludf.DUMMYFUNCTION("""COMPUTED_VALUE"""),1.0)</f>
        <v>1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IFERROR(__xludf.DUMMYFUNCTION("""COMPUTED_VALUE"""),4.0)</f>
        <v>4</v>
      </c>
      <c r="I104" s="70">
        <f>IFERROR(__xludf.DUMMYFUNCTION("""COMPUTED_VALUE"""),6.0)</f>
        <v>6</v>
      </c>
      <c r="J104" s="70">
        <f>IFERROR(__xludf.DUMMYFUNCTION("""COMPUTED_VALUE"""),6.0)</f>
        <v>6</v>
      </c>
      <c r="K104" s="70">
        <f>IFERROR(__xludf.DUMMYFUNCTION("""COMPUTED_VALUE"""),16.0)</f>
        <v>16</v>
      </c>
      <c r="L104" s="70">
        <f>IFERROR(__xludf.DUMMYFUNCTION("""COMPUTED_VALUE"""),2.0)</f>
        <v>2</v>
      </c>
      <c r="M104" s="70">
        <f>IFERROR(__xludf.DUMMYFUNCTION("""COMPUTED_VALUE"""),84.0)</f>
        <v>84</v>
      </c>
      <c r="N104" s="71">
        <f>IFERROR(__xludf.DUMMYFUNCTION("""COMPUTED_VALUE"""),9.0)</f>
        <v>9</v>
      </c>
    </row>
    <row r="105">
      <c r="A105" s="1"/>
      <c r="B105" s="67" t="str">
        <f>IFERROR(__xludf.DUMMYFUNCTION("""COMPUTED_VALUE"""),"Vamsi Lolla ")</f>
        <v>Vamsi Lolla </v>
      </c>
      <c r="C105" s="68">
        <f>IFERROR(__xludf.DUMMYFUNCTION("""COMPUTED_VALUE"""),68.0)</f>
        <v>68</v>
      </c>
      <c r="D105" s="69">
        <f>IFERROR(__xludf.DUMMYFUNCTION("""COMPUTED_VALUE"""),4.0)</f>
        <v>4</v>
      </c>
      <c r="E105" s="68">
        <f>IFERROR(__xludf.DUMMYFUNCTION("""COMPUTED_VALUE"""),2.0)</f>
        <v>2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IFERROR(__xludf.DUMMYFUNCTION("""COMPUTED_VALUE"""),4.0)</f>
        <v>4</v>
      </c>
      <c r="I105" s="70">
        <f>IFERROR(__xludf.DUMMYFUNCTION("""COMPUTED_VALUE"""),3.0)</f>
        <v>3</v>
      </c>
      <c r="J105" s="70">
        <f>IFERROR(__xludf.DUMMYFUNCTION("""COMPUTED_VALUE"""),4.0)</f>
        <v>4</v>
      </c>
      <c r="K105" s="70">
        <f>IFERROR(__xludf.DUMMYFUNCTION("""COMPUTED_VALUE"""),11.0)</f>
        <v>11</v>
      </c>
      <c r="L105" s="70">
        <f>IFERROR(__xludf.DUMMYFUNCTION("""COMPUTED_VALUE"""),0.0)</f>
        <v>0</v>
      </c>
      <c r="M105" s="70">
        <f>IFERROR(__xludf.DUMMYFUNCTION("""COMPUTED_VALUE"""),79.0)</f>
        <v>79</v>
      </c>
      <c r="N105" s="71">
        <f>IFERROR(__xludf.DUMMYFUNCTION("""COMPUTED_VALUE"""),4.0)</f>
        <v>4</v>
      </c>
    </row>
    <row r="106">
      <c r="A106" s="1"/>
      <c r="B106" s="67" t="str">
        <f>IFERROR(__xludf.DUMMYFUNCTION("""COMPUTED_VALUE"""),"Manish Anand")</f>
        <v>Manish Anand</v>
      </c>
      <c r="C106" s="68">
        <f>IFERROR(__xludf.DUMMYFUNCTION("""COMPUTED_VALUE"""),66.0)</f>
        <v>66</v>
      </c>
      <c r="D106" s="69">
        <f>IFERROR(__xludf.DUMMYFUNCTION("""COMPUTED_VALUE"""),4.0)</f>
        <v>4</v>
      </c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IFERROR(__xludf.DUMMYFUNCTION("""COMPUTED_VALUE"""),3.0)</f>
        <v>3</v>
      </c>
      <c r="J106" s="70">
        <f>IFERROR(__xludf.DUMMYFUNCTION("""COMPUTED_VALUE"""),6.0)</f>
        <v>6</v>
      </c>
      <c r="K106" s="70">
        <f>IFERROR(__xludf.DUMMYFUNCTION("""COMPUTED_VALUE"""),15.0)</f>
        <v>15</v>
      </c>
      <c r="L106" s="70">
        <f>IFERROR(__xludf.DUMMYFUNCTION("""COMPUTED_VALUE"""),2.0)</f>
        <v>2</v>
      </c>
      <c r="M106" s="70">
        <f>IFERROR(__xludf.DUMMYFUNCTION("""COMPUTED_VALUE"""),81.0)</f>
        <v>81</v>
      </c>
      <c r="N106" s="71">
        <f>IFERROR(__xludf.DUMMYFUNCTION("""COMPUTED_VALUE"""),6.0)</f>
        <v>6</v>
      </c>
    </row>
    <row r="107">
      <c r="A107" s="1"/>
      <c r="B107" s="67" t="str">
        <f>IFERROR(__xludf.DUMMYFUNCTION("""COMPUTED_VALUE"""),"Rajasekar Ramasamy")</f>
        <v>Rajasekar Ramasamy</v>
      </c>
      <c r="C107" s="68">
        <f>IFERROR(__xludf.DUMMYFUNCTION("""COMPUTED_VALUE"""),66.0)</f>
        <v>66</v>
      </c>
      <c r="D107" s="69">
        <f>IFERROR(__xludf.DUMMYFUNCTION("""COMPUTED_VALUE"""),4.0)</f>
        <v>4</v>
      </c>
      <c r="E107" s="68">
        <f>IFERROR(__xludf.DUMMYFUNCTION("""COMPUTED_VALUE"""),1.0)</f>
        <v>1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IFERROR(__xludf.DUMMYFUNCTION("""COMPUTED_VALUE"""),6.0)</f>
        <v>6</v>
      </c>
      <c r="J107" s="70">
        <f>IFERROR(__xludf.DUMMYFUNCTION("""COMPUTED_VALUE"""),4.0)</f>
        <v>4</v>
      </c>
      <c r="K107" s="70">
        <f>IFERROR(__xludf.DUMMYFUNCTION("""COMPUTED_VALUE"""),16.0)</f>
        <v>16</v>
      </c>
      <c r="L107" s="70">
        <f>IFERROR(__xludf.DUMMYFUNCTION("""COMPUTED_VALUE"""),2.0)</f>
        <v>2</v>
      </c>
      <c r="M107" s="70">
        <f>IFERROR(__xludf.DUMMYFUNCTION("""COMPUTED_VALUE"""),82.0)</f>
        <v>82</v>
      </c>
      <c r="N107" s="71">
        <f>IFERROR(__xludf.DUMMYFUNCTION("""COMPUTED_VALUE"""),6.0)</f>
        <v>6</v>
      </c>
    </row>
    <row r="108">
      <c r="A108" s="1"/>
      <c r="B108" s="62" t="str">
        <f>IFERROR(__xludf.DUMMYFUNCTION("""COMPUTED_VALUE"""),"Scott Li")</f>
        <v>Scott Li</v>
      </c>
      <c r="C108" s="63">
        <f>IFERROR(__xludf.DUMMYFUNCTION("""COMPUTED_VALUE"""),65.0)</f>
        <v>65</v>
      </c>
      <c r="D108" s="64">
        <f>IFERROR(__xludf.DUMMYFUNCTION("""COMPUTED_VALUE"""),6.0)</f>
        <v>6</v>
      </c>
      <c r="E108" s="63">
        <f>IFERROR(__xludf.DUMMYFUNCTION("""COMPUTED_VALUE"""),1.0)</f>
        <v>1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IFERROR(__xludf.DUMMYFUNCTION("""COMPUTED_VALUE"""),2.0)</f>
        <v>2</v>
      </c>
      <c r="J108" s="65">
        <f>IFERROR(__xludf.DUMMYFUNCTION("""COMPUTED_VALUE"""),5.0)</f>
        <v>5</v>
      </c>
      <c r="K108" s="65">
        <f>IFERROR(__xludf.DUMMYFUNCTION("""COMPUTED_VALUE"""),13.0)</f>
        <v>13</v>
      </c>
      <c r="L108" s="65">
        <f>IFERROR(__xludf.DUMMYFUNCTION("""COMPUTED_VALUE"""),1.0)</f>
        <v>1</v>
      </c>
      <c r="M108" s="65">
        <f>IFERROR(__xludf.DUMMYFUNCTION("""COMPUTED_VALUE"""),78.0)</f>
        <v>78</v>
      </c>
      <c r="N108" s="66">
        <f>IFERROR(__xludf.DUMMYFUNCTION("""COMPUTED_VALUE"""),7.0)</f>
        <v>7</v>
      </c>
    </row>
    <row r="109">
      <c r="A109" s="1"/>
      <c r="B109" s="62" t="str">
        <f>IFERROR(__xludf.DUMMYFUNCTION("""COMPUTED_VALUE"""),"Elayaraja Thangaraj ")</f>
        <v>Elayaraja Thangaraj </v>
      </c>
      <c r="C109" s="63">
        <f>IFERROR(__xludf.DUMMYFUNCTION("""COMPUTED_VALUE"""),65.0)</f>
        <v>65</v>
      </c>
      <c r="D109" s="64">
        <f>IFERROR(__xludf.DUMMYFUNCTION("""COMPUTED_VALUE"""),6.0)</f>
        <v>6</v>
      </c>
      <c r="E109" s="63">
        <f>IFERROR(__xludf.DUMMYFUNCTION("""COMPUTED_VALUE"""),2.0)</f>
        <v>2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IFERROR(__xludf.DUMMYFUNCTION("""COMPUTED_VALUE"""),4.0)</f>
        <v>4</v>
      </c>
      <c r="I109" s="65">
        <f>IFERROR(__xludf.DUMMYFUNCTION("""COMPUTED_VALUE"""),6.0)</f>
        <v>6</v>
      </c>
      <c r="J109" s="65">
        <f>IFERROR(__xludf.DUMMYFUNCTION("""COMPUTED_VALUE"""),5.0)</f>
        <v>5</v>
      </c>
      <c r="K109" s="65">
        <f>IFERROR(__xludf.DUMMYFUNCTION("""COMPUTED_VALUE"""),15.0)</f>
        <v>15</v>
      </c>
      <c r="L109" s="65">
        <f>IFERROR(__xludf.DUMMYFUNCTION("""COMPUTED_VALUE"""),1.0)</f>
        <v>1</v>
      </c>
      <c r="M109" s="65">
        <f>IFERROR(__xludf.DUMMYFUNCTION("""COMPUTED_VALUE"""),80.0)</f>
        <v>80</v>
      </c>
      <c r="N109" s="66">
        <f>IFERROR(__xludf.DUMMYFUNCTION("""COMPUTED_VALUE"""),7.0)</f>
        <v>7</v>
      </c>
    </row>
    <row r="110">
      <c r="A110" s="1"/>
      <c r="B110" s="62" t="str">
        <f>IFERROR(__xludf.DUMMYFUNCTION("""COMPUTED_VALUE"""),"Chinna Ponnaganti")</f>
        <v>Chinna Ponnaganti</v>
      </c>
      <c r="C110" s="63">
        <f>IFERROR(__xludf.DUMMYFUNCTION("""COMPUTED_VALUE"""),65.0)</f>
        <v>65</v>
      </c>
      <c r="D110" s="64">
        <f>IFERROR(__xludf.DUMMYFUNCTION("""COMPUTED_VALUE"""),5.0)</f>
        <v>5</v>
      </c>
      <c r="E110" s="63">
        <f>IFERROR(__xludf.DUMMYFUNCTION("""COMPUTED_VALUE"""),2.0)</f>
        <v>2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IFERROR(__xludf.DUMMYFUNCTION("""COMPUTED_VALUE"""),6.0)</f>
        <v>6</v>
      </c>
      <c r="J110" s="65">
        <f>IFERROR(__xludf.DUMMYFUNCTION("""COMPUTED_VALUE"""),7.0)</f>
        <v>7</v>
      </c>
      <c r="K110" s="65">
        <f>IFERROR(__xludf.DUMMYFUNCTION("""COMPUTED_VALUE"""),19.0)</f>
        <v>19</v>
      </c>
      <c r="L110" s="65">
        <f>IFERROR(__xludf.DUMMYFUNCTION("""COMPUTED_VALUE"""),3.0)</f>
        <v>3</v>
      </c>
      <c r="M110" s="65">
        <f>IFERROR(__xludf.DUMMYFUNCTION("""COMPUTED_VALUE"""),84.0)</f>
        <v>84</v>
      </c>
      <c r="N110" s="66">
        <f>IFERROR(__xludf.DUMMYFUNCTION("""COMPUTED_VALUE"""),8.0)</f>
        <v>8</v>
      </c>
    </row>
    <row r="111">
      <c r="A111" s="1"/>
      <c r="B111" s="62" t="str">
        <f>IFERROR(__xludf.DUMMYFUNCTION("""COMPUTED_VALUE"""),"Ash Nikravan")</f>
        <v>Ash Nikravan</v>
      </c>
      <c r="C111" s="63">
        <f>IFERROR(__xludf.DUMMYFUNCTION("""COMPUTED_VALUE"""),65.0)</f>
        <v>65</v>
      </c>
      <c r="D111" s="64">
        <f>IFERROR(__xludf.DUMMYFUNCTION("""COMPUTED_VALUE"""),4.0)</f>
        <v>4</v>
      </c>
      <c r="E111" s="63">
        <f>IFERROR(__xludf.DUMMYFUNCTION("""COMPUTED_VALUE"""),2.0)</f>
        <v>2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IFERROR(__xludf.DUMMYFUNCTION("""COMPUTED_VALUE"""),4.0)</f>
        <v>4</v>
      </c>
      <c r="I111" s="65">
        <f>IFERROR(__xludf.DUMMYFUNCTION("""COMPUTED_VALUE"""),2.0)</f>
        <v>2</v>
      </c>
      <c r="J111" s="65">
        <f>IFERROR(__xludf.DUMMYFUNCTION("""COMPUTED_VALUE"""),7.0)</f>
        <v>7</v>
      </c>
      <c r="K111" s="65">
        <f>IFERROR(__xludf.DUMMYFUNCTION("""COMPUTED_VALUE"""),13.0)</f>
        <v>13</v>
      </c>
      <c r="L111" s="65">
        <f>IFERROR(__xludf.DUMMYFUNCTION("""COMPUTED_VALUE"""),1.0)</f>
        <v>1</v>
      </c>
      <c r="M111" s="65">
        <f>IFERROR(__xludf.DUMMYFUNCTION("""COMPUTED_VALUE"""),78.0)</f>
        <v>78</v>
      </c>
      <c r="N111" s="66">
        <f>IFERROR(__xludf.DUMMYFUNCTION("""COMPUTED_VALUE"""),5.0)</f>
        <v>5</v>
      </c>
    </row>
    <row r="112">
      <c r="A112" s="1"/>
      <c r="B112" s="67" t="str">
        <f>IFERROR(__xludf.DUMMYFUNCTION("""COMPUTED_VALUE"""),"Trinath Goteti")</f>
        <v>Trinath Goteti</v>
      </c>
      <c r="C112" s="68">
        <f>IFERROR(__xludf.DUMMYFUNCTION("""COMPUTED_VALUE"""),65.0)</f>
        <v>65</v>
      </c>
      <c r="D112" s="69">
        <f>IFERROR(__xludf.DUMMYFUNCTION("""COMPUTED_VALUE"""),1.0)</f>
        <v>1</v>
      </c>
      <c r="E112" s="68">
        <f>IFERROR(__xludf.DUMMYFUNCTION("""COMPUTED_VALUE"""),2.0)</f>
        <v>2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IFERROR(__xludf.DUMMYFUNCTION("""COMPUTED_VALUE"""),1.0)</f>
        <v>1</v>
      </c>
      <c r="J112" s="70">
        <f>IFERROR(__xludf.DUMMYFUNCTION("""COMPUTED_VALUE"""),6.0)</f>
        <v>6</v>
      </c>
      <c r="K112" s="70">
        <f>IFERROR(__xludf.DUMMYFUNCTION("""COMPUTED_VALUE"""),13.0)</f>
        <v>13</v>
      </c>
      <c r="L112" s="70">
        <f>IFERROR(__xludf.DUMMYFUNCTION("""COMPUTED_VALUE"""),2.0)</f>
        <v>2</v>
      </c>
      <c r="M112" s="70">
        <f>IFERROR(__xludf.DUMMYFUNCTION("""COMPUTED_VALUE"""),78.0)</f>
        <v>78</v>
      </c>
      <c r="N112" s="71">
        <f>IFERROR(__xludf.DUMMYFUNCTION("""COMPUTED_VALUE"""),3.0)</f>
        <v>3</v>
      </c>
    </row>
    <row r="113">
      <c r="A113" s="1"/>
      <c r="B113" s="67" t="str">
        <f>IFERROR(__xludf.DUMMYFUNCTION("""COMPUTED_VALUE"""),"David Tam")</f>
        <v>David Tam</v>
      </c>
      <c r="C113" s="68">
        <f>IFERROR(__xludf.DUMMYFUNCTION("""COMPUTED_VALUE"""),64.0)</f>
        <v>64</v>
      </c>
      <c r="D113" s="69">
        <f>IFERROR(__xludf.DUMMYFUNCTION("""COMPUTED_VALUE"""),5.0)</f>
        <v>5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IFERROR(__xludf.DUMMYFUNCTION("""COMPUTED_VALUE"""),6.0)</f>
        <v>6</v>
      </c>
      <c r="J113" s="70">
        <f>IFERROR(__xludf.DUMMYFUNCTION("""COMPUTED_VALUE"""),1.0)</f>
        <v>1</v>
      </c>
      <c r="K113" s="70">
        <f>IFERROR(__xludf.DUMMYFUNCTION("""COMPUTED_VALUE"""),13.0)</f>
        <v>13</v>
      </c>
      <c r="L113" s="70">
        <f>IFERROR(__xludf.DUMMYFUNCTION("""COMPUTED_VALUE"""),2.0)</f>
        <v>2</v>
      </c>
      <c r="M113" s="70">
        <f>IFERROR(__xludf.DUMMYFUNCTION("""COMPUTED_VALUE"""),77.0)</f>
        <v>77</v>
      </c>
      <c r="N113" s="71">
        <f>IFERROR(__xludf.DUMMYFUNCTION("""COMPUTED_VALUE"""),7.0)</f>
        <v>7</v>
      </c>
    </row>
    <row r="114">
      <c r="A114" s="1"/>
      <c r="B114" s="67" t="str">
        <f>IFERROR(__xludf.DUMMYFUNCTION("""COMPUTED_VALUE"""),"Manuel Rivera")</f>
        <v>Manuel Rivera</v>
      </c>
      <c r="C114" s="68">
        <f>IFERROR(__xludf.DUMMYFUNCTION("""COMPUTED_VALUE"""),64.0)</f>
        <v>64</v>
      </c>
      <c r="D114" s="69">
        <f>IFERROR(__xludf.DUMMYFUNCTION("""COMPUTED_VALUE"""),3.0)</f>
        <v>3</v>
      </c>
      <c r="E114" s="68">
        <f>IFERROR(__xludf.DUMMYFUNCTION("""COMPUTED_VALUE"""),2.0)</f>
        <v>2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IFERROR(__xludf.DUMMYFUNCTION("""COMPUTED_VALUE"""),1.0)</f>
        <v>1</v>
      </c>
      <c r="I114" s="70">
        <f>IFERROR(__xludf.DUMMYFUNCTION("""COMPUTED_VALUE"""),1.0)</f>
        <v>1</v>
      </c>
      <c r="J114" s="70">
        <f>IFERROR(__xludf.DUMMYFUNCTION("""COMPUTED_VALUE"""),1.0)</f>
        <v>1</v>
      </c>
      <c r="K114" s="70">
        <f>IFERROR(__xludf.DUMMYFUNCTION("""COMPUTED_VALUE"""),3.0)</f>
        <v>3</v>
      </c>
      <c r="L114" s="70">
        <f>IFERROR(__xludf.DUMMYFUNCTION("""COMPUTED_VALUE"""),0.0)</f>
        <v>0</v>
      </c>
      <c r="M114" s="70">
        <f>IFERROR(__xludf.DUMMYFUNCTION("""COMPUTED_VALUE"""),67.0)</f>
        <v>67</v>
      </c>
      <c r="N114" s="71">
        <f>IFERROR(__xludf.DUMMYFUNCTION("""COMPUTED_VALUE"""),3.0)</f>
        <v>3</v>
      </c>
    </row>
    <row r="115">
      <c r="A115" s="1"/>
      <c r="B115" s="67" t="str">
        <f>IFERROR(__xludf.DUMMYFUNCTION("""COMPUTED_VALUE"""),"Luis Hsu")</f>
        <v>Luis Hsu</v>
      </c>
      <c r="C115" s="68">
        <f>IFERROR(__xludf.DUMMYFUNCTION("""COMPUTED_VALUE"""),64.0)</f>
        <v>64</v>
      </c>
      <c r="D115" s="69">
        <f>IFERROR(__xludf.DUMMYFUNCTION("""COMPUTED_VALUE"""),2.0)</f>
        <v>2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IFERROR(__xludf.DUMMYFUNCTION("""COMPUTED_VALUE"""),1.0)</f>
        <v>1</v>
      </c>
      <c r="I115" s="70">
        <f>IFERROR(__xludf.DUMMYFUNCTION("""COMPUTED_VALUE"""),6.0)</f>
        <v>6</v>
      </c>
      <c r="J115" s="70">
        <f>IFERROR(__xludf.DUMMYFUNCTION("""COMPUTED_VALUE"""),6.0)</f>
        <v>6</v>
      </c>
      <c r="K115" s="70">
        <f>IFERROR(__xludf.DUMMYFUNCTION("""COMPUTED_VALUE"""),13.0)</f>
        <v>13</v>
      </c>
      <c r="L115" s="70">
        <f>IFERROR(__xludf.DUMMYFUNCTION("""COMPUTED_VALUE"""),2.0)</f>
        <v>2</v>
      </c>
      <c r="M115" s="70">
        <f>IFERROR(__xludf.DUMMYFUNCTION("""COMPUTED_VALUE"""),77.0)</f>
        <v>77</v>
      </c>
      <c r="N115" s="71">
        <f>IFERROR(__xludf.DUMMYFUNCTION("""COMPUTED_VALUE"""),4.0)</f>
        <v>4</v>
      </c>
    </row>
    <row r="116">
      <c r="A116" s="1"/>
      <c r="B116" s="62" t="str">
        <f>IFERROR(__xludf.DUMMYFUNCTION("""COMPUTED_VALUE"""),"Jimmy Awolesi")</f>
        <v>Jimmy Awolesi</v>
      </c>
      <c r="C116" s="63">
        <f>IFERROR(__xludf.DUMMYFUNCTION("""COMPUTED_VALUE"""),63.0)</f>
        <v>63</v>
      </c>
      <c r="D116" s="64">
        <f>IFERROR(__xludf.DUMMYFUNCTION("""COMPUTED_VALUE"""),6.0)</f>
        <v>6</v>
      </c>
      <c r="E116" s="63">
        <f>IFERROR(__xludf.DUMMYFUNCTION("""COMPUTED_VALUE"""),2.0)</f>
        <v>2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IFERROR(__xludf.DUMMYFUNCTION("""COMPUTED_VALUE"""),2.0)</f>
        <v>2</v>
      </c>
      <c r="I116" s="65">
        <f>IFERROR(__xludf.DUMMYFUNCTION("""COMPUTED_VALUE"""),1.0)</f>
        <v>1</v>
      </c>
      <c r="J116" s="65">
        <f>IFERROR(__xludf.DUMMYFUNCTION("""COMPUTED_VALUE"""),6.0)</f>
        <v>6</v>
      </c>
      <c r="K116" s="65">
        <f>IFERROR(__xludf.DUMMYFUNCTION("""COMPUTED_VALUE"""),9.0)</f>
        <v>9</v>
      </c>
      <c r="L116" s="65">
        <f>IFERROR(__xludf.DUMMYFUNCTION("""COMPUTED_VALUE"""),1.0)</f>
        <v>1</v>
      </c>
      <c r="M116" s="65">
        <f>IFERROR(__xludf.DUMMYFUNCTION("""COMPUTED_VALUE"""),72.0)</f>
        <v>72</v>
      </c>
      <c r="N116" s="66">
        <f>IFERROR(__xludf.DUMMYFUNCTION("""COMPUTED_VALUE"""),7.0)</f>
        <v>7</v>
      </c>
    </row>
    <row r="117">
      <c r="A117" s="1"/>
      <c r="B117" s="62" t="str">
        <f>IFERROR(__xludf.DUMMYFUNCTION("""COMPUTED_VALUE"""),"Vinaya Kajla")</f>
        <v>Vinaya Kajla</v>
      </c>
      <c r="C117" s="63">
        <f>IFERROR(__xludf.DUMMYFUNCTION("""COMPUTED_VALUE"""),63.0)</f>
        <v>63</v>
      </c>
      <c r="D117" s="64">
        <f>IFERROR(__xludf.DUMMYFUNCTION("""COMPUTED_VALUE"""),5.0)</f>
        <v>5</v>
      </c>
      <c r="E117" s="63">
        <f>IFERROR(__xludf.DUMMYFUNCTION("""COMPUTED_VALUE"""),1.0)</f>
        <v>1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IFERROR(__xludf.DUMMYFUNCTION("""COMPUTED_VALUE"""),6.0)</f>
        <v>6</v>
      </c>
      <c r="I117" s="65">
        <f>IFERROR(__xludf.DUMMYFUNCTION("""COMPUTED_VALUE"""),1.0)</f>
        <v>1</v>
      </c>
      <c r="J117" s="65">
        <f>IFERROR(__xludf.DUMMYFUNCTION("""COMPUTED_VALUE"""),3.0)</f>
        <v>3</v>
      </c>
      <c r="K117" s="65">
        <f>IFERROR(__xludf.DUMMYFUNCTION("""COMPUTED_VALUE"""),10.0)</f>
        <v>10</v>
      </c>
      <c r="L117" s="65">
        <f>IFERROR(__xludf.DUMMYFUNCTION("""COMPUTED_VALUE"""),1.0)</f>
        <v>1</v>
      </c>
      <c r="M117" s="65">
        <f>IFERROR(__xludf.DUMMYFUNCTION("""COMPUTED_VALUE"""),73.0)</f>
        <v>73</v>
      </c>
      <c r="N117" s="66">
        <f>IFERROR(__xludf.DUMMYFUNCTION("""COMPUTED_VALUE"""),6.0)</f>
        <v>6</v>
      </c>
    </row>
    <row r="118">
      <c r="A118" s="1"/>
      <c r="B118" s="62" t="str">
        <f>IFERROR(__xludf.DUMMYFUNCTION("""COMPUTED_VALUE"""),"Kumar Palakeel")</f>
        <v>Kumar Palakeel</v>
      </c>
      <c r="C118" s="63">
        <f>IFERROR(__xludf.DUMMYFUNCTION("""COMPUTED_VALUE"""),59.0)</f>
        <v>59</v>
      </c>
      <c r="D118" s="64">
        <f>IFERROR(__xludf.DUMMYFUNCTION("""COMPUTED_VALUE"""),5.0)</f>
        <v>5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IFERROR(__xludf.DUMMYFUNCTION("""COMPUTED_VALUE"""),2.0)</f>
        <v>2</v>
      </c>
      <c r="I118" s="65">
        <f>IFERROR(__xludf.DUMMYFUNCTION("""COMPUTED_VALUE"""),6.0)</f>
        <v>6</v>
      </c>
      <c r="J118" s="65">
        <f>IFERROR(__xludf.DUMMYFUNCTION("""COMPUTED_VALUE"""),3.0)</f>
        <v>3</v>
      </c>
      <c r="K118" s="65">
        <f>IFERROR(__xludf.DUMMYFUNCTION("""COMPUTED_VALUE"""),11.0)</f>
        <v>11</v>
      </c>
      <c r="L118" s="65">
        <f>IFERROR(__xludf.DUMMYFUNCTION("""COMPUTED_VALUE"""),1.0)</f>
        <v>1</v>
      </c>
      <c r="M118" s="65">
        <f>IFERROR(__xludf.DUMMYFUNCTION("""COMPUTED_VALUE"""),70.0)</f>
        <v>70</v>
      </c>
      <c r="N118" s="66">
        <f>IFERROR(__xludf.DUMMYFUNCTION("""COMPUTED_VALUE"""),6.0)</f>
        <v>6</v>
      </c>
    </row>
    <row r="119">
      <c r="A119" s="1"/>
      <c r="B119" s="62" t="str">
        <f>IFERROR(__xludf.DUMMYFUNCTION("""COMPUTED_VALUE"""),"Vishnu Amarnath")</f>
        <v>Vishnu Amarnath</v>
      </c>
      <c r="C119" s="63">
        <f>IFERROR(__xludf.DUMMYFUNCTION("""COMPUTED_VALUE"""),59.0)</f>
        <v>59</v>
      </c>
      <c r="D119" s="64">
        <f>IFERROR(__xludf.DUMMYFUNCTION("""COMPUTED_VALUE"""),4.0)</f>
        <v>4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IFERROR(__xludf.DUMMYFUNCTION("""COMPUTED_VALUE"""),6.0)</f>
        <v>6</v>
      </c>
      <c r="J119" s="65">
        <f>IFERROR(__xludf.DUMMYFUNCTION("""COMPUTED_VALUE"""),6.0)</f>
        <v>6</v>
      </c>
      <c r="K119" s="65">
        <f>IFERROR(__xludf.DUMMYFUNCTION("""COMPUTED_VALUE"""),18.0)</f>
        <v>18</v>
      </c>
      <c r="L119" s="65">
        <f>IFERROR(__xludf.DUMMYFUNCTION("""COMPUTED_VALUE"""),3.0)</f>
        <v>3</v>
      </c>
      <c r="M119" s="65">
        <f>IFERROR(__xludf.DUMMYFUNCTION("""COMPUTED_VALUE"""),77.0)</f>
        <v>77</v>
      </c>
      <c r="N119" s="66">
        <f>IFERROR(__xludf.DUMMYFUNCTION("""COMPUTED_VALUE"""),7.0)</f>
        <v>7</v>
      </c>
    </row>
    <row r="120">
      <c r="A120" s="1"/>
      <c r="B120" s="67" t="str">
        <f>IFERROR(__xludf.DUMMYFUNCTION("""COMPUTED_VALUE"""),"Sandy Weyant")</f>
        <v>Sandy Weyant</v>
      </c>
      <c r="C120" s="68">
        <f>IFERROR(__xludf.DUMMYFUNCTION("""COMPUTED_VALUE"""),58.0)</f>
        <v>58</v>
      </c>
      <c r="D120" s="69">
        <f>IFERROR(__xludf.DUMMYFUNCTION("""COMPUTED_VALUE"""),3.0)</f>
        <v>3</v>
      </c>
      <c r="E120" s="68">
        <f>IFERROR(__xludf.DUMMYFUNCTION("""COMPUTED_VALUE"""),1.0)</f>
        <v>1</v>
      </c>
      <c r="F120" s="70">
        <f>IFERROR(__xludf.DUMMYFUNCTION("""COMPUTED_VALUE"""),8.0)</f>
        <v>8</v>
      </c>
      <c r="G120" s="70">
        <f>IFERROR(__xludf.DUMMYFUNCTION("""COMPUTED_VALUE"""),0.0)</f>
        <v>0</v>
      </c>
      <c r="H120" s="70">
        <f>IFERROR(__xludf.DUMMYFUNCTION("""COMPUTED_VALUE"""),6.0)</f>
        <v>6</v>
      </c>
      <c r="I120" s="70">
        <f>IFERROR(__xludf.DUMMYFUNCTION("""COMPUTED_VALUE"""),5.0)</f>
        <v>5</v>
      </c>
      <c r="J120" s="70">
        <f>IFERROR(__xludf.DUMMYFUNCTION("""COMPUTED_VALUE"""),7.0)</f>
        <v>7</v>
      </c>
      <c r="K120" s="70">
        <f>IFERROR(__xludf.DUMMYFUNCTION("""COMPUTED_VALUE"""),18.0)</f>
        <v>18</v>
      </c>
      <c r="L120" s="70">
        <f>IFERROR(__xludf.DUMMYFUNCTION("""COMPUTED_VALUE"""),2.0)</f>
        <v>2</v>
      </c>
      <c r="M120" s="70">
        <f>IFERROR(__xludf.DUMMYFUNCTION("""COMPUTED_VALUE"""),76.0)</f>
        <v>76</v>
      </c>
      <c r="N120" s="71">
        <f>IFERROR(__xludf.DUMMYFUNCTION("""COMPUTED_VALUE"""),5.0)</f>
        <v>5</v>
      </c>
    </row>
    <row r="121">
      <c r="A121" s="1"/>
      <c r="B121" s="67" t="str">
        <f>IFERROR(__xludf.DUMMYFUNCTION("""COMPUTED_VALUE"""),"Nohely Mejia")</f>
        <v>Nohely Mejia</v>
      </c>
      <c r="C121" s="68">
        <f>IFERROR(__xludf.DUMMYFUNCTION("""COMPUTED_VALUE"""),58.0)</f>
        <v>58</v>
      </c>
      <c r="D121" s="69">
        <f>IFERROR(__xludf.DUMMYFUNCTION("""COMPUTED_VALUE"""),0.0)</f>
        <v>0</v>
      </c>
      <c r="E121" s="68">
        <f>IFERROR(__xludf.DUMMYFUNCTION("""COMPUTED_VALUE"""),2.0)</f>
        <v>2</v>
      </c>
      <c r="F121" s="70">
        <f>IFERROR(__xludf.DUMMYFUNCTION("""COMPUTED_VALUE"""),8.0)</f>
        <v>8</v>
      </c>
      <c r="G121" s="70">
        <f>IFERROR(__xludf.DUMMYFUNCTION("""COMPUTED_VALUE"""),0.0)</f>
        <v>0</v>
      </c>
      <c r="H121" s="70">
        <f>IFERROR(__xludf.DUMMYFUNCTION("""COMPUTED_VALUE"""),6.0)</f>
        <v>6</v>
      </c>
      <c r="I121" s="70">
        <f>IFERROR(__xludf.DUMMYFUNCTION("""COMPUTED_VALUE"""),7.0)</f>
        <v>7</v>
      </c>
      <c r="J121" s="70">
        <f>IFERROR(__xludf.DUMMYFUNCTION("""COMPUTED_VALUE"""),5.0)</f>
        <v>5</v>
      </c>
      <c r="K121" s="70">
        <f>IFERROR(__xludf.DUMMYFUNCTION("""COMPUTED_VALUE"""),18.0)</f>
        <v>18</v>
      </c>
      <c r="L121" s="70">
        <f>IFERROR(__xludf.DUMMYFUNCTION("""COMPUTED_VALUE"""),2.0)</f>
        <v>2</v>
      </c>
      <c r="M121" s="70">
        <f>IFERROR(__xludf.DUMMYFUNCTION("""COMPUTED_VALUE"""),76.0)</f>
        <v>76</v>
      </c>
      <c r="N121" s="71">
        <f>IFERROR(__xludf.DUMMYFUNCTION("""COMPUTED_VALUE"""),2.0)</f>
        <v>2</v>
      </c>
    </row>
    <row r="122">
      <c r="A122" s="1"/>
      <c r="B122" s="67" t="str">
        <f>IFERROR(__xludf.DUMMYFUNCTION("""COMPUTED_VALUE"""),"Joyce Zhu")</f>
        <v>Joyce Zhu</v>
      </c>
      <c r="C122" s="68">
        <f>IFERROR(__xludf.DUMMYFUNCTION("""COMPUTED_VALUE"""),51.0)</f>
        <v>51</v>
      </c>
      <c r="D122" s="69">
        <f>IFERROR(__xludf.DUMMYFUNCTION("""COMPUTED_VALUE"""),1.0)</f>
        <v>1</v>
      </c>
      <c r="E122" s="68">
        <f>IFERROR(__xludf.DUMMYFUNCTION("""COMPUTED_VALUE"""),1.0)</f>
        <v>1</v>
      </c>
      <c r="F122" s="70">
        <f>IFERROR(__xludf.DUMMYFUNCTION("""COMPUTED_VALUE"""),8.0)</f>
        <v>8</v>
      </c>
      <c r="G122" s="70">
        <f>IFERROR(__xludf.DUMMYFUNCTION("""COMPUTED_VALUE"""),0.0)</f>
        <v>0</v>
      </c>
      <c r="H122" s="70">
        <f>IFERROR(__xludf.DUMMYFUNCTION("""COMPUTED_VALUE"""),4.0)</f>
        <v>4</v>
      </c>
      <c r="I122" s="70">
        <f>IFERROR(__xludf.DUMMYFUNCTION("""COMPUTED_VALUE"""),5.0)</f>
        <v>5</v>
      </c>
      <c r="J122" s="70">
        <f>IFERROR(__xludf.DUMMYFUNCTION("""COMPUTED_VALUE"""),5.0)</f>
        <v>5</v>
      </c>
      <c r="K122" s="70">
        <f>IFERROR(__xludf.DUMMYFUNCTION("""COMPUTED_VALUE"""),14.0)</f>
        <v>14</v>
      </c>
      <c r="L122" s="70">
        <f>IFERROR(__xludf.DUMMYFUNCTION("""COMPUTED_VALUE"""),0.0)</f>
        <v>0</v>
      </c>
      <c r="M122" s="70">
        <f>IFERROR(__xludf.DUMMYFUNCTION("""COMPUTED_VALUE"""),65.0)</f>
        <v>65</v>
      </c>
      <c r="N122" s="71">
        <f>IFERROR(__xludf.DUMMYFUNCTION("""COMPUTED_VALUE"""),1.0)</f>
        <v>1</v>
      </c>
    </row>
    <row r="123">
      <c r="A123" s="1"/>
      <c r="B123" s="67" t="str">
        <f>IFERROR(__xludf.DUMMYFUNCTION("""COMPUTED_VALUE"""),"Eric Tan")</f>
        <v>Eric Tan</v>
      </c>
      <c r="C123" s="68">
        <f>IFERROR(__xludf.DUMMYFUNCTION("""COMPUTED_VALUE"""),50.0)</f>
        <v>50</v>
      </c>
      <c r="D123" s="69">
        <f>IFERROR(__xludf.DUMMYFUNCTION("""COMPUTED_VALUE"""),3.0)</f>
        <v>3</v>
      </c>
      <c r="E123" s="68">
        <f>IFERROR(__xludf.DUMMYFUNCTION("""COMPUTED_VALUE"""),1.0)</f>
        <v>1</v>
      </c>
      <c r="F123" s="70">
        <f>IFERROR(__xludf.DUMMYFUNCTION("""COMPUTED_VALUE"""),8.0)</f>
        <v>8</v>
      </c>
      <c r="G123" s="70">
        <f>IFERROR(__xludf.DUMMYFUNCTION("""COMPUTED_VALUE"""),0.0)</f>
        <v>0</v>
      </c>
      <c r="H123" s="70">
        <f>IFERROR(__xludf.DUMMYFUNCTION("""COMPUTED_VALUE"""),4.0)</f>
        <v>4</v>
      </c>
      <c r="I123" s="70">
        <f>IFERROR(__xludf.DUMMYFUNCTION("""COMPUTED_VALUE"""),7.0)</f>
        <v>7</v>
      </c>
      <c r="J123" s="70">
        <f>IFERROR(__xludf.DUMMYFUNCTION("""COMPUTED_VALUE"""),7.0)</f>
        <v>7</v>
      </c>
      <c r="K123" s="70">
        <f>IFERROR(__xludf.DUMMYFUNCTION("""COMPUTED_VALUE"""),18.0)</f>
        <v>18</v>
      </c>
      <c r="L123" s="70">
        <f>IFERROR(__xludf.DUMMYFUNCTION("""COMPUTED_VALUE"""),2.0)</f>
        <v>2</v>
      </c>
      <c r="M123" s="70">
        <f>IFERROR(__xludf.DUMMYFUNCTION("""COMPUTED_VALUE"""),68.0)</f>
        <v>68</v>
      </c>
      <c r="N123" s="71">
        <f>IFERROR(__xludf.DUMMYFUNCTION("""COMPUTED_VALUE"""),5.0)</f>
        <v>5</v>
      </c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0"")"),"Pavan Akkimsetty")</f>
        <v>Pavan Akkimsetty</v>
      </c>
      <c r="C136" s="63">
        <f>IFERROR(__xludf.DUMMYFUNCTION("""COMPUTED_VALUE"""),81.0)</f>
        <v>81</v>
      </c>
      <c r="D136" s="64">
        <f>IFERROR(__xludf.DUMMYFUNCTION("""COMPUTED_VALUE"""),9.0)</f>
        <v>9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IFERROR(__xludf.DUMMYFUNCTION("""COMPUTED_VALUE"""),90.0)</f>
        <v>90</v>
      </c>
      <c r="N136" s="66">
        <f>IFERROR(__xludf.DUMMYFUNCTION("""COMPUTED_VALUE"""),9.0)</f>
        <v>9</v>
      </c>
    </row>
    <row r="137">
      <c r="A137" s="1"/>
      <c r="B137" s="62" t="str">
        <f>IFERROR(__xludf.DUMMYFUNCTION("""COMPUTED_VALUE"""),"Kingsley Kuo")</f>
        <v>Kingsley Kuo</v>
      </c>
      <c r="C137" s="63">
        <f>IFERROR(__xludf.DUMMYFUNCTION("""COMPUTED_VALUE"""),80.0)</f>
        <v>80</v>
      </c>
      <c r="D137" s="64">
        <f>IFERROR(__xludf.DUMMYFUNCTION("""COMPUTED_VALUE"""),8.0)</f>
        <v>8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IFERROR(__xludf.DUMMYFUNCTION("""COMPUTED_VALUE"""),89.0)</f>
        <v>89</v>
      </c>
      <c r="N137" s="66">
        <f>IFERROR(__xludf.DUMMYFUNCTION("""COMPUTED_VALUE"""),8.0)</f>
        <v>8</v>
      </c>
    </row>
    <row r="138">
      <c r="A138" s="1"/>
      <c r="B138" s="62" t="str">
        <f>IFERROR(__xludf.DUMMYFUNCTION("""COMPUTED_VALUE"""),"Andrew Chin")</f>
        <v>Andrew Chin</v>
      </c>
      <c r="C138" s="63">
        <f>IFERROR(__xludf.DUMMYFUNCTION("""COMPUTED_VALUE"""),77.0)</f>
        <v>77</v>
      </c>
      <c r="D138" s="64">
        <f>IFERROR(__xludf.DUMMYFUNCTION("""COMPUTED_VALUE"""),8.0)</f>
        <v>8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IFERROR(__xludf.DUMMYFUNCTION("""COMPUTED_VALUE"""),86.0)</f>
        <v>86</v>
      </c>
      <c r="N138" s="66">
        <f>IFERROR(__xludf.DUMMYFUNCTION("""COMPUTED_VALUE"""),8.0)</f>
        <v>8</v>
      </c>
    </row>
    <row r="139">
      <c r="A139" s="1"/>
      <c r="B139" s="62" t="str">
        <f>IFERROR(__xludf.DUMMYFUNCTION("""COMPUTED_VALUE"""),"Savay Lieu")</f>
        <v>Savay Lieu</v>
      </c>
      <c r="C139" s="63">
        <f>IFERROR(__xludf.DUMMYFUNCTION("""COMPUTED_VALUE"""),77.0)</f>
        <v>77</v>
      </c>
      <c r="D139" s="64">
        <f>IFERROR(__xludf.DUMMYFUNCTION("""COMPUTED_VALUE"""),5.0)</f>
        <v>5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IFERROR(__xludf.DUMMYFUNCTION("""COMPUTED_VALUE"""),86.0)</f>
        <v>86</v>
      </c>
      <c r="N139" s="66">
        <f>IFERROR(__xludf.DUMMYFUNCTION("""COMPUTED_VALUE"""),5.0)</f>
        <v>5</v>
      </c>
    </row>
    <row r="140">
      <c r="A140" s="1"/>
      <c r="B140" s="62" t="str">
        <f>IFERROR(__xludf.DUMMYFUNCTION("""COMPUTED_VALUE"""),"Oscar Bonilla")</f>
        <v>Oscar Bonilla</v>
      </c>
      <c r="C140" s="63">
        <f>IFERROR(__xludf.DUMMYFUNCTION("""COMPUTED_VALUE"""),75.0)</f>
        <v>75</v>
      </c>
      <c r="D140" s="64">
        <f>IFERROR(__xludf.DUMMYFUNCTION("""COMPUTED_VALUE"""),6.0)</f>
        <v>6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IFERROR(__xludf.DUMMYFUNCTION("""COMPUTED_VALUE"""),84.0)</f>
        <v>84</v>
      </c>
      <c r="N140" s="66">
        <f>IFERROR(__xludf.DUMMYFUNCTION("""COMPUTED_VALUE"""),6.0)</f>
        <v>6</v>
      </c>
    </row>
    <row r="141">
      <c r="A141" s="1"/>
      <c r="B141" s="62" t="str">
        <f>IFERROR(__xludf.DUMMYFUNCTION("""COMPUTED_VALUE"""),"Balaji Alahari")</f>
        <v>Balaji Alahari</v>
      </c>
      <c r="C141" s="63">
        <f>IFERROR(__xludf.DUMMYFUNCTION("""COMPUTED_VALUE"""),75.0)</f>
        <v>75</v>
      </c>
      <c r="D141" s="64">
        <f>IFERROR(__xludf.DUMMYFUNCTION("""COMPUTED_VALUE"""),5.0)</f>
        <v>5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IFERROR(__xludf.DUMMYFUNCTION("""COMPUTED_VALUE"""),84.0)</f>
        <v>84</v>
      </c>
      <c r="N141" s="66">
        <f>IFERROR(__xludf.DUMMYFUNCTION("""COMPUTED_VALUE"""),5.0)</f>
        <v>5</v>
      </c>
    </row>
    <row r="142">
      <c r="A142" s="1"/>
      <c r="B142" s="62" t="str">
        <f>IFERROR(__xludf.DUMMYFUNCTION("""COMPUTED_VALUE"""),"Naveen Raj")</f>
        <v>Naveen Raj</v>
      </c>
      <c r="C142" s="63">
        <f>IFERROR(__xludf.DUMMYFUNCTION("""COMPUTED_VALUE"""),72.0)</f>
        <v>72</v>
      </c>
      <c r="D142" s="64">
        <f>IFERROR(__xludf.DUMMYFUNCTION("""COMPUTED_VALUE"""),7.0)</f>
        <v>7</v>
      </c>
      <c r="E142" s="63">
        <f>IFERROR(__xludf.DUMMYFUNCTION("""COMPUTED_VALUE"""),5.0)</f>
        <v>5</v>
      </c>
      <c r="F142" s="65">
        <f>IFERROR(__xludf.DUMMYFUNCTION("""COMPUTED_VALUE"""),0.0)</f>
        <v>0</v>
      </c>
      <c r="G142" s="65">
        <f>IFERROR(__xludf.DUMMYFUNCTION("""COMPUTED_VALUE"""),13.0)</f>
        <v>13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IFERROR(__xludf.DUMMYFUNCTION("""COMPUTED_VALUE"""),13.0)</f>
        <v>13</v>
      </c>
      <c r="L142" s="65">
        <f>IFERROR(__xludf.DUMMYFUNCTION("""COMPUTED_VALUE"""),0.0)</f>
        <v>0</v>
      </c>
      <c r="M142" s="65">
        <f>IFERROR(__xludf.DUMMYFUNCTION("""COMPUTED_VALUE"""),85.0)</f>
        <v>85</v>
      </c>
      <c r="N142" s="66">
        <f>IFERROR(__xludf.DUMMYFUNCTION("""COMPUTED_VALUE"""),7.0)</f>
        <v>7</v>
      </c>
    </row>
    <row r="143">
      <c r="A143" s="1"/>
      <c r="B143" s="62" t="str">
        <f>IFERROR(__xludf.DUMMYFUNCTION("""COMPUTED_VALUE"""),"Suleman Alidina")</f>
        <v>Suleman Alidina</v>
      </c>
      <c r="C143" s="63">
        <f>IFERROR(__xludf.DUMMYFUNCTION("""COMPUTED_VALUE"""),72.0)</f>
        <v>72</v>
      </c>
      <c r="D143" s="64">
        <f>IFERROR(__xludf.DUMMYFUNCTION("""COMPUTED_VALUE"""),6.0)</f>
        <v>6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IFERROR(__xludf.DUMMYFUNCTION("""COMPUTED_VALUE"""),81.0)</f>
        <v>81</v>
      </c>
      <c r="N143" s="66">
        <f>IFERROR(__xludf.DUMMYFUNCTION("""COMPUTED_VALUE"""),6.0)</f>
        <v>6</v>
      </c>
    </row>
    <row r="144">
      <c r="A144" s="1"/>
      <c r="B144" s="62" t="str">
        <f>IFERROR(__xludf.DUMMYFUNCTION("""COMPUTED_VALUE"""),"Pulkit Mathur")</f>
        <v>Pulkit Mathur</v>
      </c>
      <c r="C144" s="63">
        <f>IFERROR(__xludf.DUMMYFUNCTION("""COMPUTED_VALUE"""),72.0)</f>
        <v>72</v>
      </c>
      <c r="D144" s="64">
        <f>IFERROR(__xludf.DUMMYFUNCTION("""COMPUTED_VALUE"""),6.0)</f>
        <v>6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IFERROR(__xludf.DUMMYFUNCTION("""COMPUTED_VALUE"""),81.0)</f>
        <v>81</v>
      </c>
      <c r="N144" s="66">
        <f>IFERROR(__xludf.DUMMYFUNCTION("""COMPUTED_VALUE"""),6.0)</f>
        <v>6</v>
      </c>
    </row>
    <row r="145">
      <c r="A145" s="1"/>
      <c r="B145" s="62" t="str">
        <f>IFERROR(__xludf.DUMMYFUNCTION("""COMPUTED_VALUE"""),"Robert Chang")</f>
        <v>Robert Chang</v>
      </c>
      <c r="C145" s="63">
        <f>IFERROR(__xludf.DUMMYFUNCTION("""COMPUTED_VALUE"""),72.0)</f>
        <v>72</v>
      </c>
      <c r="D145" s="64">
        <f>IFERROR(__xludf.DUMMYFUNCTION("""COMPUTED_VALUE"""),4.0)</f>
        <v>4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IFERROR(__xludf.DUMMYFUNCTION("""COMPUTED_VALUE"""),81.0)</f>
        <v>81</v>
      </c>
      <c r="N145" s="66">
        <f>IFERROR(__xludf.DUMMYFUNCTION("""COMPUTED_VALUE"""),4.0)</f>
        <v>4</v>
      </c>
    </row>
    <row r="146">
      <c r="A146" s="1"/>
      <c r="B146" s="62" t="str">
        <f>IFERROR(__xludf.DUMMYFUNCTION("""COMPUTED_VALUE"""),"Peter Homsey")</f>
        <v>Peter Homsey</v>
      </c>
      <c r="C146" s="63">
        <f>IFERROR(__xludf.DUMMYFUNCTION("""COMPUTED_VALUE"""),71.0)</f>
        <v>71</v>
      </c>
      <c r="D146" s="64">
        <f>IFERROR(__xludf.DUMMYFUNCTION("""COMPUTED_VALUE"""),6.0)</f>
        <v>6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IFERROR(__xludf.DUMMYFUNCTION("""COMPUTED_VALUE"""),80.0)</f>
        <v>80</v>
      </c>
      <c r="N146" s="66">
        <f>IFERROR(__xludf.DUMMYFUNCTION("""COMPUTED_VALUE"""),6.0)</f>
        <v>6</v>
      </c>
    </row>
    <row r="147">
      <c r="A147" s="1"/>
      <c r="B147" s="62" t="str">
        <f>IFERROR(__xludf.DUMMYFUNCTION("""COMPUTED_VALUE"""),"Matthew Huang")</f>
        <v>Matthew Huang</v>
      </c>
      <c r="C147" s="63">
        <f>IFERROR(__xludf.DUMMYFUNCTION("""COMPUTED_VALUE"""),71.0)</f>
        <v>71</v>
      </c>
      <c r="D147" s="64">
        <f>IFERROR(__xludf.DUMMYFUNCTION("""COMPUTED_VALUE"""),3.0)</f>
        <v>3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IFERROR(__xludf.DUMMYFUNCTION("""COMPUTED_VALUE"""),80.0)</f>
        <v>80</v>
      </c>
      <c r="N147" s="66">
        <f>IFERROR(__xludf.DUMMYFUNCTION("""COMPUTED_VALUE"""),3.0)</f>
        <v>3</v>
      </c>
    </row>
    <row r="148">
      <c r="A148" s="1"/>
      <c r="B148" s="62" t="str">
        <f>IFERROR(__xludf.DUMMYFUNCTION("""COMPUTED_VALUE"""),"Alejandro Mejia")</f>
        <v>Alejandro Mejia</v>
      </c>
      <c r="C148" s="63">
        <f>IFERROR(__xludf.DUMMYFUNCTION("""COMPUTED_VALUE"""),70.0)</f>
        <v>70</v>
      </c>
      <c r="D148" s="64">
        <f>IFERROR(__xludf.DUMMYFUNCTION("""COMPUTED_VALUE"""),4.0)</f>
        <v>4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IFERROR(__xludf.DUMMYFUNCTION("""COMPUTED_VALUE"""),79.0)</f>
        <v>79</v>
      </c>
      <c r="N148" s="66">
        <f>IFERROR(__xludf.DUMMYFUNCTION("""COMPUTED_VALUE"""),4.0)</f>
        <v>4</v>
      </c>
    </row>
    <row r="149">
      <c r="A149" s="1"/>
      <c r="B149" s="62" t="str">
        <f>IFERROR(__xludf.DUMMYFUNCTION("""COMPUTED_VALUE"""),"Rosie Bonilla")</f>
        <v>Rosie Bonilla</v>
      </c>
      <c r="C149" s="63">
        <f>IFERROR(__xludf.DUMMYFUNCTION("""COMPUTED_VALUE"""),69.0)</f>
        <v>69</v>
      </c>
      <c r="D149" s="64">
        <f>IFERROR(__xludf.DUMMYFUNCTION("""COMPUTED_VALUE"""),2.0)</f>
        <v>2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IFERROR(__xludf.DUMMYFUNCTION("""COMPUTED_VALUE"""),78.0)</f>
        <v>78</v>
      </c>
      <c r="N149" s="66">
        <f>IFERROR(__xludf.DUMMYFUNCTION("""COMPUTED_VALUE"""),2.0)</f>
        <v>2</v>
      </c>
    </row>
    <row r="150">
      <c r="A150" s="1"/>
      <c r="B150" s="62" t="str">
        <f>IFERROR(__xludf.DUMMYFUNCTION("""COMPUTED_VALUE"""),"Christopher Li")</f>
        <v>Christopher Li</v>
      </c>
      <c r="C150" s="63">
        <f>IFERROR(__xludf.DUMMYFUNCTION("""COMPUTED_VALUE"""),68.0)</f>
        <v>68</v>
      </c>
      <c r="D150" s="64">
        <f>IFERROR(__xludf.DUMMYFUNCTION("""COMPUTED_VALUE"""),5.0)</f>
        <v>5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IFERROR(__xludf.DUMMYFUNCTION("""COMPUTED_VALUE"""),77.0)</f>
        <v>77</v>
      </c>
      <c r="N150" s="66">
        <f>IFERROR(__xludf.DUMMYFUNCTION("""COMPUTED_VALUE"""),5.0)</f>
        <v>5</v>
      </c>
    </row>
    <row r="151">
      <c r="A151" s="1"/>
      <c r="B151" s="62" t="str">
        <f>IFERROR(__xludf.DUMMYFUNCTION("""COMPUTED_VALUE"""),"Lloyd Sagar")</f>
        <v>Lloyd Sagar</v>
      </c>
      <c r="C151" s="63">
        <f>IFERROR(__xludf.DUMMYFUNCTION("""COMPUTED_VALUE"""),68.0)</f>
        <v>68</v>
      </c>
      <c r="D151" s="64">
        <f>IFERROR(__xludf.DUMMYFUNCTION("""COMPUTED_VALUE"""),4.0)</f>
        <v>4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IFERROR(__xludf.DUMMYFUNCTION("""COMPUTED_VALUE"""),77.0)</f>
        <v>77</v>
      </c>
      <c r="N151" s="66">
        <f>IFERROR(__xludf.DUMMYFUNCTION("""COMPUTED_VALUE"""),4.0)</f>
        <v>4</v>
      </c>
    </row>
    <row r="152">
      <c r="A152" s="1"/>
      <c r="B152" s="62" t="str">
        <f>IFERROR(__xludf.DUMMYFUNCTION("""COMPUTED_VALUE"""),"Marcus Yovas")</f>
        <v>Marcus Yovas</v>
      </c>
      <c r="C152" s="63">
        <f>IFERROR(__xludf.DUMMYFUNCTION("""COMPUTED_VALUE"""),67.0)</f>
        <v>67</v>
      </c>
      <c r="D152" s="64">
        <f>IFERROR(__xludf.DUMMYFUNCTION("""COMPUTED_VALUE"""),2.0)</f>
        <v>2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IFERROR(__xludf.DUMMYFUNCTION("""COMPUTED_VALUE"""),76.0)</f>
        <v>76</v>
      </c>
      <c r="N152" s="66">
        <f>IFERROR(__xludf.DUMMYFUNCTION("""COMPUTED_VALUE"""),2.0)</f>
        <v>2</v>
      </c>
    </row>
    <row r="153">
      <c r="A153" s="1"/>
      <c r="B153" s="62" t="str">
        <f>IFERROR(__xludf.DUMMYFUNCTION("""COMPUTED_VALUE"""),"Sudhagar Subbaian")</f>
        <v>Sudhagar Subbaian</v>
      </c>
      <c r="C153" s="63">
        <f>IFERROR(__xludf.DUMMYFUNCTION("""COMPUTED_VALUE"""),66.0)</f>
        <v>66</v>
      </c>
      <c r="D153" s="64">
        <f>IFERROR(__xludf.DUMMYFUNCTION("""COMPUTED_VALUE"""),4.0)</f>
        <v>4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IFERROR(__xludf.DUMMYFUNCTION("""COMPUTED_VALUE"""),75.0)</f>
        <v>75</v>
      </c>
      <c r="N153" s="66">
        <f>IFERROR(__xludf.DUMMYFUNCTION("""COMPUTED_VALUE"""),4.0)</f>
        <v>4</v>
      </c>
    </row>
    <row r="154">
      <c r="A154" s="1"/>
      <c r="B154" s="62" t="str">
        <f>IFERROR(__xludf.DUMMYFUNCTION("""COMPUTED_VALUE"""),"Ramesh Bandaru")</f>
        <v>Ramesh Bandaru</v>
      </c>
      <c r="C154" s="63">
        <f>IFERROR(__xludf.DUMMYFUNCTION("""COMPUTED_VALUE"""),66.0)</f>
        <v>66</v>
      </c>
      <c r="D154" s="64">
        <f>IFERROR(__xludf.DUMMYFUNCTION("""COMPUTED_VALUE"""),4.0)</f>
        <v>4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IFERROR(__xludf.DUMMYFUNCTION("""COMPUTED_VALUE"""),75.0)</f>
        <v>75</v>
      </c>
      <c r="N154" s="66">
        <f>IFERROR(__xludf.DUMMYFUNCTION("""COMPUTED_VALUE"""),4.0)</f>
        <v>4</v>
      </c>
    </row>
    <row r="155">
      <c r="A155" s="1"/>
      <c r="B155" s="62" t="str">
        <f>IFERROR(__xludf.DUMMYFUNCTION("""COMPUTED_VALUE"""),"Santosh Sundaresan ")</f>
        <v>Santosh Sundaresan </v>
      </c>
      <c r="C155" s="63">
        <f>IFERROR(__xludf.DUMMYFUNCTION("""COMPUTED_VALUE"""),66.0)</f>
        <v>66</v>
      </c>
      <c r="D155" s="64">
        <f>IFERROR(__xludf.DUMMYFUNCTION("""COMPUTED_VALUE"""),2.0)</f>
        <v>2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IFERROR(__xludf.DUMMYFUNCTION("""COMPUTED_VALUE"""),75.0)</f>
        <v>75</v>
      </c>
      <c r="N155" s="66">
        <f>IFERROR(__xludf.DUMMYFUNCTION("""COMPUTED_VALUE"""),2.0)</f>
        <v>2</v>
      </c>
    </row>
    <row r="156">
      <c r="A156" s="1"/>
      <c r="B156" s="62" t="str">
        <f>IFERROR(__xludf.DUMMYFUNCTION("""COMPUTED_VALUE"""),"Troy Wong")</f>
        <v>Troy Wong</v>
      </c>
      <c r="C156" s="63">
        <f>IFERROR(__xludf.DUMMYFUNCTION("""COMPUTED_VALUE"""),64.0)</f>
        <v>64</v>
      </c>
      <c r="D156" s="64">
        <f>IFERROR(__xludf.DUMMYFUNCTION("""COMPUTED_VALUE"""),4.0)</f>
        <v>4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IFERROR(__xludf.DUMMYFUNCTION("""COMPUTED_VALUE"""),73.0)</f>
        <v>73</v>
      </c>
      <c r="N156" s="66">
        <f>IFERROR(__xludf.DUMMYFUNCTION("""COMPUTED_VALUE"""),4.0)</f>
        <v>4</v>
      </c>
    </row>
    <row r="157">
      <c r="A157" s="1"/>
      <c r="B157" s="62" t="str">
        <f>IFERROR(__xludf.DUMMYFUNCTION("""COMPUTED_VALUE"""),"Tony Lin")</f>
        <v>Tony Lin</v>
      </c>
      <c r="C157" s="63">
        <f>IFERROR(__xludf.DUMMYFUNCTION("""COMPUTED_VALUE"""),63.0)</f>
        <v>63</v>
      </c>
      <c r="D157" s="64">
        <f>IFERROR(__xludf.DUMMYFUNCTION("""COMPUTED_VALUE"""),3.0)</f>
        <v>3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IFERROR(__xludf.DUMMYFUNCTION("""COMPUTED_VALUE"""),72.0)</f>
        <v>72</v>
      </c>
      <c r="N157" s="66">
        <f>IFERROR(__xludf.DUMMYFUNCTION("""COMPUTED_VALUE"""),3.0)</f>
        <v>3</v>
      </c>
    </row>
    <row r="158">
      <c r="A158" s="1"/>
      <c r="B158" s="62" t="str">
        <f>IFERROR(__xludf.DUMMYFUNCTION("""COMPUTED_VALUE"""),"Tom Le")</f>
        <v>Tom Le</v>
      </c>
      <c r="C158" s="63">
        <f>IFERROR(__xludf.DUMMYFUNCTION("""COMPUTED_VALUE"""),63.0)</f>
        <v>63</v>
      </c>
      <c r="D158" s="64">
        <f>IFERROR(__xludf.DUMMYFUNCTION("""COMPUTED_VALUE"""),3.0)</f>
        <v>3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IFERROR(__xludf.DUMMYFUNCTION("""COMPUTED_VALUE"""),72.0)</f>
        <v>72</v>
      </c>
      <c r="N158" s="66">
        <f>IFERROR(__xludf.DUMMYFUNCTION("""COMPUTED_VALUE"""),3.0)</f>
        <v>3</v>
      </c>
    </row>
    <row r="159">
      <c r="A159" s="1"/>
      <c r="B159" s="62" t="str">
        <f>IFERROR(__xludf.DUMMYFUNCTION("""COMPUTED_VALUE"""),"Chandrasekar Chinnathambi")</f>
        <v>Chandrasekar Chinnathambi</v>
      </c>
      <c r="C159" s="63">
        <f>IFERROR(__xludf.DUMMYFUNCTION("""COMPUTED_VALUE"""),61.0)</f>
        <v>61</v>
      </c>
      <c r="D159" s="64">
        <f>IFERROR(__xludf.DUMMYFUNCTION("""COMPUTED_VALUE"""),1.0)</f>
        <v>1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IFERROR(__xludf.DUMMYFUNCTION("""COMPUTED_VALUE"""),70.0)</f>
        <v>70</v>
      </c>
      <c r="N159" s="66">
        <f>IFERROR(__xludf.DUMMYFUNCTION("""COMPUTED_VALUE"""),1.0)</f>
        <v>1</v>
      </c>
    </row>
    <row r="160">
      <c r="A160" s="1"/>
      <c r="B160" s="62" t="str">
        <f>IFERROR(__xludf.DUMMYFUNCTION("""COMPUTED_VALUE"""),"Sanjaye Elayattu")</f>
        <v>Sanjaye Elayattu</v>
      </c>
      <c r="C160" s="63">
        <f>IFERROR(__xludf.DUMMYFUNCTION("""COMPUTED_VALUE"""),58.0)</f>
        <v>58</v>
      </c>
      <c r="D160" s="64">
        <f>IFERROR(__xludf.DUMMYFUNCTION("""COMPUTED_VALUE"""),0.0)</f>
        <v>0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IFERROR(__xludf.DUMMYFUNCTION("""COMPUTED_VALUE"""),67.0)</f>
        <v>67</v>
      </c>
      <c r="N160" s="66">
        <f>IFERROR(__xludf.DUMMYFUNCTION("""COMPUTED_VALUE"""),0.0)</f>
        <v>0</v>
      </c>
    </row>
    <row r="161">
      <c r="A161" s="1"/>
      <c r="B161" s="62" t="str">
        <f>IFERROR(__xludf.DUMMYFUNCTION("""COMPUTED_VALUE"""),"Vinot Kumar Nagappan")</f>
        <v>Vinot Kumar Nagappan</v>
      </c>
      <c r="C161" s="63">
        <f>IFERROR(__xludf.DUMMYFUNCTION("""COMPUTED_VALUE"""),57.0)</f>
        <v>57</v>
      </c>
      <c r="D161" s="64">
        <f>IFERROR(__xludf.DUMMYFUNCTION("""COMPUTED_VALUE"""),1.0)</f>
        <v>1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IFERROR(__xludf.DUMMYFUNCTION("""COMPUTED_VALUE"""),66.0)</f>
        <v>66</v>
      </c>
      <c r="N161" s="66">
        <f>IFERROR(__xludf.DUMMYFUNCTION("""COMPUTED_VALUE"""),1.0)</f>
        <v>1</v>
      </c>
    </row>
    <row r="162">
      <c r="A162" s="1"/>
      <c r="B162" s="62" t="str">
        <f>IFERROR(__xludf.DUMMYFUNCTION("""COMPUTED_VALUE"""),"Sai Dilip Ponnaganti")</f>
        <v>Sai Dilip Ponnaganti</v>
      </c>
      <c r="C162" s="63">
        <f>IFERROR(__xludf.DUMMYFUNCTION("""COMPUTED_VALUE"""),54.0)</f>
        <v>54</v>
      </c>
      <c r="D162" s="64">
        <f>IFERROR(__xludf.DUMMYFUNCTION("""COMPUTED_VALUE"""),0.0)</f>
        <v>0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IFERROR(__xludf.DUMMYFUNCTION("""COMPUTED_VALUE"""),63.0)</f>
        <v>63</v>
      </c>
      <c r="N162" s="66">
        <f>IFERROR(__xludf.DUMMYFUNCTION("""COMPUTED_VALUE"""),0.0)</f>
        <v>0</v>
      </c>
    </row>
    <row r="163">
      <c r="A163" s="1"/>
      <c r="B163" s="62" t="str">
        <f>IFERROR(__xludf.DUMMYFUNCTION("""COMPUTED_VALUE"""),"Susanta Mishra")</f>
        <v>Susanta Mishra</v>
      </c>
      <c r="C163" s="63">
        <f>IFERROR(__xludf.DUMMYFUNCTION("""COMPUTED_VALUE"""),54.0)</f>
        <v>54</v>
      </c>
      <c r="D163" s="64">
        <f>IFERROR(__xludf.DUMMYFUNCTION("""COMPUTED_VALUE"""),0.0)</f>
        <v>0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IFERROR(__xludf.DUMMYFUNCTION("""COMPUTED_VALUE"""),63.0)</f>
        <v>63</v>
      </c>
      <c r="N163" s="66">
        <f>IFERROR(__xludf.DUMMYFUNCTION("""COMPUTED_VALUE"""),0.0)</f>
        <v>0</v>
      </c>
    </row>
    <row r="164">
      <c r="A164" s="1"/>
      <c r="B164" s="62" t="str">
        <f>IFERROR(__xludf.DUMMYFUNCTION("""COMPUTED_VALUE"""),"Vilas Janardhanan")</f>
        <v>Vilas Janardhanan</v>
      </c>
      <c r="C164" s="63">
        <f>IFERROR(__xludf.DUMMYFUNCTION("""COMPUTED_VALUE"""),54.0)</f>
        <v>54</v>
      </c>
      <c r="D164" s="64">
        <f>IFERROR(__xludf.DUMMYFUNCTION("""COMPUTED_VALUE"""),0.0)</f>
        <v>0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IFERROR(__xludf.DUMMYFUNCTION("""COMPUTED_VALUE"""),63.0)</f>
        <v>63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IFERROR(__xludf.DUMMYFUNCTION("""COMPUTED_VALUE"""),"Amit Patel")</f>
        <v>Amit Patel</v>
      </c>
      <c r="C165" s="63">
        <f>IFERROR(__xludf.DUMMYFUNCTION("""COMPUTED_VALUE"""),54.0)</f>
        <v>54</v>
      </c>
      <c r="D165" s="64">
        <f>IFERROR(__xludf.DUMMYFUNCTION("""COMPUTED_VALUE"""),0.0)</f>
        <v>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IFERROR(__xludf.DUMMYFUNCTION("""COMPUTED_VALUE"""),63.0)</f>
        <v>63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IFERROR(__xludf.DUMMYFUNCTION("""COMPUTED_VALUE"""),"Coco Yan")</f>
        <v>Coco Yan</v>
      </c>
      <c r="C166" s="63">
        <f>IFERROR(__xludf.DUMMYFUNCTION("""COMPUTED_VALUE"""),54.0)</f>
        <v>54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IFERROR(__xludf.DUMMYFUNCTION("""COMPUTED_VALUE"""),63.0)</f>
        <v>63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IFERROR(__xludf.DUMMYFUNCTION("""COMPUTED_VALUE"""),"Jose Ortiz")</f>
        <v>Jose Ortiz</v>
      </c>
      <c r="C167" s="63">
        <f>IFERROR(__xludf.DUMMYFUNCTION("""COMPUTED_VALUE"""),54.0)</f>
        <v>54</v>
      </c>
      <c r="D167" s="64">
        <f>IFERROR(__xludf.DUMMYFUNCTION("""COMPUTED_VALUE"""),0.0)</f>
        <v>0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IFERROR(__xludf.DUMMYFUNCTION("""COMPUTED_VALUE"""),63.0)</f>
        <v>63</v>
      </c>
      <c r="N167" s="66">
        <f>IFERROR(__xludf.DUMMYFUNCTION("""COMPUTED_VALUE"""),0.0)</f>
        <v>0</v>
      </c>
    </row>
    <row r="168">
      <c r="A168" s="1"/>
      <c r="B168" s="62" t="str">
        <f>IFERROR(__xludf.DUMMYFUNCTION("""COMPUTED_VALUE"""),"Tiffany Yu")</f>
        <v>Tiffany Yu</v>
      </c>
      <c r="C168" s="63">
        <f>IFERROR(__xludf.DUMMYFUNCTION("""COMPUTED_VALUE"""),49.0)</f>
        <v>49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IFERROR(__xludf.DUMMYFUNCTION("""COMPUTED_VALUE"""),58.0)</f>
        <v>58</v>
      </c>
      <c r="N168" s="66">
        <f>IFERROR(__xludf.DUMMYFUNCTION("""COMPUTED_VALUE"""),0.0)</f>
        <v>0</v>
      </c>
    </row>
    <row r="169">
      <c r="A169" s="1"/>
      <c r="B169" s="62"/>
      <c r="C169" s="63"/>
      <c r="D169" s="64"/>
      <c r="E169" s="63"/>
      <c r="F169" s="65"/>
      <c r="G169" s="65"/>
      <c r="H169" s="65"/>
      <c r="I169" s="65"/>
      <c r="J169" s="65"/>
      <c r="K169" s="65"/>
      <c r="L169" s="65"/>
      <c r="M169" s="65"/>
      <c r="N169" s="66"/>
    </row>
    <row r="170">
      <c r="A170" s="1"/>
      <c r="B170" s="62"/>
      <c r="C170" s="63"/>
      <c r="D170" s="64"/>
      <c r="E170" s="63"/>
      <c r="F170" s="65"/>
      <c r="G170" s="65"/>
      <c r="H170" s="65"/>
      <c r="I170" s="65"/>
      <c r="J170" s="65"/>
      <c r="K170" s="65"/>
      <c r="L170" s="65"/>
      <c r="M170" s="65"/>
      <c r="N170" s="66"/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45332.0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6.0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82</v>
      </c>
      <c r="C5" s="28">
        <v>74.0</v>
      </c>
      <c r="D5" s="29">
        <v>8.0</v>
      </c>
      <c r="E5" s="30">
        <v>2.0</v>
      </c>
      <c r="F5" s="31">
        <v>1.0</v>
      </c>
      <c r="G5" s="28">
        <v>0.0</v>
      </c>
      <c r="H5" s="31">
        <v>6.0</v>
      </c>
      <c r="I5" s="31">
        <v>6.0</v>
      </c>
      <c r="J5" s="31">
        <v>6.0</v>
      </c>
      <c r="K5" s="33">
        <v>18.0</v>
      </c>
      <c r="L5" s="31">
        <v>3.0</v>
      </c>
      <c r="M5" s="28">
        <f t="shared" ref="M5:N5" si="1">C5+K5</f>
        <v>92</v>
      </c>
      <c r="N5" s="29">
        <f t="shared" si="1"/>
        <v>11</v>
      </c>
      <c r="O5" s="35" t="s">
        <v>46</v>
      </c>
      <c r="P5" s="35" t="s">
        <v>46</v>
      </c>
      <c r="Q5" s="31">
        <f>if(G5=13,1,0)+VLOOKUP(B5,'020324'!B:Q,16,false)</f>
        <v>1</v>
      </c>
      <c r="R5" s="31"/>
      <c r="S5" s="31">
        <f>if(G5=9,1,0)+VLOOKUP(B5,'020324'!B:S,18,false)</f>
        <v>1</v>
      </c>
    </row>
    <row r="6">
      <c r="A6" s="26">
        <f t="shared" ref="A6:A69" si="3">A5+1</f>
        <v>2</v>
      </c>
      <c r="B6" s="27" t="s">
        <v>38</v>
      </c>
      <c r="C6" s="28">
        <v>73.0</v>
      </c>
      <c r="D6" s="29">
        <v>9.0</v>
      </c>
      <c r="E6" s="30">
        <v>1.0</v>
      </c>
      <c r="F6" s="31">
        <v>1.0</v>
      </c>
      <c r="G6" s="28">
        <v>0.0</v>
      </c>
      <c r="H6" s="31">
        <v>3.0</v>
      </c>
      <c r="I6" s="31">
        <v>3.0</v>
      </c>
      <c r="J6" s="31">
        <v>6.0</v>
      </c>
      <c r="K6" s="33">
        <v>12.0</v>
      </c>
      <c r="L6" s="31">
        <v>1.0</v>
      </c>
      <c r="M6" s="28">
        <f t="shared" ref="M6:N6" si="2">C6+K6</f>
        <v>85</v>
      </c>
      <c r="N6" s="29">
        <f t="shared" si="2"/>
        <v>10</v>
      </c>
      <c r="O6" s="35" t="s">
        <v>46</v>
      </c>
      <c r="P6" s="35" t="s">
        <v>46</v>
      </c>
      <c r="Q6" s="31">
        <f>if(G6=13,1,0)+VLOOKUP(B6,'020324'!B:Q,16,false)</f>
        <v>0</v>
      </c>
      <c r="R6" s="31"/>
      <c r="S6" s="31">
        <f>if(G6=9,1,0)+VLOOKUP(B6,'020324'!B:S,18,false)</f>
        <v>2</v>
      </c>
    </row>
    <row r="7">
      <c r="A7" s="26">
        <f t="shared" si="3"/>
        <v>3</v>
      </c>
      <c r="B7" s="27" t="s">
        <v>81</v>
      </c>
      <c r="C7" s="28">
        <v>72.0</v>
      </c>
      <c r="D7" s="29">
        <v>8.0</v>
      </c>
      <c r="E7" s="30">
        <v>1.0</v>
      </c>
      <c r="F7" s="31">
        <v>1.0</v>
      </c>
      <c r="G7" s="28">
        <v>0.0</v>
      </c>
      <c r="H7" s="31">
        <v>6.0</v>
      </c>
      <c r="I7" s="31">
        <v>3.0</v>
      </c>
      <c r="J7" s="31">
        <v>0.0</v>
      </c>
      <c r="K7" s="33">
        <v>9.0</v>
      </c>
      <c r="L7" s="31">
        <v>1.0</v>
      </c>
      <c r="M7" s="28">
        <f t="shared" ref="M7:N7" si="4">C7+K7</f>
        <v>81</v>
      </c>
      <c r="N7" s="29">
        <f t="shared" si="4"/>
        <v>9</v>
      </c>
      <c r="O7" s="35" t="s">
        <v>46</v>
      </c>
      <c r="P7" s="35" t="s">
        <v>46</v>
      </c>
      <c r="Q7" s="31">
        <f>if(G7=13,1,0)+VLOOKUP(B7,'020324'!B:Q,16,false)</f>
        <v>0</v>
      </c>
      <c r="R7" s="31"/>
      <c r="S7" s="31">
        <f>if(G7=9,1,0)+VLOOKUP(B7,'020324'!B:S,18,false)</f>
        <v>1</v>
      </c>
    </row>
    <row r="8">
      <c r="A8" s="26">
        <f t="shared" si="3"/>
        <v>4</v>
      </c>
      <c r="B8" s="27" t="s">
        <v>75</v>
      </c>
      <c r="C8" s="28">
        <v>71.0</v>
      </c>
      <c r="D8" s="29">
        <v>6.0</v>
      </c>
      <c r="E8" s="30">
        <v>1.0</v>
      </c>
      <c r="F8" s="31">
        <v>1.0</v>
      </c>
      <c r="G8" s="28">
        <v>0.0</v>
      </c>
      <c r="H8" s="31">
        <v>3.0</v>
      </c>
      <c r="I8" s="31">
        <v>6.0</v>
      </c>
      <c r="J8" s="31">
        <v>0.0</v>
      </c>
      <c r="K8" s="33">
        <v>9.0</v>
      </c>
      <c r="L8" s="31">
        <v>1.0</v>
      </c>
      <c r="M8" s="28">
        <f t="shared" ref="M8:N8" si="5">C8+K8</f>
        <v>80</v>
      </c>
      <c r="N8" s="29">
        <f t="shared" si="5"/>
        <v>7</v>
      </c>
      <c r="O8" s="35" t="s">
        <v>46</v>
      </c>
      <c r="P8" s="35" t="s">
        <v>46</v>
      </c>
      <c r="Q8" s="31">
        <f>if(G8=13,1,0)+VLOOKUP(B8,'020324'!B:Q,16,false)</f>
        <v>1</v>
      </c>
      <c r="R8" s="31"/>
      <c r="S8" s="31">
        <f>if(G8=9,1,0)+VLOOKUP(B8,'020324'!B:S,18,false)</f>
        <v>0</v>
      </c>
    </row>
    <row r="9">
      <c r="A9" s="26">
        <f t="shared" si="3"/>
        <v>5</v>
      </c>
      <c r="B9" s="27" t="s">
        <v>63</v>
      </c>
      <c r="C9" s="28">
        <v>69.0</v>
      </c>
      <c r="D9" s="29">
        <v>5.0</v>
      </c>
      <c r="E9" s="30">
        <v>1.0</v>
      </c>
      <c r="F9" s="31">
        <v>2.0</v>
      </c>
      <c r="G9" s="28">
        <v>0.0</v>
      </c>
      <c r="H9" s="31">
        <v>7.0</v>
      </c>
      <c r="I9" s="31">
        <v>2.0</v>
      </c>
      <c r="J9" s="31">
        <v>6.0</v>
      </c>
      <c r="K9" s="33">
        <v>15.0</v>
      </c>
      <c r="L9" s="31">
        <v>2.0</v>
      </c>
      <c r="M9" s="28">
        <f t="shared" ref="M9:N9" si="6">C9+K9</f>
        <v>84</v>
      </c>
      <c r="N9" s="29">
        <f t="shared" si="6"/>
        <v>7</v>
      </c>
      <c r="O9" s="35" t="s">
        <v>46</v>
      </c>
      <c r="P9" s="35" t="s">
        <v>46</v>
      </c>
      <c r="Q9" s="31">
        <f>if(G9=13,1,0)+VLOOKUP(B9,'020324'!B:Q,16,false)</f>
        <v>1</v>
      </c>
      <c r="R9" s="31"/>
      <c r="S9" s="31">
        <f>if(G9=9,1,0)+VLOOKUP(B9,'020324'!B:S,18,false)</f>
        <v>0</v>
      </c>
    </row>
    <row r="10">
      <c r="A10" s="26">
        <f t="shared" si="3"/>
        <v>6</v>
      </c>
      <c r="B10" s="27" t="s">
        <v>113</v>
      </c>
      <c r="C10" s="28">
        <v>68.0</v>
      </c>
      <c r="D10" s="29">
        <v>5.0</v>
      </c>
      <c r="E10" s="30">
        <v>3.0</v>
      </c>
      <c r="F10" s="31">
        <v>0.0</v>
      </c>
      <c r="G10" s="28">
        <v>9.0</v>
      </c>
      <c r="H10" s="31">
        <v>0.0</v>
      </c>
      <c r="I10" s="31">
        <v>0.0</v>
      </c>
      <c r="J10" s="31">
        <v>0.0</v>
      </c>
      <c r="K10" s="33">
        <v>9.0</v>
      </c>
      <c r="L10" s="31">
        <v>0.0</v>
      </c>
      <c r="M10" s="28">
        <f t="shared" ref="M10:N10" si="7">C10+K10</f>
        <v>77</v>
      </c>
      <c r="N10" s="29">
        <f t="shared" si="7"/>
        <v>5</v>
      </c>
      <c r="O10" s="35" t="s">
        <v>46</v>
      </c>
      <c r="P10" s="35" t="s">
        <v>46</v>
      </c>
      <c r="Q10" s="31">
        <f>if(G10=13,1,0)+VLOOKUP(B10,'020324'!B:Q,16,false)</f>
        <v>1</v>
      </c>
      <c r="R10" s="31"/>
      <c r="S10" s="31">
        <f>if(G10=9,1,0)+VLOOKUP(B10,'020324'!B:S,18,false)</f>
        <v>3</v>
      </c>
    </row>
    <row r="11">
      <c r="A11" s="26">
        <f t="shared" si="3"/>
        <v>7</v>
      </c>
      <c r="B11" s="27" t="s">
        <v>77</v>
      </c>
      <c r="C11" s="28">
        <v>67.0</v>
      </c>
      <c r="D11" s="29">
        <v>5.0</v>
      </c>
      <c r="E11" s="30">
        <v>2.0</v>
      </c>
      <c r="F11" s="31">
        <v>2.0</v>
      </c>
      <c r="G11" s="28">
        <v>0.0</v>
      </c>
      <c r="H11" s="31">
        <v>7.0</v>
      </c>
      <c r="I11" s="31">
        <v>6.0</v>
      </c>
      <c r="J11" s="31">
        <v>3.0</v>
      </c>
      <c r="K11" s="33">
        <v>16.0</v>
      </c>
      <c r="L11" s="31">
        <v>2.0</v>
      </c>
      <c r="M11" s="28">
        <f t="shared" ref="M11:N11" si="8">C11+K11</f>
        <v>83</v>
      </c>
      <c r="N11" s="29">
        <f t="shared" si="8"/>
        <v>7</v>
      </c>
      <c r="O11" s="35" t="s">
        <v>46</v>
      </c>
      <c r="P11" s="35" t="s">
        <v>46</v>
      </c>
      <c r="Q11" s="31">
        <f>if(G11=13,1,0)+VLOOKUP(B11,'020324'!B:Q,16,false)</f>
        <v>1</v>
      </c>
      <c r="R11" s="31"/>
      <c r="S11" s="31">
        <f>if(G11=9,1,0)+VLOOKUP(B11,'020324'!B:S,18,false)</f>
        <v>1</v>
      </c>
    </row>
    <row r="12">
      <c r="A12" s="26">
        <f t="shared" si="3"/>
        <v>8</v>
      </c>
      <c r="B12" s="27" t="s">
        <v>84</v>
      </c>
      <c r="C12" s="28">
        <v>66.0</v>
      </c>
      <c r="D12" s="29">
        <v>7.0</v>
      </c>
      <c r="E12" s="30">
        <v>2.0</v>
      </c>
      <c r="F12" s="31">
        <v>2.0</v>
      </c>
      <c r="G12" s="28">
        <v>0.0</v>
      </c>
      <c r="H12" s="31">
        <v>6.0</v>
      </c>
      <c r="I12" s="31">
        <v>2.0</v>
      </c>
      <c r="J12" s="31">
        <v>3.0</v>
      </c>
      <c r="K12" s="33">
        <v>11.0</v>
      </c>
      <c r="L12" s="31">
        <v>0.0</v>
      </c>
      <c r="M12" s="28">
        <f t="shared" ref="M12:N12" si="9">C12+K12</f>
        <v>77</v>
      </c>
      <c r="N12" s="29">
        <f t="shared" si="9"/>
        <v>7</v>
      </c>
      <c r="O12" s="35" t="s">
        <v>46</v>
      </c>
      <c r="P12" s="35" t="s">
        <v>46</v>
      </c>
      <c r="Q12" s="31">
        <f>if(G12=13,1,0)+VLOOKUP(B12,'020324'!B:Q,16,false)</f>
        <v>1</v>
      </c>
      <c r="R12" s="31"/>
      <c r="S12" s="31">
        <f>if(G12=9,1,0)+VLOOKUP(B12,'020324'!B:S,18,false)</f>
        <v>0</v>
      </c>
    </row>
    <row r="13">
      <c r="A13" s="26">
        <f t="shared" si="3"/>
        <v>9</v>
      </c>
      <c r="B13" s="27" t="s">
        <v>102</v>
      </c>
      <c r="C13" s="28">
        <v>66.0</v>
      </c>
      <c r="D13" s="29">
        <v>6.0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75</v>
      </c>
      <c r="N13" s="29">
        <f t="shared" si="10"/>
        <v>6</v>
      </c>
      <c r="O13" s="35" t="s">
        <v>46</v>
      </c>
      <c r="P13" s="35" t="s">
        <v>46</v>
      </c>
      <c r="Q13" s="31">
        <f>if(G13=13,1,0)+VLOOKUP(B13,'020324'!B:Q,16,false)</f>
        <v>0</v>
      </c>
      <c r="R13" s="31"/>
      <c r="S13" s="31">
        <f>if(G13=9,1,0)+VLOOKUP(B13,'020324'!B:S,18,false)</f>
        <v>3</v>
      </c>
    </row>
    <row r="14">
      <c r="A14" s="26">
        <f t="shared" si="3"/>
        <v>10</v>
      </c>
      <c r="B14" s="27" t="s">
        <v>96</v>
      </c>
      <c r="C14" s="28">
        <v>66.0</v>
      </c>
      <c r="D14" s="29">
        <v>6.0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75</v>
      </c>
      <c r="N14" s="29">
        <f t="shared" si="11"/>
        <v>6</v>
      </c>
      <c r="O14" s="35" t="s">
        <v>46</v>
      </c>
      <c r="P14" s="35" t="s">
        <v>46</v>
      </c>
      <c r="Q14" s="31">
        <f>if(G14=13,1,0)+VLOOKUP(B14,'020324'!B:Q,16,false)</f>
        <v>1</v>
      </c>
      <c r="R14" s="31"/>
      <c r="S14" s="31">
        <f>if(G14=9,1,0)+VLOOKUP(B14,'020324'!B:S,18,false)</f>
        <v>1</v>
      </c>
    </row>
    <row r="15">
      <c r="A15" s="26">
        <f t="shared" si="3"/>
        <v>11</v>
      </c>
      <c r="B15" s="27" t="s">
        <v>61</v>
      </c>
      <c r="C15" s="28">
        <v>66.0</v>
      </c>
      <c r="D15" s="29">
        <v>6.0</v>
      </c>
      <c r="E15" s="30">
        <v>2.0</v>
      </c>
      <c r="F15" s="31">
        <v>2.0</v>
      </c>
      <c r="G15" s="28">
        <v>0.0</v>
      </c>
      <c r="H15" s="31">
        <v>6.0</v>
      </c>
      <c r="I15" s="31">
        <v>6.0</v>
      </c>
      <c r="J15" s="31">
        <v>6.0</v>
      </c>
      <c r="K15" s="33">
        <v>18.0</v>
      </c>
      <c r="L15" s="31">
        <v>2.0</v>
      </c>
      <c r="M15" s="28">
        <f t="shared" ref="M15:N15" si="12">C15+K15</f>
        <v>84</v>
      </c>
      <c r="N15" s="29">
        <f t="shared" si="12"/>
        <v>8</v>
      </c>
      <c r="O15" s="35" t="s">
        <v>46</v>
      </c>
      <c r="P15" s="35" t="s">
        <v>46</v>
      </c>
      <c r="Q15" s="31">
        <f>if(G15=13,1,0)+VLOOKUP(B15,'020324'!B:Q,16,false)</f>
        <v>1</v>
      </c>
      <c r="R15" s="31"/>
      <c r="S15" s="31">
        <f>if(G15=9,1,0)+VLOOKUP(B15,'020324'!B:S,18,false)</f>
        <v>1</v>
      </c>
    </row>
    <row r="16">
      <c r="A16" s="26">
        <f t="shared" si="3"/>
        <v>12</v>
      </c>
      <c r="B16" s="27" t="s">
        <v>98</v>
      </c>
      <c r="C16" s="28">
        <v>66.0</v>
      </c>
      <c r="D16" s="29">
        <v>5.0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75</v>
      </c>
      <c r="N16" s="29">
        <f t="shared" si="13"/>
        <v>5</v>
      </c>
      <c r="O16" s="35" t="s">
        <v>46</v>
      </c>
      <c r="P16" s="35" t="s">
        <v>46</v>
      </c>
      <c r="Q16" s="31">
        <f>if(G16=13,1,0)+VLOOKUP(B16,'020324'!B:Q,16,false)</f>
        <v>1</v>
      </c>
      <c r="R16" s="31"/>
      <c r="S16" s="31">
        <f>if(G16=9,1,0)+VLOOKUP(B16,'020324'!B:S,18,false)</f>
        <v>3</v>
      </c>
    </row>
    <row r="17">
      <c r="A17" s="26">
        <f t="shared" si="3"/>
        <v>13</v>
      </c>
      <c r="B17" s="39" t="s">
        <v>71</v>
      </c>
      <c r="C17" s="28">
        <v>64.0</v>
      </c>
      <c r="D17" s="29">
        <v>7.0</v>
      </c>
      <c r="E17" s="30">
        <v>1.0</v>
      </c>
      <c r="F17" s="31">
        <v>3.0</v>
      </c>
      <c r="G17" s="28">
        <v>0.0</v>
      </c>
      <c r="H17" s="31">
        <v>4.0</v>
      </c>
      <c r="I17" s="31">
        <v>6.0</v>
      </c>
      <c r="J17" s="31">
        <v>6.0</v>
      </c>
      <c r="K17" s="33">
        <v>16.0</v>
      </c>
      <c r="L17" s="31">
        <v>1.0</v>
      </c>
      <c r="M17" s="28">
        <f t="shared" ref="M17:N17" si="14">C17+K17</f>
        <v>80</v>
      </c>
      <c r="N17" s="29">
        <f t="shared" si="14"/>
        <v>8</v>
      </c>
      <c r="O17" s="35" t="s">
        <v>46</v>
      </c>
      <c r="P17" s="35" t="s">
        <v>46</v>
      </c>
      <c r="Q17" s="31">
        <f>if(G17=13,1,0)+VLOOKUP(B17,'020324'!B:Q,16,false)</f>
        <v>0</v>
      </c>
      <c r="R17" s="31"/>
      <c r="S17" s="31">
        <f>if(G17=9,1,0)+VLOOKUP(B17,'020324'!B:S,18,false)</f>
        <v>1</v>
      </c>
    </row>
    <row r="18">
      <c r="A18" s="26">
        <f t="shared" si="3"/>
        <v>14</v>
      </c>
      <c r="B18" s="39" t="s">
        <v>52</v>
      </c>
      <c r="C18" s="28">
        <v>63.0</v>
      </c>
      <c r="D18" s="29">
        <v>6.0</v>
      </c>
      <c r="E18" s="30">
        <v>3.0</v>
      </c>
      <c r="F18" s="31">
        <v>0.0</v>
      </c>
      <c r="G18" s="28">
        <v>9.0</v>
      </c>
      <c r="H18" s="31">
        <v>0.0</v>
      </c>
      <c r="I18" s="31">
        <v>0.0</v>
      </c>
      <c r="J18" s="31">
        <v>0.0</v>
      </c>
      <c r="K18" s="33">
        <v>9.0</v>
      </c>
      <c r="L18" s="31">
        <v>0.0</v>
      </c>
      <c r="M18" s="28">
        <f t="shared" ref="M18:N18" si="15">C18+K18</f>
        <v>72</v>
      </c>
      <c r="N18" s="29">
        <f t="shared" si="15"/>
        <v>6</v>
      </c>
      <c r="O18" s="35" t="s">
        <v>46</v>
      </c>
      <c r="P18" s="35" t="s">
        <v>46</v>
      </c>
      <c r="Q18" s="31">
        <f>if(G18=13,1,0)+VLOOKUP(B18,'020324'!B:Q,16,false)</f>
        <v>0</v>
      </c>
      <c r="R18" s="31"/>
      <c r="S18" s="31">
        <f>if(G18=9,1,0)+VLOOKUP(B18,'020324'!B:S,18,false)</f>
        <v>3</v>
      </c>
    </row>
    <row r="19">
      <c r="A19" s="26">
        <f t="shared" si="3"/>
        <v>15</v>
      </c>
      <c r="B19" s="27" t="s">
        <v>65</v>
      </c>
      <c r="C19" s="28">
        <v>63.0</v>
      </c>
      <c r="D19" s="29">
        <v>6.0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72</v>
      </c>
      <c r="N19" s="29">
        <f t="shared" si="16"/>
        <v>6</v>
      </c>
      <c r="O19" s="35" t="s">
        <v>46</v>
      </c>
      <c r="P19" s="35" t="s">
        <v>46</v>
      </c>
      <c r="Q19" s="31">
        <f>if(G19=13,1,0)+VLOOKUP(B19,'020324'!B:Q,16,false)</f>
        <v>0</v>
      </c>
      <c r="R19" s="31"/>
      <c r="S19" s="31">
        <f>if(G19=9,1,0)+VLOOKUP(B19,'020324'!B:S,18,false)</f>
        <v>4</v>
      </c>
    </row>
    <row r="20">
      <c r="A20" s="26">
        <f t="shared" si="3"/>
        <v>16</v>
      </c>
      <c r="B20" s="27" t="s">
        <v>117</v>
      </c>
      <c r="C20" s="28">
        <v>63.0</v>
      </c>
      <c r="D20" s="29">
        <v>4.0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72</v>
      </c>
      <c r="N20" s="29">
        <f t="shared" si="17"/>
        <v>4</v>
      </c>
      <c r="O20" s="35" t="s">
        <v>46</v>
      </c>
      <c r="P20" s="35" t="s">
        <v>46</v>
      </c>
      <c r="Q20" s="31">
        <f>if(G20=13,1,0)+VLOOKUP(B20,'020324'!B:Q,16,false)</f>
        <v>2</v>
      </c>
      <c r="R20" s="31"/>
      <c r="S20" s="31">
        <f>if(G20=9,1,0)+VLOOKUP(B20,'020324'!B:S,18,false)</f>
        <v>2</v>
      </c>
    </row>
    <row r="21">
      <c r="A21" s="26">
        <f t="shared" si="3"/>
        <v>17</v>
      </c>
      <c r="B21" s="39" t="s">
        <v>45</v>
      </c>
      <c r="C21" s="28">
        <v>62.0</v>
      </c>
      <c r="D21" s="29">
        <v>5.0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71</v>
      </c>
      <c r="N21" s="29">
        <f t="shared" si="18"/>
        <v>5</v>
      </c>
      <c r="O21" s="35" t="s">
        <v>46</v>
      </c>
      <c r="P21" s="35" t="s">
        <v>46</v>
      </c>
      <c r="Q21" s="31">
        <f>if(G21=13,1,0)+VLOOKUP(B21,'020324'!B:Q,16,false)</f>
        <v>1</v>
      </c>
      <c r="R21" s="31"/>
      <c r="S21" s="31">
        <f>if(G21=9,1,0)+VLOOKUP(B21,'020324'!B:S,18,false)</f>
        <v>1</v>
      </c>
    </row>
    <row r="22">
      <c r="A22" s="26">
        <f t="shared" si="3"/>
        <v>18</v>
      </c>
      <c r="B22" s="27" t="s">
        <v>60</v>
      </c>
      <c r="C22" s="28">
        <v>62.0</v>
      </c>
      <c r="D22" s="29">
        <v>4.0</v>
      </c>
      <c r="E22" s="30">
        <v>2.0</v>
      </c>
      <c r="F22" s="31">
        <v>3.0</v>
      </c>
      <c r="G22" s="28">
        <v>0.0</v>
      </c>
      <c r="H22" s="31">
        <v>6.0</v>
      </c>
      <c r="I22" s="31">
        <v>6.0</v>
      </c>
      <c r="J22" s="31">
        <v>7.0</v>
      </c>
      <c r="K22" s="33">
        <v>19.0</v>
      </c>
      <c r="L22" s="31">
        <v>3.0</v>
      </c>
      <c r="M22" s="28">
        <f t="shared" ref="M22:N22" si="19">C22+K22</f>
        <v>81</v>
      </c>
      <c r="N22" s="29">
        <f t="shared" si="19"/>
        <v>7</v>
      </c>
      <c r="O22" s="35" t="s">
        <v>46</v>
      </c>
      <c r="P22" s="35" t="s">
        <v>46</v>
      </c>
      <c r="Q22" s="31">
        <f>if(G22=13,1,0)+VLOOKUP(B22,'020324'!B:Q,16,false)</f>
        <v>1</v>
      </c>
      <c r="R22" s="31"/>
      <c r="S22" s="31">
        <f>if(G22=9,1,0)+VLOOKUP(B22,'020324'!B:S,18,false)</f>
        <v>2</v>
      </c>
    </row>
    <row r="23">
      <c r="A23" s="26">
        <f t="shared" si="3"/>
        <v>19</v>
      </c>
      <c r="B23" s="27" t="s">
        <v>78</v>
      </c>
      <c r="C23" s="28">
        <v>61.0</v>
      </c>
      <c r="D23" s="29">
        <v>8.0</v>
      </c>
      <c r="E23" s="30">
        <v>1.0</v>
      </c>
      <c r="F23" s="31">
        <v>3.0</v>
      </c>
      <c r="G23" s="28">
        <v>0.0</v>
      </c>
      <c r="H23" s="31">
        <v>4.0</v>
      </c>
      <c r="I23" s="31">
        <v>4.0</v>
      </c>
      <c r="J23" s="31">
        <v>7.0</v>
      </c>
      <c r="K23" s="33">
        <v>15.0</v>
      </c>
      <c r="L23" s="31">
        <v>1.0</v>
      </c>
      <c r="M23" s="28">
        <f t="shared" ref="M23:N23" si="20">C23+K23</f>
        <v>76</v>
      </c>
      <c r="N23" s="29">
        <f t="shared" si="20"/>
        <v>9</v>
      </c>
      <c r="O23" s="35" t="s">
        <v>46</v>
      </c>
      <c r="P23" s="35" t="s">
        <v>46</v>
      </c>
      <c r="Q23" s="31">
        <f>if(G23=13,1,0)+VLOOKUP(B23,'020324'!B:Q,16,false)</f>
        <v>0</v>
      </c>
      <c r="R23" s="31"/>
      <c r="S23" s="31">
        <f>if(G23=9,1,0)+VLOOKUP(B23,'020324'!B:S,18,false)</f>
        <v>1</v>
      </c>
    </row>
    <row r="24">
      <c r="A24" s="26">
        <f t="shared" si="3"/>
        <v>20</v>
      </c>
      <c r="B24" s="39" t="s">
        <v>111</v>
      </c>
      <c r="C24" s="28">
        <v>61.0</v>
      </c>
      <c r="D24" s="29">
        <v>7.0</v>
      </c>
      <c r="E24" s="30">
        <v>1.0</v>
      </c>
      <c r="F24" s="31">
        <v>3.0</v>
      </c>
      <c r="G24" s="28">
        <v>0.0</v>
      </c>
      <c r="H24" s="31">
        <v>6.0</v>
      </c>
      <c r="I24" s="31">
        <v>4.0</v>
      </c>
      <c r="J24" s="31">
        <v>6.0</v>
      </c>
      <c r="K24" s="33">
        <v>16.0</v>
      </c>
      <c r="L24" s="31">
        <v>1.0</v>
      </c>
      <c r="M24" s="28">
        <f t="shared" ref="M24:N24" si="21">C24+K24</f>
        <v>77</v>
      </c>
      <c r="N24" s="29">
        <f t="shared" si="21"/>
        <v>8</v>
      </c>
      <c r="O24" s="35" t="s">
        <v>46</v>
      </c>
      <c r="P24" s="35" t="s">
        <v>46</v>
      </c>
      <c r="Q24" s="31">
        <f>if(G24=13,1,0)+VLOOKUP(B24,'020324'!B:Q,16,false)</f>
        <v>0</v>
      </c>
      <c r="R24" s="31"/>
      <c r="S24" s="31">
        <f>if(G24=9,1,0)+VLOOKUP(B24,'020324'!B:S,18,false)</f>
        <v>2</v>
      </c>
    </row>
    <row r="25">
      <c r="A25" s="26">
        <f t="shared" si="3"/>
        <v>21</v>
      </c>
      <c r="B25" s="27" t="s">
        <v>39</v>
      </c>
      <c r="C25" s="28">
        <v>61.0</v>
      </c>
      <c r="D25" s="29">
        <v>4.0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70</v>
      </c>
      <c r="N25" s="29">
        <f t="shared" si="22"/>
        <v>4</v>
      </c>
      <c r="O25" s="35" t="s">
        <v>46</v>
      </c>
      <c r="P25" s="35" t="s">
        <v>46</v>
      </c>
      <c r="Q25" s="31">
        <f>if(G25=13,1,0)+VLOOKUP(B25,'020324'!B:Q,16,false)</f>
        <v>0</v>
      </c>
      <c r="R25" s="31"/>
      <c r="S25" s="31">
        <f>if(G25=9,1,0)+VLOOKUP(B25,'020324'!B:S,18,false)</f>
        <v>4</v>
      </c>
    </row>
    <row r="26">
      <c r="A26" s="26">
        <f t="shared" si="3"/>
        <v>22</v>
      </c>
      <c r="B26" s="27" t="s">
        <v>118</v>
      </c>
      <c r="C26" s="28">
        <v>60.0</v>
      </c>
      <c r="D26" s="29">
        <v>2.0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69</v>
      </c>
      <c r="N26" s="29">
        <f t="shared" si="23"/>
        <v>2</v>
      </c>
      <c r="O26" s="35" t="s">
        <v>46</v>
      </c>
      <c r="P26" s="35" t="s">
        <v>46</v>
      </c>
      <c r="Q26" s="31">
        <f>if(G26=13,1,0)+VLOOKUP(B26,'020324'!B:Q,16,false)</f>
        <v>2</v>
      </c>
      <c r="R26" s="31"/>
      <c r="S26" s="31">
        <f>if(G26=9,1,0)+VLOOKUP(B26,'020324'!B:S,18,false)</f>
        <v>3</v>
      </c>
    </row>
    <row r="27">
      <c r="A27" s="26">
        <f t="shared" si="3"/>
        <v>23</v>
      </c>
      <c r="B27" s="39" t="s">
        <v>50</v>
      </c>
      <c r="C27" s="28">
        <v>59.0</v>
      </c>
      <c r="D27" s="29">
        <v>5.0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68</v>
      </c>
      <c r="N27" s="29">
        <f t="shared" si="24"/>
        <v>5</v>
      </c>
      <c r="O27" s="35" t="s">
        <v>46</v>
      </c>
      <c r="P27" s="35" t="s">
        <v>46</v>
      </c>
      <c r="Q27" s="31">
        <f>if(G27=13,1,0)+VLOOKUP(B27,'020324'!B:Q,16,false)</f>
        <v>0</v>
      </c>
      <c r="R27" s="31"/>
      <c r="S27" s="31">
        <f>if(G27=9,1,0)+VLOOKUP(B27,'020324'!B:S,18,false)</f>
        <v>4</v>
      </c>
    </row>
    <row r="28">
      <c r="A28" s="26">
        <f t="shared" si="3"/>
        <v>24</v>
      </c>
      <c r="B28" s="39" t="s">
        <v>103</v>
      </c>
      <c r="C28" s="28">
        <v>59.0</v>
      </c>
      <c r="D28" s="29">
        <v>4.0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68</v>
      </c>
      <c r="N28" s="29">
        <f t="shared" si="25"/>
        <v>4</v>
      </c>
      <c r="O28" s="35" t="s">
        <v>46</v>
      </c>
      <c r="P28" s="35" t="s">
        <v>46</v>
      </c>
      <c r="Q28" s="31">
        <f>if(G28=13,1,0)+VLOOKUP(B28,'020324'!B:Q,16,false)</f>
        <v>1</v>
      </c>
      <c r="R28" s="31"/>
      <c r="S28" s="31">
        <f>if(G28=9,1,0)+VLOOKUP(B28,'020324'!B:S,18,false)</f>
        <v>3</v>
      </c>
    </row>
    <row r="29">
      <c r="A29" s="26">
        <f t="shared" si="3"/>
        <v>25</v>
      </c>
      <c r="B29" s="27" t="s">
        <v>107</v>
      </c>
      <c r="C29" s="28">
        <v>59.0</v>
      </c>
      <c r="D29" s="29">
        <v>2.0</v>
      </c>
      <c r="E29" s="30">
        <v>2.0</v>
      </c>
      <c r="F29" s="31">
        <v>4.0</v>
      </c>
      <c r="G29" s="28">
        <v>0.0</v>
      </c>
      <c r="H29" s="31">
        <v>3.0</v>
      </c>
      <c r="I29" s="31">
        <v>3.0</v>
      </c>
      <c r="J29" s="31">
        <v>6.0</v>
      </c>
      <c r="K29" s="33">
        <v>12.0</v>
      </c>
      <c r="L29" s="31">
        <v>1.0</v>
      </c>
      <c r="M29" s="28">
        <f t="shared" ref="M29:N29" si="26">C29+K29</f>
        <v>71</v>
      </c>
      <c r="N29" s="29">
        <f t="shared" si="26"/>
        <v>3</v>
      </c>
      <c r="O29" s="35" t="s">
        <v>46</v>
      </c>
      <c r="P29" s="35" t="s">
        <v>46</v>
      </c>
      <c r="Q29" s="31">
        <f>if(G29=13,1,0)+VLOOKUP(B29,'020324'!B:Q,16,false)</f>
        <v>2</v>
      </c>
      <c r="R29" s="31"/>
      <c r="S29" s="31">
        <f>if(G29=9,1,0)+VLOOKUP(B29,'020324'!B:S,18,false)</f>
        <v>2</v>
      </c>
    </row>
    <row r="30">
      <c r="A30" s="26">
        <f t="shared" si="3"/>
        <v>26</v>
      </c>
      <c r="B30" s="27" t="s">
        <v>110</v>
      </c>
      <c r="C30" s="28">
        <v>57.0</v>
      </c>
      <c r="D30" s="29">
        <v>3.0</v>
      </c>
      <c r="E30" s="30">
        <v>1.0</v>
      </c>
      <c r="F30" s="31">
        <v>4.0</v>
      </c>
      <c r="G30" s="28">
        <v>0.0</v>
      </c>
      <c r="H30" s="31">
        <v>3.0</v>
      </c>
      <c r="I30" s="31">
        <v>6.0</v>
      </c>
      <c r="J30" s="31">
        <v>0.0</v>
      </c>
      <c r="K30" s="33">
        <v>9.0</v>
      </c>
      <c r="L30" s="31">
        <v>1.0</v>
      </c>
      <c r="M30" s="28">
        <f t="shared" ref="M30:N30" si="27">C30+K30</f>
        <v>66</v>
      </c>
      <c r="N30" s="29">
        <f t="shared" si="27"/>
        <v>4</v>
      </c>
      <c r="O30" s="35" t="s">
        <v>46</v>
      </c>
      <c r="P30" s="35" t="s">
        <v>46</v>
      </c>
      <c r="Q30" s="31">
        <f>if(G30=13,1,0)+VLOOKUP(B30,'020324'!B:Q,16,false)</f>
        <v>1</v>
      </c>
      <c r="R30" s="31"/>
      <c r="S30" s="31">
        <f>if(G30=9,1,0)+VLOOKUP(B30,'020324'!B:S,18,false)</f>
        <v>2</v>
      </c>
    </row>
    <row r="31">
      <c r="A31" s="26">
        <f t="shared" si="3"/>
        <v>27</v>
      </c>
      <c r="B31" s="27" t="s">
        <v>120</v>
      </c>
      <c r="C31" s="28">
        <v>57.0</v>
      </c>
      <c r="D31" s="29">
        <v>2.0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66</v>
      </c>
      <c r="N31" s="29">
        <f t="shared" si="28"/>
        <v>2</v>
      </c>
      <c r="O31" s="35" t="s">
        <v>46</v>
      </c>
      <c r="P31" s="35" t="s">
        <v>46</v>
      </c>
      <c r="Q31" s="31">
        <f>if(G31=13,1,0)+VLOOKUP(B31,'020324'!B:Q,16,false)</f>
        <v>1</v>
      </c>
      <c r="R31" s="31"/>
      <c r="S31" s="31">
        <f>if(G31=9,1,0)+VLOOKUP(B31,'020324'!B:S,18,false)</f>
        <v>4</v>
      </c>
    </row>
    <row r="32">
      <c r="A32" s="26">
        <f t="shared" si="3"/>
        <v>28</v>
      </c>
      <c r="B32" s="27" t="s">
        <v>48</v>
      </c>
      <c r="C32" s="28">
        <v>57.0</v>
      </c>
      <c r="D32" s="29">
        <v>2.0</v>
      </c>
      <c r="E32" s="30">
        <v>2.0</v>
      </c>
      <c r="F32" s="31">
        <v>4.0</v>
      </c>
      <c r="G32" s="28">
        <v>0.0</v>
      </c>
      <c r="H32" s="31">
        <v>6.0</v>
      </c>
      <c r="I32" s="31">
        <v>6.0</v>
      </c>
      <c r="J32" s="31">
        <v>6.0</v>
      </c>
      <c r="K32" s="33">
        <v>18.0</v>
      </c>
      <c r="L32" s="31">
        <v>3.0</v>
      </c>
      <c r="M32" s="28">
        <f t="shared" ref="M32:N32" si="29">C32+K32</f>
        <v>75</v>
      </c>
      <c r="N32" s="29">
        <f t="shared" si="29"/>
        <v>5</v>
      </c>
      <c r="O32" s="35" t="s">
        <v>46</v>
      </c>
      <c r="P32" s="35" t="s">
        <v>46</v>
      </c>
      <c r="Q32" s="31">
        <f>if(G32=13,1,0)+VLOOKUP(B32,'020324'!B:Q,16,false)</f>
        <v>2</v>
      </c>
      <c r="R32" s="31"/>
      <c r="S32" s="31">
        <f>if(G32=9,1,0)+VLOOKUP(B32,'020324'!B:S,18,false)</f>
        <v>2</v>
      </c>
    </row>
    <row r="33">
      <c r="A33" s="26">
        <f t="shared" si="3"/>
        <v>29</v>
      </c>
      <c r="B33" s="54" t="s">
        <v>73</v>
      </c>
      <c r="C33" s="28">
        <v>56.0</v>
      </c>
      <c r="D33" s="29">
        <v>5.0</v>
      </c>
      <c r="E33" s="30">
        <v>1.0</v>
      </c>
      <c r="F33" s="31">
        <v>4.0</v>
      </c>
      <c r="G33" s="28">
        <v>0.0</v>
      </c>
      <c r="H33" s="31">
        <v>6.0</v>
      </c>
      <c r="I33" s="31">
        <v>3.0</v>
      </c>
      <c r="J33" s="31">
        <v>0.0</v>
      </c>
      <c r="K33" s="33">
        <v>9.0</v>
      </c>
      <c r="L33" s="31">
        <v>1.0</v>
      </c>
      <c r="M33" s="28">
        <f t="shared" ref="M33:N33" si="30">C33+K33</f>
        <v>65</v>
      </c>
      <c r="N33" s="29">
        <f t="shared" si="30"/>
        <v>6</v>
      </c>
      <c r="O33" s="35" t="s">
        <v>46</v>
      </c>
      <c r="P33" s="35" t="s">
        <v>46</v>
      </c>
      <c r="Q33" s="31">
        <f>if(G33=13,1,0)+VLOOKUP(B33,'020324'!B:Q,16,false)</f>
        <v>0</v>
      </c>
      <c r="R33" s="31"/>
      <c r="S33" s="31">
        <f>if(G33=9,1,0)+VLOOKUP(B33,'020324'!B:S,18,false)</f>
        <v>0</v>
      </c>
    </row>
    <row r="34">
      <c r="A34" s="26">
        <f t="shared" si="3"/>
        <v>30</v>
      </c>
      <c r="B34" s="39" t="s">
        <v>86</v>
      </c>
      <c r="C34" s="28">
        <v>56.0</v>
      </c>
      <c r="D34" s="29">
        <v>5.0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65</v>
      </c>
      <c r="N34" s="29">
        <f t="shared" si="31"/>
        <v>5</v>
      </c>
      <c r="O34" s="35" t="s">
        <v>46</v>
      </c>
      <c r="P34" s="35" t="s">
        <v>46</v>
      </c>
      <c r="Q34" s="31">
        <f>if(G34=13,1,0)+VLOOKUP(B34,'020324'!B:Q,16,false)</f>
        <v>1</v>
      </c>
      <c r="R34" s="31"/>
      <c r="S34" s="31">
        <f>if(G34=9,1,0)+VLOOKUP(B34,'020324'!B:S,18,false)</f>
        <v>2</v>
      </c>
    </row>
    <row r="35">
      <c r="A35" s="26">
        <f t="shared" si="3"/>
        <v>31</v>
      </c>
      <c r="B35" s="39" t="s">
        <v>119</v>
      </c>
      <c r="C35" s="28">
        <v>55.0</v>
      </c>
      <c r="D35" s="29">
        <v>4.0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64</v>
      </c>
      <c r="N35" s="29">
        <f t="shared" si="32"/>
        <v>4</v>
      </c>
      <c r="O35" s="35" t="s">
        <v>46</v>
      </c>
      <c r="P35" s="35" t="s">
        <v>46</v>
      </c>
      <c r="Q35" s="31">
        <f>if(G35=13,1,0)+VLOOKUP(B35,'020324'!B:Q,16,false)</f>
        <v>0</v>
      </c>
      <c r="R35" s="31"/>
      <c r="S35" s="31">
        <f>if(G35=9,1,0)+VLOOKUP(B35,'020324'!B:S,18,false)</f>
        <v>4</v>
      </c>
    </row>
    <row r="36">
      <c r="A36" s="26">
        <f t="shared" si="3"/>
        <v>32</v>
      </c>
      <c r="B36" s="27" t="s">
        <v>83</v>
      </c>
      <c r="C36" s="28">
        <v>55.0</v>
      </c>
      <c r="D36" s="29">
        <v>3.0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64</v>
      </c>
      <c r="N36" s="29">
        <f t="shared" si="33"/>
        <v>3</v>
      </c>
      <c r="O36" s="35" t="s">
        <v>46</v>
      </c>
      <c r="P36" s="35" t="s">
        <v>46</v>
      </c>
      <c r="Q36" s="31">
        <f>if(G36=13,1,0)+VLOOKUP(B36,'020324'!B:Q,16,false)</f>
        <v>1</v>
      </c>
      <c r="R36" s="31"/>
      <c r="S36" s="31">
        <f>if(G36=9,1,0)+VLOOKUP(B36,'020324'!B:S,18,false)</f>
        <v>2</v>
      </c>
    </row>
    <row r="37">
      <c r="A37" s="26">
        <f t="shared" si="3"/>
        <v>33</v>
      </c>
      <c r="B37" s="39" t="s">
        <v>55</v>
      </c>
      <c r="C37" s="28">
        <v>55.0</v>
      </c>
      <c r="D37" s="29">
        <v>2.0</v>
      </c>
      <c r="E37" s="30">
        <v>3.0</v>
      </c>
      <c r="F37" s="31">
        <v>0.0</v>
      </c>
      <c r="G37" s="28">
        <v>9.0</v>
      </c>
      <c r="H37" s="31">
        <v>0.0</v>
      </c>
      <c r="I37" s="31">
        <v>0.0</v>
      </c>
      <c r="J37" s="31">
        <v>0.0</v>
      </c>
      <c r="K37" s="33">
        <v>9.0</v>
      </c>
      <c r="L37" s="31">
        <v>0.0</v>
      </c>
      <c r="M37" s="28">
        <f t="shared" ref="M37:N37" si="34">C37+K37</f>
        <v>64</v>
      </c>
      <c r="N37" s="29">
        <f t="shared" si="34"/>
        <v>2</v>
      </c>
      <c r="O37" s="35" t="s">
        <v>46</v>
      </c>
      <c r="P37" s="35" t="s">
        <v>46</v>
      </c>
      <c r="Q37" s="31">
        <f>if(G37=13,1,0)+VLOOKUP(B37,'020324'!B:Q,16,false)</f>
        <v>1</v>
      </c>
      <c r="R37" s="31"/>
      <c r="S37" s="31">
        <f>if(G37=9,1,0)+VLOOKUP(B37,'020324'!B:S,18,false)</f>
        <v>4</v>
      </c>
    </row>
    <row r="38">
      <c r="A38" s="26">
        <f t="shared" si="3"/>
        <v>34</v>
      </c>
      <c r="B38" s="54" t="s">
        <v>95</v>
      </c>
      <c r="C38" s="28">
        <v>54.0</v>
      </c>
      <c r="D38" s="29">
        <v>6.0</v>
      </c>
      <c r="E38" s="30">
        <v>1.0</v>
      </c>
      <c r="F38" s="31">
        <v>5.0</v>
      </c>
      <c r="G38" s="28">
        <v>0.0</v>
      </c>
      <c r="H38" s="31">
        <v>6.0</v>
      </c>
      <c r="I38" s="31">
        <v>4.0</v>
      </c>
      <c r="J38" s="31">
        <v>4.0</v>
      </c>
      <c r="K38" s="33">
        <v>14.0</v>
      </c>
      <c r="L38" s="31">
        <v>1.0</v>
      </c>
      <c r="M38" s="28">
        <f t="shared" ref="M38:N38" si="35">C38+K38</f>
        <v>68</v>
      </c>
      <c r="N38" s="29">
        <f t="shared" si="35"/>
        <v>7</v>
      </c>
      <c r="O38" s="35" t="s">
        <v>46</v>
      </c>
      <c r="P38" s="35" t="s">
        <v>46</v>
      </c>
      <c r="Q38" s="31">
        <f>if(G38=13,1,0)+VLOOKUP(B38,'020324'!B:Q,16,false)</f>
        <v>0</v>
      </c>
      <c r="R38" s="31"/>
      <c r="S38" s="31">
        <f>if(G38=9,1,0)+VLOOKUP(B38,'020324'!B:S,18,false)</f>
        <v>0</v>
      </c>
    </row>
    <row r="39">
      <c r="A39" s="26">
        <f t="shared" si="3"/>
        <v>35</v>
      </c>
      <c r="B39" s="27" t="s">
        <v>66</v>
      </c>
      <c r="C39" s="28">
        <v>54.0</v>
      </c>
      <c r="D39" s="29">
        <v>4.0</v>
      </c>
      <c r="E39" s="30">
        <v>1.0</v>
      </c>
      <c r="F39" s="31">
        <v>5.0</v>
      </c>
      <c r="G39" s="28">
        <v>0.0</v>
      </c>
      <c r="H39" s="31">
        <v>6.0</v>
      </c>
      <c r="I39" s="31">
        <v>6.0</v>
      </c>
      <c r="J39" s="31">
        <v>6.0</v>
      </c>
      <c r="K39" s="33">
        <v>18.0</v>
      </c>
      <c r="L39" s="31">
        <v>3.0</v>
      </c>
      <c r="M39" s="28">
        <f t="shared" ref="M39:N39" si="36">C39+K39</f>
        <v>72</v>
      </c>
      <c r="N39" s="29">
        <f t="shared" si="36"/>
        <v>7</v>
      </c>
      <c r="O39" s="35" t="s">
        <v>46</v>
      </c>
      <c r="P39" s="35" t="s">
        <v>46</v>
      </c>
      <c r="Q39" s="31">
        <f>if(G39=13,1,0)+VLOOKUP(B39,'020324'!B:Q,16,false)</f>
        <v>0</v>
      </c>
      <c r="R39" s="31"/>
      <c r="S39" s="31">
        <f>if(G39=9,1,0)+VLOOKUP(B39,'020324'!B:S,18,false)</f>
        <v>1</v>
      </c>
    </row>
    <row r="40">
      <c r="A40" s="26">
        <f t="shared" si="3"/>
        <v>36</v>
      </c>
      <c r="B40" s="39" t="s">
        <v>121</v>
      </c>
      <c r="C40" s="28">
        <v>54.0</v>
      </c>
      <c r="D40" s="29">
        <v>3.0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63</v>
      </c>
      <c r="N40" s="29">
        <f t="shared" si="37"/>
        <v>3</v>
      </c>
      <c r="O40" s="35" t="s">
        <v>46</v>
      </c>
      <c r="P40" s="35" t="s">
        <v>46</v>
      </c>
      <c r="Q40" s="31">
        <f>if(G40=13,1,0)+VLOOKUP(B40,'020324'!B:Q,16,false)</f>
        <v>0</v>
      </c>
      <c r="R40" s="31"/>
      <c r="S40" s="31">
        <f>if(G40=9,1,0)+VLOOKUP(B40,'020324'!B:S,18,false)</f>
        <v>4</v>
      </c>
    </row>
    <row r="41">
      <c r="A41" s="26">
        <f t="shared" si="3"/>
        <v>37</v>
      </c>
      <c r="B41" s="54" t="s">
        <v>116</v>
      </c>
      <c r="C41" s="28">
        <v>54.0</v>
      </c>
      <c r="D41" s="29">
        <v>3.0</v>
      </c>
      <c r="E41" s="30">
        <v>1.0</v>
      </c>
      <c r="F41" s="31">
        <v>5.0</v>
      </c>
      <c r="G41" s="28">
        <v>0.0</v>
      </c>
      <c r="H41" s="31">
        <v>2.0</v>
      </c>
      <c r="I41" s="31">
        <v>4.0</v>
      </c>
      <c r="J41" s="31">
        <v>6.0</v>
      </c>
      <c r="K41" s="33">
        <v>12.0</v>
      </c>
      <c r="L41" s="31">
        <v>1.0</v>
      </c>
      <c r="M41" s="28">
        <f t="shared" ref="M41:N41" si="38">C41+K41</f>
        <v>66</v>
      </c>
      <c r="N41" s="29">
        <f t="shared" si="38"/>
        <v>4</v>
      </c>
      <c r="O41" s="35" t="s">
        <v>46</v>
      </c>
      <c r="P41" s="35" t="s">
        <v>46</v>
      </c>
      <c r="Q41" s="31">
        <f>if(G41=13,1,0)+VLOOKUP(B41,'020324'!B:Q,16,false)</f>
        <v>0</v>
      </c>
      <c r="R41" s="31"/>
      <c r="S41" s="31">
        <f>if(G41=9,1,0)+VLOOKUP(B41,'020324'!B:S,18,false)</f>
        <v>3</v>
      </c>
    </row>
    <row r="42">
      <c r="A42" s="26">
        <f t="shared" si="3"/>
        <v>38</v>
      </c>
      <c r="B42" s="27" t="s">
        <v>90</v>
      </c>
      <c r="C42" s="28">
        <v>54.0</v>
      </c>
      <c r="D42" s="29">
        <v>3.0</v>
      </c>
      <c r="E42" s="30">
        <v>3.0</v>
      </c>
      <c r="F42" s="31">
        <v>0.0</v>
      </c>
      <c r="G42" s="28">
        <v>9.0</v>
      </c>
      <c r="H42" s="31">
        <v>0.0</v>
      </c>
      <c r="I42" s="31">
        <v>0.0</v>
      </c>
      <c r="J42" s="31">
        <v>0.0</v>
      </c>
      <c r="K42" s="33">
        <v>9.0</v>
      </c>
      <c r="L42" s="31">
        <v>0.0</v>
      </c>
      <c r="M42" s="28">
        <f t="shared" ref="M42:N42" si="39">C42+K42</f>
        <v>63</v>
      </c>
      <c r="N42" s="29">
        <f t="shared" si="39"/>
        <v>3</v>
      </c>
      <c r="O42" s="35" t="s">
        <v>46</v>
      </c>
      <c r="P42" s="35" t="s">
        <v>46</v>
      </c>
      <c r="Q42" s="31">
        <f>if(G42=13,1,0)+VLOOKUP(B42,'020324'!B:Q,16,false)</f>
        <v>0</v>
      </c>
      <c r="R42" s="31"/>
      <c r="S42" s="31">
        <f>if(G42=9,1,0)+VLOOKUP(B42,'020324'!B:S,18,false)</f>
        <v>5</v>
      </c>
    </row>
    <row r="43">
      <c r="A43" s="26">
        <f t="shared" si="3"/>
        <v>39</v>
      </c>
      <c r="B43" s="39" t="s">
        <v>105</v>
      </c>
      <c r="C43" s="28">
        <v>53.0</v>
      </c>
      <c r="D43" s="29">
        <v>5.0</v>
      </c>
      <c r="E43" s="30">
        <v>1.0</v>
      </c>
      <c r="F43" s="31">
        <v>5.0</v>
      </c>
      <c r="G43" s="28">
        <v>0.0</v>
      </c>
      <c r="H43" s="31">
        <v>2.0</v>
      </c>
      <c r="I43" s="31">
        <v>6.0</v>
      </c>
      <c r="J43" s="31">
        <v>4.0</v>
      </c>
      <c r="K43" s="33">
        <v>12.0</v>
      </c>
      <c r="L43" s="31">
        <v>1.0</v>
      </c>
      <c r="M43" s="28">
        <f t="shared" ref="M43:N43" si="40">C43+K43</f>
        <v>65</v>
      </c>
      <c r="N43" s="29">
        <f t="shared" si="40"/>
        <v>6</v>
      </c>
      <c r="O43" s="35" t="s">
        <v>46</v>
      </c>
      <c r="P43" s="35" t="s">
        <v>46</v>
      </c>
      <c r="Q43" s="31">
        <f>if(G43=13,1,0)+VLOOKUP(B43,'020324'!B:Q,16,false)</f>
        <v>0</v>
      </c>
      <c r="R43" s="31"/>
      <c r="S43" s="31">
        <f>if(G43=9,1,0)+VLOOKUP(B43,'020324'!B:S,18,false)</f>
        <v>1</v>
      </c>
    </row>
    <row r="44">
      <c r="A44" s="26">
        <f t="shared" si="3"/>
        <v>40</v>
      </c>
      <c r="B44" s="27" t="s">
        <v>79</v>
      </c>
      <c r="C44" s="28">
        <v>53.0</v>
      </c>
      <c r="D44" s="29">
        <v>3.0</v>
      </c>
      <c r="E44" s="30">
        <v>1.0</v>
      </c>
      <c r="F44" s="31">
        <v>6.0</v>
      </c>
      <c r="G44" s="28">
        <v>0.0</v>
      </c>
      <c r="H44" s="31">
        <v>6.0</v>
      </c>
      <c r="I44" s="31">
        <v>4.0</v>
      </c>
      <c r="J44" s="31">
        <v>3.0</v>
      </c>
      <c r="K44" s="33">
        <v>13.0</v>
      </c>
      <c r="L44" s="31">
        <v>1.0</v>
      </c>
      <c r="M44" s="28">
        <f t="shared" ref="M44:N44" si="41">C44+K44</f>
        <v>66</v>
      </c>
      <c r="N44" s="29">
        <f t="shared" si="41"/>
        <v>4</v>
      </c>
      <c r="O44" s="35" t="s">
        <v>46</v>
      </c>
      <c r="P44" s="35" t="s">
        <v>46</v>
      </c>
      <c r="Q44" s="31">
        <f>if(G44=13,1,0)+VLOOKUP(B44,'020324'!B:Q,16,false)</f>
        <v>0</v>
      </c>
      <c r="R44" s="31"/>
      <c r="S44" s="31">
        <f>if(G44=9,1,0)+VLOOKUP(B44,'020324'!B:S,18,false)</f>
        <v>2</v>
      </c>
    </row>
    <row r="45">
      <c r="A45" s="26">
        <f t="shared" si="3"/>
        <v>41</v>
      </c>
      <c r="B45" s="27" t="s">
        <v>57</v>
      </c>
      <c r="C45" s="28">
        <v>53.0</v>
      </c>
      <c r="D45" s="29">
        <v>3.0</v>
      </c>
      <c r="E45" s="30">
        <v>1.0</v>
      </c>
      <c r="F45" s="31">
        <v>6.0</v>
      </c>
      <c r="G45" s="28">
        <v>0.0</v>
      </c>
      <c r="H45" s="31">
        <v>6.0</v>
      </c>
      <c r="I45" s="31">
        <v>6.0</v>
      </c>
      <c r="J45" s="31">
        <v>6.0</v>
      </c>
      <c r="K45" s="33">
        <v>18.0</v>
      </c>
      <c r="L45" s="31">
        <v>3.0</v>
      </c>
      <c r="M45" s="28">
        <f t="shared" ref="M45:N45" si="42">C45+K45</f>
        <v>71</v>
      </c>
      <c r="N45" s="29">
        <f t="shared" si="42"/>
        <v>6</v>
      </c>
      <c r="O45" s="35" t="s">
        <v>46</v>
      </c>
      <c r="P45" s="35" t="s">
        <v>46</v>
      </c>
      <c r="Q45" s="31">
        <f>if(G45=13,1,0)+VLOOKUP(B45,'020324'!B:Q,16,false)</f>
        <v>0</v>
      </c>
      <c r="R45" s="31"/>
      <c r="S45" s="31">
        <f>if(G45=9,1,0)+VLOOKUP(B45,'020324'!B:S,18,false)</f>
        <v>3</v>
      </c>
    </row>
    <row r="46">
      <c r="A46" s="26">
        <f t="shared" si="3"/>
        <v>42</v>
      </c>
      <c r="B46" s="27" t="s">
        <v>68</v>
      </c>
      <c r="C46" s="28">
        <v>53.0</v>
      </c>
      <c r="D46" s="29">
        <v>0.0</v>
      </c>
      <c r="E46" s="30">
        <v>2.0</v>
      </c>
      <c r="F46" s="31">
        <v>6.0</v>
      </c>
      <c r="G46" s="28">
        <v>0.0</v>
      </c>
      <c r="H46" s="31">
        <v>2.0</v>
      </c>
      <c r="I46" s="31">
        <v>4.0</v>
      </c>
      <c r="J46" s="31">
        <v>6.0</v>
      </c>
      <c r="K46" s="33">
        <v>12.0</v>
      </c>
      <c r="L46" s="31">
        <v>1.0</v>
      </c>
      <c r="M46" s="28">
        <f t="shared" ref="M46:N46" si="43">C46+K46</f>
        <v>65</v>
      </c>
      <c r="N46" s="29">
        <f t="shared" si="43"/>
        <v>1</v>
      </c>
      <c r="O46" s="35" t="s">
        <v>46</v>
      </c>
      <c r="P46" s="35" t="s">
        <v>46</v>
      </c>
      <c r="Q46" s="31">
        <f>if(G46=13,1,0)+VLOOKUP(B46,'020324'!B:Q,16,false)</f>
        <v>2</v>
      </c>
      <c r="R46" s="31"/>
      <c r="S46" s="31">
        <f>if(G46=9,1,0)+VLOOKUP(B46,'020324'!B:S,18,false)</f>
        <v>3</v>
      </c>
    </row>
    <row r="47">
      <c r="A47" s="26">
        <f t="shared" si="3"/>
        <v>43</v>
      </c>
      <c r="B47" s="27" t="s">
        <v>42</v>
      </c>
      <c r="C47" s="28">
        <v>52.0</v>
      </c>
      <c r="D47" s="29">
        <v>5.0</v>
      </c>
      <c r="E47" s="30">
        <v>1.0</v>
      </c>
      <c r="F47" s="31">
        <v>6.0</v>
      </c>
      <c r="G47" s="28">
        <v>0.0</v>
      </c>
      <c r="H47" s="31">
        <v>2.0</v>
      </c>
      <c r="I47" s="31">
        <v>6.0</v>
      </c>
      <c r="J47" s="31">
        <v>3.0</v>
      </c>
      <c r="K47" s="33">
        <v>11.0</v>
      </c>
      <c r="L47" s="31">
        <v>1.0</v>
      </c>
      <c r="M47" s="28">
        <f t="shared" ref="M47:N47" si="44">C47+K47</f>
        <v>63</v>
      </c>
      <c r="N47" s="29">
        <f t="shared" si="44"/>
        <v>6</v>
      </c>
      <c r="O47" s="35" t="s">
        <v>46</v>
      </c>
      <c r="P47" s="35" t="s">
        <v>46</v>
      </c>
      <c r="Q47" s="31">
        <f>if(G47=13,1,0)+VLOOKUP(B47,'020324'!B:Q,16,false)</f>
        <v>0</v>
      </c>
      <c r="R47" s="31"/>
      <c r="S47" s="31">
        <f>if(G47=9,1,0)+VLOOKUP(B47,'020324'!B:S,18,false)</f>
        <v>0</v>
      </c>
    </row>
    <row r="48">
      <c r="A48" s="26">
        <f t="shared" si="3"/>
        <v>44</v>
      </c>
      <c r="B48" s="27" t="s">
        <v>76</v>
      </c>
      <c r="C48" s="28">
        <v>52.0</v>
      </c>
      <c r="D48" s="29">
        <v>2.0</v>
      </c>
      <c r="E48" s="30">
        <v>2.0</v>
      </c>
      <c r="F48" s="31">
        <v>7.0</v>
      </c>
      <c r="G48" s="28">
        <v>0.0</v>
      </c>
      <c r="H48" s="31">
        <v>6.0</v>
      </c>
      <c r="I48" s="31">
        <v>4.0</v>
      </c>
      <c r="J48" s="31">
        <v>6.0</v>
      </c>
      <c r="K48" s="33">
        <v>16.0</v>
      </c>
      <c r="L48" s="31">
        <v>2.0</v>
      </c>
      <c r="M48" s="28">
        <f t="shared" ref="M48:N48" si="45">C48+K48</f>
        <v>68</v>
      </c>
      <c r="N48" s="29">
        <f t="shared" si="45"/>
        <v>4</v>
      </c>
      <c r="O48" s="35" t="s">
        <v>46</v>
      </c>
      <c r="P48" s="35" t="s">
        <v>46</v>
      </c>
      <c r="Q48" s="31">
        <f>if(G48=13,1,0)+VLOOKUP(B48,'020324'!B:Q,16,false)</f>
        <v>1</v>
      </c>
      <c r="R48" s="31"/>
      <c r="S48" s="31">
        <f>if(G48=9,1,0)+VLOOKUP(B48,'020324'!B:S,18,false)</f>
        <v>2</v>
      </c>
    </row>
    <row r="49">
      <c r="A49" s="26">
        <f t="shared" si="3"/>
        <v>45</v>
      </c>
      <c r="B49" s="54" t="s">
        <v>122</v>
      </c>
      <c r="C49" s="28">
        <v>52.0</v>
      </c>
      <c r="D49" s="29">
        <v>1.0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61</v>
      </c>
      <c r="N49" s="29">
        <f t="shared" si="46"/>
        <v>1</v>
      </c>
      <c r="O49" s="35" t="s">
        <v>46</v>
      </c>
      <c r="P49" s="35" t="s">
        <v>46</v>
      </c>
      <c r="Q49" s="31">
        <f>if(G49=13,1,0)+VLOOKUP(B49,'020324'!B:Q,16,false)</f>
        <v>0</v>
      </c>
      <c r="R49" s="31"/>
      <c r="S49" s="31">
        <f>if(G49=9,1,0)+VLOOKUP(B49,'020324'!B:S,18,false)</f>
        <v>5</v>
      </c>
    </row>
    <row r="50">
      <c r="A50" s="26">
        <f t="shared" si="3"/>
        <v>46</v>
      </c>
      <c r="B50" s="54" t="s">
        <v>59</v>
      </c>
      <c r="C50" s="28">
        <v>51.0</v>
      </c>
      <c r="D50" s="29">
        <v>5.0</v>
      </c>
      <c r="E50" s="30">
        <v>5.0</v>
      </c>
      <c r="F50" s="31">
        <v>0.0</v>
      </c>
      <c r="G50" s="28">
        <v>13.0</v>
      </c>
      <c r="H50" s="31">
        <v>0.0</v>
      </c>
      <c r="I50" s="31">
        <v>0.0</v>
      </c>
      <c r="J50" s="31">
        <v>0.0</v>
      </c>
      <c r="K50" s="33">
        <v>13.0</v>
      </c>
      <c r="L50" s="31">
        <v>0.0</v>
      </c>
      <c r="M50" s="28">
        <f t="shared" ref="M50:N50" si="47">C50+K50</f>
        <v>64</v>
      </c>
      <c r="N50" s="29">
        <f t="shared" si="47"/>
        <v>5</v>
      </c>
      <c r="O50" s="35" t="s">
        <v>46</v>
      </c>
      <c r="P50" s="35" t="s">
        <v>46</v>
      </c>
      <c r="Q50" s="31">
        <f>if(G50=13,1,0)+VLOOKUP(B50,'020324'!B:Q,16,false)</f>
        <v>1</v>
      </c>
      <c r="R50" s="31"/>
      <c r="S50" s="31">
        <f>if(G50=9,1,0)+VLOOKUP(B50,'020324'!B:S,18,false)</f>
        <v>1</v>
      </c>
    </row>
    <row r="51">
      <c r="A51" s="26">
        <f t="shared" si="3"/>
        <v>47</v>
      </c>
      <c r="B51" s="76" t="s">
        <v>89</v>
      </c>
      <c r="C51" s="28">
        <v>51.0</v>
      </c>
      <c r="D51" s="29">
        <v>4.0</v>
      </c>
      <c r="E51" s="30">
        <v>1.0</v>
      </c>
      <c r="F51" s="31">
        <v>7.0</v>
      </c>
      <c r="G51" s="28">
        <v>0.0</v>
      </c>
      <c r="H51" s="31">
        <v>3.0</v>
      </c>
      <c r="I51" s="31">
        <v>4.0</v>
      </c>
      <c r="J51" s="31">
        <v>1.0</v>
      </c>
      <c r="K51" s="33">
        <v>8.0</v>
      </c>
      <c r="L51" s="31">
        <v>0.0</v>
      </c>
      <c r="M51" s="28">
        <f t="shared" ref="M51:N51" si="48">C51+K51</f>
        <v>59</v>
      </c>
      <c r="N51" s="29">
        <f t="shared" si="48"/>
        <v>4</v>
      </c>
      <c r="O51" s="35" t="s">
        <v>46</v>
      </c>
      <c r="P51" s="35" t="s">
        <v>46</v>
      </c>
      <c r="Q51" s="31">
        <f>if(G51=13,1,0)+VLOOKUP(B51,'020324'!B:Q,16,false)</f>
        <v>0</v>
      </c>
      <c r="R51" s="31"/>
      <c r="S51" s="31">
        <f>if(G51=9,1,0)+VLOOKUP(B51,'020324'!B:S,18,false)</f>
        <v>1</v>
      </c>
    </row>
    <row r="52">
      <c r="A52" s="26">
        <f t="shared" si="3"/>
        <v>48</v>
      </c>
      <c r="B52" s="54" t="s">
        <v>100</v>
      </c>
      <c r="C52" s="28">
        <v>51.0</v>
      </c>
      <c r="D52" s="29">
        <v>2.0</v>
      </c>
      <c r="E52" s="30">
        <v>1.0</v>
      </c>
      <c r="F52" s="31">
        <v>7.0</v>
      </c>
      <c r="G52" s="28">
        <v>0.0</v>
      </c>
      <c r="H52" s="31">
        <v>3.0</v>
      </c>
      <c r="I52" s="31">
        <v>6.0</v>
      </c>
      <c r="J52" s="31">
        <v>6.0</v>
      </c>
      <c r="K52" s="33">
        <v>15.0</v>
      </c>
      <c r="L52" s="31">
        <v>2.0</v>
      </c>
      <c r="M52" s="28">
        <f t="shared" ref="M52:N52" si="49">C52+K52</f>
        <v>66</v>
      </c>
      <c r="N52" s="29">
        <f t="shared" si="49"/>
        <v>4</v>
      </c>
      <c r="O52" s="35" t="s">
        <v>46</v>
      </c>
      <c r="P52" s="35" t="s">
        <v>46</v>
      </c>
      <c r="Q52" s="31">
        <f>if(G52=13,1,0)+VLOOKUP(B52,'020324'!B:Q,16,false)</f>
        <v>1</v>
      </c>
      <c r="R52" s="31"/>
      <c r="S52" s="31">
        <f>if(G52=9,1,0)+VLOOKUP(B52,'020324'!B:S,18,false)</f>
        <v>2</v>
      </c>
    </row>
    <row r="53">
      <c r="A53" s="26">
        <f t="shared" si="3"/>
        <v>49</v>
      </c>
      <c r="B53" s="54" t="s">
        <v>47</v>
      </c>
      <c r="C53" s="28">
        <v>50.0</v>
      </c>
      <c r="D53" s="29">
        <v>3.0</v>
      </c>
      <c r="E53" s="30">
        <v>1.0</v>
      </c>
      <c r="F53" s="31">
        <v>7.0</v>
      </c>
      <c r="G53" s="28">
        <v>0.0</v>
      </c>
      <c r="H53" s="31">
        <v>6.0</v>
      </c>
      <c r="I53" s="31">
        <v>6.0</v>
      </c>
      <c r="J53" s="31">
        <v>1.0</v>
      </c>
      <c r="K53" s="33">
        <v>13.0</v>
      </c>
      <c r="L53" s="31">
        <v>2.0</v>
      </c>
      <c r="M53" s="28">
        <f t="shared" ref="M53:N53" si="50">C53+K53</f>
        <v>63</v>
      </c>
      <c r="N53" s="29">
        <f t="shared" si="50"/>
        <v>5</v>
      </c>
      <c r="O53" s="35" t="s">
        <v>46</v>
      </c>
      <c r="P53" s="35" t="s">
        <v>46</v>
      </c>
      <c r="Q53" s="31">
        <f>if(G53=13,1,0)+VLOOKUP(B53,'020324'!B:Q,16,false)</f>
        <v>0</v>
      </c>
      <c r="R53" s="31"/>
      <c r="S53" s="31">
        <f>if(G53=9,1,0)+VLOOKUP(B53,'020324'!B:S,18,false)</f>
        <v>0</v>
      </c>
    </row>
    <row r="54">
      <c r="A54" s="26">
        <f t="shared" si="3"/>
        <v>50</v>
      </c>
      <c r="B54" s="54" t="s">
        <v>54</v>
      </c>
      <c r="C54" s="28">
        <v>50.0</v>
      </c>
      <c r="D54" s="29">
        <v>2.0</v>
      </c>
      <c r="E54" s="30">
        <v>1.0</v>
      </c>
      <c r="F54" s="31">
        <v>8.0</v>
      </c>
      <c r="G54" s="28">
        <v>0.0</v>
      </c>
      <c r="H54" s="31">
        <v>2.0</v>
      </c>
      <c r="I54" s="31">
        <v>7.0</v>
      </c>
      <c r="J54" s="31">
        <v>6.0</v>
      </c>
      <c r="K54" s="33">
        <v>15.0</v>
      </c>
      <c r="L54" s="31">
        <v>2.0</v>
      </c>
      <c r="M54" s="28">
        <f t="shared" ref="M54:N54" si="51">C54+K54</f>
        <v>65</v>
      </c>
      <c r="N54" s="29">
        <f t="shared" si="51"/>
        <v>4</v>
      </c>
      <c r="O54" s="35" t="s">
        <v>46</v>
      </c>
      <c r="P54" s="35" t="s">
        <v>46</v>
      </c>
      <c r="Q54" s="31">
        <f>if(G54=13,1,0)+VLOOKUP(B54,'020324'!B:Q,16,false)</f>
        <v>1</v>
      </c>
      <c r="R54" s="31"/>
      <c r="S54" s="31">
        <f>if(G54=9,1,0)+VLOOKUP(B54,'020324'!B:S,18,false)</f>
        <v>2</v>
      </c>
    </row>
    <row r="55">
      <c r="A55" s="26">
        <f t="shared" si="3"/>
        <v>51</v>
      </c>
      <c r="B55" s="39" t="s">
        <v>106</v>
      </c>
      <c r="C55" s="28">
        <v>49.0</v>
      </c>
      <c r="D55" s="29">
        <v>3.0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58</v>
      </c>
      <c r="N55" s="29">
        <f t="shared" si="52"/>
        <v>3</v>
      </c>
      <c r="O55" s="35" t="s">
        <v>46</v>
      </c>
      <c r="P55" s="35" t="s">
        <v>46</v>
      </c>
      <c r="Q55" s="31">
        <f>if(G55=13,1,0)+VLOOKUP(B55,'020324'!B:Q,16,false)</f>
        <v>0</v>
      </c>
      <c r="R55" s="31"/>
      <c r="S55" s="31">
        <f>if(G55=9,1,0)+VLOOKUP(B55,'020324'!B:S,18,false)</f>
        <v>4</v>
      </c>
    </row>
    <row r="56">
      <c r="A56" s="26">
        <f t="shared" si="3"/>
        <v>52</v>
      </c>
      <c r="B56" s="27" t="s">
        <v>109</v>
      </c>
      <c r="C56" s="28">
        <v>49.0</v>
      </c>
      <c r="D56" s="29">
        <v>0.0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58</v>
      </c>
      <c r="N56" s="29">
        <f t="shared" si="53"/>
        <v>0</v>
      </c>
      <c r="O56" s="35" t="s">
        <v>46</v>
      </c>
      <c r="P56" s="35" t="s">
        <v>46</v>
      </c>
      <c r="Q56" s="31">
        <f>if(G56=13,1,0)+VLOOKUP(B56,'020324'!B:Q,16,false)</f>
        <v>2</v>
      </c>
      <c r="R56" s="31"/>
      <c r="S56" s="31">
        <f>if(G56=9,1,0)+VLOOKUP(B56,'020324'!B:S,18,false)</f>
        <v>3</v>
      </c>
    </row>
    <row r="57">
      <c r="A57" s="26">
        <f t="shared" si="3"/>
        <v>53</v>
      </c>
      <c r="B57" s="54" t="s">
        <v>123</v>
      </c>
      <c r="C57" s="28">
        <v>49.0</v>
      </c>
      <c r="D57" s="29">
        <v>0.0</v>
      </c>
      <c r="E57" s="30">
        <v>1.0</v>
      </c>
      <c r="F57" s="31">
        <v>8.0</v>
      </c>
      <c r="G57" s="28">
        <v>0.0</v>
      </c>
      <c r="H57" s="31">
        <v>6.0</v>
      </c>
      <c r="I57" s="31">
        <v>6.0</v>
      </c>
      <c r="J57" s="31">
        <v>6.0</v>
      </c>
      <c r="K57" s="33">
        <v>18.0</v>
      </c>
      <c r="L57" s="31">
        <v>2.0</v>
      </c>
      <c r="M57" s="28">
        <f t="shared" ref="M57:N57" si="54">C57+K57</f>
        <v>67</v>
      </c>
      <c r="N57" s="29">
        <f t="shared" si="54"/>
        <v>2</v>
      </c>
      <c r="O57" s="35" t="s">
        <v>46</v>
      </c>
      <c r="P57" s="35" t="s">
        <v>46</v>
      </c>
      <c r="Q57" s="31">
        <f>if(G57=13,1,0)+VLOOKUP(B57,'020324'!B:Q,16,false)</f>
        <v>1</v>
      </c>
      <c r="R57" s="31"/>
      <c r="S57" s="31">
        <f>if(G57=9,1,0)+VLOOKUP(B57,'020324'!B:S,18,false)</f>
        <v>4</v>
      </c>
    </row>
    <row r="58">
      <c r="A58" s="26">
        <f t="shared" si="3"/>
        <v>54</v>
      </c>
      <c r="B58" s="27" t="s">
        <v>114</v>
      </c>
      <c r="C58" s="28">
        <v>49.0</v>
      </c>
      <c r="D58" s="29">
        <v>0.0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58</v>
      </c>
      <c r="N58" s="29">
        <f t="shared" si="55"/>
        <v>0</v>
      </c>
      <c r="O58" s="35" t="s">
        <v>46</v>
      </c>
      <c r="P58" s="35" t="s">
        <v>46</v>
      </c>
      <c r="Q58" s="31">
        <f>if(G58=13,1,0)+VLOOKUP(B58,'020324'!B:Q,16,false)</f>
        <v>1</v>
      </c>
      <c r="R58" s="31"/>
      <c r="S58" s="31">
        <f>if(G58=9,1,0)+VLOOKUP(B58,'020324'!B:S,18,false)</f>
        <v>5</v>
      </c>
    </row>
    <row r="59">
      <c r="A59" s="26">
        <f t="shared" si="3"/>
        <v>55</v>
      </c>
      <c r="B59" s="27" t="s">
        <v>112</v>
      </c>
      <c r="C59" s="28">
        <v>48.0</v>
      </c>
      <c r="D59" s="29">
        <v>1.0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57</v>
      </c>
      <c r="N59" s="29">
        <f t="shared" si="56"/>
        <v>1</v>
      </c>
      <c r="O59" s="35" t="s">
        <v>46</v>
      </c>
      <c r="P59" s="35" t="s">
        <v>46</v>
      </c>
      <c r="Q59" s="31">
        <f>if(G59=13,1,0)+VLOOKUP(B59,'020324'!B:Q,16,false)</f>
        <v>0</v>
      </c>
      <c r="R59" s="31"/>
      <c r="S59" s="31">
        <f>if(G59=9,1,0)+VLOOKUP(B59,'020324'!B:S,18,false)</f>
        <v>5</v>
      </c>
    </row>
    <row r="60">
      <c r="A60" s="26">
        <f t="shared" si="3"/>
        <v>56</v>
      </c>
      <c r="B60" s="54" t="s">
        <v>108</v>
      </c>
      <c r="C60" s="28">
        <v>46.0</v>
      </c>
      <c r="D60" s="29">
        <v>3.0</v>
      </c>
      <c r="E60" s="30">
        <v>1.0</v>
      </c>
      <c r="F60" s="31">
        <v>8.0</v>
      </c>
      <c r="G60" s="28">
        <v>0.0</v>
      </c>
      <c r="H60" s="31">
        <v>6.0</v>
      </c>
      <c r="I60" s="31">
        <v>7.0</v>
      </c>
      <c r="J60" s="31">
        <v>0.0</v>
      </c>
      <c r="K60" s="33">
        <v>13.0</v>
      </c>
      <c r="L60" s="31">
        <v>2.0</v>
      </c>
      <c r="M60" s="28">
        <f t="shared" ref="M60:N60" si="57">C60+K60</f>
        <v>59</v>
      </c>
      <c r="N60" s="29">
        <f t="shared" si="57"/>
        <v>5</v>
      </c>
      <c r="O60" s="35" t="s">
        <v>46</v>
      </c>
      <c r="P60" s="35" t="s">
        <v>46</v>
      </c>
      <c r="Q60" s="31">
        <f>if(G60=13,1,0)+VLOOKUP(B60,'020324'!B:Q,16,false)</f>
        <v>0</v>
      </c>
      <c r="R60" s="31"/>
      <c r="S60" s="31">
        <f>if(G60=9,1,0)+VLOOKUP(B60,'020324'!B:S,18,false)</f>
        <v>1</v>
      </c>
    </row>
    <row r="61">
      <c r="A61" s="26">
        <f t="shared" si="3"/>
        <v>57</v>
      </c>
      <c r="B61" s="27" t="s">
        <v>74</v>
      </c>
      <c r="C61" s="28">
        <v>45.0</v>
      </c>
      <c r="D61" s="29">
        <v>0.0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54</v>
      </c>
      <c r="N61" s="29">
        <f t="shared" si="58"/>
        <v>0</v>
      </c>
      <c r="O61" s="35" t="s">
        <v>46</v>
      </c>
      <c r="P61" s="35" t="s">
        <v>46</v>
      </c>
      <c r="Q61" s="31">
        <f>if(G61=13,1,0)+VLOOKUP(B61,'020324'!B:Q,16,false)</f>
        <v>0</v>
      </c>
      <c r="R61" s="31"/>
      <c r="S61" s="31">
        <f>if(G61=9,1,0)+VLOOKUP(B61,'020324'!B:S,18,false)</f>
        <v>6</v>
      </c>
    </row>
    <row r="62">
      <c r="A62" s="26">
        <f t="shared" si="3"/>
        <v>58</v>
      </c>
      <c r="B62" s="27" t="s">
        <v>56</v>
      </c>
      <c r="C62" s="28">
        <v>45.0</v>
      </c>
      <c r="D62" s="29">
        <v>0.0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54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if(G62=13,1,0)+VLOOKUP(B62,'020324'!B:Q,16,false)</f>
        <v>0</v>
      </c>
      <c r="R62" s="31"/>
      <c r="S62" s="31">
        <f>if(G62=9,1,0)+VLOOKUP(B62,'020324'!B:S,18,false)</f>
        <v>6</v>
      </c>
    </row>
    <row r="63">
      <c r="A63" s="26">
        <f t="shared" si="3"/>
        <v>59</v>
      </c>
      <c r="B63" s="39" t="s">
        <v>124</v>
      </c>
      <c r="C63" s="28">
        <v>45.0</v>
      </c>
      <c r="D63" s="29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54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if(G63=13,1,0)+VLOOKUP(B63,'020324'!B:Q,16,false)</f>
        <v>0</v>
      </c>
      <c r="R63" s="31"/>
      <c r="S63" s="31">
        <f>if(G63=9,1,0)+VLOOKUP(B63,'020324'!B:S,18,false)</f>
        <v>6</v>
      </c>
    </row>
    <row r="64">
      <c r="A64" s="26">
        <f t="shared" si="3"/>
        <v>60</v>
      </c>
      <c r="B64" s="27" t="s">
        <v>115</v>
      </c>
      <c r="C64" s="28">
        <v>45.0</v>
      </c>
      <c r="D64" s="29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54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if(G64=13,1,0)+VLOOKUP(B64,'020324'!B:Q,16,false)</f>
        <v>0</v>
      </c>
      <c r="R64" s="31"/>
      <c r="S64" s="31">
        <f>if(G64=9,1,0)+VLOOKUP(B64,'020324'!B:S,18,false)</f>
        <v>6</v>
      </c>
    </row>
    <row r="65">
      <c r="A65" s="26">
        <f t="shared" si="3"/>
        <v>61</v>
      </c>
      <c r="B65" s="39" t="s">
        <v>125</v>
      </c>
      <c r="C65" s="28">
        <v>45.0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54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if(G65=13,1,0)+VLOOKUP(B65,'020324'!B:Q,16,false)</f>
        <v>0</v>
      </c>
      <c r="R65" s="31"/>
      <c r="S65" s="31">
        <f>if(G65=9,1,0)+VLOOKUP(B65,'020324'!B:S,18,false)</f>
        <v>5</v>
      </c>
    </row>
    <row r="66">
      <c r="A66" s="26">
        <f t="shared" si="3"/>
        <v>62</v>
      </c>
      <c r="B66" s="39" t="s">
        <v>127</v>
      </c>
      <c r="C66" s="28">
        <v>45.0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54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if(G66=13,1,0)+VLOOKUP(B66,'020324'!B:Q,16,false)</f>
        <v>0</v>
      </c>
      <c r="R66" s="31"/>
      <c r="S66" s="31">
        <f>if(G66=9,1,0)+VLOOKUP(B66,'020324'!B:S,18,false)</f>
        <v>6</v>
      </c>
    </row>
    <row r="67">
      <c r="A67" s="26">
        <f t="shared" si="3"/>
        <v>63</v>
      </c>
      <c r="B67" s="54" t="s">
        <v>94</v>
      </c>
      <c r="C67" s="28">
        <v>42.0</v>
      </c>
      <c r="D67" s="29">
        <v>3.0</v>
      </c>
      <c r="E67" s="30">
        <v>1.0</v>
      </c>
      <c r="F67" s="31">
        <v>8.0</v>
      </c>
      <c r="G67" s="28">
        <v>0.0</v>
      </c>
      <c r="H67" s="31">
        <v>2.0</v>
      </c>
      <c r="I67" s="31">
        <v>6.0</v>
      </c>
      <c r="J67" s="31">
        <v>0.0</v>
      </c>
      <c r="K67" s="33">
        <v>8.0</v>
      </c>
      <c r="L67" s="31">
        <v>0.0</v>
      </c>
      <c r="M67" s="28">
        <f t="shared" ref="M67:N67" si="64">C67+K67</f>
        <v>50</v>
      </c>
      <c r="N67" s="29">
        <f t="shared" si="64"/>
        <v>3</v>
      </c>
      <c r="O67" s="35" t="s">
        <v>46</v>
      </c>
      <c r="P67" s="35" t="s">
        <v>46</v>
      </c>
      <c r="Q67" s="31">
        <f>if(G67=13,1,0)+VLOOKUP(B67,'020324'!B:Q,16,false)</f>
        <v>0</v>
      </c>
      <c r="R67" s="31"/>
      <c r="S67" s="31">
        <f>if(G67=9,1,0)+VLOOKUP(B67,'020324'!B:S,18,false)</f>
        <v>1</v>
      </c>
    </row>
    <row r="68">
      <c r="A68" s="26">
        <f t="shared" si="3"/>
        <v>64</v>
      </c>
      <c r="B68" s="39" t="s">
        <v>97</v>
      </c>
      <c r="C68" s="28">
        <v>42.0</v>
      </c>
      <c r="D68" s="29">
        <v>1.0</v>
      </c>
      <c r="E68" s="30">
        <v>3.0</v>
      </c>
      <c r="F68" s="31">
        <v>0.0</v>
      </c>
      <c r="G68" s="28">
        <v>9.0</v>
      </c>
      <c r="H68" s="31">
        <v>0.0</v>
      </c>
      <c r="I68" s="31">
        <v>0.0</v>
      </c>
      <c r="J68" s="31">
        <v>0.0</v>
      </c>
      <c r="K68" s="33">
        <v>9.0</v>
      </c>
      <c r="L68" s="31">
        <v>0.0</v>
      </c>
      <c r="M68" s="28">
        <f t="shared" ref="M68:N68" si="65">C68+K68</f>
        <v>51</v>
      </c>
      <c r="N68" s="29">
        <f t="shared" si="65"/>
        <v>1</v>
      </c>
      <c r="O68" s="35" t="s">
        <v>46</v>
      </c>
      <c r="P68" s="35" t="s">
        <v>46</v>
      </c>
      <c r="Q68" s="31">
        <f>if(G68=13,1,0)+VLOOKUP(B68,'020324'!B:Q,16,false)</f>
        <v>0</v>
      </c>
      <c r="R68" s="31"/>
      <c r="S68" s="31">
        <f>if(G68=9,1,0)+VLOOKUP(B68,'020324'!B:S,18,false)</f>
        <v>2</v>
      </c>
    </row>
    <row r="69">
      <c r="A69" s="26">
        <f t="shared" si="3"/>
        <v>65</v>
      </c>
      <c r="B69" s="39" t="s">
        <v>126</v>
      </c>
      <c r="C69" s="28">
        <v>40.0</v>
      </c>
      <c r="D69" s="29">
        <v>0.0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49</v>
      </c>
      <c r="N69" s="29">
        <f t="shared" si="66"/>
        <v>0</v>
      </c>
      <c r="O69" s="35" t="s">
        <v>46</v>
      </c>
      <c r="P69" s="35" t="s">
        <v>46</v>
      </c>
      <c r="Q69" s="31">
        <f>if(G69=13,1,0)+VLOOKUP(B69,'020324'!B:Q,16,false)</f>
        <v>0</v>
      </c>
      <c r="R69" s="31"/>
      <c r="S69" s="31">
        <f>if(G69=9,1,0)+VLOOKUP(B69,'020324'!B:S,18,false)</f>
        <v>5</v>
      </c>
    </row>
    <row r="70">
      <c r="A70" s="1"/>
      <c r="C70" s="1"/>
      <c r="D70" s="1"/>
      <c r="E70" s="1"/>
      <c r="P70" s="1"/>
    </row>
    <row r="71">
      <c r="A71" s="1"/>
      <c r="C71" s="1"/>
      <c r="D71" s="1"/>
      <c r="E71" s="1"/>
      <c r="P71" s="1"/>
    </row>
    <row r="72">
      <c r="A72" s="1"/>
      <c r="B72" s="56">
        <f>COUNTA(B5:B69)</f>
        <v>65</v>
      </c>
      <c r="C72" s="1"/>
      <c r="D72" s="1"/>
      <c r="E72" s="1"/>
      <c r="O72" s="13" t="s">
        <v>128</v>
      </c>
      <c r="P72" s="14">
        <f>COUNTA(P5:P69)</f>
        <v>65</v>
      </c>
    </row>
    <row r="73">
      <c r="A73" s="1"/>
      <c r="C73" s="1"/>
      <c r="D73" s="1"/>
      <c r="E73" s="1"/>
      <c r="O73" s="13" t="s">
        <v>129</v>
      </c>
      <c r="P73" s="14">
        <f>P74-P72</f>
        <v>0</v>
      </c>
    </row>
    <row r="74">
      <c r="A74" s="1"/>
      <c r="C74" s="1"/>
      <c r="D74" s="1"/>
      <c r="J74" s="41"/>
      <c r="K74" s="57"/>
      <c r="L74" s="58"/>
      <c r="O74" s="13" t="s">
        <v>53</v>
      </c>
      <c r="P74" s="14">
        <f>B72</f>
        <v>65</v>
      </c>
    </row>
    <row r="75">
      <c r="A75" s="1"/>
      <c r="C75" s="1"/>
      <c r="D75" s="1"/>
      <c r="E75" s="9" t="s">
        <v>130</v>
      </c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B78" s="59" t="s">
        <v>131</v>
      </c>
      <c r="C78" s="59" t="s">
        <v>132</v>
      </c>
      <c r="D78" s="59" t="s">
        <v>133</v>
      </c>
      <c r="J78" s="41"/>
      <c r="K78" s="57"/>
      <c r="L78" s="58"/>
    </row>
    <row r="79">
      <c r="A79" s="1"/>
      <c r="B79" s="39" t="str">
        <f>IFERROR(__xludf.DUMMYFUNCTION("QUERY(B5:L69,""Select B, K, L where K &gt;= 18 order by K desc, L desc"",0)"),"Lam Bui")</f>
        <v>Lam Bui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K79" s="57"/>
      <c r="L79" s="58"/>
    </row>
    <row r="80">
      <c r="A80" s="1"/>
      <c r="B80" s="39" t="str">
        <f>IFERROR(__xludf.DUMMYFUNCTION("""COMPUTED_VALUE"""),"Eric Pan")</f>
        <v>Eric Pan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L80" s="61"/>
    </row>
    <row r="81">
      <c r="A81" s="1"/>
      <c r="B81" s="39" t="str">
        <f>IFERROR(__xludf.DUMMYFUNCTION("""COMPUTED_VALUE"""),"Peter Cheng")</f>
        <v>Peter Cheng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 t="str">
        <f>IFERROR(__xludf.DUMMYFUNCTION("""COMPUTED_VALUE"""),"Naveen Raj")</f>
        <v>Naveen Raj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IFERROR(__xludf.DUMMYFUNCTION("""COMPUTED_VALUE"""),"Peter Homsey")</f>
        <v>Peter Homsey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  <c r="K83" s="9"/>
    </row>
    <row r="84">
      <c r="A84" s="1"/>
      <c r="B84" s="39" t="str">
        <f>IFERROR(__xludf.DUMMYFUNCTION("""COMPUTED_VALUE"""),"David Shin")</f>
        <v>David Shin</v>
      </c>
      <c r="C84" s="60">
        <f>IFERROR(__xludf.DUMMYFUNCTION("""COMPUTED_VALUE"""),18.0)</f>
        <v>18</v>
      </c>
      <c r="D84" s="60">
        <f>IFERROR(__xludf.DUMMYFUNCTION("""COMPUTED_VALUE"""),2.0)</f>
        <v>2</v>
      </c>
      <c r="E84" s="1"/>
      <c r="K84" s="9"/>
    </row>
    <row r="85">
      <c r="A85" s="1"/>
      <c r="B85" s="39" t="str">
        <f>IFERROR(__xludf.DUMMYFUNCTION("""COMPUTED_VALUE"""),"Marcus Yovas")</f>
        <v>Marcus Yovas</v>
      </c>
      <c r="C85" s="60">
        <f>IFERROR(__xludf.DUMMYFUNCTION("""COMPUTED_VALUE"""),18.0)</f>
        <v>18</v>
      </c>
      <c r="D85" s="60">
        <f>IFERROR(__xludf.DUMMYFUNCTION("""COMPUTED_VALUE"""),2.0)</f>
        <v>2</v>
      </c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</row>
    <row r="88">
      <c r="A88" s="1"/>
      <c r="B88" s="39"/>
      <c r="C88" s="60"/>
      <c r="D88" s="60"/>
      <c r="E88" s="1"/>
    </row>
    <row r="89">
      <c r="A89" s="1"/>
      <c r="C89" s="1"/>
      <c r="D89" s="1"/>
      <c r="E89" s="1"/>
    </row>
    <row r="90">
      <c r="A90" s="1"/>
      <c r="B90" s="9" t="s">
        <v>135</v>
      </c>
      <c r="C90" s="1"/>
      <c r="D90" s="1"/>
      <c r="E90" s="1"/>
    </row>
    <row r="91">
      <c r="A91" s="1"/>
      <c r="B91" s="23" t="s">
        <v>29</v>
      </c>
      <c r="C91" s="24" t="s">
        <v>5</v>
      </c>
      <c r="D91" s="24" t="s">
        <v>7</v>
      </c>
      <c r="E91" s="24" t="s">
        <v>30</v>
      </c>
      <c r="F91" s="24" t="s">
        <v>31</v>
      </c>
      <c r="G91" s="24" t="s">
        <v>32</v>
      </c>
      <c r="H91" s="24" t="s">
        <v>11</v>
      </c>
      <c r="I91" s="24" t="s">
        <v>13</v>
      </c>
      <c r="J91" s="24" t="s">
        <v>14</v>
      </c>
      <c r="K91" s="24" t="s">
        <v>5</v>
      </c>
      <c r="L91" s="24" t="s">
        <v>7</v>
      </c>
      <c r="M91" s="25" t="s">
        <v>5</v>
      </c>
      <c r="N91" s="25" t="s">
        <v>7</v>
      </c>
    </row>
    <row r="92">
      <c r="A92" s="1"/>
      <c r="B92" s="62" t="str">
        <f>IFERROR(__xludf.DUMMYFUNCTION("QUERY(B5:N69, ""Select B, C, D, E, F, G, H, I, J, K, L, M, N   where F &gt;= 1"")"),"Eric Pan")</f>
        <v>Eric Pan</v>
      </c>
      <c r="C92" s="63">
        <f>IFERROR(__xludf.DUMMYFUNCTION("""COMPUTED_VALUE"""),74.0)</f>
        <v>74</v>
      </c>
      <c r="D92" s="64">
        <f>IFERROR(__xludf.DUMMYFUNCTION("""COMPUTED_VALUE"""),8.0)</f>
        <v>8</v>
      </c>
      <c r="E92" s="63">
        <f>IFERROR(__xludf.DUMMYFUNCTION("""COMPUTED_VALUE"""),2.0)</f>
        <v>2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IFERROR(__xludf.DUMMYFUNCTION("""COMPUTED_VALUE"""),6.0)</f>
        <v>6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IFERROR(__xludf.DUMMYFUNCTION("""COMPUTED_VALUE"""),18.0)</f>
        <v>18</v>
      </c>
      <c r="L92" s="65">
        <f>IFERROR(__xludf.DUMMYFUNCTION("""COMPUTED_VALUE"""),3.0)</f>
        <v>3</v>
      </c>
      <c r="M92" s="65">
        <f>IFERROR(__xludf.DUMMYFUNCTION("""COMPUTED_VALUE"""),92.0)</f>
        <v>92</v>
      </c>
      <c r="N92" s="66">
        <f>IFERROR(__xludf.DUMMYFUNCTION("""COMPUTED_VALUE"""),11.0)</f>
        <v>11</v>
      </c>
    </row>
    <row r="93">
      <c r="A93" s="1"/>
      <c r="B93" s="62" t="str">
        <f>IFERROR(__xludf.DUMMYFUNCTION("""COMPUTED_VALUE"""),"Adrian Tay")</f>
        <v>Adrian Tay</v>
      </c>
      <c r="C93" s="63">
        <f>IFERROR(__xludf.DUMMYFUNCTION("""COMPUTED_VALUE"""),73.0)</f>
        <v>73</v>
      </c>
      <c r="D93" s="64">
        <f>IFERROR(__xludf.DUMMYFUNCTION("""COMPUTED_VALUE"""),9.0)</f>
        <v>9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IFERROR(__xludf.DUMMYFUNCTION("""COMPUTED_VALUE"""),3.0)</f>
        <v>3</v>
      </c>
      <c r="I93" s="65">
        <f>IFERROR(__xludf.DUMMYFUNCTION("""COMPUTED_VALUE"""),3.0)</f>
        <v>3</v>
      </c>
      <c r="J93" s="65">
        <f>IFERROR(__xludf.DUMMYFUNCTION("""COMPUTED_VALUE"""),6.0)</f>
        <v>6</v>
      </c>
      <c r="K93" s="65">
        <f>IFERROR(__xludf.DUMMYFUNCTION("""COMPUTED_VALUE"""),12.0)</f>
        <v>12</v>
      </c>
      <c r="L93" s="65">
        <f>IFERROR(__xludf.DUMMYFUNCTION("""COMPUTED_VALUE"""),1.0)</f>
        <v>1</v>
      </c>
      <c r="M93" s="65">
        <f>IFERROR(__xludf.DUMMYFUNCTION("""COMPUTED_VALUE"""),85.0)</f>
        <v>85</v>
      </c>
      <c r="N93" s="66">
        <f>IFERROR(__xludf.DUMMYFUNCTION("""COMPUTED_VALUE"""),10.0)</f>
        <v>10</v>
      </c>
    </row>
    <row r="94">
      <c r="A94" s="1"/>
      <c r="B94" s="62" t="str">
        <f>IFERROR(__xludf.DUMMYFUNCTION("""COMPUTED_VALUE"""),"Pavan Akkimsetty")</f>
        <v>Pavan Akkimsetty</v>
      </c>
      <c r="C94" s="63">
        <f>IFERROR(__xludf.DUMMYFUNCTION("""COMPUTED_VALUE"""),72.0)</f>
        <v>72</v>
      </c>
      <c r="D94" s="64">
        <f>IFERROR(__xludf.DUMMYFUNCTION("""COMPUTED_VALUE"""),8.0)</f>
        <v>8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IFERROR(__xludf.DUMMYFUNCTION("""COMPUTED_VALUE"""),6.0)</f>
        <v>6</v>
      </c>
      <c r="I94" s="65">
        <f>IFERROR(__xludf.DUMMYFUNCTION("""COMPUTED_VALUE"""),3.0)</f>
        <v>3</v>
      </c>
      <c r="J94" s="65">
        <f>IFERROR(__xludf.DUMMYFUNCTION("""COMPUTED_VALUE"""),0.0)</f>
        <v>0</v>
      </c>
      <c r="K94" s="65">
        <f>IFERROR(__xludf.DUMMYFUNCTION("""COMPUTED_VALUE"""),9.0)</f>
        <v>9</v>
      </c>
      <c r="L94" s="65">
        <f>IFERROR(__xludf.DUMMYFUNCTION("""COMPUTED_VALUE"""),1.0)</f>
        <v>1</v>
      </c>
      <c r="M94" s="65">
        <f>IFERROR(__xludf.DUMMYFUNCTION("""COMPUTED_VALUE"""),81.0)</f>
        <v>81</v>
      </c>
      <c r="N94" s="66">
        <f>IFERROR(__xludf.DUMMYFUNCTION("""COMPUTED_VALUE"""),9.0)</f>
        <v>9</v>
      </c>
    </row>
    <row r="95">
      <c r="A95" s="1"/>
      <c r="B95" s="62" t="str">
        <f>IFERROR(__xludf.DUMMYFUNCTION("""COMPUTED_VALUE"""),"Jonathan Phan")</f>
        <v>Jonathan Phan</v>
      </c>
      <c r="C95" s="63">
        <f>IFERROR(__xludf.DUMMYFUNCTION("""COMPUTED_VALUE"""),71.0)</f>
        <v>71</v>
      </c>
      <c r="D95" s="64">
        <f>IFERROR(__xludf.DUMMYFUNCTION("""COMPUTED_VALUE"""),6.0)</f>
        <v>6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IFERROR(__xludf.DUMMYFUNCTION("""COMPUTED_VALUE"""),3.0)</f>
        <v>3</v>
      </c>
      <c r="I95" s="65">
        <f>IFERROR(__xludf.DUMMYFUNCTION("""COMPUTED_VALUE"""),6.0)</f>
        <v>6</v>
      </c>
      <c r="J95" s="65">
        <f>IFERROR(__xludf.DUMMYFUNCTION("""COMPUTED_VALUE"""),0.0)</f>
        <v>0</v>
      </c>
      <c r="K95" s="65">
        <f>IFERROR(__xludf.DUMMYFUNCTION("""COMPUTED_VALUE"""),9.0)</f>
        <v>9</v>
      </c>
      <c r="L95" s="65">
        <f>IFERROR(__xludf.DUMMYFUNCTION("""COMPUTED_VALUE"""),1.0)</f>
        <v>1</v>
      </c>
      <c r="M95" s="65">
        <f>IFERROR(__xludf.DUMMYFUNCTION("""COMPUTED_VALUE"""),80.0)</f>
        <v>80</v>
      </c>
      <c r="N95" s="66">
        <f>IFERROR(__xludf.DUMMYFUNCTION("""COMPUTED_VALUE"""),7.0)</f>
        <v>7</v>
      </c>
    </row>
    <row r="96">
      <c r="A96" s="1"/>
      <c r="B96" s="67" t="str">
        <f>IFERROR(__xludf.DUMMYFUNCTION("""COMPUTED_VALUE"""),"Ted Shen")</f>
        <v>Ted Shen</v>
      </c>
      <c r="C96" s="68">
        <f>IFERROR(__xludf.DUMMYFUNCTION("""COMPUTED_VALUE"""),69.0)</f>
        <v>69</v>
      </c>
      <c r="D96" s="69">
        <f>IFERROR(__xludf.DUMMYFUNCTION("""COMPUTED_VALUE"""),5.0)</f>
        <v>5</v>
      </c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IFERROR(__xludf.DUMMYFUNCTION("""COMPUTED_VALUE"""),7.0)</f>
        <v>7</v>
      </c>
      <c r="I96" s="70">
        <f>IFERROR(__xludf.DUMMYFUNCTION("""COMPUTED_VALUE"""),2.0)</f>
        <v>2</v>
      </c>
      <c r="J96" s="70">
        <f>IFERROR(__xludf.DUMMYFUNCTION("""COMPUTED_VALUE"""),6.0)</f>
        <v>6</v>
      </c>
      <c r="K96" s="70">
        <f>IFERROR(__xludf.DUMMYFUNCTION("""COMPUTED_VALUE"""),15.0)</f>
        <v>15</v>
      </c>
      <c r="L96" s="70">
        <f>IFERROR(__xludf.DUMMYFUNCTION("""COMPUTED_VALUE"""),2.0)</f>
        <v>2</v>
      </c>
      <c r="M96" s="70">
        <f>IFERROR(__xludf.DUMMYFUNCTION("""COMPUTED_VALUE"""),84.0)</f>
        <v>84</v>
      </c>
      <c r="N96" s="71">
        <f>IFERROR(__xludf.DUMMYFUNCTION("""COMPUTED_VALUE"""),7.0)</f>
        <v>7</v>
      </c>
    </row>
    <row r="97">
      <c r="A97" s="1"/>
      <c r="B97" s="67" t="str">
        <f>IFERROR(__xludf.DUMMYFUNCTION("""COMPUTED_VALUE"""),"Sean Chang")</f>
        <v>Sean Chang</v>
      </c>
      <c r="C97" s="68">
        <f>IFERROR(__xludf.DUMMYFUNCTION("""COMPUTED_VALUE"""),67.0)</f>
        <v>67</v>
      </c>
      <c r="D97" s="69">
        <f>IFERROR(__xludf.DUMMYFUNCTION("""COMPUTED_VALUE"""),5.0)</f>
        <v>5</v>
      </c>
      <c r="E97" s="68">
        <f>IFERROR(__xludf.DUMMYFUNCTION("""COMPUTED_VALUE"""),2.0)</f>
        <v>2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IFERROR(__xludf.DUMMYFUNCTION("""COMPUTED_VALUE"""),7.0)</f>
        <v>7</v>
      </c>
      <c r="I97" s="70">
        <f>IFERROR(__xludf.DUMMYFUNCTION("""COMPUTED_VALUE"""),6.0)</f>
        <v>6</v>
      </c>
      <c r="J97" s="70">
        <f>IFERROR(__xludf.DUMMYFUNCTION("""COMPUTED_VALUE"""),3.0)</f>
        <v>3</v>
      </c>
      <c r="K97" s="70">
        <f>IFERROR(__xludf.DUMMYFUNCTION("""COMPUTED_VALUE"""),16.0)</f>
        <v>16</v>
      </c>
      <c r="L97" s="70">
        <f>IFERROR(__xludf.DUMMYFUNCTION("""COMPUTED_VALUE"""),2.0)</f>
        <v>2</v>
      </c>
      <c r="M97" s="70">
        <f>IFERROR(__xludf.DUMMYFUNCTION("""COMPUTED_VALUE"""),83.0)</f>
        <v>83</v>
      </c>
      <c r="N97" s="71">
        <f>IFERROR(__xludf.DUMMYFUNCTION("""COMPUTED_VALUE"""),7.0)</f>
        <v>7</v>
      </c>
    </row>
    <row r="98">
      <c r="A98" s="1"/>
      <c r="B98" s="67" t="str">
        <f>IFERROR(__xludf.DUMMYFUNCTION("""COMPUTED_VALUE"""),"Joe Luzzi")</f>
        <v>Joe Luzzi</v>
      </c>
      <c r="C98" s="68">
        <f>IFERROR(__xludf.DUMMYFUNCTION("""COMPUTED_VALUE"""),66.0)</f>
        <v>66</v>
      </c>
      <c r="D98" s="69">
        <f>IFERROR(__xludf.DUMMYFUNCTION("""COMPUTED_VALUE"""),7.0)</f>
        <v>7</v>
      </c>
      <c r="E98" s="68">
        <f>IFERROR(__xludf.DUMMYFUNCTION("""COMPUTED_VALUE"""),2.0)</f>
        <v>2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IFERROR(__xludf.DUMMYFUNCTION("""COMPUTED_VALUE"""),2.0)</f>
        <v>2</v>
      </c>
      <c r="J98" s="70">
        <f>IFERROR(__xludf.DUMMYFUNCTION("""COMPUTED_VALUE"""),3.0)</f>
        <v>3</v>
      </c>
      <c r="K98" s="70">
        <f>IFERROR(__xludf.DUMMYFUNCTION("""COMPUTED_VALUE"""),11.0)</f>
        <v>11</v>
      </c>
      <c r="L98" s="70">
        <f>IFERROR(__xludf.DUMMYFUNCTION("""COMPUTED_VALUE"""),0.0)</f>
        <v>0</v>
      </c>
      <c r="M98" s="70">
        <f>IFERROR(__xludf.DUMMYFUNCTION("""COMPUTED_VALUE"""),77.0)</f>
        <v>77</v>
      </c>
      <c r="N98" s="71">
        <f>IFERROR(__xludf.DUMMYFUNCTION("""COMPUTED_VALUE"""),7.0)</f>
        <v>7</v>
      </c>
    </row>
    <row r="99">
      <c r="A99" s="1"/>
      <c r="B99" s="67" t="str">
        <f>IFERROR(__xludf.DUMMYFUNCTION("""COMPUTED_VALUE"""),"David Shin")</f>
        <v>David Shin</v>
      </c>
      <c r="C99" s="68">
        <f>IFERROR(__xludf.DUMMYFUNCTION("""COMPUTED_VALUE"""),66.0)</f>
        <v>66</v>
      </c>
      <c r="D99" s="69">
        <f>IFERROR(__xludf.DUMMYFUNCTION("""COMPUTED_VALUE"""),6.0)</f>
        <v>6</v>
      </c>
      <c r="E99" s="68">
        <f>IFERROR(__xludf.DUMMYFUNCTION("""COMPUTED_VALUE"""),2.0)</f>
        <v>2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IFERROR(__xludf.DUMMYFUNCTION("""COMPUTED_VALUE"""),6.0)</f>
        <v>6</v>
      </c>
      <c r="I99" s="70">
        <f>IFERROR(__xludf.DUMMYFUNCTION("""COMPUTED_VALUE"""),6.0)</f>
        <v>6</v>
      </c>
      <c r="J99" s="70">
        <f>IFERROR(__xludf.DUMMYFUNCTION("""COMPUTED_VALUE"""),6.0)</f>
        <v>6</v>
      </c>
      <c r="K99" s="70">
        <f>IFERROR(__xludf.DUMMYFUNCTION("""COMPUTED_VALUE"""),18.0)</f>
        <v>18</v>
      </c>
      <c r="L99" s="70">
        <f>IFERROR(__xludf.DUMMYFUNCTION("""COMPUTED_VALUE"""),2.0)</f>
        <v>2</v>
      </c>
      <c r="M99" s="70">
        <f>IFERROR(__xludf.DUMMYFUNCTION("""COMPUTED_VALUE"""),84.0)</f>
        <v>84</v>
      </c>
      <c r="N99" s="71">
        <f>IFERROR(__xludf.DUMMYFUNCTION("""COMPUTED_VALUE"""),8.0)</f>
        <v>8</v>
      </c>
    </row>
    <row r="100">
      <c r="A100" s="1"/>
      <c r="B100" s="62" t="str">
        <f>IFERROR(__xludf.DUMMYFUNCTION("""COMPUTED_VALUE"""),"Kingsley Kuo")</f>
        <v>Kingsley Kuo</v>
      </c>
      <c r="C100" s="63">
        <f>IFERROR(__xludf.DUMMYFUNCTION("""COMPUTED_VALUE"""),64.0)</f>
        <v>64</v>
      </c>
      <c r="D100" s="64">
        <f>IFERROR(__xludf.DUMMYFUNCTION("""COMPUTED_VALUE"""),7.0)</f>
        <v>7</v>
      </c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IFERROR(__xludf.DUMMYFUNCTION("""COMPUTED_VALUE"""),4.0)</f>
        <v>4</v>
      </c>
      <c r="I100" s="65">
        <f>IFERROR(__xludf.DUMMYFUNCTION("""COMPUTED_VALUE"""),6.0)</f>
        <v>6</v>
      </c>
      <c r="J100" s="65">
        <f>IFERROR(__xludf.DUMMYFUNCTION("""COMPUTED_VALUE"""),6.0)</f>
        <v>6</v>
      </c>
      <c r="K100" s="65">
        <f>IFERROR(__xludf.DUMMYFUNCTION("""COMPUTED_VALUE"""),16.0)</f>
        <v>16</v>
      </c>
      <c r="L100" s="65">
        <f>IFERROR(__xludf.DUMMYFUNCTION("""COMPUTED_VALUE"""),1.0)</f>
        <v>1</v>
      </c>
      <c r="M100" s="65">
        <f>IFERROR(__xludf.DUMMYFUNCTION("""COMPUTED_VALUE"""),80.0)</f>
        <v>80</v>
      </c>
      <c r="N100" s="66">
        <f>IFERROR(__xludf.DUMMYFUNCTION("""COMPUTED_VALUE"""),8.0)</f>
        <v>8</v>
      </c>
    </row>
    <row r="101">
      <c r="A101" s="1"/>
      <c r="B101" s="62" t="str">
        <f>IFERROR(__xludf.DUMMYFUNCTION("""COMPUTED_VALUE"""),"Lam Bui")</f>
        <v>Lam Bui</v>
      </c>
      <c r="C101" s="63">
        <f>IFERROR(__xludf.DUMMYFUNCTION("""COMPUTED_VALUE"""),62.0)</f>
        <v>62</v>
      </c>
      <c r="D101" s="64">
        <f>IFERROR(__xludf.DUMMYFUNCTION("""COMPUTED_VALUE"""),4.0)</f>
        <v>4</v>
      </c>
      <c r="E101" s="63">
        <f>IFERROR(__xludf.DUMMYFUNCTION("""COMPUTED_VALUE"""),2.0)</f>
        <v>2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IFERROR(__xludf.DUMMYFUNCTION("""COMPUTED_VALUE"""),6.0)</f>
        <v>6</v>
      </c>
      <c r="J101" s="65">
        <f>IFERROR(__xludf.DUMMYFUNCTION("""COMPUTED_VALUE"""),7.0)</f>
        <v>7</v>
      </c>
      <c r="K101" s="65">
        <f>IFERROR(__xludf.DUMMYFUNCTION("""COMPUTED_VALUE"""),19.0)</f>
        <v>19</v>
      </c>
      <c r="L101" s="65">
        <f>IFERROR(__xludf.DUMMYFUNCTION("""COMPUTED_VALUE"""),3.0)</f>
        <v>3</v>
      </c>
      <c r="M101" s="65">
        <f>IFERROR(__xludf.DUMMYFUNCTION("""COMPUTED_VALUE"""),81.0)</f>
        <v>81</v>
      </c>
      <c r="N101" s="66">
        <f>IFERROR(__xludf.DUMMYFUNCTION("""COMPUTED_VALUE"""),7.0)</f>
        <v>7</v>
      </c>
    </row>
    <row r="102">
      <c r="A102" s="1"/>
      <c r="B102" s="62" t="str">
        <f>IFERROR(__xludf.DUMMYFUNCTION("""COMPUTED_VALUE"""),"Erik Hoeckmann")</f>
        <v>Erik Hoeckmann</v>
      </c>
      <c r="C102" s="63">
        <f>IFERROR(__xludf.DUMMYFUNCTION("""COMPUTED_VALUE"""),61.0)</f>
        <v>61</v>
      </c>
      <c r="D102" s="64">
        <f>IFERROR(__xludf.DUMMYFUNCTION("""COMPUTED_VALUE"""),8.0)</f>
        <v>8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IFERROR(__xludf.DUMMYFUNCTION("""COMPUTED_VALUE"""),4.0)</f>
        <v>4</v>
      </c>
      <c r="I102" s="65">
        <f>IFERROR(__xludf.DUMMYFUNCTION("""COMPUTED_VALUE"""),4.0)</f>
        <v>4</v>
      </c>
      <c r="J102" s="65">
        <f>IFERROR(__xludf.DUMMYFUNCTION("""COMPUTED_VALUE"""),7.0)</f>
        <v>7</v>
      </c>
      <c r="K102" s="65">
        <f>IFERROR(__xludf.DUMMYFUNCTION("""COMPUTED_VALUE"""),15.0)</f>
        <v>15</v>
      </c>
      <c r="L102" s="65">
        <f>IFERROR(__xludf.DUMMYFUNCTION("""COMPUTED_VALUE"""),1.0)</f>
        <v>1</v>
      </c>
      <c r="M102" s="65">
        <f>IFERROR(__xludf.DUMMYFUNCTION("""COMPUTED_VALUE"""),76.0)</f>
        <v>76</v>
      </c>
      <c r="N102" s="66">
        <f>IFERROR(__xludf.DUMMYFUNCTION("""COMPUTED_VALUE"""),9.0)</f>
        <v>9</v>
      </c>
    </row>
    <row r="103">
      <c r="A103" s="1"/>
      <c r="B103" s="62" t="str">
        <f>IFERROR(__xludf.DUMMYFUNCTION("""COMPUTED_VALUE"""),"Andrew Chin")</f>
        <v>Andrew Chin</v>
      </c>
      <c r="C103" s="63">
        <f>IFERROR(__xludf.DUMMYFUNCTION("""COMPUTED_VALUE"""),61.0)</f>
        <v>61</v>
      </c>
      <c r="D103" s="64">
        <f>IFERROR(__xludf.DUMMYFUNCTION("""COMPUTED_VALUE"""),7.0)</f>
        <v>7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IFERROR(__xludf.DUMMYFUNCTION("""COMPUTED_VALUE"""),6.0)</f>
        <v>6</v>
      </c>
      <c r="I103" s="65">
        <f>IFERROR(__xludf.DUMMYFUNCTION("""COMPUTED_VALUE"""),4.0)</f>
        <v>4</v>
      </c>
      <c r="J103" s="65">
        <f>IFERROR(__xludf.DUMMYFUNCTION("""COMPUTED_VALUE"""),6.0)</f>
        <v>6</v>
      </c>
      <c r="K103" s="65">
        <f>IFERROR(__xludf.DUMMYFUNCTION("""COMPUTED_VALUE"""),16.0)</f>
        <v>16</v>
      </c>
      <c r="L103" s="65">
        <f>IFERROR(__xludf.DUMMYFUNCTION("""COMPUTED_VALUE"""),1.0)</f>
        <v>1</v>
      </c>
      <c r="M103" s="65">
        <f>IFERROR(__xludf.DUMMYFUNCTION("""COMPUTED_VALUE"""),77.0)</f>
        <v>77</v>
      </c>
      <c r="N103" s="66">
        <f>IFERROR(__xludf.DUMMYFUNCTION("""COMPUTED_VALUE"""),8.0)</f>
        <v>8</v>
      </c>
    </row>
    <row r="104">
      <c r="A104" s="1"/>
      <c r="B104" s="67" t="str">
        <f>IFERROR(__xludf.DUMMYFUNCTION("""COMPUTED_VALUE"""),"Matthew Huang")</f>
        <v>Matthew Huang</v>
      </c>
      <c r="C104" s="68">
        <f>IFERROR(__xludf.DUMMYFUNCTION("""COMPUTED_VALUE"""),59.0)</f>
        <v>59</v>
      </c>
      <c r="D104" s="69">
        <f>IFERROR(__xludf.DUMMYFUNCTION("""COMPUTED_VALUE"""),2.0)</f>
        <v>2</v>
      </c>
      <c r="E104" s="68">
        <f>IFERROR(__xludf.DUMMYFUNCTION("""COMPUTED_VALUE"""),2.0)</f>
        <v>2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IFERROR(__xludf.DUMMYFUNCTION("""COMPUTED_VALUE"""),3.0)</f>
        <v>3</v>
      </c>
      <c r="I104" s="70">
        <f>IFERROR(__xludf.DUMMYFUNCTION("""COMPUTED_VALUE"""),3.0)</f>
        <v>3</v>
      </c>
      <c r="J104" s="70">
        <f>IFERROR(__xludf.DUMMYFUNCTION("""COMPUTED_VALUE"""),6.0)</f>
        <v>6</v>
      </c>
      <c r="K104" s="70">
        <f>IFERROR(__xludf.DUMMYFUNCTION("""COMPUTED_VALUE"""),12.0)</f>
        <v>12</v>
      </c>
      <c r="L104" s="70">
        <f>IFERROR(__xludf.DUMMYFUNCTION("""COMPUTED_VALUE"""),1.0)</f>
        <v>1</v>
      </c>
      <c r="M104" s="70">
        <f>IFERROR(__xludf.DUMMYFUNCTION("""COMPUTED_VALUE"""),71.0)</f>
        <v>71</v>
      </c>
      <c r="N104" s="71">
        <f>IFERROR(__xludf.DUMMYFUNCTION("""COMPUTED_VALUE"""),3.0)</f>
        <v>3</v>
      </c>
    </row>
    <row r="105">
      <c r="A105" s="1"/>
      <c r="B105" s="67" t="str">
        <f>IFERROR(__xludf.DUMMYFUNCTION("""COMPUTED_VALUE"""),"Manish Anand")</f>
        <v>Manish Anand</v>
      </c>
      <c r="C105" s="68">
        <f>IFERROR(__xludf.DUMMYFUNCTION("""COMPUTED_VALUE"""),57.0)</f>
        <v>57</v>
      </c>
      <c r="D105" s="69">
        <f>IFERROR(__xludf.DUMMYFUNCTION("""COMPUTED_VALUE"""),3.0)</f>
        <v>3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IFERROR(__xludf.DUMMYFUNCTION("""COMPUTED_VALUE"""),3.0)</f>
        <v>3</v>
      </c>
      <c r="I105" s="70">
        <f>IFERROR(__xludf.DUMMYFUNCTION("""COMPUTED_VALUE"""),6.0)</f>
        <v>6</v>
      </c>
      <c r="J105" s="70">
        <f>IFERROR(__xludf.DUMMYFUNCTION("""COMPUTED_VALUE"""),0.0)</f>
        <v>0</v>
      </c>
      <c r="K105" s="70">
        <f>IFERROR(__xludf.DUMMYFUNCTION("""COMPUTED_VALUE"""),9.0)</f>
        <v>9</v>
      </c>
      <c r="L105" s="70">
        <f>IFERROR(__xludf.DUMMYFUNCTION("""COMPUTED_VALUE"""),1.0)</f>
        <v>1</v>
      </c>
      <c r="M105" s="70">
        <f>IFERROR(__xludf.DUMMYFUNCTION("""COMPUTED_VALUE"""),66.0)</f>
        <v>66</v>
      </c>
      <c r="N105" s="71">
        <f>IFERROR(__xludf.DUMMYFUNCTION("""COMPUTED_VALUE"""),4.0)</f>
        <v>4</v>
      </c>
    </row>
    <row r="106">
      <c r="A106" s="1"/>
      <c r="B106" s="67" t="str">
        <f>IFERROR(__xludf.DUMMYFUNCTION("""COMPUTED_VALUE"""),"Peter Cheng")</f>
        <v>Peter Cheng</v>
      </c>
      <c r="C106" s="68">
        <f>IFERROR(__xludf.DUMMYFUNCTION("""COMPUTED_VALUE"""),57.0)</f>
        <v>57</v>
      </c>
      <c r="D106" s="69">
        <f>IFERROR(__xludf.DUMMYFUNCTION("""COMPUTED_VALUE"""),2.0)</f>
        <v>2</v>
      </c>
      <c r="E106" s="68">
        <f>IFERROR(__xludf.DUMMYFUNCTION("""COMPUTED_VALUE"""),2.0)</f>
        <v>2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IFERROR(__xludf.DUMMYFUNCTION("""COMPUTED_VALUE"""),6.0)</f>
        <v>6</v>
      </c>
      <c r="I106" s="70">
        <f>IFERROR(__xludf.DUMMYFUNCTION("""COMPUTED_VALUE"""),6.0)</f>
        <v>6</v>
      </c>
      <c r="J106" s="70">
        <f>IFERROR(__xludf.DUMMYFUNCTION("""COMPUTED_VALUE"""),6.0)</f>
        <v>6</v>
      </c>
      <c r="K106" s="70">
        <f>IFERROR(__xludf.DUMMYFUNCTION("""COMPUTED_VALUE"""),18.0)</f>
        <v>18</v>
      </c>
      <c r="L106" s="70">
        <f>IFERROR(__xludf.DUMMYFUNCTION("""COMPUTED_VALUE"""),3.0)</f>
        <v>3</v>
      </c>
      <c r="M106" s="70">
        <f>IFERROR(__xludf.DUMMYFUNCTION("""COMPUTED_VALUE"""),75.0)</f>
        <v>75</v>
      </c>
      <c r="N106" s="71">
        <f>IFERROR(__xludf.DUMMYFUNCTION("""COMPUTED_VALUE"""),5.0)</f>
        <v>5</v>
      </c>
    </row>
    <row r="107">
      <c r="A107" s="1"/>
      <c r="B107" s="67" t="str">
        <f>IFERROR(__xludf.DUMMYFUNCTION("""COMPUTED_VALUE"""),"Scott Li")</f>
        <v>Scott Li</v>
      </c>
      <c r="C107" s="68">
        <f>IFERROR(__xludf.DUMMYFUNCTION("""COMPUTED_VALUE"""),56.0)</f>
        <v>56</v>
      </c>
      <c r="D107" s="69">
        <f>IFERROR(__xludf.DUMMYFUNCTION("""COMPUTED_VALUE"""),5.0)</f>
        <v>5</v>
      </c>
      <c r="E107" s="68">
        <f>IFERROR(__xludf.DUMMYFUNCTION("""COMPUTED_VALUE"""),1.0)</f>
        <v>1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IFERROR(__xludf.DUMMYFUNCTION("""COMPUTED_VALUE"""),6.0)</f>
        <v>6</v>
      </c>
      <c r="I107" s="70">
        <f>IFERROR(__xludf.DUMMYFUNCTION("""COMPUTED_VALUE"""),3.0)</f>
        <v>3</v>
      </c>
      <c r="J107" s="70">
        <f>IFERROR(__xludf.DUMMYFUNCTION("""COMPUTED_VALUE"""),0.0)</f>
        <v>0</v>
      </c>
      <c r="K107" s="70">
        <f>IFERROR(__xludf.DUMMYFUNCTION("""COMPUTED_VALUE"""),9.0)</f>
        <v>9</v>
      </c>
      <c r="L107" s="70">
        <f>IFERROR(__xludf.DUMMYFUNCTION("""COMPUTED_VALUE"""),1.0)</f>
        <v>1</v>
      </c>
      <c r="M107" s="70">
        <f>IFERROR(__xludf.DUMMYFUNCTION("""COMPUTED_VALUE"""),65.0)</f>
        <v>65</v>
      </c>
      <c r="N107" s="71">
        <f>IFERROR(__xludf.DUMMYFUNCTION("""COMPUTED_VALUE"""),6.0)</f>
        <v>6</v>
      </c>
    </row>
    <row r="108">
      <c r="A108" s="1"/>
      <c r="B108" s="62" t="str">
        <f>IFERROR(__xludf.DUMMYFUNCTION("""COMPUTED_VALUE"""),"Andrew Wen")</f>
        <v>Andrew Wen</v>
      </c>
      <c r="C108" s="63">
        <f>IFERROR(__xludf.DUMMYFUNCTION("""COMPUTED_VALUE"""),54.0)</f>
        <v>54</v>
      </c>
      <c r="D108" s="64">
        <f>IFERROR(__xludf.DUMMYFUNCTION("""COMPUTED_VALUE"""),6.0)</f>
        <v>6</v>
      </c>
      <c r="E108" s="63">
        <f>IFERROR(__xludf.DUMMYFUNCTION("""COMPUTED_VALUE"""),1.0)</f>
        <v>1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IFERROR(__xludf.DUMMYFUNCTION("""COMPUTED_VALUE"""),6.0)</f>
        <v>6</v>
      </c>
      <c r="I108" s="65">
        <f>IFERROR(__xludf.DUMMYFUNCTION("""COMPUTED_VALUE"""),4.0)</f>
        <v>4</v>
      </c>
      <c r="J108" s="65">
        <f>IFERROR(__xludf.DUMMYFUNCTION("""COMPUTED_VALUE"""),4.0)</f>
        <v>4</v>
      </c>
      <c r="K108" s="65">
        <f>IFERROR(__xludf.DUMMYFUNCTION("""COMPUTED_VALUE"""),14.0)</f>
        <v>14</v>
      </c>
      <c r="L108" s="65">
        <f>IFERROR(__xludf.DUMMYFUNCTION("""COMPUTED_VALUE"""),1.0)</f>
        <v>1</v>
      </c>
      <c r="M108" s="65">
        <f>IFERROR(__xludf.DUMMYFUNCTION("""COMPUTED_VALUE"""),68.0)</f>
        <v>68</v>
      </c>
      <c r="N108" s="66">
        <f>IFERROR(__xludf.DUMMYFUNCTION("""COMPUTED_VALUE"""),7.0)</f>
        <v>7</v>
      </c>
    </row>
    <row r="109">
      <c r="A109" s="1"/>
      <c r="B109" s="62" t="str">
        <f>IFERROR(__xludf.DUMMYFUNCTION("""COMPUTED_VALUE"""),"Naveen Raj")</f>
        <v>Naveen Raj</v>
      </c>
      <c r="C109" s="63">
        <f>IFERROR(__xludf.DUMMYFUNCTION("""COMPUTED_VALUE"""),54.0)</f>
        <v>54</v>
      </c>
      <c r="D109" s="64">
        <f>IFERROR(__xludf.DUMMYFUNCTION("""COMPUTED_VALUE"""),4.0)</f>
        <v>4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IFERROR(__xludf.DUMMYFUNCTION("""COMPUTED_VALUE"""),6.0)</f>
        <v>6</v>
      </c>
      <c r="J109" s="65">
        <f>IFERROR(__xludf.DUMMYFUNCTION("""COMPUTED_VALUE"""),6.0)</f>
        <v>6</v>
      </c>
      <c r="K109" s="65">
        <f>IFERROR(__xludf.DUMMYFUNCTION("""COMPUTED_VALUE"""),18.0)</f>
        <v>18</v>
      </c>
      <c r="L109" s="65">
        <f>IFERROR(__xludf.DUMMYFUNCTION("""COMPUTED_VALUE"""),3.0)</f>
        <v>3</v>
      </c>
      <c r="M109" s="65">
        <f>IFERROR(__xludf.DUMMYFUNCTION("""COMPUTED_VALUE"""),72.0)</f>
        <v>72</v>
      </c>
      <c r="N109" s="66">
        <f>IFERROR(__xludf.DUMMYFUNCTION("""COMPUTED_VALUE"""),7.0)</f>
        <v>7</v>
      </c>
    </row>
    <row r="110">
      <c r="A110" s="1"/>
      <c r="B110" s="62" t="str">
        <f>IFERROR(__xludf.DUMMYFUNCTION("""COMPUTED_VALUE"""),"Sudhagar Subbaian")</f>
        <v>Sudhagar Subbaian</v>
      </c>
      <c r="C110" s="63">
        <f>IFERROR(__xludf.DUMMYFUNCTION("""COMPUTED_VALUE"""),54.0)</f>
        <v>54</v>
      </c>
      <c r="D110" s="64">
        <f>IFERROR(__xludf.DUMMYFUNCTION("""COMPUTED_VALUE"""),3.0)</f>
        <v>3</v>
      </c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IFERROR(__xludf.DUMMYFUNCTION("""COMPUTED_VALUE"""),2.0)</f>
        <v>2</v>
      </c>
      <c r="I110" s="65">
        <f>IFERROR(__xludf.DUMMYFUNCTION("""COMPUTED_VALUE"""),4.0)</f>
        <v>4</v>
      </c>
      <c r="J110" s="65">
        <f>IFERROR(__xludf.DUMMYFUNCTION("""COMPUTED_VALUE"""),6.0)</f>
        <v>6</v>
      </c>
      <c r="K110" s="65">
        <f>IFERROR(__xludf.DUMMYFUNCTION("""COMPUTED_VALUE"""),12.0)</f>
        <v>12</v>
      </c>
      <c r="L110" s="65">
        <f>IFERROR(__xludf.DUMMYFUNCTION("""COMPUTED_VALUE"""),1.0)</f>
        <v>1</v>
      </c>
      <c r="M110" s="65">
        <f>IFERROR(__xludf.DUMMYFUNCTION("""COMPUTED_VALUE"""),66.0)</f>
        <v>66</v>
      </c>
      <c r="N110" s="66">
        <f>IFERROR(__xludf.DUMMYFUNCTION("""COMPUTED_VALUE"""),4.0)</f>
        <v>4</v>
      </c>
    </row>
    <row r="111">
      <c r="A111" s="1"/>
      <c r="B111" s="62" t="str">
        <f>IFERROR(__xludf.DUMMYFUNCTION("""COMPUTED_VALUE"""),"Elayaraja Thangaraj ")</f>
        <v>Elayaraja Thangaraj </v>
      </c>
      <c r="C111" s="63">
        <f>IFERROR(__xludf.DUMMYFUNCTION("""COMPUTED_VALUE"""),53.0)</f>
        <v>53</v>
      </c>
      <c r="D111" s="64">
        <f>IFERROR(__xludf.DUMMYFUNCTION("""COMPUTED_VALUE"""),5.0)</f>
        <v>5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IFERROR(__xludf.DUMMYFUNCTION("""COMPUTED_VALUE"""),2.0)</f>
        <v>2</v>
      </c>
      <c r="I111" s="65">
        <f>IFERROR(__xludf.DUMMYFUNCTION("""COMPUTED_VALUE"""),6.0)</f>
        <v>6</v>
      </c>
      <c r="J111" s="65">
        <f>IFERROR(__xludf.DUMMYFUNCTION("""COMPUTED_VALUE"""),4.0)</f>
        <v>4</v>
      </c>
      <c r="K111" s="65">
        <f>IFERROR(__xludf.DUMMYFUNCTION("""COMPUTED_VALUE"""),12.0)</f>
        <v>12</v>
      </c>
      <c r="L111" s="65">
        <f>IFERROR(__xludf.DUMMYFUNCTION("""COMPUTED_VALUE"""),1.0)</f>
        <v>1</v>
      </c>
      <c r="M111" s="65">
        <f>IFERROR(__xludf.DUMMYFUNCTION("""COMPUTED_VALUE"""),65.0)</f>
        <v>65</v>
      </c>
      <c r="N111" s="66">
        <f>IFERROR(__xludf.DUMMYFUNCTION("""COMPUTED_VALUE"""),6.0)</f>
        <v>6</v>
      </c>
    </row>
    <row r="112">
      <c r="A112" s="1"/>
      <c r="B112" s="67" t="str">
        <f>IFERROR(__xludf.DUMMYFUNCTION("""COMPUTED_VALUE"""),"Rajasekar Ramasamy")</f>
        <v>Rajasekar Ramasamy</v>
      </c>
      <c r="C112" s="68">
        <f>IFERROR(__xludf.DUMMYFUNCTION("""COMPUTED_VALUE"""),53.0)</f>
        <v>53</v>
      </c>
      <c r="D112" s="69">
        <f>IFERROR(__xludf.DUMMYFUNCTION("""COMPUTED_VALUE"""),3.0)</f>
        <v>3</v>
      </c>
      <c r="E112" s="68">
        <f>IFERROR(__xludf.DUMMYFUNCTION("""COMPUTED_VALUE"""),1.0)</f>
        <v>1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IFERROR(__xludf.DUMMYFUNCTION("""COMPUTED_VALUE"""),4.0)</f>
        <v>4</v>
      </c>
      <c r="J112" s="70">
        <f>IFERROR(__xludf.DUMMYFUNCTION("""COMPUTED_VALUE"""),3.0)</f>
        <v>3</v>
      </c>
      <c r="K112" s="70">
        <f>IFERROR(__xludf.DUMMYFUNCTION("""COMPUTED_VALUE"""),13.0)</f>
        <v>13</v>
      </c>
      <c r="L112" s="70">
        <f>IFERROR(__xludf.DUMMYFUNCTION("""COMPUTED_VALUE"""),1.0)</f>
        <v>1</v>
      </c>
      <c r="M112" s="70">
        <f>IFERROR(__xludf.DUMMYFUNCTION("""COMPUTED_VALUE"""),66.0)</f>
        <v>66</v>
      </c>
      <c r="N112" s="71">
        <f>IFERROR(__xludf.DUMMYFUNCTION("""COMPUTED_VALUE"""),4.0)</f>
        <v>4</v>
      </c>
    </row>
    <row r="113">
      <c r="A113" s="1"/>
      <c r="B113" s="67" t="str">
        <f>IFERROR(__xludf.DUMMYFUNCTION("""COMPUTED_VALUE"""),"Peter Homsey")</f>
        <v>Peter Homsey</v>
      </c>
      <c r="C113" s="68">
        <f>IFERROR(__xludf.DUMMYFUNCTION("""COMPUTED_VALUE"""),53.0)</f>
        <v>53</v>
      </c>
      <c r="D113" s="69">
        <f>IFERROR(__xludf.DUMMYFUNCTION("""COMPUTED_VALUE"""),3.0)</f>
        <v>3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IFERROR(__xludf.DUMMYFUNCTION("""COMPUTED_VALUE"""),6.0)</f>
        <v>6</v>
      </c>
      <c r="J113" s="70">
        <f>IFERROR(__xludf.DUMMYFUNCTION("""COMPUTED_VALUE"""),6.0)</f>
        <v>6</v>
      </c>
      <c r="K113" s="70">
        <f>IFERROR(__xludf.DUMMYFUNCTION("""COMPUTED_VALUE"""),18.0)</f>
        <v>18</v>
      </c>
      <c r="L113" s="70">
        <f>IFERROR(__xludf.DUMMYFUNCTION("""COMPUTED_VALUE"""),3.0)</f>
        <v>3</v>
      </c>
      <c r="M113" s="70">
        <f>IFERROR(__xludf.DUMMYFUNCTION("""COMPUTED_VALUE"""),71.0)</f>
        <v>71</v>
      </c>
      <c r="N113" s="71">
        <f>IFERROR(__xludf.DUMMYFUNCTION("""COMPUTED_VALUE"""),6.0)</f>
        <v>6</v>
      </c>
    </row>
    <row r="114">
      <c r="A114" s="1"/>
      <c r="B114" s="67" t="str">
        <f>IFERROR(__xludf.DUMMYFUNCTION("""COMPUTED_VALUE"""),"Trinath Goteti")</f>
        <v>Trinath Goteti</v>
      </c>
      <c r="C114" s="68">
        <f>IFERROR(__xludf.DUMMYFUNCTION("""COMPUTED_VALUE"""),53.0)</f>
        <v>53</v>
      </c>
      <c r="D114" s="69">
        <f>IFERROR(__xludf.DUMMYFUNCTION("""COMPUTED_VALUE"""),0.0)</f>
        <v>0</v>
      </c>
      <c r="E114" s="68">
        <f>IFERROR(__xludf.DUMMYFUNCTION("""COMPUTED_VALUE"""),2.0)</f>
        <v>2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IFERROR(__xludf.DUMMYFUNCTION("""COMPUTED_VALUE"""),2.0)</f>
        <v>2</v>
      </c>
      <c r="I114" s="70">
        <f>IFERROR(__xludf.DUMMYFUNCTION("""COMPUTED_VALUE"""),4.0)</f>
        <v>4</v>
      </c>
      <c r="J114" s="70">
        <f>IFERROR(__xludf.DUMMYFUNCTION("""COMPUTED_VALUE"""),6.0)</f>
        <v>6</v>
      </c>
      <c r="K114" s="70">
        <f>IFERROR(__xludf.DUMMYFUNCTION("""COMPUTED_VALUE"""),12.0)</f>
        <v>12</v>
      </c>
      <c r="L114" s="70">
        <f>IFERROR(__xludf.DUMMYFUNCTION("""COMPUTED_VALUE"""),1.0)</f>
        <v>1</v>
      </c>
      <c r="M114" s="70">
        <f>IFERROR(__xludf.DUMMYFUNCTION("""COMPUTED_VALUE"""),65.0)</f>
        <v>65</v>
      </c>
      <c r="N114" s="71">
        <f>IFERROR(__xludf.DUMMYFUNCTION("""COMPUTED_VALUE"""),1.0)</f>
        <v>1</v>
      </c>
    </row>
    <row r="115">
      <c r="A115" s="1"/>
      <c r="B115" s="67" t="str">
        <f>IFERROR(__xludf.DUMMYFUNCTION("""COMPUTED_VALUE"""),"Jimmy Awolesi")</f>
        <v>Jimmy Awolesi</v>
      </c>
      <c r="C115" s="68">
        <f>IFERROR(__xludf.DUMMYFUNCTION("""COMPUTED_VALUE"""),52.0)</f>
        <v>52</v>
      </c>
      <c r="D115" s="69">
        <f>IFERROR(__xludf.DUMMYFUNCTION("""COMPUTED_VALUE"""),5.0)</f>
        <v>5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IFERROR(__xludf.DUMMYFUNCTION("""COMPUTED_VALUE"""),2.0)</f>
        <v>2</v>
      </c>
      <c r="I115" s="70">
        <f>IFERROR(__xludf.DUMMYFUNCTION("""COMPUTED_VALUE"""),6.0)</f>
        <v>6</v>
      </c>
      <c r="J115" s="70">
        <f>IFERROR(__xludf.DUMMYFUNCTION("""COMPUTED_VALUE"""),3.0)</f>
        <v>3</v>
      </c>
      <c r="K115" s="70">
        <f>IFERROR(__xludf.DUMMYFUNCTION("""COMPUTED_VALUE"""),11.0)</f>
        <v>11</v>
      </c>
      <c r="L115" s="70">
        <f>IFERROR(__xludf.DUMMYFUNCTION("""COMPUTED_VALUE"""),1.0)</f>
        <v>1</v>
      </c>
      <c r="M115" s="70">
        <f>IFERROR(__xludf.DUMMYFUNCTION("""COMPUTED_VALUE"""),63.0)</f>
        <v>63</v>
      </c>
      <c r="N115" s="71">
        <f>IFERROR(__xludf.DUMMYFUNCTION("""COMPUTED_VALUE"""),6.0)</f>
        <v>6</v>
      </c>
    </row>
    <row r="116">
      <c r="A116" s="1"/>
      <c r="B116" s="62" t="str">
        <f>IFERROR(__xludf.DUMMYFUNCTION("""COMPUTED_VALUE"""),"Vamsi Lolla ")</f>
        <v>Vamsi Lolla </v>
      </c>
      <c r="C116" s="63">
        <f>IFERROR(__xludf.DUMMYFUNCTION("""COMPUTED_VALUE"""),52.0)</f>
        <v>52</v>
      </c>
      <c r="D116" s="64">
        <f>IFERROR(__xludf.DUMMYFUNCTION("""COMPUTED_VALUE"""),2.0)</f>
        <v>2</v>
      </c>
      <c r="E116" s="63">
        <f>IFERROR(__xludf.DUMMYFUNCTION("""COMPUTED_VALUE"""),2.0)</f>
        <v>2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IFERROR(__xludf.DUMMYFUNCTION("""COMPUTED_VALUE"""),6.0)</f>
        <v>6</v>
      </c>
      <c r="I116" s="65">
        <f>IFERROR(__xludf.DUMMYFUNCTION("""COMPUTED_VALUE"""),4.0)</f>
        <v>4</v>
      </c>
      <c r="J116" s="65">
        <f>IFERROR(__xludf.DUMMYFUNCTION("""COMPUTED_VALUE"""),6.0)</f>
        <v>6</v>
      </c>
      <c r="K116" s="65">
        <f>IFERROR(__xludf.DUMMYFUNCTION("""COMPUTED_VALUE"""),16.0)</f>
        <v>16</v>
      </c>
      <c r="L116" s="65">
        <f>IFERROR(__xludf.DUMMYFUNCTION("""COMPUTED_VALUE"""),2.0)</f>
        <v>2</v>
      </c>
      <c r="M116" s="65">
        <f>IFERROR(__xludf.DUMMYFUNCTION("""COMPUTED_VALUE"""),68.0)</f>
        <v>68</v>
      </c>
      <c r="N116" s="66">
        <f>IFERROR(__xludf.DUMMYFUNCTION("""COMPUTED_VALUE"""),4.0)</f>
        <v>4</v>
      </c>
    </row>
    <row r="117">
      <c r="A117" s="1"/>
      <c r="B117" s="62" t="str">
        <f>IFERROR(__xludf.DUMMYFUNCTION("""COMPUTED_VALUE"""),"Vishnu Amarnath")</f>
        <v>Vishnu Amarnath</v>
      </c>
      <c r="C117" s="63">
        <f>IFERROR(__xludf.DUMMYFUNCTION("""COMPUTED_VALUE"""),51.0)</f>
        <v>51</v>
      </c>
      <c r="D117" s="64">
        <f>IFERROR(__xludf.DUMMYFUNCTION("""COMPUTED_VALUE"""),4.0)</f>
        <v>4</v>
      </c>
      <c r="E117" s="63">
        <f>IFERROR(__xludf.DUMMYFUNCTION("""COMPUTED_VALUE"""),1.0)</f>
        <v>1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IFERROR(__xludf.DUMMYFUNCTION("""COMPUTED_VALUE"""),3.0)</f>
        <v>3</v>
      </c>
      <c r="I117" s="65">
        <f>IFERROR(__xludf.DUMMYFUNCTION("""COMPUTED_VALUE"""),4.0)</f>
        <v>4</v>
      </c>
      <c r="J117" s="65">
        <f>IFERROR(__xludf.DUMMYFUNCTION("""COMPUTED_VALUE"""),1.0)</f>
        <v>1</v>
      </c>
      <c r="K117" s="65">
        <f>IFERROR(__xludf.DUMMYFUNCTION("""COMPUTED_VALUE"""),8.0)</f>
        <v>8</v>
      </c>
      <c r="L117" s="65">
        <f>IFERROR(__xludf.DUMMYFUNCTION("""COMPUTED_VALUE"""),0.0)</f>
        <v>0</v>
      </c>
      <c r="M117" s="65">
        <f>IFERROR(__xludf.DUMMYFUNCTION("""COMPUTED_VALUE"""),59.0)</f>
        <v>59</v>
      </c>
      <c r="N117" s="66">
        <f>IFERROR(__xludf.DUMMYFUNCTION("""COMPUTED_VALUE"""),4.0)</f>
        <v>4</v>
      </c>
    </row>
    <row r="118">
      <c r="A118" s="1"/>
      <c r="B118" s="62" t="str">
        <f>IFERROR(__xludf.DUMMYFUNCTION("""COMPUTED_VALUE"""),"Ramesh Bandaru")</f>
        <v>Ramesh Bandaru</v>
      </c>
      <c r="C118" s="63">
        <f>IFERROR(__xludf.DUMMYFUNCTION("""COMPUTED_VALUE"""),51.0)</f>
        <v>51</v>
      </c>
      <c r="D118" s="64">
        <f>IFERROR(__xludf.DUMMYFUNCTION("""COMPUTED_VALUE"""),2.0)</f>
        <v>2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IFERROR(__xludf.DUMMYFUNCTION("""COMPUTED_VALUE"""),3.0)</f>
        <v>3</v>
      </c>
      <c r="I118" s="65">
        <f>IFERROR(__xludf.DUMMYFUNCTION("""COMPUTED_VALUE"""),6.0)</f>
        <v>6</v>
      </c>
      <c r="J118" s="65">
        <f>IFERROR(__xludf.DUMMYFUNCTION("""COMPUTED_VALUE"""),6.0)</f>
        <v>6</v>
      </c>
      <c r="K118" s="65">
        <f>IFERROR(__xludf.DUMMYFUNCTION("""COMPUTED_VALUE"""),15.0)</f>
        <v>15</v>
      </c>
      <c r="L118" s="65">
        <f>IFERROR(__xludf.DUMMYFUNCTION("""COMPUTED_VALUE"""),2.0)</f>
        <v>2</v>
      </c>
      <c r="M118" s="65">
        <f>IFERROR(__xludf.DUMMYFUNCTION("""COMPUTED_VALUE"""),66.0)</f>
        <v>66</v>
      </c>
      <c r="N118" s="66">
        <f>IFERROR(__xludf.DUMMYFUNCTION("""COMPUTED_VALUE"""),4.0)</f>
        <v>4</v>
      </c>
    </row>
    <row r="119">
      <c r="A119" s="1"/>
      <c r="B119" s="62" t="str">
        <f>IFERROR(__xludf.DUMMYFUNCTION("""COMPUTED_VALUE"""),"Vinaya Kajla")</f>
        <v>Vinaya Kajla</v>
      </c>
      <c r="C119" s="63">
        <f>IFERROR(__xludf.DUMMYFUNCTION("""COMPUTED_VALUE"""),50.0)</f>
        <v>50</v>
      </c>
      <c r="D119" s="64">
        <f>IFERROR(__xludf.DUMMYFUNCTION("""COMPUTED_VALUE"""),3.0)</f>
        <v>3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IFERROR(__xludf.DUMMYFUNCTION("""COMPUTED_VALUE"""),6.0)</f>
        <v>6</v>
      </c>
      <c r="J119" s="65">
        <f>IFERROR(__xludf.DUMMYFUNCTION("""COMPUTED_VALUE"""),1.0)</f>
        <v>1</v>
      </c>
      <c r="K119" s="65">
        <f>IFERROR(__xludf.DUMMYFUNCTION("""COMPUTED_VALUE"""),13.0)</f>
        <v>13</v>
      </c>
      <c r="L119" s="65">
        <f>IFERROR(__xludf.DUMMYFUNCTION("""COMPUTED_VALUE"""),2.0)</f>
        <v>2</v>
      </c>
      <c r="M119" s="65">
        <f>IFERROR(__xludf.DUMMYFUNCTION("""COMPUTED_VALUE"""),63.0)</f>
        <v>63</v>
      </c>
      <c r="N119" s="66">
        <f>IFERROR(__xludf.DUMMYFUNCTION("""COMPUTED_VALUE"""),5.0)</f>
        <v>5</v>
      </c>
    </row>
    <row r="120">
      <c r="A120" s="1"/>
      <c r="B120" s="67" t="str">
        <f>IFERROR(__xludf.DUMMYFUNCTION("""COMPUTED_VALUE"""),"Ash Nikravan")</f>
        <v>Ash Nikravan</v>
      </c>
      <c r="C120" s="68">
        <f>IFERROR(__xludf.DUMMYFUNCTION("""COMPUTED_VALUE"""),50.0)</f>
        <v>50</v>
      </c>
      <c r="D120" s="69">
        <f>IFERROR(__xludf.DUMMYFUNCTION("""COMPUTED_VALUE"""),2.0)</f>
        <v>2</v>
      </c>
      <c r="E120" s="68">
        <f>IFERROR(__xludf.DUMMYFUNCTION("""COMPUTED_VALUE"""),1.0)</f>
        <v>1</v>
      </c>
      <c r="F120" s="70">
        <f>IFERROR(__xludf.DUMMYFUNCTION("""COMPUTED_VALUE"""),8.0)</f>
        <v>8</v>
      </c>
      <c r="G120" s="70">
        <f>IFERROR(__xludf.DUMMYFUNCTION("""COMPUTED_VALUE"""),0.0)</f>
        <v>0</v>
      </c>
      <c r="H120" s="70">
        <f>IFERROR(__xludf.DUMMYFUNCTION("""COMPUTED_VALUE"""),2.0)</f>
        <v>2</v>
      </c>
      <c r="I120" s="70">
        <f>IFERROR(__xludf.DUMMYFUNCTION("""COMPUTED_VALUE"""),7.0)</f>
        <v>7</v>
      </c>
      <c r="J120" s="70">
        <f>IFERROR(__xludf.DUMMYFUNCTION("""COMPUTED_VALUE"""),6.0)</f>
        <v>6</v>
      </c>
      <c r="K120" s="70">
        <f>IFERROR(__xludf.DUMMYFUNCTION("""COMPUTED_VALUE"""),15.0)</f>
        <v>15</v>
      </c>
      <c r="L120" s="70">
        <f>IFERROR(__xludf.DUMMYFUNCTION("""COMPUTED_VALUE"""),2.0)</f>
        <v>2</v>
      </c>
      <c r="M120" s="70">
        <f>IFERROR(__xludf.DUMMYFUNCTION("""COMPUTED_VALUE"""),65.0)</f>
        <v>65</v>
      </c>
      <c r="N120" s="71">
        <f>IFERROR(__xludf.DUMMYFUNCTION("""COMPUTED_VALUE"""),4.0)</f>
        <v>4</v>
      </c>
    </row>
    <row r="121">
      <c r="A121" s="1"/>
      <c r="B121" s="67" t="str">
        <f>IFERROR(__xludf.DUMMYFUNCTION("""COMPUTED_VALUE"""),"Marcus Yovas")</f>
        <v>Marcus Yovas</v>
      </c>
      <c r="C121" s="68">
        <f>IFERROR(__xludf.DUMMYFUNCTION("""COMPUTED_VALUE"""),49.0)</f>
        <v>49</v>
      </c>
      <c r="D121" s="69">
        <f>IFERROR(__xludf.DUMMYFUNCTION("""COMPUTED_VALUE"""),0.0)</f>
        <v>0</v>
      </c>
      <c r="E121" s="68">
        <f>IFERROR(__xludf.DUMMYFUNCTION("""COMPUTED_VALUE"""),1.0)</f>
        <v>1</v>
      </c>
      <c r="F121" s="70">
        <f>IFERROR(__xludf.DUMMYFUNCTION("""COMPUTED_VALUE"""),8.0)</f>
        <v>8</v>
      </c>
      <c r="G121" s="70">
        <f>IFERROR(__xludf.DUMMYFUNCTION("""COMPUTED_VALUE"""),0.0)</f>
        <v>0</v>
      </c>
      <c r="H121" s="70">
        <f>IFERROR(__xludf.DUMMYFUNCTION("""COMPUTED_VALUE"""),6.0)</f>
        <v>6</v>
      </c>
      <c r="I121" s="70">
        <f>IFERROR(__xludf.DUMMYFUNCTION("""COMPUTED_VALUE"""),6.0)</f>
        <v>6</v>
      </c>
      <c r="J121" s="70">
        <f>IFERROR(__xludf.DUMMYFUNCTION("""COMPUTED_VALUE"""),6.0)</f>
        <v>6</v>
      </c>
      <c r="K121" s="70">
        <f>IFERROR(__xludf.DUMMYFUNCTION("""COMPUTED_VALUE"""),18.0)</f>
        <v>18</v>
      </c>
      <c r="L121" s="70">
        <f>IFERROR(__xludf.DUMMYFUNCTION("""COMPUTED_VALUE"""),2.0)</f>
        <v>2</v>
      </c>
      <c r="M121" s="70">
        <f>IFERROR(__xludf.DUMMYFUNCTION("""COMPUTED_VALUE"""),67.0)</f>
        <v>67</v>
      </c>
      <c r="N121" s="71">
        <f>IFERROR(__xludf.DUMMYFUNCTION("""COMPUTED_VALUE"""),2.0)</f>
        <v>2</v>
      </c>
    </row>
    <row r="122">
      <c r="A122" s="1"/>
      <c r="B122" s="67" t="str">
        <f>IFERROR(__xludf.DUMMYFUNCTION("""COMPUTED_VALUE"""),"Kumar Palakeel")</f>
        <v>Kumar Palakeel</v>
      </c>
      <c r="C122" s="68">
        <f>IFERROR(__xludf.DUMMYFUNCTION("""COMPUTED_VALUE"""),46.0)</f>
        <v>46</v>
      </c>
      <c r="D122" s="69">
        <f>IFERROR(__xludf.DUMMYFUNCTION("""COMPUTED_VALUE"""),3.0)</f>
        <v>3</v>
      </c>
      <c r="E122" s="68">
        <f>IFERROR(__xludf.DUMMYFUNCTION("""COMPUTED_VALUE"""),1.0)</f>
        <v>1</v>
      </c>
      <c r="F122" s="70">
        <f>IFERROR(__xludf.DUMMYFUNCTION("""COMPUTED_VALUE"""),8.0)</f>
        <v>8</v>
      </c>
      <c r="G122" s="70">
        <f>IFERROR(__xludf.DUMMYFUNCTION("""COMPUTED_VALUE"""),0.0)</f>
        <v>0</v>
      </c>
      <c r="H122" s="70">
        <f>IFERROR(__xludf.DUMMYFUNCTION("""COMPUTED_VALUE"""),6.0)</f>
        <v>6</v>
      </c>
      <c r="I122" s="70">
        <f>IFERROR(__xludf.DUMMYFUNCTION("""COMPUTED_VALUE"""),7.0)</f>
        <v>7</v>
      </c>
      <c r="J122" s="70">
        <f>IFERROR(__xludf.DUMMYFUNCTION("""COMPUTED_VALUE"""),0.0)</f>
        <v>0</v>
      </c>
      <c r="K122" s="70">
        <f>IFERROR(__xludf.DUMMYFUNCTION("""COMPUTED_VALUE"""),13.0)</f>
        <v>13</v>
      </c>
      <c r="L122" s="70">
        <f>IFERROR(__xludf.DUMMYFUNCTION("""COMPUTED_VALUE"""),2.0)</f>
        <v>2</v>
      </c>
      <c r="M122" s="70">
        <f>IFERROR(__xludf.DUMMYFUNCTION("""COMPUTED_VALUE"""),59.0)</f>
        <v>59</v>
      </c>
      <c r="N122" s="71">
        <f>IFERROR(__xludf.DUMMYFUNCTION("""COMPUTED_VALUE"""),5.0)</f>
        <v>5</v>
      </c>
    </row>
    <row r="123">
      <c r="A123" s="1"/>
      <c r="B123" s="67" t="str">
        <f>IFERROR(__xludf.DUMMYFUNCTION("""COMPUTED_VALUE"""),"Eric Tan")</f>
        <v>Eric Tan</v>
      </c>
      <c r="C123" s="68">
        <f>IFERROR(__xludf.DUMMYFUNCTION("""COMPUTED_VALUE"""),42.0)</f>
        <v>42</v>
      </c>
      <c r="D123" s="69">
        <f>IFERROR(__xludf.DUMMYFUNCTION("""COMPUTED_VALUE"""),3.0)</f>
        <v>3</v>
      </c>
      <c r="E123" s="68">
        <f>IFERROR(__xludf.DUMMYFUNCTION("""COMPUTED_VALUE"""),1.0)</f>
        <v>1</v>
      </c>
      <c r="F123" s="70">
        <f>IFERROR(__xludf.DUMMYFUNCTION("""COMPUTED_VALUE"""),8.0)</f>
        <v>8</v>
      </c>
      <c r="G123" s="70">
        <f>IFERROR(__xludf.DUMMYFUNCTION("""COMPUTED_VALUE"""),0.0)</f>
        <v>0</v>
      </c>
      <c r="H123" s="70">
        <f>IFERROR(__xludf.DUMMYFUNCTION("""COMPUTED_VALUE"""),2.0)</f>
        <v>2</v>
      </c>
      <c r="I123" s="70">
        <f>IFERROR(__xludf.DUMMYFUNCTION("""COMPUTED_VALUE"""),6.0)</f>
        <v>6</v>
      </c>
      <c r="J123" s="70">
        <f>IFERROR(__xludf.DUMMYFUNCTION("""COMPUTED_VALUE"""),0.0)</f>
        <v>0</v>
      </c>
      <c r="K123" s="70">
        <f>IFERROR(__xludf.DUMMYFUNCTION("""COMPUTED_VALUE"""),8.0)</f>
        <v>8</v>
      </c>
      <c r="L123" s="70">
        <f>IFERROR(__xludf.DUMMYFUNCTION("""COMPUTED_VALUE"""),0.0)</f>
        <v>0</v>
      </c>
      <c r="M123" s="70">
        <f>IFERROR(__xludf.DUMMYFUNCTION("""COMPUTED_VALUE"""),50.0)</f>
        <v>50</v>
      </c>
      <c r="N123" s="71">
        <f>IFERROR(__xludf.DUMMYFUNCTION("""COMPUTED_VALUE"""),3.0)</f>
        <v>3</v>
      </c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9" t="s">
        <v>136</v>
      </c>
      <c r="C134" s="1"/>
      <c r="D134" s="1"/>
      <c r="E134" s="1"/>
    </row>
    <row r="135">
      <c r="A135" s="1"/>
      <c r="B135" s="23" t="s">
        <v>29</v>
      </c>
      <c r="C135" s="24" t="s">
        <v>5</v>
      </c>
      <c r="D135" s="24" t="s">
        <v>7</v>
      </c>
      <c r="E135" s="24" t="s">
        <v>30</v>
      </c>
      <c r="F135" s="24" t="s">
        <v>31</v>
      </c>
      <c r="G135" s="24" t="s">
        <v>32</v>
      </c>
      <c r="H135" s="24" t="s">
        <v>11</v>
      </c>
      <c r="I135" s="24" t="s">
        <v>13</v>
      </c>
      <c r="J135" s="24" t="s">
        <v>14</v>
      </c>
      <c r="K135" s="24" t="s">
        <v>5</v>
      </c>
      <c r="L135" s="24" t="s">
        <v>7</v>
      </c>
      <c r="M135" s="25" t="s">
        <v>5</v>
      </c>
      <c r="N135" s="25" t="s">
        <v>7</v>
      </c>
    </row>
    <row r="136">
      <c r="A136" s="1"/>
      <c r="B136" s="62" t="str">
        <f>IFERROR(__xludf.DUMMYFUNCTION("QUERY(B5:N69, ""Select B, C, D, E, F, G, H, I, J, K, L, M, N   where F = 0"")"),"Savay Lieu")</f>
        <v>Savay Lieu</v>
      </c>
      <c r="C136" s="63">
        <f>IFERROR(__xludf.DUMMYFUNCTION("""COMPUTED_VALUE"""),68.0)</f>
        <v>68</v>
      </c>
      <c r="D136" s="64">
        <f>IFERROR(__xludf.DUMMYFUNCTION("""COMPUTED_VALUE"""),5.0)</f>
        <v>5</v>
      </c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IFERROR(__xludf.DUMMYFUNCTION("""COMPUTED_VALUE"""),77.0)</f>
        <v>77</v>
      </c>
      <c r="N136" s="66">
        <f>IFERROR(__xludf.DUMMYFUNCTION("""COMPUTED_VALUE"""),5.0)</f>
        <v>5</v>
      </c>
    </row>
    <row r="137">
      <c r="A137" s="1"/>
      <c r="B137" s="62" t="str">
        <f>IFERROR(__xludf.DUMMYFUNCTION("""COMPUTED_VALUE"""),"Oscar Bonilla")</f>
        <v>Oscar Bonilla</v>
      </c>
      <c r="C137" s="63">
        <f>IFERROR(__xludf.DUMMYFUNCTION("""COMPUTED_VALUE"""),66.0)</f>
        <v>66</v>
      </c>
      <c r="D137" s="64">
        <f>IFERROR(__xludf.DUMMYFUNCTION("""COMPUTED_VALUE"""),6.0)</f>
        <v>6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IFERROR(__xludf.DUMMYFUNCTION("""COMPUTED_VALUE"""),75.0)</f>
        <v>75</v>
      </c>
      <c r="N137" s="66">
        <f>IFERROR(__xludf.DUMMYFUNCTION("""COMPUTED_VALUE"""),6.0)</f>
        <v>6</v>
      </c>
    </row>
    <row r="138">
      <c r="A138" s="1"/>
      <c r="B138" s="62" t="str">
        <f>IFERROR(__xludf.DUMMYFUNCTION("""COMPUTED_VALUE"""),"Mauricio Palacios")</f>
        <v>Mauricio Palacios</v>
      </c>
      <c r="C138" s="63">
        <f>IFERROR(__xludf.DUMMYFUNCTION("""COMPUTED_VALUE"""),66.0)</f>
        <v>66</v>
      </c>
      <c r="D138" s="64">
        <f>IFERROR(__xludf.DUMMYFUNCTION("""COMPUTED_VALUE"""),6.0)</f>
        <v>6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IFERROR(__xludf.DUMMYFUNCTION("""COMPUTED_VALUE"""),75.0)</f>
        <v>75</v>
      </c>
      <c r="N138" s="66">
        <f>IFERROR(__xludf.DUMMYFUNCTION("""COMPUTED_VALUE"""),6.0)</f>
        <v>6</v>
      </c>
    </row>
    <row r="139">
      <c r="A139" s="1"/>
      <c r="B139" s="62" t="str">
        <f>IFERROR(__xludf.DUMMYFUNCTION("""COMPUTED_VALUE"""),"Balaji Alahari")</f>
        <v>Balaji Alahari</v>
      </c>
      <c r="C139" s="63">
        <f>IFERROR(__xludf.DUMMYFUNCTION("""COMPUTED_VALUE"""),66.0)</f>
        <v>66</v>
      </c>
      <c r="D139" s="64">
        <f>IFERROR(__xludf.DUMMYFUNCTION("""COMPUTED_VALUE"""),5.0)</f>
        <v>5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IFERROR(__xludf.DUMMYFUNCTION("""COMPUTED_VALUE"""),75.0)</f>
        <v>75</v>
      </c>
      <c r="N139" s="66">
        <f>IFERROR(__xludf.DUMMYFUNCTION("""COMPUTED_VALUE"""),5.0)</f>
        <v>5</v>
      </c>
    </row>
    <row r="140">
      <c r="A140" s="1"/>
      <c r="B140" s="62" t="str">
        <f>IFERROR(__xludf.DUMMYFUNCTION("""COMPUTED_VALUE"""),"Suleman Alidina")</f>
        <v>Suleman Alidina</v>
      </c>
      <c r="C140" s="63">
        <f>IFERROR(__xludf.DUMMYFUNCTION("""COMPUTED_VALUE"""),63.0)</f>
        <v>63</v>
      </c>
      <c r="D140" s="64">
        <f>IFERROR(__xludf.DUMMYFUNCTION("""COMPUTED_VALUE"""),6.0)</f>
        <v>6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IFERROR(__xludf.DUMMYFUNCTION("""COMPUTED_VALUE"""),72.0)</f>
        <v>72</v>
      </c>
      <c r="N140" s="66">
        <f>IFERROR(__xludf.DUMMYFUNCTION("""COMPUTED_VALUE"""),6.0)</f>
        <v>6</v>
      </c>
    </row>
    <row r="141">
      <c r="A141" s="1"/>
      <c r="B141" s="62" t="str">
        <f>IFERROR(__xludf.DUMMYFUNCTION("""COMPUTED_VALUE"""),"Pulkit Mathur")</f>
        <v>Pulkit Mathur</v>
      </c>
      <c r="C141" s="63">
        <f>IFERROR(__xludf.DUMMYFUNCTION("""COMPUTED_VALUE"""),63.0)</f>
        <v>63</v>
      </c>
      <c r="D141" s="64">
        <f>IFERROR(__xludf.DUMMYFUNCTION("""COMPUTED_VALUE"""),6.0)</f>
        <v>6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IFERROR(__xludf.DUMMYFUNCTION("""COMPUTED_VALUE"""),72.0)</f>
        <v>72</v>
      </c>
      <c r="N141" s="66">
        <f>IFERROR(__xludf.DUMMYFUNCTION("""COMPUTED_VALUE"""),6.0)</f>
        <v>6</v>
      </c>
    </row>
    <row r="142">
      <c r="A142" s="1"/>
      <c r="B142" s="62" t="str">
        <f>IFERROR(__xludf.DUMMYFUNCTION("""COMPUTED_VALUE"""),"Robert Chang")</f>
        <v>Robert Chang</v>
      </c>
      <c r="C142" s="63">
        <f>IFERROR(__xludf.DUMMYFUNCTION("""COMPUTED_VALUE"""),63.0)</f>
        <v>63</v>
      </c>
      <c r="D142" s="64">
        <f>IFERROR(__xludf.DUMMYFUNCTION("""COMPUTED_VALUE"""),4.0)</f>
        <v>4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IFERROR(__xludf.DUMMYFUNCTION("""COMPUTED_VALUE"""),72.0)</f>
        <v>72</v>
      </c>
      <c r="N142" s="66">
        <f>IFERROR(__xludf.DUMMYFUNCTION("""COMPUTED_VALUE"""),4.0)</f>
        <v>4</v>
      </c>
    </row>
    <row r="143">
      <c r="A143" s="1"/>
      <c r="B143" s="62" t="str">
        <f>IFERROR(__xludf.DUMMYFUNCTION("""COMPUTED_VALUE"""),"Tony Wong")</f>
        <v>Tony Wong</v>
      </c>
      <c r="C143" s="63">
        <f>IFERROR(__xludf.DUMMYFUNCTION("""COMPUTED_VALUE"""),62.0)</f>
        <v>62</v>
      </c>
      <c r="D143" s="64">
        <f>IFERROR(__xludf.DUMMYFUNCTION("""COMPUTED_VALUE"""),5.0)</f>
        <v>5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IFERROR(__xludf.DUMMYFUNCTION("""COMPUTED_VALUE"""),71.0)</f>
        <v>71</v>
      </c>
      <c r="N143" s="66">
        <f>IFERROR(__xludf.DUMMYFUNCTION("""COMPUTED_VALUE"""),5.0)</f>
        <v>5</v>
      </c>
    </row>
    <row r="144">
      <c r="A144" s="1"/>
      <c r="B144" s="62" t="str">
        <f>IFERROR(__xludf.DUMMYFUNCTION("""COMPUTED_VALUE"""),"Alejandro Mejia")</f>
        <v>Alejandro Mejia</v>
      </c>
      <c r="C144" s="63">
        <f>IFERROR(__xludf.DUMMYFUNCTION("""COMPUTED_VALUE"""),61.0)</f>
        <v>61</v>
      </c>
      <c r="D144" s="64">
        <f>IFERROR(__xludf.DUMMYFUNCTION("""COMPUTED_VALUE"""),4.0)</f>
        <v>4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IFERROR(__xludf.DUMMYFUNCTION("""COMPUTED_VALUE"""),70.0)</f>
        <v>70</v>
      </c>
      <c r="N144" s="66">
        <f>IFERROR(__xludf.DUMMYFUNCTION("""COMPUTED_VALUE"""),4.0)</f>
        <v>4</v>
      </c>
    </row>
    <row r="145">
      <c r="A145" s="1"/>
      <c r="B145" s="62" t="str">
        <f>IFERROR(__xludf.DUMMYFUNCTION("""COMPUTED_VALUE"""),"Rosie Bonilla")</f>
        <v>Rosie Bonilla</v>
      </c>
      <c r="C145" s="63">
        <f>IFERROR(__xludf.DUMMYFUNCTION("""COMPUTED_VALUE"""),60.0)</f>
        <v>60</v>
      </c>
      <c r="D145" s="64">
        <f>IFERROR(__xludf.DUMMYFUNCTION("""COMPUTED_VALUE"""),2.0)</f>
        <v>2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IFERROR(__xludf.DUMMYFUNCTION("""COMPUTED_VALUE"""),69.0)</f>
        <v>69</v>
      </c>
      <c r="N145" s="66">
        <f>IFERROR(__xludf.DUMMYFUNCTION("""COMPUTED_VALUE"""),2.0)</f>
        <v>2</v>
      </c>
    </row>
    <row r="146">
      <c r="A146" s="1"/>
      <c r="B146" s="62" t="str">
        <f>IFERROR(__xludf.DUMMYFUNCTION("""COMPUTED_VALUE"""),"Christopher Li")</f>
        <v>Christopher Li</v>
      </c>
      <c r="C146" s="63">
        <f>IFERROR(__xludf.DUMMYFUNCTION("""COMPUTED_VALUE"""),59.0)</f>
        <v>59</v>
      </c>
      <c r="D146" s="64">
        <f>IFERROR(__xludf.DUMMYFUNCTION("""COMPUTED_VALUE"""),5.0)</f>
        <v>5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IFERROR(__xludf.DUMMYFUNCTION("""COMPUTED_VALUE"""),68.0)</f>
        <v>68</v>
      </c>
      <c r="N146" s="66">
        <f>IFERROR(__xludf.DUMMYFUNCTION("""COMPUTED_VALUE"""),5.0)</f>
        <v>5</v>
      </c>
    </row>
    <row r="147">
      <c r="A147" s="1"/>
      <c r="B147" s="62" t="str">
        <f>IFERROR(__xludf.DUMMYFUNCTION("""COMPUTED_VALUE"""),"Lloyd Sagar")</f>
        <v>Lloyd Sagar</v>
      </c>
      <c r="C147" s="63">
        <f>IFERROR(__xludf.DUMMYFUNCTION("""COMPUTED_VALUE"""),59.0)</f>
        <v>59</v>
      </c>
      <c r="D147" s="64">
        <f>IFERROR(__xludf.DUMMYFUNCTION("""COMPUTED_VALUE"""),4.0)</f>
        <v>4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IFERROR(__xludf.DUMMYFUNCTION("""COMPUTED_VALUE"""),68.0)</f>
        <v>68</v>
      </c>
      <c r="N147" s="66">
        <f>IFERROR(__xludf.DUMMYFUNCTION("""COMPUTED_VALUE"""),4.0)</f>
        <v>4</v>
      </c>
    </row>
    <row r="148">
      <c r="A148" s="1"/>
      <c r="B148" s="62" t="str">
        <f>IFERROR(__xludf.DUMMYFUNCTION("""COMPUTED_VALUE"""),"Santosh Sundaresan ")</f>
        <v>Santosh Sundaresan </v>
      </c>
      <c r="C148" s="63">
        <f>IFERROR(__xludf.DUMMYFUNCTION("""COMPUTED_VALUE"""),57.0)</f>
        <v>57</v>
      </c>
      <c r="D148" s="64">
        <f>IFERROR(__xludf.DUMMYFUNCTION("""COMPUTED_VALUE"""),2.0)</f>
        <v>2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IFERROR(__xludf.DUMMYFUNCTION("""COMPUTED_VALUE"""),66.0)</f>
        <v>66</v>
      </c>
      <c r="N148" s="66">
        <f>IFERROR(__xludf.DUMMYFUNCTION("""COMPUTED_VALUE"""),2.0)</f>
        <v>2</v>
      </c>
    </row>
    <row r="149">
      <c r="A149" s="1"/>
      <c r="B149" s="62" t="str">
        <f>IFERROR(__xludf.DUMMYFUNCTION("""COMPUTED_VALUE"""),"Chinna Ponnaganti")</f>
        <v>Chinna Ponnaganti</v>
      </c>
      <c r="C149" s="63">
        <f>IFERROR(__xludf.DUMMYFUNCTION("""COMPUTED_VALUE"""),56.0)</f>
        <v>56</v>
      </c>
      <c r="D149" s="64">
        <f>IFERROR(__xludf.DUMMYFUNCTION("""COMPUTED_VALUE"""),5.0)</f>
        <v>5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IFERROR(__xludf.DUMMYFUNCTION("""COMPUTED_VALUE"""),65.0)</f>
        <v>65</v>
      </c>
      <c r="N149" s="66">
        <f>IFERROR(__xludf.DUMMYFUNCTION("""COMPUTED_VALUE"""),5.0)</f>
        <v>5</v>
      </c>
    </row>
    <row r="150">
      <c r="A150" s="1"/>
      <c r="B150" s="62" t="str">
        <f>IFERROR(__xludf.DUMMYFUNCTION("""COMPUTED_VALUE"""),"Troy Wong")</f>
        <v>Troy Wong</v>
      </c>
      <c r="C150" s="63">
        <f>IFERROR(__xludf.DUMMYFUNCTION("""COMPUTED_VALUE"""),55.0)</f>
        <v>55</v>
      </c>
      <c r="D150" s="64">
        <f>IFERROR(__xludf.DUMMYFUNCTION("""COMPUTED_VALUE"""),4.0)</f>
        <v>4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IFERROR(__xludf.DUMMYFUNCTION("""COMPUTED_VALUE"""),64.0)</f>
        <v>64</v>
      </c>
      <c r="N150" s="66">
        <f>IFERROR(__xludf.DUMMYFUNCTION("""COMPUTED_VALUE"""),4.0)</f>
        <v>4</v>
      </c>
    </row>
    <row r="151">
      <c r="A151" s="1"/>
      <c r="B151" s="62" t="str">
        <f>IFERROR(__xludf.DUMMYFUNCTION("""COMPUTED_VALUE"""),"Manuel Rivera")</f>
        <v>Manuel Rivera</v>
      </c>
      <c r="C151" s="63">
        <f>IFERROR(__xludf.DUMMYFUNCTION("""COMPUTED_VALUE"""),55.0)</f>
        <v>55</v>
      </c>
      <c r="D151" s="64">
        <f>IFERROR(__xludf.DUMMYFUNCTION("""COMPUTED_VALUE"""),3.0)</f>
        <v>3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IFERROR(__xludf.DUMMYFUNCTION("""COMPUTED_VALUE"""),64.0)</f>
        <v>64</v>
      </c>
      <c r="N151" s="66">
        <f>IFERROR(__xludf.DUMMYFUNCTION("""COMPUTED_VALUE"""),3.0)</f>
        <v>3</v>
      </c>
    </row>
    <row r="152">
      <c r="A152" s="1"/>
      <c r="B152" s="62" t="str">
        <f>IFERROR(__xludf.DUMMYFUNCTION("""COMPUTED_VALUE"""),"Luis Hsu")</f>
        <v>Luis Hsu</v>
      </c>
      <c r="C152" s="63">
        <f>IFERROR(__xludf.DUMMYFUNCTION("""COMPUTED_VALUE"""),55.0)</f>
        <v>55</v>
      </c>
      <c r="D152" s="64">
        <f>IFERROR(__xludf.DUMMYFUNCTION("""COMPUTED_VALUE"""),2.0)</f>
        <v>2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IFERROR(__xludf.DUMMYFUNCTION("""COMPUTED_VALUE"""),64.0)</f>
        <v>64</v>
      </c>
      <c r="N152" s="66">
        <f>IFERROR(__xludf.DUMMYFUNCTION("""COMPUTED_VALUE"""),2.0)</f>
        <v>2</v>
      </c>
    </row>
    <row r="153">
      <c r="A153" s="1"/>
      <c r="B153" s="62" t="str">
        <f>IFERROR(__xludf.DUMMYFUNCTION("""COMPUTED_VALUE"""),"Tony Lin")</f>
        <v>Tony Lin</v>
      </c>
      <c r="C153" s="63">
        <f>IFERROR(__xludf.DUMMYFUNCTION("""COMPUTED_VALUE"""),54.0)</f>
        <v>54</v>
      </c>
      <c r="D153" s="64">
        <f>IFERROR(__xludf.DUMMYFUNCTION("""COMPUTED_VALUE"""),3.0)</f>
        <v>3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IFERROR(__xludf.DUMMYFUNCTION("""COMPUTED_VALUE"""),63.0)</f>
        <v>63</v>
      </c>
      <c r="N153" s="66">
        <f>IFERROR(__xludf.DUMMYFUNCTION("""COMPUTED_VALUE"""),3.0)</f>
        <v>3</v>
      </c>
    </row>
    <row r="154">
      <c r="A154" s="1"/>
      <c r="B154" s="62" t="str">
        <f>IFERROR(__xludf.DUMMYFUNCTION("""COMPUTED_VALUE"""),"Tom Le")</f>
        <v>Tom Le</v>
      </c>
      <c r="C154" s="63">
        <f>IFERROR(__xludf.DUMMYFUNCTION("""COMPUTED_VALUE"""),54.0)</f>
        <v>54</v>
      </c>
      <c r="D154" s="64">
        <f>IFERROR(__xludf.DUMMYFUNCTION("""COMPUTED_VALUE"""),3.0)</f>
        <v>3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IFERROR(__xludf.DUMMYFUNCTION("""COMPUTED_VALUE"""),63.0)</f>
        <v>63</v>
      </c>
      <c r="N154" s="66">
        <f>IFERROR(__xludf.DUMMYFUNCTION("""COMPUTED_VALUE"""),3.0)</f>
        <v>3</v>
      </c>
    </row>
    <row r="155">
      <c r="A155" s="1"/>
      <c r="B155" s="62" t="str">
        <f>IFERROR(__xludf.DUMMYFUNCTION("""COMPUTED_VALUE"""),"Chandrasekar Chinnathambi")</f>
        <v>Chandrasekar Chinnathambi</v>
      </c>
      <c r="C155" s="63">
        <f>IFERROR(__xludf.DUMMYFUNCTION("""COMPUTED_VALUE"""),52.0)</f>
        <v>52</v>
      </c>
      <c r="D155" s="64">
        <f>IFERROR(__xludf.DUMMYFUNCTION("""COMPUTED_VALUE"""),1.0)</f>
        <v>1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IFERROR(__xludf.DUMMYFUNCTION("""COMPUTED_VALUE"""),61.0)</f>
        <v>61</v>
      </c>
      <c r="N155" s="66">
        <f>IFERROR(__xludf.DUMMYFUNCTION("""COMPUTED_VALUE"""),1.0)</f>
        <v>1</v>
      </c>
    </row>
    <row r="156">
      <c r="A156" s="1"/>
      <c r="B156" s="62" t="str">
        <f>IFERROR(__xludf.DUMMYFUNCTION("""COMPUTED_VALUE"""),"David Tam")</f>
        <v>David Tam</v>
      </c>
      <c r="C156" s="63">
        <f>IFERROR(__xludf.DUMMYFUNCTION("""COMPUTED_VALUE"""),51.0)</f>
        <v>51</v>
      </c>
      <c r="D156" s="64">
        <f>IFERROR(__xludf.DUMMYFUNCTION("""COMPUTED_VALUE"""),5.0)</f>
        <v>5</v>
      </c>
      <c r="E156" s="63">
        <f>IFERROR(__xludf.DUMMYFUNCTION("""COMPUTED_VALUE"""),5.0)</f>
        <v>5</v>
      </c>
      <c r="F156" s="65">
        <f>IFERROR(__xludf.DUMMYFUNCTION("""COMPUTED_VALUE"""),0.0)</f>
        <v>0</v>
      </c>
      <c r="G156" s="65">
        <f>IFERROR(__xludf.DUMMYFUNCTION("""COMPUTED_VALUE"""),13.0)</f>
        <v>13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IFERROR(__xludf.DUMMYFUNCTION("""COMPUTED_VALUE"""),13.0)</f>
        <v>13</v>
      </c>
      <c r="L156" s="65">
        <f>IFERROR(__xludf.DUMMYFUNCTION("""COMPUTED_VALUE"""),0.0)</f>
        <v>0</v>
      </c>
      <c r="M156" s="65">
        <f>IFERROR(__xludf.DUMMYFUNCTION("""COMPUTED_VALUE"""),64.0)</f>
        <v>64</v>
      </c>
      <c r="N156" s="66">
        <f>IFERROR(__xludf.DUMMYFUNCTION("""COMPUTED_VALUE"""),5.0)</f>
        <v>5</v>
      </c>
    </row>
    <row r="157">
      <c r="A157" s="1"/>
      <c r="B157" s="62" t="str">
        <f>IFERROR(__xludf.DUMMYFUNCTION("""COMPUTED_VALUE"""),"Sandy Weyant")</f>
        <v>Sandy Weyant</v>
      </c>
      <c r="C157" s="63">
        <f>IFERROR(__xludf.DUMMYFUNCTION("""COMPUTED_VALUE"""),49.0)</f>
        <v>49</v>
      </c>
      <c r="D157" s="64">
        <f>IFERROR(__xludf.DUMMYFUNCTION("""COMPUTED_VALUE"""),3.0)</f>
        <v>3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IFERROR(__xludf.DUMMYFUNCTION("""COMPUTED_VALUE"""),58.0)</f>
        <v>58</v>
      </c>
      <c r="N157" s="66">
        <f>IFERROR(__xludf.DUMMYFUNCTION("""COMPUTED_VALUE"""),3.0)</f>
        <v>3</v>
      </c>
    </row>
    <row r="158">
      <c r="A158" s="1"/>
      <c r="B158" s="62" t="str">
        <f>IFERROR(__xludf.DUMMYFUNCTION("""COMPUTED_VALUE"""),"Nohely Mejia")</f>
        <v>Nohely Mejia</v>
      </c>
      <c r="C158" s="63">
        <f>IFERROR(__xludf.DUMMYFUNCTION("""COMPUTED_VALUE"""),49.0)</f>
        <v>49</v>
      </c>
      <c r="D158" s="64">
        <f>IFERROR(__xludf.DUMMYFUNCTION("""COMPUTED_VALUE"""),0.0)</f>
        <v>0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IFERROR(__xludf.DUMMYFUNCTION("""COMPUTED_VALUE"""),58.0)</f>
        <v>58</v>
      </c>
      <c r="N158" s="66">
        <f>IFERROR(__xludf.DUMMYFUNCTION("""COMPUTED_VALUE"""),0.0)</f>
        <v>0</v>
      </c>
    </row>
    <row r="159">
      <c r="A159" s="1"/>
      <c r="B159" s="62" t="str">
        <f>IFERROR(__xludf.DUMMYFUNCTION("""COMPUTED_VALUE"""),"Sanjaye Elayattu")</f>
        <v>Sanjaye Elayattu</v>
      </c>
      <c r="C159" s="63">
        <f>IFERROR(__xludf.DUMMYFUNCTION("""COMPUTED_VALUE"""),49.0)</f>
        <v>49</v>
      </c>
      <c r="D159" s="64">
        <f>IFERROR(__xludf.DUMMYFUNCTION("""COMPUTED_VALUE"""),0.0)</f>
        <v>0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IFERROR(__xludf.DUMMYFUNCTION("""COMPUTED_VALUE"""),58.0)</f>
        <v>58</v>
      </c>
      <c r="N159" s="66">
        <f>IFERROR(__xludf.DUMMYFUNCTION("""COMPUTED_VALUE"""),0.0)</f>
        <v>0</v>
      </c>
    </row>
    <row r="160">
      <c r="A160" s="1"/>
      <c r="B160" s="62" t="str">
        <f>IFERROR(__xludf.DUMMYFUNCTION("""COMPUTED_VALUE"""),"Vinot Kumar Nagappan")</f>
        <v>Vinot Kumar Nagappan</v>
      </c>
      <c r="C160" s="63">
        <f>IFERROR(__xludf.DUMMYFUNCTION("""COMPUTED_VALUE"""),48.0)</f>
        <v>48</v>
      </c>
      <c r="D160" s="64">
        <f>IFERROR(__xludf.DUMMYFUNCTION("""COMPUTED_VALUE"""),1.0)</f>
        <v>1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IFERROR(__xludf.DUMMYFUNCTION("""COMPUTED_VALUE"""),57.0)</f>
        <v>57</v>
      </c>
      <c r="N160" s="66">
        <f>IFERROR(__xludf.DUMMYFUNCTION("""COMPUTED_VALUE"""),1.0)</f>
        <v>1</v>
      </c>
    </row>
    <row r="161">
      <c r="A161" s="1"/>
      <c r="B161" s="62" t="str">
        <f>IFERROR(__xludf.DUMMYFUNCTION("""COMPUTED_VALUE"""),"Sai Dilip Ponnaganti")</f>
        <v>Sai Dilip Ponnaganti</v>
      </c>
      <c r="C161" s="63">
        <f>IFERROR(__xludf.DUMMYFUNCTION("""COMPUTED_VALUE"""),45.0)</f>
        <v>45</v>
      </c>
      <c r="D161" s="64">
        <f>IFERROR(__xludf.DUMMYFUNCTION("""COMPUTED_VALUE"""),0.0)</f>
        <v>0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IFERROR(__xludf.DUMMYFUNCTION("""COMPUTED_VALUE"""),54.0)</f>
        <v>54</v>
      </c>
      <c r="N161" s="66">
        <f>IFERROR(__xludf.DUMMYFUNCTION("""COMPUTED_VALUE"""),0.0)</f>
        <v>0</v>
      </c>
    </row>
    <row r="162">
      <c r="A162" s="1"/>
      <c r="B162" s="62" t="str">
        <f>IFERROR(__xludf.DUMMYFUNCTION("""COMPUTED_VALUE"""),"Susanta Mishra")</f>
        <v>Susanta Mishra</v>
      </c>
      <c r="C162" s="63">
        <f>IFERROR(__xludf.DUMMYFUNCTION("""COMPUTED_VALUE"""),45.0)</f>
        <v>45</v>
      </c>
      <c r="D162" s="64">
        <f>IFERROR(__xludf.DUMMYFUNCTION("""COMPUTED_VALUE"""),0.0)</f>
        <v>0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IFERROR(__xludf.DUMMYFUNCTION("""COMPUTED_VALUE"""),54.0)</f>
        <v>54</v>
      </c>
      <c r="N162" s="66">
        <f>IFERROR(__xludf.DUMMYFUNCTION("""COMPUTED_VALUE"""),0.0)</f>
        <v>0</v>
      </c>
    </row>
    <row r="163">
      <c r="A163" s="1"/>
      <c r="B163" s="62" t="str">
        <f>IFERROR(__xludf.DUMMYFUNCTION("""COMPUTED_VALUE"""),"Vilas Janardhanan")</f>
        <v>Vilas Janardhanan</v>
      </c>
      <c r="C163" s="63">
        <f>IFERROR(__xludf.DUMMYFUNCTION("""COMPUTED_VALUE"""),45.0)</f>
        <v>45</v>
      </c>
      <c r="D163" s="64">
        <f>IFERROR(__xludf.DUMMYFUNCTION("""COMPUTED_VALUE"""),0.0)</f>
        <v>0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IFERROR(__xludf.DUMMYFUNCTION("""COMPUTED_VALUE"""),54.0)</f>
        <v>54</v>
      </c>
      <c r="N163" s="66">
        <f>IFERROR(__xludf.DUMMYFUNCTION("""COMPUTED_VALUE"""),0.0)</f>
        <v>0</v>
      </c>
    </row>
    <row r="164">
      <c r="A164" s="1"/>
      <c r="B164" s="62" t="str">
        <f>IFERROR(__xludf.DUMMYFUNCTION("""COMPUTED_VALUE"""),"Amit Patel")</f>
        <v>Amit Patel</v>
      </c>
      <c r="C164" s="63">
        <f>IFERROR(__xludf.DUMMYFUNCTION("""COMPUTED_VALUE"""),45.0)</f>
        <v>45</v>
      </c>
      <c r="D164" s="64">
        <f>IFERROR(__xludf.DUMMYFUNCTION("""COMPUTED_VALUE"""),0.0)</f>
        <v>0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IFERROR(__xludf.DUMMYFUNCTION("""COMPUTED_VALUE"""),54.0)</f>
        <v>54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IFERROR(__xludf.DUMMYFUNCTION("""COMPUTED_VALUE"""),"Coco Yan")</f>
        <v>Coco Yan</v>
      </c>
      <c r="C165" s="63">
        <f>IFERROR(__xludf.DUMMYFUNCTION("""COMPUTED_VALUE"""),45.0)</f>
        <v>45</v>
      </c>
      <c r="D165" s="64">
        <f>IFERROR(__xludf.DUMMYFUNCTION("""COMPUTED_VALUE"""),0.0)</f>
        <v>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IFERROR(__xludf.DUMMYFUNCTION("""COMPUTED_VALUE"""),54.0)</f>
        <v>54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IFERROR(__xludf.DUMMYFUNCTION("""COMPUTED_VALUE"""),"Jose Ortiz")</f>
        <v>Jose Ortiz</v>
      </c>
      <c r="C166" s="63">
        <f>IFERROR(__xludf.DUMMYFUNCTION("""COMPUTED_VALUE"""),45.0)</f>
        <v>45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IFERROR(__xludf.DUMMYFUNCTION("""COMPUTED_VALUE"""),54.0)</f>
        <v>54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IFERROR(__xludf.DUMMYFUNCTION("""COMPUTED_VALUE"""),"Joyce Zhu")</f>
        <v>Joyce Zhu</v>
      </c>
      <c r="C167" s="63">
        <f>IFERROR(__xludf.DUMMYFUNCTION("""COMPUTED_VALUE"""),42.0)</f>
        <v>42</v>
      </c>
      <c r="D167" s="64">
        <f>IFERROR(__xludf.DUMMYFUNCTION("""COMPUTED_VALUE"""),1.0)</f>
        <v>1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IFERROR(__xludf.DUMMYFUNCTION("""COMPUTED_VALUE"""),51.0)</f>
        <v>51</v>
      </c>
      <c r="N167" s="66">
        <f>IFERROR(__xludf.DUMMYFUNCTION("""COMPUTED_VALUE"""),1.0)</f>
        <v>1</v>
      </c>
    </row>
    <row r="168">
      <c r="A168" s="1"/>
      <c r="B168" s="62" t="str">
        <f>IFERROR(__xludf.DUMMYFUNCTION("""COMPUTED_VALUE"""),"Tiffany Yu")</f>
        <v>Tiffany Yu</v>
      </c>
      <c r="C168" s="63">
        <f>IFERROR(__xludf.DUMMYFUNCTION("""COMPUTED_VALUE"""),40.0)</f>
        <v>40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IFERROR(__xludf.DUMMYFUNCTION("""COMPUTED_VALUE"""),49.0)</f>
        <v>49</v>
      </c>
      <c r="N168" s="66">
        <f>IFERROR(__xludf.DUMMYFUNCTION("""COMPUTED_VALUE"""),0.0)</f>
        <v>0</v>
      </c>
    </row>
    <row r="169">
      <c r="A169" s="1"/>
      <c r="B169" s="62"/>
      <c r="C169" s="63"/>
      <c r="D169" s="64"/>
      <c r="E169" s="63"/>
      <c r="F169" s="65"/>
      <c r="G169" s="65"/>
      <c r="H169" s="65"/>
      <c r="I169" s="65"/>
      <c r="J169" s="65"/>
      <c r="K169" s="65"/>
      <c r="L169" s="65"/>
      <c r="M169" s="65"/>
      <c r="N169" s="66"/>
    </row>
    <row r="170">
      <c r="A170" s="1"/>
      <c r="B170" s="62"/>
      <c r="C170" s="63"/>
      <c r="D170" s="64"/>
      <c r="E170" s="63"/>
      <c r="F170" s="65"/>
      <c r="G170" s="65"/>
      <c r="H170" s="65"/>
      <c r="I170" s="65"/>
      <c r="J170" s="65"/>
      <c r="K170" s="65"/>
      <c r="L170" s="65"/>
      <c r="M170" s="65"/>
      <c r="N170" s="66"/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0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0" priority="7" operator="containsText" text="Good">
      <formula>NOT(ISERROR(SEARCH(("Good"),(L80))))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45325.0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5.0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81</v>
      </c>
      <c r="C5" s="77">
        <v>58.0</v>
      </c>
      <c r="D5" s="78">
        <v>7.0</v>
      </c>
      <c r="E5" s="30">
        <v>1.0</v>
      </c>
      <c r="F5" s="31">
        <v>1.0</v>
      </c>
      <c r="G5" s="28">
        <v>0.0</v>
      </c>
      <c r="H5" s="31">
        <v>6.0</v>
      </c>
      <c r="I5" s="31">
        <v>3.0</v>
      </c>
      <c r="J5" s="31">
        <v>5.0</v>
      </c>
      <c r="K5" s="33">
        <v>14.0</v>
      </c>
      <c r="L5" s="31">
        <v>1.0</v>
      </c>
      <c r="M5" s="28">
        <f t="shared" ref="M5:N5" si="1">C5+K5</f>
        <v>72</v>
      </c>
      <c r="N5" s="29">
        <f t="shared" si="1"/>
        <v>8</v>
      </c>
      <c r="O5" s="35" t="s">
        <v>46</v>
      </c>
      <c r="P5" s="35" t="s">
        <v>46</v>
      </c>
      <c r="Q5" s="31">
        <f>if(G5=13,1,0)+VLOOKUP(B5,'012724'!B:Q,16,false)</f>
        <v>0</v>
      </c>
      <c r="R5" s="31"/>
      <c r="S5" s="31">
        <f>if(G5=9,1,0)+VLOOKUP(B5,'012724'!B:S,18,false)</f>
        <v>1</v>
      </c>
    </row>
    <row r="6">
      <c r="A6" s="26">
        <f t="shared" ref="A6:A70" si="3">A5+1</f>
        <v>2</v>
      </c>
      <c r="B6" s="27" t="s">
        <v>77</v>
      </c>
      <c r="C6" s="77">
        <v>58.0</v>
      </c>
      <c r="D6" s="78">
        <v>5.0</v>
      </c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f t="shared" ref="M6:N6" si="2">C6+K6</f>
        <v>67</v>
      </c>
      <c r="N6" s="29">
        <f t="shared" si="2"/>
        <v>5</v>
      </c>
      <c r="O6" s="35" t="s">
        <v>46</v>
      </c>
      <c r="P6" s="35" t="s">
        <v>46</v>
      </c>
      <c r="Q6" s="31">
        <f>if(G6=13,1,0)+VLOOKUP(B6,'012724'!B:Q,16,false)</f>
        <v>1</v>
      </c>
      <c r="R6" s="31"/>
      <c r="S6" s="31">
        <f>if(G6=9,1,0)+VLOOKUP(B6,'012724'!B:S,18,false)</f>
        <v>1</v>
      </c>
    </row>
    <row r="7">
      <c r="A7" s="26">
        <f t="shared" si="3"/>
        <v>3</v>
      </c>
      <c r="B7" s="27" t="s">
        <v>98</v>
      </c>
      <c r="C7" s="77">
        <v>57.0</v>
      </c>
      <c r="D7" s="78">
        <v>5.0</v>
      </c>
      <c r="E7" s="30">
        <v>3.0</v>
      </c>
      <c r="F7" s="31">
        <v>0.0</v>
      </c>
      <c r="G7" s="28">
        <v>9.0</v>
      </c>
      <c r="H7" s="31">
        <v>0.0</v>
      </c>
      <c r="I7" s="31">
        <v>0.0</v>
      </c>
      <c r="J7" s="31">
        <v>0.0</v>
      </c>
      <c r="K7" s="33">
        <v>9.0</v>
      </c>
      <c r="L7" s="31">
        <v>0.0</v>
      </c>
      <c r="M7" s="28">
        <f t="shared" ref="M7:N7" si="4">C7+K7</f>
        <v>66</v>
      </c>
      <c r="N7" s="29">
        <f t="shared" si="4"/>
        <v>5</v>
      </c>
      <c r="O7" s="35" t="s">
        <v>46</v>
      </c>
      <c r="P7" s="35" t="s">
        <v>46</v>
      </c>
      <c r="Q7" s="31">
        <f>if(G7=13,1,0)+VLOOKUP(B7,'012724'!B:Q,16,false)</f>
        <v>1</v>
      </c>
      <c r="R7" s="31"/>
      <c r="S7" s="31">
        <f>if(G7=9,1,0)+VLOOKUP(B7,'012724'!B:S,18,false)</f>
        <v>2</v>
      </c>
    </row>
    <row r="8">
      <c r="A8" s="26">
        <f t="shared" si="3"/>
        <v>4</v>
      </c>
      <c r="B8" s="27" t="s">
        <v>75</v>
      </c>
      <c r="C8" s="77">
        <v>57.0</v>
      </c>
      <c r="D8" s="78">
        <v>5.0</v>
      </c>
      <c r="E8" s="30">
        <v>1.0</v>
      </c>
      <c r="F8" s="31">
        <v>1.0</v>
      </c>
      <c r="G8" s="28">
        <v>0.0</v>
      </c>
      <c r="H8" s="31">
        <v>3.0</v>
      </c>
      <c r="I8" s="31">
        <v>6.0</v>
      </c>
      <c r="J8" s="31">
        <v>5.0</v>
      </c>
      <c r="K8" s="33">
        <v>14.0</v>
      </c>
      <c r="L8" s="31">
        <v>1.0</v>
      </c>
      <c r="M8" s="28">
        <f t="shared" ref="M8:N8" si="5">C8+K8</f>
        <v>71</v>
      </c>
      <c r="N8" s="29">
        <f t="shared" si="5"/>
        <v>6</v>
      </c>
      <c r="O8" s="35" t="s">
        <v>46</v>
      </c>
      <c r="P8" s="35" t="s">
        <v>46</v>
      </c>
      <c r="Q8" s="31">
        <f>if(G8=13,1,0)+VLOOKUP(B8,'012724'!B:Q,16,false)</f>
        <v>1</v>
      </c>
      <c r="R8" s="31"/>
      <c r="S8" s="31">
        <f>if(G8=9,1,0)+VLOOKUP(B8,'012724'!B:S,18,false)</f>
        <v>0</v>
      </c>
    </row>
    <row r="9">
      <c r="A9" s="26">
        <f t="shared" si="3"/>
        <v>5</v>
      </c>
      <c r="B9" s="27" t="s">
        <v>63</v>
      </c>
      <c r="C9" s="77">
        <v>56.0</v>
      </c>
      <c r="D9" s="78">
        <v>4.0</v>
      </c>
      <c r="E9" s="30">
        <v>1.0</v>
      </c>
      <c r="F9" s="31">
        <v>1.0</v>
      </c>
      <c r="G9" s="28">
        <v>0.0</v>
      </c>
      <c r="H9" s="31">
        <v>3.0</v>
      </c>
      <c r="I9" s="31">
        <v>3.0</v>
      </c>
      <c r="J9" s="31">
        <v>7.0</v>
      </c>
      <c r="K9" s="33">
        <v>13.0</v>
      </c>
      <c r="L9" s="31">
        <v>1.0</v>
      </c>
      <c r="M9" s="28">
        <f t="shared" ref="M9:N9" si="6">C9+K9</f>
        <v>69</v>
      </c>
      <c r="N9" s="29">
        <f t="shared" si="6"/>
        <v>5</v>
      </c>
      <c r="O9" s="35" t="s">
        <v>46</v>
      </c>
      <c r="P9" s="35" t="s">
        <v>46</v>
      </c>
      <c r="Q9" s="31">
        <f>if(G9=13,1,0)+VLOOKUP(B9,'012724'!B:Q,16,false)</f>
        <v>1</v>
      </c>
      <c r="R9" s="31"/>
      <c r="S9" s="31">
        <f>if(G9=9,1,0)+VLOOKUP(B9,'012724'!B:S,18,false)</f>
        <v>0</v>
      </c>
    </row>
    <row r="10">
      <c r="A10" s="26">
        <f t="shared" si="3"/>
        <v>6</v>
      </c>
      <c r="B10" s="27" t="s">
        <v>82</v>
      </c>
      <c r="C10" s="77">
        <v>55.0</v>
      </c>
      <c r="D10" s="78">
        <v>5.0</v>
      </c>
      <c r="E10" s="30">
        <v>2.0</v>
      </c>
      <c r="F10" s="31">
        <v>1.0</v>
      </c>
      <c r="G10" s="28">
        <v>0.0</v>
      </c>
      <c r="H10" s="31">
        <v>6.0</v>
      </c>
      <c r="I10" s="31">
        <v>6.0</v>
      </c>
      <c r="J10" s="31">
        <v>7.0</v>
      </c>
      <c r="K10" s="33">
        <v>19.0</v>
      </c>
      <c r="L10" s="31">
        <v>3.0</v>
      </c>
      <c r="M10" s="28">
        <f t="shared" ref="M10:N10" si="7">C10+K10</f>
        <v>74</v>
      </c>
      <c r="N10" s="29">
        <f t="shared" si="7"/>
        <v>8</v>
      </c>
      <c r="O10" s="35" t="s">
        <v>46</v>
      </c>
      <c r="P10" s="35" t="s">
        <v>46</v>
      </c>
      <c r="Q10" s="31">
        <f>if(G10=13,1,0)+VLOOKUP(B10,'012724'!B:Q,16,false)</f>
        <v>1</v>
      </c>
      <c r="R10" s="31"/>
      <c r="S10" s="31">
        <f>if(G10=9,1,0)+VLOOKUP(B10,'012724'!B:S,18,false)</f>
        <v>1</v>
      </c>
    </row>
    <row r="11">
      <c r="A11" s="26">
        <f t="shared" si="3"/>
        <v>7</v>
      </c>
      <c r="B11" s="27" t="s">
        <v>38</v>
      </c>
      <c r="C11" s="77">
        <v>54.0</v>
      </c>
      <c r="D11" s="78">
        <v>6.0</v>
      </c>
      <c r="E11" s="30">
        <v>1.0</v>
      </c>
      <c r="F11" s="31">
        <v>2.0</v>
      </c>
      <c r="G11" s="28">
        <v>0.0</v>
      </c>
      <c r="H11" s="31">
        <v>7.0</v>
      </c>
      <c r="I11" s="31">
        <v>6.0</v>
      </c>
      <c r="J11" s="31">
        <v>6.0</v>
      </c>
      <c r="K11" s="33">
        <v>19.0</v>
      </c>
      <c r="L11" s="31">
        <v>3.0</v>
      </c>
      <c r="M11" s="28">
        <f t="shared" ref="M11:N11" si="8">C11+K11</f>
        <v>73</v>
      </c>
      <c r="N11" s="29">
        <f t="shared" si="8"/>
        <v>9</v>
      </c>
      <c r="O11" s="35" t="s">
        <v>46</v>
      </c>
      <c r="P11" s="35" t="s">
        <v>46</v>
      </c>
      <c r="Q11" s="31">
        <f>if(G11=13,1,0)+VLOOKUP(B11,'012724'!B:Q,16,false)</f>
        <v>0</v>
      </c>
      <c r="R11" s="31"/>
      <c r="S11" s="31">
        <f>if(G11=9,1,0)+VLOOKUP(B11,'012724'!B:S,18,false)</f>
        <v>2</v>
      </c>
    </row>
    <row r="12">
      <c r="A12" s="26">
        <f t="shared" si="3"/>
        <v>8</v>
      </c>
      <c r="B12" s="39" t="s">
        <v>52</v>
      </c>
      <c r="C12" s="77">
        <v>54.0</v>
      </c>
      <c r="D12" s="78">
        <v>5.0</v>
      </c>
      <c r="E12" s="30">
        <v>1.0</v>
      </c>
      <c r="F12" s="31">
        <v>2.0</v>
      </c>
      <c r="G12" s="28">
        <v>0.0</v>
      </c>
      <c r="H12" s="31">
        <v>7.0</v>
      </c>
      <c r="I12" s="31">
        <v>1.0</v>
      </c>
      <c r="J12" s="31">
        <v>1.0</v>
      </c>
      <c r="K12" s="33">
        <v>9.0</v>
      </c>
      <c r="L12" s="31">
        <v>1.0</v>
      </c>
      <c r="M12" s="28">
        <f t="shared" ref="M12:N12" si="9">C12+K12</f>
        <v>63</v>
      </c>
      <c r="N12" s="29">
        <f t="shared" si="9"/>
        <v>6</v>
      </c>
      <c r="O12" s="35" t="s">
        <v>46</v>
      </c>
      <c r="P12" s="35" t="s">
        <v>46</v>
      </c>
      <c r="Q12" s="31">
        <f>if(G12=13,1,0)+VLOOKUP(B12,'012724'!B:Q,16,false)</f>
        <v>0</v>
      </c>
      <c r="R12" s="31"/>
      <c r="S12" s="31">
        <f>if(G12=9,1,0)+VLOOKUP(B12,'012724'!B:S,18,false)</f>
        <v>2</v>
      </c>
    </row>
    <row r="13">
      <c r="A13" s="26">
        <f t="shared" si="3"/>
        <v>9</v>
      </c>
      <c r="B13" s="27" t="s">
        <v>102</v>
      </c>
      <c r="C13" s="77">
        <v>54.0</v>
      </c>
      <c r="D13" s="78">
        <v>5.0</v>
      </c>
      <c r="E13" s="30">
        <v>1.0</v>
      </c>
      <c r="F13" s="31">
        <v>2.0</v>
      </c>
      <c r="G13" s="28">
        <v>0.0</v>
      </c>
      <c r="H13" s="31">
        <v>5.0</v>
      </c>
      <c r="I13" s="31">
        <v>6.0</v>
      </c>
      <c r="J13" s="31">
        <v>1.0</v>
      </c>
      <c r="K13" s="33">
        <v>12.0</v>
      </c>
      <c r="L13" s="31">
        <v>1.0</v>
      </c>
      <c r="M13" s="28">
        <f t="shared" ref="M13:N13" si="10">C13+K13</f>
        <v>66</v>
      </c>
      <c r="N13" s="29">
        <f t="shared" si="10"/>
        <v>6</v>
      </c>
      <c r="O13" s="35" t="s">
        <v>46</v>
      </c>
      <c r="P13" s="35" t="s">
        <v>46</v>
      </c>
      <c r="Q13" s="31">
        <f>if(G13=13,1,0)+VLOOKUP(B13,'012724'!B:Q,16,false)</f>
        <v>0</v>
      </c>
      <c r="R13" s="31"/>
      <c r="S13" s="31">
        <f>if(G13=9,1,0)+VLOOKUP(B13,'012724'!B:S,18,false)</f>
        <v>2</v>
      </c>
    </row>
    <row r="14">
      <c r="A14" s="26">
        <f t="shared" si="3"/>
        <v>10</v>
      </c>
      <c r="B14" s="27" t="s">
        <v>96</v>
      </c>
      <c r="C14" s="77">
        <v>54.0</v>
      </c>
      <c r="D14" s="78">
        <v>5.0</v>
      </c>
      <c r="E14" s="30">
        <v>2.0</v>
      </c>
      <c r="F14" s="31">
        <v>2.0</v>
      </c>
      <c r="G14" s="28">
        <v>0.0</v>
      </c>
      <c r="H14" s="31">
        <v>5.0</v>
      </c>
      <c r="I14" s="31">
        <v>1.0</v>
      </c>
      <c r="J14" s="31">
        <v>6.0</v>
      </c>
      <c r="K14" s="33">
        <v>12.0</v>
      </c>
      <c r="L14" s="31">
        <v>1.0</v>
      </c>
      <c r="M14" s="28">
        <f t="shared" ref="M14:N14" si="11">C14+K14</f>
        <v>66</v>
      </c>
      <c r="N14" s="29">
        <f t="shared" si="11"/>
        <v>6</v>
      </c>
      <c r="O14" s="35" t="s">
        <v>46</v>
      </c>
      <c r="P14" s="35" t="s">
        <v>46</v>
      </c>
      <c r="Q14" s="31">
        <f>if(G14=13,1,0)+VLOOKUP(B14,'012724'!B:Q,16,false)</f>
        <v>1</v>
      </c>
      <c r="R14" s="31"/>
      <c r="S14" s="31">
        <f>if(G14=9,1,0)+VLOOKUP(B14,'012724'!B:S,18,false)</f>
        <v>0</v>
      </c>
    </row>
    <row r="15">
      <c r="A15" s="26">
        <f t="shared" si="3"/>
        <v>11</v>
      </c>
      <c r="B15" s="39" t="s">
        <v>45</v>
      </c>
      <c r="C15" s="77">
        <v>53.0</v>
      </c>
      <c r="D15" s="78">
        <v>5.0</v>
      </c>
      <c r="E15" s="30">
        <v>2.0</v>
      </c>
      <c r="F15" s="31">
        <v>3.0</v>
      </c>
      <c r="G15" s="28">
        <v>0.0</v>
      </c>
      <c r="H15" s="31">
        <v>5.0</v>
      </c>
      <c r="I15" s="31">
        <v>2.0</v>
      </c>
      <c r="J15" s="31">
        <v>2.0</v>
      </c>
      <c r="K15" s="33">
        <v>9.0</v>
      </c>
      <c r="L15" s="31">
        <v>0.0</v>
      </c>
      <c r="M15" s="28">
        <f t="shared" ref="M15:N15" si="12">C15+K15</f>
        <v>62</v>
      </c>
      <c r="N15" s="29">
        <f t="shared" si="12"/>
        <v>5</v>
      </c>
      <c r="O15" s="35" t="s">
        <v>46</v>
      </c>
      <c r="P15" s="35" t="s">
        <v>46</v>
      </c>
      <c r="Q15" s="31">
        <f>if(G15=13,1,0)+VLOOKUP(B15,'012724'!B:Q,16,false)</f>
        <v>1</v>
      </c>
      <c r="R15" s="31"/>
      <c r="S15" s="31">
        <f>if(G15=9,1,0)+VLOOKUP(B15,'012724'!B:S,18,false)</f>
        <v>0</v>
      </c>
    </row>
    <row r="16">
      <c r="A16" s="26">
        <f t="shared" si="3"/>
        <v>12</v>
      </c>
      <c r="B16" s="27" t="s">
        <v>39</v>
      </c>
      <c r="C16" s="77">
        <v>52.0</v>
      </c>
      <c r="D16" s="78">
        <v>4.0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61</v>
      </c>
      <c r="N16" s="29">
        <f t="shared" si="13"/>
        <v>4</v>
      </c>
      <c r="O16" s="35" t="s">
        <v>46</v>
      </c>
      <c r="P16" s="35" t="s">
        <v>46</v>
      </c>
      <c r="Q16" s="31">
        <f>if(G16=13,1,0)+VLOOKUP(B16,'012724'!B:Q,16,false)</f>
        <v>0</v>
      </c>
      <c r="R16" s="31"/>
      <c r="S16" s="31">
        <f>if(G16=9,1,0)+VLOOKUP(B16,'012724'!B:S,18,false)</f>
        <v>3</v>
      </c>
    </row>
    <row r="17">
      <c r="A17" s="26">
        <f t="shared" si="3"/>
        <v>13</v>
      </c>
      <c r="B17" s="27" t="s">
        <v>84</v>
      </c>
      <c r="C17" s="77">
        <v>51.0</v>
      </c>
      <c r="D17" s="78">
        <v>5.0</v>
      </c>
      <c r="E17" s="30">
        <v>2.0</v>
      </c>
      <c r="F17" s="31">
        <v>3.0</v>
      </c>
      <c r="G17" s="28">
        <v>0.0</v>
      </c>
      <c r="H17" s="31">
        <v>7.0</v>
      </c>
      <c r="I17" s="31">
        <v>6.0</v>
      </c>
      <c r="J17" s="31">
        <v>2.0</v>
      </c>
      <c r="K17" s="33">
        <v>15.0</v>
      </c>
      <c r="L17" s="31">
        <v>2.0</v>
      </c>
      <c r="M17" s="28">
        <f t="shared" ref="M17:N17" si="14">C17+K17</f>
        <v>66</v>
      </c>
      <c r="N17" s="29">
        <f t="shared" si="14"/>
        <v>7</v>
      </c>
      <c r="O17" s="35" t="s">
        <v>46</v>
      </c>
      <c r="P17" s="35" t="s">
        <v>46</v>
      </c>
      <c r="Q17" s="31">
        <f>if(G17=13,1,0)+VLOOKUP(B17,'012724'!B:Q,16,false)</f>
        <v>1</v>
      </c>
      <c r="R17" s="31"/>
      <c r="S17" s="31">
        <f>if(G17=9,1,0)+VLOOKUP(B17,'012724'!B:S,18,false)</f>
        <v>0</v>
      </c>
    </row>
    <row r="18">
      <c r="A18" s="26">
        <f t="shared" si="3"/>
        <v>14</v>
      </c>
      <c r="B18" s="27" t="s">
        <v>61</v>
      </c>
      <c r="C18" s="77">
        <v>51.0</v>
      </c>
      <c r="D18" s="78">
        <v>4.0</v>
      </c>
      <c r="E18" s="30">
        <v>2.0</v>
      </c>
      <c r="F18" s="31">
        <v>3.0</v>
      </c>
      <c r="G18" s="28">
        <v>0.0</v>
      </c>
      <c r="H18" s="31">
        <v>7.0</v>
      </c>
      <c r="I18" s="31">
        <v>2.0</v>
      </c>
      <c r="J18" s="31">
        <v>6.0</v>
      </c>
      <c r="K18" s="33">
        <v>15.0</v>
      </c>
      <c r="L18" s="31">
        <v>2.0</v>
      </c>
      <c r="M18" s="28">
        <f t="shared" ref="M18:N18" si="15">C18+K18</f>
        <v>66</v>
      </c>
      <c r="N18" s="29">
        <f t="shared" si="15"/>
        <v>6</v>
      </c>
      <c r="O18" s="35" t="s">
        <v>46</v>
      </c>
      <c r="P18" s="35" t="s">
        <v>46</v>
      </c>
      <c r="Q18" s="31">
        <f>if(G18=13,1,0)+VLOOKUP(B18,'012724'!B:Q,16,false)</f>
        <v>1</v>
      </c>
      <c r="R18" s="31"/>
      <c r="S18" s="31">
        <f>if(G18=9,1,0)+VLOOKUP(B18,'012724'!B:S,18,false)</f>
        <v>1</v>
      </c>
    </row>
    <row r="19">
      <c r="A19" s="26">
        <f t="shared" si="3"/>
        <v>15</v>
      </c>
      <c r="B19" s="39" t="s">
        <v>80</v>
      </c>
      <c r="C19" s="77">
        <v>51.0</v>
      </c>
      <c r="D19" s="78">
        <v>3.0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60</v>
      </c>
      <c r="N19" s="29">
        <f t="shared" si="16"/>
        <v>3</v>
      </c>
      <c r="O19" s="35" t="s">
        <v>46</v>
      </c>
      <c r="P19" s="35" t="s">
        <v>46</v>
      </c>
      <c r="Q19" s="31">
        <f>if(G19=13,1,0)+VLOOKUP(B19,'012724'!B:Q,16,false)</f>
        <v>0</v>
      </c>
      <c r="R19" s="31"/>
      <c r="S19" s="31">
        <f>if(G19=9,1,0)+VLOOKUP(B19,'012724'!B:S,18,false)</f>
        <v>3</v>
      </c>
    </row>
    <row r="20">
      <c r="A20" s="26">
        <f t="shared" si="3"/>
        <v>16</v>
      </c>
      <c r="B20" s="27" t="s">
        <v>113</v>
      </c>
      <c r="C20" s="77">
        <v>51.0</v>
      </c>
      <c r="D20" s="78">
        <v>3.0</v>
      </c>
      <c r="E20" s="30">
        <v>2.0</v>
      </c>
      <c r="F20" s="31">
        <v>3.0</v>
      </c>
      <c r="G20" s="28">
        <v>0.0</v>
      </c>
      <c r="H20" s="31">
        <v>5.0</v>
      </c>
      <c r="I20" s="31">
        <v>6.0</v>
      </c>
      <c r="J20" s="31">
        <v>6.0</v>
      </c>
      <c r="K20" s="33">
        <v>17.0</v>
      </c>
      <c r="L20" s="31">
        <v>2.0</v>
      </c>
      <c r="M20" s="28">
        <f t="shared" ref="M20:N20" si="17">C20+K20</f>
        <v>68</v>
      </c>
      <c r="N20" s="29">
        <f t="shared" si="17"/>
        <v>5</v>
      </c>
      <c r="O20" s="35" t="s">
        <v>46</v>
      </c>
      <c r="P20" s="35" t="s">
        <v>46</v>
      </c>
      <c r="Q20" s="31">
        <f>if(G20=13,1,0)+VLOOKUP(B20,'012724'!B:Q,16,false)</f>
        <v>1</v>
      </c>
      <c r="R20" s="31"/>
      <c r="S20" s="31">
        <f>if(G20=9,1,0)+VLOOKUP(B20,'012724'!B:S,18,false)</f>
        <v>2</v>
      </c>
    </row>
    <row r="21">
      <c r="A21" s="26">
        <f t="shared" si="3"/>
        <v>17</v>
      </c>
      <c r="B21" s="39" t="s">
        <v>71</v>
      </c>
      <c r="C21" s="77">
        <v>50.0</v>
      </c>
      <c r="D21" s="78">
        <v>5.0</v>
      </c>
      <c r="E21" s="30">
        <v>1.0</v>
      </c>
      <c r="F21" s="31">
        <v>4.0</v>
      </c>
      <c r="G21" s="28">
        <v>0.0</v>
      </c>
      <c r="H21" s="31">
        <v>6.0</v>
      </c>
      <c r="I21" s="31">
        <v>2.0</v>
      </c>
      <c r="J21" s="31">
        <v>6.0</v>
      </c>
      <c r="K21" s="33">
        <v>14.0</v>
      </c>
      <c r="L21" s="31">
        <v>2.0</v>
      </c>
      <c r="M21" s="28">
        <f t="shared" ref="M21:N21" si="18">C21+K21</f>
        <v>64</v>
      </c>
      <c r="N21" s="29">
        <f t="shared" si="18"/>
        <v>7</v>
      </c>
      <c r="O21" s="35" t="s">
        <v>46</v>
      </c>
      <c r="P21" s="35" t="s">
        <v>46</v>
      </c>
      <c r="Q21" s="31">
        <f>if(G21=13,1,0)+VLOOKUP(B21,'012724'!B:Q,16,false)</f>
        <v>0</v>
      </c>
      <c r="R21" s="31"/>
      <c r="S21" s="31">
        <f>if(G21=9,1,0)+VLOOKUP(B21,'012724'!B:S,18,false)</f>
        <v>1</v>
      </c>
    </row>
    <row r="22">
      <c r="A22" s="26">
        <f t="shared" si="3"/>
        <v>18</v>
      </c>
      <c r="B22" s="27" t="s">
        <v>42</v>
      </c>
      <c r="C22" s="77">
        <v>50.0</v>
      </c>
      <c r="D22" s="78">
        <v>5.0</v>
      </c>
      <c r="E22" s="30">
        <v>1.0</v>
      </c>
      <c r="F22" s="31">
        <v>4.0</v>
      </c>
      <c r="G22" s="28">
        <v>0.0</v>
      </c>
      <c r="H22" s="31">
        <v>0.0</v>
      </c>
      <c r="I22" s="31">
        <v>2.0</v>
      </c>
      <c r="J22" s="31">
        <v>0.0</v>
      </c>
      <c r="K22" s="33">
        <v>2.0</v>
      </c>
      <c r="L22" s="31">
        <v>0.0</v>
      </c>
      <c r="M22" s="28">
        <f t="shared" ref="M22:N22" si="19">C22+K22</f>
        <v>52</v>
      </c>
      <c r="N22" s="29">
        <f t="shared" si="19"/>
        <v>5</v>
      </c>
      <c r="O22" s="35" t="s">
        <v>46</v>
      </c>
      <c r="P22" s="35" t="s">
        <v>46</v>
      </c>
      <c r="Q22" s="31">
        <f>if(G22=13,1,0)+VLOOKUP(B22,'012724'!B:Q,16,false)</f>
        <v>0</v>
      </c>
      <c r="R22" s="31"/>
      <c r="S22" s="31">
        <f>if(G22=9,1,0)+VLOOKUP(B22,'012724'!B:S,18,false)</f>
        <v>0</v>
      </c>
    </row>
    <row r="23">
      <c r="A23" s="26">
        <f t="shared" si="3"/>
        <v>19</v>
      </c>
      <c r="B23" s="39" t="s">
        <v>50</v>
      </c>
      <c r="C23" s="77">
        <v>50.0</v>
      </c>
      <c r="D23" s="78">
        <v>5.0</v>
      </c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f t="shared" ref="M23:N23" si="20">C23+K23</f>
        <v>59</v>
      </c>
      <c r="N23" s="29">
        <f t="shared" si="20"/>
        <v>5</v>
      </c>
      <c r="O23" s="35" t="s">
        <v>46</v>
      </c>
      <c r="P23" s="35" t="s">
        <v>46</v>
      </c>
      <c r="Q23" s="31">
        <f>if(G23=13,1,0)+VLOOKUP(B23,'012724'!B:Q,16,false)</f>
        <v>0</v>
      </c>
      <c r="R23" s="31"/>
      <c r="S23" s="31">
        <f>if(G23=9,1,0)+VLOOKUP(B23,'012724'!B:S,18,false)</f>
        <v>3</v>
      </c>
    </row>
    <row r="24">
      <c r="A24" s="26">
        <f t="shared" si="3"/>
        <v>20</v>
      </c>
      <c r="B24" s="27" t="s">
        <v>117</v>
      </c>
      <c r="C24" s="77">
        <v>50.0</v>
      </c>
      <c r="D24" s="78">
        <v>4.0</v>
      </c>
      <c r="E24" s="30">
        <v>5.0</v>
      </c>
      <c r="F24" s="31">
        <v>0.0</v>
      </c>
      <c r="G24" s="28">
        <v>13.0</v>
      </c>
      <c r="H24" s="31">
        <v>0.0</v>
      </c>
      <c r="I24" s="31">
        <v>0.0</v>
      </c>
      <c r="J24" s="31">
        <v>0.0</v>
      </c>
      <c r="K24" s="33">
        <v>13.0</v>
      </c>
      <c r="L24" s="31">
        <v>0.0</v>
      </c>
      <c r="M24" s="28">
        <f t="shared" ref="M24:N24" si="21">C24+K24</f>
        <v>63</v>
      </c>
      <c r="N24" s="29">
        <f t="shared" si="21"/>
        <v>4</v>
      </c>
      <c r="O24" s="35" t="s">
        <v>46</v>
      </c>
      <c r="P24" s="35" t="s">
        <v>46</v>
      </c>
      <c r="Q24" s="31">
        <f>if(G24=13,1,0)+VLOOKUP(B24,'012724'!B:Q,16,false)</f>
        <v>2</v>
      </c>
      <c r="R24" s="31"/>
      <c r="S24" s="31">
        <f>if(G24=9,1,0)+VLOOKUP(B24,'012724'!B:S,18,false)</f>
        <v>1</v>
      </c>
    </row>
    <row r="25">
      <c r="A25" s="26">
        <f t="shared" si="3"/>
        <v>21</v>
      </c>
      <c r="B25" s="27" t="s">
        <v>107</v>
      </c>
      <c r="C25" s="77">
        <v>50.0</v>
      </c>
      <c r="D25" s="78">
        <v>2.0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59</v>
      </c>
      <c r="N25" s="29">
        <f t="shared" si="22"/>
        <v>2</v>
      </c>
      <c r="O25" s="35" t="s">
        <v>46</v>
      </c>
      <c r="P25" s="35" t="s">
        <v>46</v>
      </c>
      <c r="Q25" s="31">
        <f>if(G25=13,1,0)+VLOOKUP(B25,'012724'!B:Q,16,false)</f>
        <v>2</v>
      </c>
      <c r="R25" s="31"/>
      <c r="S25" s="31">
        <f>if(G25=9,1,0)+VLOOKUP(B25,'012724'!B:S,18,false)</f>
        <v>2</v>
      </c>
    </row>
    <row r="26">
      <c r="A26" s="26">
        <f t="shared" si="3"/>
        <v>22</v>
      </c>
      <c r="B26" s="27" t="s">
        <v>78</v>
      </c>
      <c r="C26" s="77">
        <v>49.0</v>
      </c>
      <c r="D26" s="78">
        <v>6.0</v>
      </c>
      <c r="E26" s="30">
        <v>1.0</v>
      </c>
      <c r="F26" s="31">
        <v>4.0</v>
      </c>
      <c r="G26" s="28">
        <v>0.0</v>
      </c>
      <c r="H26" s="31">
        <v>0.0</v>
      </c>
      <c r="I26" s="31">
        <v>6.0</v>
      </c>
      <c r="J26" s="31">
        <v>6.0</v>
      </c>
      <c r="K26" s="33">
        <v>12.0</v>
      </c>
      <c r="L26" s="31">
        <v>2.0</v>
      </c>
      <c r="M26" s="28">
        <f t="shared" ref="M26:N26" si="23">C26+K26</f>
        <v>61</v>
      </c>
      <c r="N26" s="29">
        <f t="shared" si="23"/>
        <v>8</v>
      </c>
      <c r="O26" s="35" t="s">
        <v>46</v>
      </c>
      <c r="P26" s="35" t="s">
        <v>46</v>
      </c>
      <c r="Q26" s="31">
        <f>if(G26=13,1,0)+VLOOKUP(B26,'012724'!B:Q,16,false)</f>
        <v>0</v>
      </c>
      <c r="R26" s="31"/>
      <c r="S26" s="31">
        <f>if(G26=9,1,0)+VLOOKUP(B26,'012724'!B:S,18,false)</f>
        <v>1</v>
      </c>
    </row>
    <row r="27">
      <c r="A27" s="26">
        <f t="shared" si="3"/>
        <v>23</v>
      </c>
      <c r="B27" s="39" t="s">
        <v>111</v>
      </c>
      <c r="C27" s="77">
        <v>49.0</v>
      </c>
      <c r="D27" s="78">
        <v>5.0</v>
      </c>
      <c r="E27" s="30">
        <v>1.0</v>
      </c>
      <c r="F27" s="31">
        <v>4.0</v>
      </c>
      <c r="G27" s="28">
        <v>0.0</v>
      </c>
      <c r="H27" s="31">
        <v>6.0</v>
      </c>
      <c r="I27" s="31">
        <v>6.0</v>
      </c>
      <c r="J27" s="31">
        <v>0.0</v>
      </c>
      <c r="K27" s="33">
        <v>12.0</v>
      </c>
      <c r="L27" s="31">
        <v>2.0</v>
      </c>
      <c r="M27" s="28">
        <f t="shared" ref="M27:N27" si="24">C27+K27</f>
        <v>61</v>
      </c>
      <c r="N27" s="29">
        <f t="shared" si="24"/>
        <v>7</v>
      </c>
      <c r="O27" s="35" t="s">
        <v>46</v>
      </c>
      <c r="P27" s="35" t="s">
        <v>46</v>
      </c>
      <c r="Q27" s="31">
        <f>if(G27=13,1,0)+VLOOKUP(B27,'012724'!B:Q,16,false)</f>
        <v>0</v>
      </c>
      <c r="R27" s="31"/>
      <c r="S27" s="31">
        <f>if(G27=9,1,0)+VLOOKUP(B27,'012724'!B:S,18,false)</f>
        <v>2</v>
      </c>
    </row>
    <row r="28">
      <c r="A28" s="26">
        <f t="shared" si="3"/>
        <v>24</v>
      </c>
      <c r="B28" s="27" t="s">
        <v>110</v>
      </c>
      <c r="C28" s="77">
        <v>48.0</v>
      </c>
      <c r="D28" s="78">
        <v>3.0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57</v>
      </c>
      <c r="N28" s="29">
        <f t="shared" si="25"/>
        <v>3</v>
      </c>
      <c r="O28" s="35" t="s">
        <v>46</v>
      </c>
      <c r="P28" s="35" t="s">
        <v>46</v>
      </c>
      <c r="Q28" s="31">
        <f>if(G28=13,1,0)+VLOOKUP(B28,'012724'!B:Q,16,false)</f>
        <v>1</v>
      </c>
      <c r="R28" s="31"/>
      <c r="S28" s="31">
        <f>if(G28=9,1,0)+VLOOKUP(B28,'012724'!B:S,18,false)</f>
        <v>2</v>
      </c>
    </row>
    <row r="29">
      <c r="A29" s="26">
        <f t="shared" si="3"/>
        <v>25</v>
      </c>
      <c r="B29" s="27" t="s">
        <v>120</v>
      </c>
      <c r="C29" s="77">
        <v>48.0</v>
      </c>
      <c r="D29" s="78">
        <v>2.0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57</v>
      </c>
      <c r="N29" s="29">
        <f t="shared" si="26"/>
        <v>2</v>
      </c>
      <c r="O29" s="35" t="s">
        <v>46</v>
      </c>
      <c r="P29" s="35" t="s">
        <v>46</v>
      </c>
      <c r="Q29" s="31">
        <f>if(G29=13,1,0)+VLOOKUP(B29,'012724'!B:Q,16,false)</f>
        <v>1</v>
      </c>
      <c r="R29" s="31"/>
      <c r="S29" s="31">
        <f>if(G29=9,1,0)+VLOOKUP(B29,'012724'!B:S,18,false)</f>
        <v>3</v>
      </c>
    </row>
    <row r="30">
      <c r="A30" s="26">
        <f t="shared" si="3"/>
        <v>26</v>
      </c>
      <c r="B30" s="27" t="s">
        <v>48</v>
      </c>
      <c r="C30" s="77">
        <v>48.0</v>
      </c>
      <c r="D30" s="78">
        <v>2.0</v>
      </c>
      <c r="E30" s="30">
        <v>3.0</v>
      </c>
      <c r="F30" s="31">
        <v>0.0</v>
      </c>
      <c r="G30" s="28">
        <v>9.0</v>
      </c>
      <c r="H30" s="31">
        <v>0.0</v>
      </c>
      <c r="I30" s="31">
        <v>0.0</v>
      </c>
      <c r="J30" s="31">
        <v>0.0</v>
      </c>
      <c r="K30" s="33">
        <v>9.0</v>
      </c>
      <c r="L30" s="31">
        <v>0.0</v>
      </c>
      <c r="M30" s="28">
        <f t="shared" ref="M30:N30" si="27">C30+K30</f>
        <v>57</v>
      </c>
      <c r="N30" s="29">
        <f t="shared" si="27"/>
        <v>2</v>
      </c>
      <c r="O30" s="35" t="s">
        <v>46</v>
      </c>
      <c r="P30" s="35" t="s">
        <v>46</v>
      </c>
      <c r="Q30" s="31">
        <f>if(G30=13,1,0)+VLOOKUP(B30,'012724'!B:Q,16,false)</f>
        <v>2</v>
      </c>
      <c r="R30" s="31"/>
      <c r="S30" s="31">
        <f>if(G30=9,1,0)+VLOOKUP(B30,'012724'!B:S,18,false)</f>
        <v>2</v>
      </c>
    </row>
    <row r="31">
      <c r="A31" s="26">
        <f t="shared" si="3"/>
        <v>27</v>
      </c>
      <c r="B31" s="27" t="s">
        <v>83</v>
      </c>
      <c r="C31" s="77">
        <v>46.0</v>
      </c>
      <c r="D31" s="78">
        <v>3.0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55</v>
      </c>
      <c r="N31" s="29">
        <f t="shared" si="28"/>
        <v>3</v>
      </c>
      <c r="O31" s="35" t="s">
        <v>46</v>
      </c>
      <c r="P31" s="35" t="s">
        <v>46</v>
      </c>
      <c r="Q31" s="31">
        <f>if(G31=13,1,0)+VLOOKUP(B31,'012724'!B:Q,16,false)</f>
        <v>1</v>
      </c>
      <c r="R31" s="31"/>
      <c r="S31" s="31">
        <f>if(G31=9,1,0)+VLOOKUP(B31,'012724'!B:S,18,false)</f>
        <v>1</v>
      </c>
    </row>
    <row r="32">
      <c r="A32" s="26">
        <f t="shared" si="3"/>
        <v>28</v>
      </c>
      <c r="B32" s="39" t="s">
        <v>105</v>
      </c>
      <c r="C32" s="77">
        <v>45.0</v>
      </c>
      <c r="D32" s="78">
        <v>4.0</v>
      </c>
      <c r="E32" s="30">
        <v>2.0</v>
      </c>
      <c r="F32" s="31">
        <v>5.0</v>
      </c>
      <c r="G32" s="28">
        <v>0.0</v>
      </c>
      <c r="H32" s="31">
        <v>6.0</v>
      </c>
      <c r="I32" s="31">
        <v>2.0</v>
      </c>
      <c r="J32" s="31">
        <v>0.0</v>
      </c>
      <c r="K32" s="33">
        <v>8.0</v>
      </c>
      <c r="L32" s="31">
        <v>1.0</v>
      </c>
      <c r="M32" s="28">
        <f t="shared" ref="M32:N32" si="29">C32+K32</f>
        <v>53</v>
      </c>
      <c r="N32" s="29">
        <f t="shared" si="29"/>
        <v>5</v>
      </c>
      <c r="O32" s="35" t="s">
        <v>46</v>
      </c>
      <c r="P32" s="35" t="s">
        <v>46</v>
      </c>
      <c r="Q32" s="31">
        <f>if(G32=13,1,0)+VLOOKUP(B32,'012724'!B:Q,16,false)</f>
        <v>0</v>
      </c>
      <c r="R32" s="31"/>
      <c r="S32" s="31">
        <f>if(G32=9,1,0)+VLOOKUP(B32,'012724'!B:S,18,false)</f>
        <v>1</v>
      </c>
    </row>
    <row r="33">
      <c r="A33" s="26">
        <f t="shared" si="3"/>
        <v>29</v>
      </c>
      <c r="B33" s="27" t="s">
        <v>65</v>
      </c>
      <c r="C33" s="77">
        <v>45.0</v>
      </c>
      <c r="D33" s="78">
        <v>3.0</v>
      </c>
      <c r="E33" s="30">
        <v>2.0</v>
      </c>
      <c r="F33" s="31">
        <v>5.0</v>
      </c>
      <c r="G33" s="28">
        <v>0.0</v>
      </c>
      <c r="H33" s="31">
        <v>6.0</v>
      </c>
      <c r="I33" s="31">
        <v>6.0</v>
      </c>
      <c r="J33" s="31">
        <v>6.0</v>
      </c>
      <c r="K33" s="33">
        <v>18.0</v>
      </c>
      <c r="L33" s="31">
        <v>3.0</v>
      </c>
      <c r="M33" s="28">
        <f t="shared" ref="M33:N33" si="30">C33+K33</f>
        <v>63</v>
      </c>
      <c r="N33" s="29">
        <f t="shared" si="30"/>
        <v>6</v>
      </c>
      <c r="O33" s="35" t="s">
        <v>46</v>
      </c>
      <c r="P33" s="35" t="s">
        <v>46</v>
      </c>
      <c r="Q33" s="31">
        <f>if(G33=13,1,0)+VLOOKUP(B33,'012724'!B:Q,16,false)</f>
        <v>0</v>
      </c>
      <c r="R33" s="31"/>
      <c r="S33" s="31">
        <f>if(G33=9,1,0)+VLOOKUP(B33,'012724'!B:S,18,false)</f>
        <v>3</v>
      </c>
    </row>
    <row r="34">
      <c r="A34" s="26">
        <f t="shared" si="3"/>
        <v>30</v>
      </c>
      <c r="B34" s="39" t="s">
        <v>121</v>
      </c>
      <c r="C34" s="77">
        <v>45.0</v>
      </c>
      <c r="D34" s="78">
        <v>3.0</v>
      </c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f t="shared" ref="M34:N34" si="31">C34+K34</f>
        <v>54</v>
      </c>
      <c r="N34" s="29">
        <f t="shared" si="31"/>
        <v>3</v>
      </c>
      <c r="O34" s="35" t="s">
        <v>46</v>
      </c>
      <c r="P34" s="35" t="s">
        <v>46</v>
      </c>
      <c r="Q34" s="31">
        <f>if(G34=13,1,0)+VLOOKUP(B34,'012724'!B:Q,16,false)</f>
        <v>0</v>
      </c>
      <c r="R34" s="31"/>
      <c r="S34" s="31">
        <f>if(G34=9,1,0)+VLOOKUP(B34,'012724'!B:S,18,false)</f>
        <v>3</v>
      </c>
    </row>
    <row r="35">
      <c r="A35" s="26">
        <f t="shared" si="3"/>
        <v>31</v>
      </c>
      <c r="B35" s="54" t="s">
        <v>116</v>
      </c>
      <c r="C35" s="77">
        <v>45.0</v>
      </c>
      <c r="D35" s="78">
        <v>3.0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54</v>
      </c>
      <c r="N35" s="29">
        <f t="shared" si="32"/>
        <v>3</v>
      </c>
      <c r="O35" s="35" t="s">
        <v>46</v>
      </c>
      <c r="P35" s="35" t="s">
        <v>46</v>
      </c>
      <c r="Q35" s="31">
        <f>if(G35=13,1,0)+VLOOKUP(B35,'012724'!B:Q,16,false)</f>
        <v>0</v>
      </c>
      <c r="R35" s="31"/>
      <c r="S35" s="31">
        <f>if(G35=9,1,0)+VLOOKUP(B35,'012724'!B:S,18,false)</f>
        <v>3</v>
      </c>
    </row>
    <row r="36">
      <c r="A36" s="26">
        <f t="shared" si="3"/>
        <v>32</v>
      </c>
      <c r="B36" s="27" t="s">
        <v>90</v>
      </c>
      <c r="C36" s="77">
        <v>45.0</v>
      </c>
      <c r="D36" s="78">
        <v>3.0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54</v>
      </c>
      <c r="N36" s="29">
        <f t="shared" si="33"/>
        <v>3</v>
      </c>
      <c r="O36" s="35" t="s">
        <v>46</v>
      </c>
      <c r="P36" s="35" t="s">
        <v>46</v>
      </c>
      <c r="Q36" s="31">
        <f>if(G36=13,1,0)+VLOOKUP(B36,'012724'!B:Q,16,false)</f>
        <v>0</v>
      </c>
      <c r="R36" s="31"/>
      <c r="S36" s="31">
        <f>if(G36=9,1,0)+VLOOKUP(B36,'012724'!B:S,18,false)</f>
        <v>4</v>
      </c>
    </row>
    <row r="37">
      <c r="A37" s="26">
        <f t="shared" si="3"/>
        <v>33</v>
      </c>
      <c r="B37" s="54" t="s">
        <v>95</v>
      </c>
      <c r="C37" s="77">
        <v>44.0</v>
      </c>
      <c r="D37" s="78">
        <v>5.0</v>
      </c>
      <c r="E37" s="30">
        <v>1.0</v>
      </c>
      <c r="F37" s="31">
        <v>5.0</v>
      </c>
      <c r="G37" s="28">
        <v>0.0</v>
      </c>
      <c r="H37" s="31">
        <v>4.0</v>
      </c>
      <c r="I37" s="31">
        <v>6.0</v>
      </c>
      <c r="J37" s="31">
        <v>0.0</v>
      </c>
      <c r="K37" s="33">
        <v>10.0</v>
      </c>
      <c r="L37" s="31">
        <v>1.0</v>
      </c>
      <c r="M37" s="28">
        <f t="shared" ref="M37:N37" si="34">C37+K37</f>
        <v>54</v>
      </c>
      <c r="N37" s="29">
        <f t="shared" si="34"/>
        <v>6</v>
      </c>
      <c r="O37" s="35" t="s">
        <v>46</v>
      </c>
      <c r="P37" s="35" t="s">
        <v>46</v>
      </c>
      <c r="Q37" s="31">
        <f>if(G37=13,1,0)+VLOOKUP(B37,'012724'!B:Q,16,false)</f>
        <v>0</v>
      </c>
      <c r="R37" s="31"/>
      <c r="S37" s="31">
        <f>if(G37=9,1,0)+VLOOKUP(B37,'012724'!B:S,18,false)</f>
        <v>0</v>
      </c>
    </row>
    <row r="38">
      <c r="A38" s="26">
        <f t="shared" si="3"/>
        <v>34</v>
      </c>
      <c r="B38" s="54" t="s">
        <v>73</v>
      </c>
      <c r="C38" s="77">
        <v>44.0</v>
      </c>
      <c r="D38" s="78">
        <v>4.0</v>
      </c>
      <c r="E38" s="30">
        <v>1.0</v>
      </c>
      <c r="F38" s="31">
        <v>5.0</v>
      </c>
      <c r="G38" s="28">
        <v>0.0</v>
      </c>
      <c r="H38" s="31">
        <v>4.0</v>
      </c>
      <c r="I38" s="31">
        <v>2.0</v>
      </c>
      <c r="J38" s="31">
        <v>6.0</v>
      </c>
      <c r="K38" s="33">
        <v>12.0</v>
      </c>
      <c r="L38" s="31">
        <v>1.0</v>
      </c>
      <c r="M38" s="28">
        <f t="shared" ref="M38:N38" si="35">C38+K38</f>
        <v>56</v>
      </c>
      <c r="N38" s="29">
        <f t="shared" si="35"/>
        <v>5</v>
      </c>
      <c r="O38" s="35" t="s">
        <v>46</v>
      </c>
      <c r="P38" s="35" t="s">
        <v>46</v>
      </c>
      <c r="Q38" s="31">
        <f>if(G38=13,1,0)+VLOOKUP(B38,'012724'!B:Q,16,false)</f>
        <v>0</v>
      </c>
      <c r="R38" s="31"/>
      <c r="S38" s="31">
        <f>if(G38=9,1,0)+VLOOKUP(B38,'012724'!B:S,18,false)</f>
        <v>0</v>
      </c>
    </row>
    <row r="39">
      <c r="A39" s="26">
        <f t="shared" si="3"/>
        <v>35</v>
      </c>
      <c r="B39" s="27" t="s">
        <v>79</v>
      </c>
      <c r="C39" s="77">
        <v>44.0</v>
      </c>
      <c r="D39" s="78">
        <v>3.0</v>
      </c>
      <c r="E39" s="30">
        <v>3.0</v>
      </c>
      <c r="F39" s="31">
        <v>0.0</v>
      </c>
      <c r="G39" s="28">
        <v>9.0</v>
      </c>
      <c r="H39" s="31">
        <v>0.0</v>
      </c>
      <c r="I39" s="31">
        <v>0.0</v>
      </c>
      <c r="J39" s="31">
        <v>0.0</v>
      </c>
      <c r="K39" s="33">
        <v>9.0</v>
      </c>
      <c r="L39" s="31">
        <v>0.0</v>
      </c>
      <c r="M39" s="28">
        <f t="shared" ref="M39:N39" si="36">C39+K39</f>
        <v>53</v>
      </c>
      <c r="N39" s="29">
        <f t="shared" si="36"/>
        <v>3</v>
      </c>
      <c r="O39" s="35" t="s">
        <v>46</v>
      </c>
      <c r="P39" s="35" t="s">
        <v>46</v>
      </c>
      <c r="Q39" s="31">
        <f>if(G39=13,1,0)+VLOOKUP(B39,'012724'!B:Q,16,false)</f>
        <v>0</v>
      </c>
      <c r="R39" s="31"/>
      <c r="S39" s="31">
        <f>if(G39=9,1,0)+VLOOKUP(B39,'012724'!B:S,18,false)</f>
        <v>2</v>
      </c>
    </row>
    <row r="40">
      <c r="A40" s="26">
        <f t="shared" si="3"/>
        <v>36</v>
      </c>
      <c r="B40" s="27" t="s">
        <v>57</v>
      </c>
      <c r="C40" s="77">
        <v>44.0</v>
      </c>
      <c r="D40" s="78">
        <v>3.0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53</v>
      </c>
      <c r="N40" s="29">
        <f t="shared" si="37"/>
        <v>3</v>
      </c>
      <c r="O40" s="35" t="s">
        <v>46</v>
      </c>
      <c r="P40" s="35" t="s">
        <v>46</v>
      </c>
      <c r="Q40" s="31">
        <f>if(G40=13,1,0)+VLOOKUP(B40,'012724'!B:Q,16,false)</f>
        <v>0</v>
      </c>
      <c r="R40" s="31"/>
      <c r="S40" s="31">
        <f>if(G40=9,1,0)+VLOOKUP(B40,'012724'!B:S,18,false)</f>
        <v>3</v>
      </c>
    </row>
    <row r="41">
      <c r="A41" s="26">
        <f t="shared" si="3"/>
        <v>37</v>
      </c>
      <c r="B41" s="27" t="s">
        <v>60</v>
      </c>
      <c r="C41" s="77">
        <v>44.0</v>
      </c>
      <c r="D41" s="78">
        <v>2.0</v>
      </c>
      <c r="E41" s="30">
        <v>1.0</v>
      </c>
      <c r="F41" s="31">
        <v>6.0</v>
      </c>
      <c r="G41" s="28">
        <v>0.0</v>
      </c>
      <c r="H41" s="31">
        <v>6.0</v>
      </c>
      <c r="I41" s="31">
        <v>6.0</v>
      </c>
      <c r="J41" s="31">
        <v>6.0</v>
      </c>
      <c r="K41" s="33">
        <v>18.0</v>
      </c>
      <c r="L41" s="31">
        <v>2.0</v>
      </c>
      <c r="M41" s="28">
        <f t="shared" ref="M41:N41" si="38">C41+K41</f>
        <v>62</v>
      </c>
      <c r="N41" s="29">
        <f t="shared" si="38"/>
        <v>4</v>
      </c>
      <c r="O41" s="35" t="s">
        <v>46</v>
      </c>
      <c r="P41" s="35" t="s">
        <v>46</v>
      </c>
      <c r="Q41" s="31">
        <f>if(G41=13,1,0)+VLOOKUP(B41,'012724'!B:Q,16,false)</f>
        <v>1</v>
      </c>
      <c r="R41" s="31"/>
      <c r="S41" s="31">
        <f>if(G41=9,1,0)+VLOOKUP(B41,'012724'!B:S,18,false)</f>
        <v>2</v>
      </c>
    </row>
    <row r="42">
      <c r="A42" s="26">
        <f t="shared" si="3"/>
        <v>38</v>
      </c>
      <c r="B42" s="39" t="s">
        <v>103</v>
      </c>
      <c r="C42" s="77">
        <v>44.0</v>
      </c>
      <c r="D42" s="78">
        <v>2.0</v>
      </c>
      <c r="E42" s="30">
        <v>1.0</v>
      </c>
      <c r="F42" s="31">
        <v>6.0</v>
      </c>
      <c r="G42" s="28">
        <v>0.0</v>
      </c>
      <c r="H42" s="31">
        <v>7.0</v>
      </c>
      <c r="I42" s="31">
        <v>2.0</v>
      </c>
      <c r="J42" s="31">
        <v>6.0</v>
      </c>
      <c r="K42" s="33">
        <v>15.0</v>
      </c>
      <c r="L42" s="31">
        <v>2.0</v>
      </c>
      <c r="M42" s="28">
        <f t="shared" ref="M42:N42" si="39">C42+K42</f>
        <v>59</v>
      </c>
      <c r="N42" s="29">
        <f t="shared" si="39"/>
        <v>4</v>
      </c>
      <c r="O42" s="35" t="s">
        <v>46</v>
      </c>
      <c r="P42" s="35" t="s">
        <v>46</v>
      </c>
      <c r="Q42" s="31">
        <f>if(G42=13,1,0)+VLOOKUP(B42,'012724'!B:Q,16,false)</f>
        <v>1</v>
      </c>
      <c r="R42" s="31"/>
      <c r="S42" s="31">
        <f>if(G42=9,1,0)+VLOOKUP(B42,'012724'!B:S,18,false)</f>
        <v>2</v>
      </c>
    </row>
    <row r="43">
      <c r="A43" s="26">
        <f t="shared" si="3"/>
        <v>39</v>
      </c>
      <c r="B43" s="27" t="s">
        <v>118</v>
      </c>
      <c r="C43" s="77">
        <v>44.0</v>
      </c>
      <c r="D43" s="78">
        <v>0.0</v>
      </c>
      <c r="E43" s="30">
        <v>1.0</v>
      </c>
      <c r="F43" s="31">
        <v>6.0</v>
      </c>
      <c r="G43" s="28">
        <v>0.0</v>
      </c>
      <c r="H43" s="31">
        <v>7.0</v>
      </c>
      <c r="I43" s="31">
        <v>6.0</v>
      </c>
      <c r="J43" s="31">
        <v>3.0</v>
      </c>
      <c r="K43" s="33">
        <v>16.0</v>
      </c>
      <c r="L43" s="31">
        <v>2.0</v>
      </c>
      <c r="M43" s="28">
        <f t="shared" ref="M43:N43" si="40">C43+K43</f>
        <v>60</v>
      </c>
      <c r="N43" s="29">
        <f t="shared" si="40"/>
        <v>2</v>
      </c>
      <c r="O43" s="35" t="s">
        <v>46</v>
      </c>
      <c r="P43" s="35" t="s">
        <v>46</v>
      </c>
      <c r="Q43" s="31">
        <f>if(G43=13,1,0)+VLOOKUP(B43,'012724'!B:Q,16,false)</f>
        <v>2</v>
      </c>
      <c r="R43" s="31"/>
      <c r="S43" s="31">
        <f>if(G43=9,1,0)+VLOOKUP(B43,'012724'!B:S,18,false)</f>
        <v>2</v>
      </c>
    </row>
    <row r="44">
      <c r="A44" s="26">
        <f t="shared" si="3"/>
        <v>40</v>
      </c>
      <c r="B44" s="27" t="s">
        <v>68</v>
      </c>
      <c r="C44" s="77">
        <v>44.0</v>
      </c>
      <c r="D44" s="78">
        <v>0.0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53</v>
      </c>
      <c r="N44" s="29">
        <f t="shared" si="41"/>
        <v>0</v>
      </c>
      <c r="O44" s="35" t="s">
        <v>46</v>
      </c>
      <c r="P44" s="35" t="s">
        <v>46</v>
      </c>
      <c r="Q44" s="31">
        <f>if(G44=13,1,0)+VLOOKUP(B44,'012724'!B:Q,16,false)</f>
        <v>2</v>
      </c>
      <c r="R44" s="31"/>
      <c r="S44" s="31">
        <f>if(G44=9,1,0)+VLOOKUP(B44,'012724'!B:S,18,false)</f>
        <v>3</v>
      </c>
    </row>
    <row r="45">
      <c r="A45" s="26">
        <f t="shared" si="3"/>
        <v>41</v>
      </c>
      <c r="B45" s="27" t="s">
        <v>66</v>
      </c>
      <c r="C45" s="77">
        <v>43.0</v>
      </c>
      <c r="D45" s="78">
        <v>4.0</v>
      </c>
      <c r="E45" s="30">
        <v>1.0</v>
      </c>
      <c r="F45" s="31">
        <v>6.0</v>
      </c>
      <c r="G45" s="28">
        <v>0.0</v>
      </c>
      <c r="H45" s="31">
        <v>6.0</v>
      </c>
      <c r="I45" s="31">
        <v>2.0</v>
      </c>
      <c r="J45" s="31">
        <v>3.0</v>
      </c>
      <c r="K45" s="33">
        <v>11.0</v>
      </c>
      <c r="L45" s="31">
        <v>0.0</v>
      </c>
      <c r="M45" s="28">
        <f t="shared" ref="M45:N45" si="42">C45+K45</f>
        <v>54</v>
      </c>
      <c r="N45" s="29">
        <f t="shared" si="42"/>
        <v>4</v>
      </c>
      <c r="O45" s="35" t="s">
        <v>46</v>
      </c>
      <c r="P45" s="35" t="s">
        <v>46</v>
      </c>
      <c r="Q45" s="31">
        <f>if(G45=13,1,0)+VLOOKUP(B45,'012724'!B:Q,16,false)</f>
        <v>0</v>
      </c>
      <c r="R45" s="31"/>
      <c r="S45" s="31">
        <f>if(G45=9,1,0)+VLOOKUP(B45,'012724'!B:S,18,false)</f>
        <v>1</v>
      </c>
    </row>
    <row r="46">
      <c r="A46" s="26">
        <f t="shared" si="3"/>
        <v>42</v>
      </c>
      <c r="B46" s="39" t="s">
        <v>86</v>
      </c>
      <c r="C46" s="77">
        <v>43.0</v>
      </c>
      <c r="D46" s="78">
        <v>3.0</v>
      </c>
      <c r="E46" s="30">
        <v>2.0</v>
      </c>
      <c r="F46" s="31">
        <v>7.0</v>
      </c>
      <c r="G46" s="28">
        <v>0.0</v>
      </c>
      <c r="H46" s="31">
        <v>6.0</v>
      </c>
      <c r="I46" s="31">
        <v>6.0</v>
      </c>
      <c r="J46" s="31">
        <v>1.0</v>
      </c>
      <c r="K46" s="33">
        <v>13.0</v>
      </c>
      <c r="L46" s="31">
        <v>2.0</v>
      </c>
      <c r="M46" s="28">
        <f t="shared" ref="M46:N46" si="43">C46+K46</f>
        <v>56</v>
      </c>
      <c r="N46" s="29">
        <f t="shared" si="43"/>
        <v>5</v>
      </c>
      <c r="O46" s="35" t="s">
        <v>46</v>
      </c>
      <c r="P46" s="35" t="s">
        <v>46</v>
      </c>
      <c r="Q46" s="31">
        <f>if(G46=13,1,0)+VLOOKUP(B46,'012724'!B:Q,16,false)</f>
        <v>1</v>
      </c>
      <c r="R46" s="31"/>
      <c r="S46" s="31">
        <f>if(G46=9,1,0)+VLOOKUP(B46,'012724'!B:S,18,false)</f>
        <v>1</v>
      </c>
    </row>
    <row r="47">
      <c r="A47" s="26">
        <f t="shared" si="3"/>
        <v>43</v>
      </c>
      <c r="B47" s="54" t="s">
        <v>122</v>
      </c>
      <c r="C47" s="77">
        <v>43.0</v>
      </c>
      <c r="D47" s="78">
        <v>1.0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52</v>
      </c>
      <c r="N47" s="29">
        <f t="shared" si="44"/>
        <v>1</v>
      </c>
      <c r="O47" s="35" t="s">
        <v>46</v>
      </c>
      <c r="P47" s="35" t="s">
        <v>46</v>
      </c>
      <c r="Q47" s="31">
        <f>if(G47=13,1,0)+VLOOKUP(B47,'012724'!B:Q,16,false)</f>
        <v>0</v>
      </c>
      <c r="R47" s="31"/>
      <c r="S47" s="31">
        <f>if(G47=9,1,0)+VLOOKUP(B47,'012724'!B:S,18,false)</f>
        <v>4</v>
      </c>
    </row>
    <row r="48">
      <c r="A48" s="26">
        <f t="shared" si="3"/>
        <v>44</v>
      </c>
      <c r="B48" s="54" t="s">
        <v>59</v>
      </c>
      <c r="C48" s="77">
        <v>42.0</v>
      </c>
      <c r="D48" s="78">
        <v>5.0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51</v>
      </c>
      <c r="N48" s="29">
        <f t="shared" si="45"/>
        <v>5</v>
      </c>
      <c r="O48" s="35" t="s">
        <v>46</v>
      </c>
      <c r="P48" s="35" t="s">
        <v>46</v>
      </c>
      <c r="Q48" s="31">
        <f>if(G48=13,1,0)+VLOOKUP(B48,'012724'!B:Q,16,false)</f>
        <v>0</v>
      </c>
      <c r="R48" s="31"/>
      <c r="S48" s="31">
        <f>if(G48=9,1,0)+VLOOKUP(B48,'012724'!B:S,18,false)</f>
        <v>1</v>
      </c>
    </row>
    <row r="49">
      <c r="A49" s="26">
        <f t="shared" si="3"/>
        <v>45</v>
      </c>
      <c r="B49" s="54" t="s">
        <v>100</v>
      </c>
      <c r="C49" s="77">
        <v>42.0</v>
      </c>
      <c r="D49" s="78">
        <v>2.0</v>
      </c>
      <c r="E49" s="30">
        <v>3.0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51</v>
      </c>
      <c r="N49" s="29">
        <f t="shared" si="46"/>
        <v>2</v>
      </c>
      <c r="O49" s="35" t="s">
        <v>46</v>
      </c>
      <c r="P49" s="35" t="s">
        <v>46</v>
      </c>
      <c r="Q49" s="31">
        <f>if(G49=13,1,0)+VLOOKUP(B49,'012724'!B:Q,16,false)</f>
        <v>1</v>
      </c>
      <c r="R49" s="31"/>
      <c r="S49" s="31">
        <f>if(G49=9,1,0)+VLOOKUP(B49,'012724'!B:S,18,false)</f>
        <v>2</v>
      </c>
    </row>
    <row r="50">
      <c r="A50" s="26">
        <f t="shared" si="3"/>
        <v>46</v>
      </c>
      <c r="B50" s="39" t="s">
        <v>119</v>
      </c>
      <c r="C50" s="77">
        <v>42.0</v>
      </c>
      <c r="D50" s="78">
        <v>2.0</v>
      </c>
      <c r="E50" s="30">
        <v>1.0</v>
      </c>
      <c r="F50" s="31">
        <v>7.0</v>
      </c>
      <c r="G50" s="28">
        <v>0.0</v>
      </c>
      <c r="H50" s="31">
        <v>1.0</v>
      </c>
      <c r="I50" s="31">
        <v>6.0</v>
      </c>
      <c r="J50" s="31">
        <v>6.0</v>
      </c>
      <c r="K50" s="33">
        <v>13.0</v>
      </c>
      <c r="L50" s="31">
        <v>2.0</v>
      </c>
      <c r="M50" s="28">
        <f t="shared" ref="M50:N50" si="47">C50+K50</f>
        <v>55</v>
      </c>
      <c r="N50" s="29">
        <f t="shared" si="47"/>
        <v>4</v>
      </c>
      <c r="O50" s="35" t="s">
        <v>46</v>
      </c>
      <c r="P50" s="35" t="s">
        <v>46</v>
      </c>
      <c r="Q50" s="31">
        <f>if(G50=13,1,0)+VLOOKUP(B50,'012724'!B:Q,16,false)</f>
        <v>0</v>
      </c>
      <c r="R50" s="31"/>
      <c r="S50" s="31">
        <f>if(G50=9,1,0)+VLOOKUP(B50,'012724'!B:S,18,false)</f>
        <v>3</v>
      </c>
    </row>
    <row r="51">
      <c r="A51" s="26">
        <f t="shared" si="3"/>
        <v>47</v>
      </c>
      <c r="B51" s="54" t="s">
        <v>54</v>
      </c>
      <c r="C51" s="77">
        <v>41.0</v>
      </c>
      <c r="D51" s="78">
        <v>2.0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50</v>
      </c>
      <c r="N51" s="29">
        <f t="shared" si="48"/>
        <v>2</v>
      </c>
      <c r="O51" s="35" t="s">
        <v>46</v>
      </c>
      <c r="P51" s="35" t="s">
        <v>46</v>
      </c>
      <c r="Q51" s="31">
        <f>if(G51=13,1,0)+VLOOKUP(B51,'012724'!B:Q,16,false)</f>
        <v>1</v>
      </c>
      <c r="R51" s="31"/>
      <c r="S51" s="31">
        <f>if(G51=9,1,0)+VLOOKUP(B51,'012724'!B:S,18,false)</f>
        <v>2</v>
      </c>
    </row>
    <row r="52">
      <c r="A52" s="26">
        <f t="shared" si="3"/>
        <v>48</v>
      </c>
      <c r="B52" s="55" t="s">
        <v>109</v>
      </c>
      <c r="C52" s="77">
        <v>40.0</v>
      </c>
      <c r="D52" s="78">
        <v>0.0</v>
      </c>
      <c r="E52" s="30">
        <v>3.0</v>
      </c>
      <c r="F52" s="31">
        <v>0.0</v>
      </c>
      <c r="G52" s="28">
        <v>9.0</v>
      </c>
      <c r="H52" s="31">
        <v>0.0</v>
      </c>
      <c r="I52" s="31">
        <v>0.0</v>
      </c>
      <c r="J52" s="31">
        <v>0.0</v>
      </c>
      <c r="K52" s="33">
        <v>9.0</v>
      </c>
      <c r="L52" s="31">
        <v>0.0</v>
      </c>
      <c r="M52" s="28">
        <f t="shared" ref="M52:N52" si="49">C52+K52</f>
        <v>49</v>
      </c>
      <c r="N52" s="29">
        <f t="shared" si="49"/>
        <v>0</v>
      </c>
      <c r="O52" s="35" t="s">
        <v>46</v>
      </c>
      <c r="P52" s="35" t="s">
        <v>46</v>
      </c>
      <c r="Q52" s="31">
        <f>if(G52=13,1,0)+VLOOKUP(B52,'012724'!B:Q,16,false)</f>
        <v>2</v>
      </c>
      <c r="R52" s="31"/>
      <c r="S52" s="31">
        <f>if(G52=9,1,0)+VLOOKUP(B52,'012724'!B:S,18,false)</f>
        <v>2</v>
      </c>
    </row>
    <row r="53">
      <c r="A53" s="26">
        <f t="shared" si="3"/>
        <v>49</v>
      </c>
      <c r="B53" s="54" t="s">
        <v>123</v>
      </c>
      <c r="C53" s="77">
        <v>40.0</v>
      </c>
      <c r="D53" s="78">
        <v>0.0</v>
      </c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f t="shared" ref="M53:N53" si="50">C53+K53</f>
        <v>49</v>
      </c>
      <c r="N53" s="29">
        <f t="shared" si="50"/>
        <v>0</v>
      </c>
      <c r="O53" s="35" t="s">
        <v>46</v>
      </c>
      <c r="P53" s="35" t="s">
        <v>46</v>
      </c>
      <c r="Q53" s="31">
        <f>if(G53=13,1,0)+VLOOKUP(B53,'012724'!B:Q,16,false)</f>
        <v>1</v>
      </c>
      <c r="R53" s="31"/>
      <c r="S53" s="31">
        <f>if(G53=9,1,0)+VLOOKUP(B53,'012724'!B:S,18,false)</f>
        <v>4</v>
      </c>
    </row>
    <row r="54">
      <c r="A54" s="26">
        <f t="shared" si="3"/>
        <v>50</v>
      </c>
      <c r="B54" s="39" t="s">
        <v>55</v>
      </c>
      <c r="C54" s="77">
        <v>40.0</v>
      </c>
      <c r="D54" s="78">
        <v>0.0</v>
      </c>
      <c r="E54" s="30">
        <v>1.0</v>
      </c>
      <c r="F54" s="31">
        <v>7.0</v>
      </c>
      <c r="G54" s="28">
        <v>0.0</v>
      </c>
      <c r="H54" s="31">
        <v>6.0</v>
      </c>
      <c r="I54" s="31">
        <v>3.0</v>
      </c>
      <c r="J54" s="31">
        <v>6.0</v>
      </c>
      <c r="K54" s="33">
        <v>15.0</v>
      </c>
      <c r="L54" s="31">
        <v>2.0</v>
      </c>
      <c r="M54" s="28">
        <f t="shared" ref="M54:N54" si="51">C54+K54</f>
        <v>55</v>
      </c>
      <c r="N54" s="29">
        <f t="shared" si="51"/>
        <v>2</v>
      </c>
      <c r="O54" s="35" t="s">
        <v>46</v>
      </c>
      <c r="P54" s="35" t="s">
        <v>46</v>
      </c>
      <c r="Q54" s="31">
        <f>if(G54=13,1,0)+VLOOKUP(B54,'012724'!B:Q,16,false)</f>
        <v>1</v>
      </c>
      <c r="R54" s="31"/>
      <c r="S54" s="31">
        <f>if(G54=9,1,0)+VLOOKUP(B54,'012724'!B:S,18,false)</f>
        <v>3</v>
      </c>
    </row>
    <row r="55">
      <c r="A55" s="26">
        <f t="shared" si="3"/>
        <v>51</v>
      </c>
      <c r="B55" s="27" t="s">
        <v>114</v>
      </c>
      <c r="C55" s="77">
        <v>40.0</v>
      </c>
      <c r="D55" s="78">
        <v>0.0</v>
      </c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f t="shared" ref="M55:N55" si="52">C55+K55</f>
        <v>49</v>
      </c>
      <c r="N55" s="29">
        <f t="shared" si="52"/>
        <v>0</v>
      </c>
      <c r="O55" s="35" t="s">
        <v>46</v>
      </c>
      <c r="P55" s="35" t="s">
        <v>46</v>
      </c>
      <c r="Q55" s="31">
        <f>if(G55=13,1,0)+VLOOKUP(B55,'012724'!B:Q,16,false)</f>
        <v>1</v>
      </c>
      <c r="R55" s="31"/>
      <c r="S55" s="31">
        <f>if(G55=9,1,0)+VLOOKUP(B55,'012724'!B:S,18,false)</f>
        <v>4</v>
      </c>
    </row>
    <row r="56">
      <c r="A56" s="26">
        <f t="shared" si="3"/>
        <v>52</v>
      </c>
      <c r="B56" s="27" t="s">
        <v>76</v>
      </c>
      <c r="C56" s="77">
        <v>39.0</v>
      </c>
      <c r="D56" s="78">
        <v>2.0</v>
      </c>
      <c r="E56" s="30">
        <v>5.0</v>
      </c>
      <c r="F56" s="31">
        <v>0.0</v>
      </c>
      <c r="G56" s="28">
        <v>13.0</v>
      </c>
      <c r="H56" s="31">
        <v>0.0</v>
      </c>
      <c r="I56" s="31">
        <v>0.0</v>
      </c>
      <c r="J56" s="31">
        <v>0.0</v>
      </c>
      <c r="K56" s="33">
        <v>13.0</v>
      </c>
      <c r="L56" s="31">
        <v>0.0</v>
      </c>
      <c r="M56" s="28">
        <f t="shared" ref="M56:N56" si="53">C56+K56</f>
        <v>52</v>
      </c>
      <c r="N56" s="29">
        <f t="shared" si="53"/>
        <v>2</v>
      </c>
      <c r="O56" s="35" t="s">
        <v>46</v>
      </c>
      <c r="P56" s="35" t="s">
        <v>46</v>
      </c>
      <c r="Q56" s="31">
        <f>if(G56=13,1,0)+VLOOKUP(B56,'012724'!B:Q,16,false)</f>
        <v>1</v>
      </c>
      <c r="R56" s="31"/>
      <c r="S56" s="31">
        <f>if(G56=9,1,0)+VLOOKUP(B56,'012724'!B:S,18,false)</f>
        <v>2</v>
      </c>
    </row>
    <row r="57">
      <c r="A57" s="26">
        <f t="shared" si="3"/>
        <v>53</v>
      </c>
      <c r="B57" s="27" t="s">
        <v>112</v>
      </c>
      <c r="C57" s="77">
        <v>39.0</v>
      </c>
      <c r="D57" s="78">
        <v>1.0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48</v>
      </c>
      <c r="N57" s="29">
        <f t="shared" si="54"/>
        <v>1</v>
      </c>
      <c r="O57" s="35" t="s">
        <v>46</v>
      </c>
      <c r="P57" s="35" t="s">
        <v>46</v>
      </c>
      <c r="Q57" s="31">
        <f>if(G57=13,1,0)+VLOOKUP(B57,'012724'!B:Q,16,false)</f>
        <v>0</v>
      </c>
      <c r="R57" s="31"/>
      <c r="S57" s="31">
        <f>if(G57=9,1,0)+VLOOKUP(B57,'012724'!B:S,18,false)</f>
        <v>4</v>
      </c>
    </row>
    <row r="58">
      <c r="A58" s="26">
        <f t="shared" si="3"/>
        <v>54</v>
      </c>
      <c r="B58" s="54" t="s">
        <v>108</v>
      </c>
      <c r="C58" s="77">
        <v>37.0</v>
      </c>
      <c r="D58" s="78">
        <v>3.0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46</v>
      </c>
      <c r="N58" s="29">
        <f t="shared" si="55"/>
        <v>3</v>
      </c>
      <c r="O58" s="35" t="s">
        <v>46</v>
      </c>
      <c r="P58" s="35" t="s">
        <v>46</v>
      </c>
      <c r="Q58" s="31">
        <f>if(G58=13,1,0)+VLOOKUP(B58,'012724'!B:Q,16,false)</f>
        <v>0</v>
      </c>
      <c r="R58" s="31"/>
      <c r="S58" s="31">
        <f>if(G58=9,1,0)+VLOOKUP(B58,'012724'!B:S,18,false)</f>
        <v>1</v>
      </c>
    </row>
    <row r="59">
      <c r="A59" s="26">
        <f t="shared" si="3"/>
        <v>55</v>
      </c>
      <c r="B59" s="54" t="s">
        <v>94</v>
      </c>
      <c r="C59" s="77">
        <v>37.0</v>
      </c>
      <c r="D59" s="78">
        <v>3.0</v>
      </c>
      <c r="E59" s="30">
        <v>1.0</v>
      </c>
      <c r="F59" s="31">
        <v>7.0</v>
      </c>
      <c r="G59" s="28">
        <v>0.0</v>
      </c>
      <c r="H59" s="31">
        <v>1.0</v>
      </c>
      <c r="I59" s="31">
        <v>3.0</v>
      </c>
      <c r="J59" s="31">
        <v>1.0</v>
      </c>
      <c r="K59" s="33">
        <v>5.0</v>
      </c>
      <c r="L59" s="31">
        <v>0.0</v>
      </c>
      <c r="M59" s="28">
        <f t="shared" ref="M59:N59" si="56">C59+K59</f>
        <v>42</v>
      </c>
      <c r="N59" s="29">
        <f t="shared" si="56"/>
        <v>3</v>
      </c>
      <c r="O59" s="35" t="s">
        <v>46</v>
      </c>
      <c r="P59" s="35" t="s">
        <v>46</v>
      </c>
      <c r="Q59" s="31">
        <f>if(G59=13,1,0)+VLOOKUP(B59,'012724'!B:Q,16,false)</f>
        <v>0</v>
      </c>
      <c r="R59" s="31"/>
      <c r="S59" s="31">
        <f>if(G59=9,1,0)+VLOOKUP(B59,'012724'!B:S,18,false)</f>
        <v>1</v>
      </c>
    </row>
    <row r="60">
      <c r="A60" s="26">
        <f t="shared" si="3"/>
        <v>56</v>
      </c>
      <c r="B60" s="54" t="s">
        <v>47</v>
      </c>
      <c r="C60" s="77">
        <v>36.0</v>
      </c>
      <c r="D60" s="78">
        <v>1.0</v>
      </c>
      <c r="E60" s="30">
        <v>1.0</v>
      </c>
      <c r="F60" s="31">
        <v>8.0</v>
      </c>
      <c r="G60" s="28">
        <v>0.0</v>
      </c>
      <c r="H60" s="31">
        <v>1.0</v>
      </c>
      <c r="I60" s="31">
        <v>7.0</v>
      </c>
      <c r="J60" s="31">
        <v>6.0</v>
      </c>
      <c r="K60" s="33">
        <v>14.0</v>
      </c>
      <c r="L60" s="31">
        <v>2.0</v>
      </c>
      <c r="M60" s="28">
        <f t="shared" ref="M60:N60" si="57">C60+K60</f>
        <v>50</v>
      </c>
      <c r="N60" s="29">
        <f t="shared" si="57"/>
        <v>3</v>
      </c>
      <c r="O60" s="35" t="s">
        <v>46</v>
      </c>
      <c r="P60" s="35" t="s">
        <v>46</v>
      </c>
      <c r="Q60" s="31">
        <f>if(G60=13,1,0)+VLOOKUP(B60,'012724'!B:Q,16,false)</f>
        <v>0</v>
      </c>
      <c r="R60" s="31"/>
      <c r="S60" s="31">
        <f>if(G60=9,1,0)+VLOOKUP(B60,'012724'!B:S,18,false)</f>
        <v>0</v>
      </c>
    </row>
    <row r="61">
      <c r="A61" s="26">
        <f t="shared" si="3"/>
        <v>57</v>
      </c>
      <c r="B61" s="27" t="s">
        <v>74</v>
      </c>
      <c r="C61" s="77">
        <v>36.0</v>
      </c>
      <c r="D61" s="78">
        <v>0.0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45</v>
      </c>
      <c r="N61" s="29">
        <f t="shared" si="58"/>
        <v>0</v>
      </c>
      <c r="O61" s="35" t="s">
        <v>46</v>
      </c>
      <c r="P61" s="35" t="s">
        <v>46</v>
      </c>
      <c r="Q61" s="31">
        <f>if(G61=13,1,0)+VLOOKUP(B61,'012724'!B:Q,16,false)</f>
        <v>0</v>
      </c>
      <c r="R61" s="31"/>
      <c r="S61" s="31">
        <f>if(G61=9,1,0)+VLOOKUP(B61,'012724'!B:S,18,false)</f>
        <v>5</v>
      </c>
    </row>
    <row r="62">
      <c r="A62" s="26">
        <f t="shared" si="3"/>
        <v>58</v>
      </c>
      <c r="B62" s="27" t="s">
        <v>56</v>
      </c>
      <c r="C62" s="77">
        <v>36.0</v>
      </c>
      <c r="D62" s="78">
        <v>0.0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45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if(G62=13,1,0)+VLOOKUP(B62,'012724'!B:Q,16,false)</f>
        <v>0</v>
      </c>
      <c r="R62" s="31"/>
      <c r="S62" s="31">
        <f>if(G62=9,1,0)+VLOOKUP(B62,'012724'!B:S,18,false)</f>
        <v>5</v>
      </c>
    </row>
    <row r="63">
      <c r="A63" s="26">
        <f t="shared" si="3"/>
        <v>59</v>
      </c>
      <c r="B63" s="39" t="s">
        <v>124</v>
      </c>
      <c r="C63" s="77">
        <v>36.0</v>
      </c>
      <c r="D63" s="78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45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if(G63=13,1,0)+VLOOKUP(B63,'012724'!B:Q,16,false)</f>
        <v>0</v>
      </c>
      <c r="R63" s="31"/>
      <c r="S63" s="31">
        <f>if(G63=9,1,0)+VLOOKUP(B63,'012724'!B:S,18,false)</f>
        <v>5</v>
      </c>
    </row>
    <row r="64">
      <c r="A64" s="26">
        <f t="shared" si="3"/>
        <v>60</v>
      </c>
      <c r="B64" s="27" t="s">
        <v>115</v>
      </c>
      <c r="C64" s="77">
        <v>36.0</v>
      </c>
      <c r="D64" s="78">
        <v>0.0</v>
      </c>
      <c r="E64" s="30">
        <v>3.0</v>
      </c>
      <c r="F64" s="31">
        <v>0.0</v>
      </c>
      <c r="G64" s="28">
        <v>9.0</v>
      </c>
      <c r="H64" s="31">
        <v>0.0</v>
      </c>
      <c r="I64" s="31">
        <v>0.0</v>
      </c>
      <c r="J64" s="31">
        <v>0.0</v>
      </c>
      <c r="K64" s="33">
        <v>9.0</v>
      </c>
      <c r="L64" s="31">
        <v>0.0</v>
      </c>
      <c r="M64" s="28">
        <f t="shared" ref="M64:N64" si="61">C64+K64</f>
        <v>45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if(G64=13,1,0)+VLOOKUP(B64,'012724'!B:Q,16,false)</f>
        <v>0</v>
      </c>
      <c r="R64" s="31"/>
      <c r="S64" s="31">
        <f>if(G64=9,1,0)+VLOOKUP(B64,'012724'!B:S,18,false)</f>
        <v>5</v>
      </c>
    </row>
    <row r="65">
      <c r="A65" s="26">
        <f t="shared" si="3"/>
        <v>61</v>
      </c>
      <c r="B65" s="39" t="s">
        <v>125</v>
      </c>
      <c r="C65" s="77">
        <v>36.0</v>
      </c>
      <c r="D65" s="78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45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if(G65=13,1,0)+VLOOKUP(B65,'012724'!B:Q,16,false)</f>
        <v>0</v>
      </c>
      <c r="R65" s="31"/>
      <c r="S65" s="31">
        <f>if(G65=9,1,0)+VLOOKUP(B65,'012724'!B:S,18,false)</f>
        <v>4</v>
      </c>
    </row>
    <row r="66">
      <c r="A66" s="26">
        <f t="shared" si="3"/>
        <v>62</v>
      </c>
      <c r="B66" s="39" t="s">
        <v>127</v>
      </c>
      <c r="C66" s="77">
        <v>36.0</v>
      </c>
      <c r="D66" s="78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45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if(G66=13,1,0)+VLOOKUP(B66,'012724'!B:Q,16,false)</f>
        <v>0</v>
      </c>
      <c r="R66" s="31"/>
      <c r="S66" s="31">
        <f>if(G66=9,1,0)+VLOOKUP(B66,'012724'!B:S,18,false)</f>
        <v>5</v>
      </c>
    </row>
    <row r="67">
      <c r="A67" s="26">
        <f t="shared" si="3"/>
        <v>63</v>
      </c>
      <c r="B67" s="54" t="s">
        <v>89</v>
      </c>
      <c r="C67" s="77">
        <v>34.0</v>
      </c>
      <c r="D67" s="78">
        <v>2.0</v>
      </c>
      <c r="E67" s="30">
        <v>1.0</v>
      </c>
      <c r="F67" s="31">
        <v>8.0</v>
      </c>
      <c r="G67" s="28">
        <v>0.0</v>
      </c>
      <c r="H67" s="31">
        <v>6.0</v>
      </c>
      <c r="I67" s="31">
        <v>5.0</v>
      </c>
      <c r="J67" s="31">
        <v>6.0</v>
      </c>
      <c r="K67" s="33">
        <v>17.0</v>
      </c>
      <c r="L67" s="31">
        <v>2.0</v>
      </c>
      <c r="M67" s="28">
        <f t="shared" ref="M67:N67" si="64">C67+K67</f>
        <v>51</v>
      </c>
      <c r="N67" s="29">
        <f t="shared" si="64"/>
        <v>4</v>
      </c>
      <c r="O67" s="35" t="s">
        <v>46</v>
      </c>
      <c r="P67" s="35" t="s">
        <v>46</v>
      </c>
      <c r="Q67" s="31">
        <f>if(G67=13,1,0)+VLOOKUP(B67,'012724'!B:Q,16,false)</f>
        <v>0</v>
      </c>
      <c r="R67" s="31"/>
      <c r="S67" s="31">
        <f>if(G67=9,1,0)+VLOOKUP(B67,'012724'!B:S,18,false)</f>
        <v>1</v>
      </c>
    </row>
    <row r="68">
      <c r="A68" s="26">
        <f t="shared" si="3"/>
        <v>64</v>
      </c>
      <c r="B68" s="39" t="s">
        <v>97</v>
      </c>
      <c r="C68" s="77">
        <v>34.0</v>
      </c>
      <c r="D68" s="78">
        <v>1.0</v>
      </c>
      <c r="E68" s="30">
        <v>1.0</v>
      </c>
      <c r="F68" s="31">
        <v>8.0</v>
      </c>
      <c r="G68" s="28">
        <v>0.0</v>
      </c>
      <c r="H68" s="31">
        <v>1.0</v>
      </c>
      <c r="I68" s="31">
        <v>5.0</v>
      </c>
      <c r="J68" s="31">
        <v>2.0</v>
      </c>
      <c r="K68" s="33">
        <v>8.0</v>
      </c>
      <c r="L68" s="31"/>
      <c r="M68" s="28">
        <f t="shared" ref="M68:N68" si="65">C68+K68</f>
        <v>42</v>
      </c>
      <c r="N68" s="29">
        <f t="shared" si="65"/>
        <v>1</v>
      </c>
      <c r="O68" s="35" t="s">
        <v>46</v>
      </c>
      <c r="P68" s="35" t="s">
        <v>46</v>
      </c>
      <c r="Q68" s="31">
        <f>if(G68=13,1,0)+VLOOKUP(B68,'012724'!B:Q,16,false)</f>
        <v>0</v>
      </c>
      <c r="R68" s="31"/>
      <c r="S68" s="31">
        <f>if(G68=9,1,0)+VLOOKUP(B68,'012724'!B:S,18,false)</f>
        <v>1</v>
      </c>
    </row>
    <row r="69">
      <c r="A69" s="26">
        <f t="shared" si="3"/>
        <v>65</v>
      </c>
      <c r="B69" s="39" t="s">
        <v>106</v>
      </c>
      <c r="C69" s="77">
        <v>34.0</v>
      </c>
      <c r="D69" s="78">
        <v>1.0</v>
      </c>
      <c r="E69" s="30">
        <v>1.0</v>
      </c>
      <c r="F69" s="31">
        <v>8.0</v>
      </c>
      <c r="G69" s="28">
        <v>0.0</v>
      </c>
      <c r="H69" s="31">
        <v>6.0</v>
      </c>
      <c r="I69" s="31">
        <v>7.0</v>
      </c>
      <c r="J69" s="31">
        <v>2.0</v>
      </c>
      <c r="K69" s="33">
        <v>15.0</v>
      </c>
      <c r="L69" s="31">
        <v>2.0</v>
      </c>
      <c r="M69" s="28">
        <f t="shared" ref="M69:N69" si="66">C69+K69</f>
        <v>49</v>
      </c>
      <c r="N69" s="29">
        <f t="shared" si="66"/>
        <v>3</v>
      </c>
      <c r="O69" s="35" t="s">
        <v>46</v>
      </c>
      <c r="P69" s="35" t="s">
        <v>46</v>
      </c>
      <c r="Q69" s="31">
        <f>if(G69=13,1,0)+VLOOKUP(B69,'012724'!B:Q,16,false)</f>
        <v>0</v>
      </c>
      <c r="R69" s="31"/>
      <c r="S69" s="31">
        <f>if(G69=9,1,0)+VLOOKUP(B69,'012724'!B:S,18,false)</f>
        <v>3</v>
      </c>
    </row>
    <row r="70">
      <c r="A70" s="26">
        <f t="shared" si="3"/>
        <v>66</v>
      </c>
      <c r="B70" s="39" t="s">
        <v>126</v>
      </c>
      <c r="C70" s="77">
        <v>31.0</v>
      </c>
      <c r="D70" s="78">
        <v>0.0</v>
      </c>
      <c r="E70" s="30">
        <v>3.0</v>
      </c>
      <c r="F70" s="31">
        <v>0.0</v>
      </c>
      <c r="G70" s="28">
        <v>9.0</v>
      </c>
      <c r="H70" s="31">
        <v>0.0</v>
      </c>
      <c r="I70" s="31">
        <v>0.0</v>
      </c>
      <c r="J70" s="31">
        <v>0.0</v>
      </c>
      <c r="K70" s="33">
        <v>9.0</v>
      </c>
      <c r="L70" s="31">
        <v>0.0</v>
      </c>
      <c r="M70" s="28">
        <f t="shared" ref="M70:N70" si="67">C70+K70</f>
        <v>40</v>
      </c>
      <c r="N70" s="29">
        <f t="shared" si="67"/>
        <v>0</v>
      </c>
      <c r="O70" s="35" t="s">
        <v>46</v>
      </c>
      <c r="P70" s="35" t="s">
        <v>46</v>
      </c>
      <c r="Q70" s="31">
        <f>if(G70=13,1,0)+VLOOKUP(B70,'012724'!B:Q,16,false)</f>
        <v>0</v>
      </c>
      <c r="R70" s="31"/>
      <c r="S70" s="31">
        <f>if(G70=9,1,0)+VLOOKUP(B70,'012724'!B:S,18,false)</f>
        <v>4</v>
      </c>
    </row>
    <row r="71">
      <c r="A71" s="1"/>
      <c r="C71" s="1"/>
      <c r="D71" s="1"/>
      <c r="E71" s="1"/>
      <c r="P71" s="1"/>
    </row>
    <row r="72">
      <c r="A72" s="1"/>
      <c r="C72" s="1"/>
      <c r="D72" s="1"/>
      <c r="E72" s="1"/>
      <c r="P72" s="1"/>
    </row>
    <row r="73">
      <c r="A73" s="1"/>
      <c r="B73" s="56">
        <f>COUNTA(B5:B70)</f>
        <v>66</v>
      </c>
      <c r="C73" s="1"/>
      <c r="D73" s="1"/>
      <c r="E73" s="1"/>
      <c r="O73" s="13" t="s">
        <v>128</v>
      </c>
      <c r="P73" s="14">
        <f>COUNTA(P5:P70)</f>
        <v>66</v>
      </c>
    </row>
    <row r="74">
      <c r="A74" s="1"/>
      <c r="C74" s="1"/>
      <c r="D74" s="1"/>
      <c r="E74" s="1"/>
      <c r="O74" s="13" t="s">
        <v>129</v>
      </c>
      <c r="P74" s="14">
        <f>P75-P73</f>
        <v>0</v>
      </c>
    </row>
    <row r="75">
      <c r="A75" s="1"/>
      <c r="C75" s="1"/>
      <c r="D75" s="1"/>
      <c r="J75" s="41"/>
      <c r="K75" s="57"/>
      <c r="L75" s="58"/>
      <c r="O75" s="13" t="s">
        <v>53</v>
      </c>
      <c r="P75" s="14">
        <f>B73</f>
        <v>66</v>
      </c>
    </row>
    <row r="76">
      <c r="A76" s="1"/>
      <c r="C76" s="1"/>
      <c r="D76" s="1"/>
      <c r="E76" s="9" t="s">
        <v>130</v>
      </c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C78" s="1"/>
      <c r="D78" s="1"/>
      <c r="J78" s="41"/>
      <c r="K78" s="57"/>
      <c r="L78" s="58"/>
    </row>
    <row r="79">
      <c r="A79" s="1"/>
      <c r="B79" s="59" t="s">
        <v>131</v>
      </c>
      <c r="C79" s="59" t="s">
        <v>132</v>
      </c>
      <c r="D79" s="59" t="s">
        <v>133</v>
      </c>
      <c r="J79" s="41"/>
      <c r="K79" s="57"/>
      <c r="L79" s="58"/>
    </row>
    <row r="80">
      <c r="A80" s="1"/>
      <c r="B80" s="39" t="str">
        <f>IFERROR(__xludf.DUMMYFUNCTION("QUERY(B5:L70,""Select B, K, L where K &gt;= 18 order by K desc, L desc"",0)"),"Eric Pan")</f>
        <v>Eric Pan</v>
      </c>
      <c r="C80" s="60">
        <f>IFERROR(__xludf.DUMMYFUNCTION("""COMPUTED_VALUE"""),19.0)</f>
        <v>19</v>
      </c>
      <c r="D80" s="60">
        <f>IFERROR(__xludf.DUMMYFUNCTION("""COMPUTED_VALUE"""),3.0)</f>
        <v>3</v>
      </c>
      <c r="E80" s="1"/>
      <c r="K80" s="57"/>
      <c r="L80" s="58"/>
    </row>
    <row r="81">
      <c r="A81" s="1"/>
      <c r="B81" s="39" t="str">
        <f>IFERROR(__xludf.DUMMYFUNCTION("""COMPUTED_VALUE"""),"Adrian Tay")</f>
        <v>Adrian Tay</v>
      </c>
      <c r="C81" s="60">
        <f>IFERROR(__xludf.DUMMYFUNCTION("""COMPUTED_VALUE"""),19.0)</f>
        <v>19</v>
      </c>
      <c r="D81" s="60">
        <f>IFERROR(__xludf.DUMMYFUNCTION("""COMPUTED_VALUE"""),3.0)</f>
        <v>3</v>
      </c>
      <c r="E81" s="1"/>
      <c r="L81" s="61"/>
    </row>
    <row r="82">
      <c r="A82" s="1"/>
      <c r="B82" s="39" t="str">
        <f>IFERROR(__xludf.DUMMYFUNCTION("""COMPUTED_VALUE"""),"Pulkit Mathur")</f>
        <v>Pulkit Mathur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IFERROR(__xludf.DUMMYFUNCTION("""COMPUTED_VALUE"""),"Lam Bui")</f>
        <v>Lam Bui</v>
      </c>
      <c r="C83" s="60">
        <f>IFERROR(__xludf.DUMMYFUNCTION("""COMPUTED_VALUE"""),18.0)</f>
        <v>18</v>
      </c>
      <c r="D83" s="60">
        <f>IFERROR(__xludf.DUMMYFUNCTION("""COMPUTED_VALUE"""),2.0)</f>
        <v>2</v>
      </c>
      <c r="E83" s="1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  <c r="K87" s="9"/>
    </row>
    <row r="88">
      <c r="A88" s="1"/>
      <c r="B88" s="39"/>
      <c r="C88" s="60"/>
      <c r="D88" s="60"/>
      <c r="E88" s="1"/>
    </row>
    <row r="89">
      <c r="A89" s="1"/>
      <c r="B89" s="39"/>
      <c r="C89" s="60"/>
      <c r="D89" s="60"/>
      <c r="E89" s="1"/>
    </row>
    <row r="90">
      <c r="A90" s="1"/>
      <c r="C90" s="1"/>
      <c r="D90" s="1"/>
      <c r="E90" s="1"/>
    </row>
    <row r="91">
      <c r="A91" s="1"/>
      <c r="B91" s="9" t="s">
        <v>135</v>
      </c>
      <c r="C91" s="1"/>
      <c r="D91" s="1"/>
      <c r="E91" s="1"/>
    </row>
    <row r="92">
      <c r="A92" s="1"/>
      <c r="B92" s="23" t="s">
        <v>29</v>
      </c>
      <c r="C92" s="24" t="s">
        <v>5</v>
      </c>
      <c r="D92" s="24" t="s">
        <v>7</v>
      </c>
      <c r="E92" s="24" t="s">
        <v>30</v>
      </c>
      <c r="F92" s="24" t="s">
        <v>31</v>
      </c>
      <c r="G92" s="24" t="s">
        <v>32</v>
      </c>
      <c r="H92" s="24" t="s">
        <v>11</v>
      </c>
      <c r="I92" s="24" t="s">
        <v>13</v>
      </c>
      <c r="J92" s="24" t="s">
        <v>14</v>
      </c>
      <c r="K92" s="24" t="s">
        <v>5</v>
      </c>
      <c r="L92" s="24" t="s">
        <v>7</v>
      </c>
      <c r="M92" s="25" t="s">
        <v>5</v>
      </c>
      <c r="N92" s="25" t="s">
        <v>7</v>
      </c>
    </row>
    <row r="93">
      <c r="A93" s="1"/>
      <c r="B93" s="62" t="str">
        <f>IFERROR(__xludf.DUMMYFUNCTION("QUERY(B5:N70, ""Select B, C, D, E, F, G, H, I, J, K, L, M, N   where F &gt;= 1"")"),"Pavan Akkimsetty")</f>
        <v>Pavan Akkimsetty</v>
      </c>
      <c r="C93" s="63">
        <f>IFERROR(__xludf.DUMMYFUNCTION("""COMPUTED_VALUE"""),58.0)</f>
        <v>58</v>
      </c>
      <c r="D93" s="64">
        <f>IFERROR(__xludf.DUMMYFUNCTION("""COMPUTED_VALUE"""),7.0)</f>
        <v>7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IFERROR(__xludf.DUMMYFUNCTION("""COMPUTED_VALUE"""),6.0)</f>
        <v>6</v>
      </c>
      <c r="I93" s="65">
        <f>IFERROR(__xludf.DUMMYFUNCTION("""COMPUTED_VALUE"""),3.0)</f>
        <v>3</v>
      </c>
      <c r="J93" s="65">
        <f>IFERROR(__xludf.DUMMYFUNCTION("""COMPUTED_VALUE"""),5.0)</f>
        <v>5</v>
      </c>
      <c r="K93" s="65">
        <f>IFERROR(__xludf.DUMMYFUNCTION("""COMPUTED_VALUE"""),14.0)</f>
        <v>14</v>
      </c>
      <c r="L93" s="65">
        <f>IFERROR(__xludf.DUMMYFUNCTION("""COMPUTED_VALUE"""),1.0)</f>
        <v>1</v>
      </c>
      <c r="M93" s="65">
        <f>IFERROR(__xludf.DUMMYFUNCTION("""COMPUTED_VALUE"""),72.0)</f>
        <v>72</v>
      </c>
      <c r="N93" s="66">
        <f>IFERROR(__xludf.DUMMYFUNCTION("""COMPUTED_VALUE"""),8.0)</f>
        <v>8</v>
      </c>
    </row>
    <row r="94">
      <c r="A94" s="1"/>
      <c r="B94" s="62" t="str">
        <f>IFERROR(__xludf.DUMMYFUNCTION("""COMPUTED_VALUE"""),"Jonathan Phan")</f>
        <v>Jonathan Phan</v>
      </c>
      <c r="C94" s="63">
        <f>IFERROR(__xludf.DUMMYFUNCTION("""COMPUTED_VALUE"""),57.0)</f>
        <v>57</v>
      </c>
      <c r="D94" s="64">
        <f>IFERROR(__xludf.DUMMYFUNCTION("""COMPUTED_VALUE"""),5.0)</f>
        <v>5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IFERROR(__xludf.DUMMYFUNCTION("""COMPUTED_VALUE"""),3.0)</f>
        <v>3</v>
      </c>
      <c r="I94" s="65">
        <f>IFERROR(__xludf.DUMMYFUNCTION("""COMPUTED_VALUE"""),6.0)</f>
        <v>6</v>
      </c>
      <c r="J94" s="65">
        <f>IFERROR(__xludf.DUMMYFUNCTION("""COMPUTED_VALUE"""),5.0)</f>
        <v>5</v>
      </c>
      <c r="K94" s="65">
        <f>IFERROR(__xludf.DUMMYFUNCTION("""COMPUTED_VALUE"""),14.0)</f>
        <v>14</v>
      </c>
      <c r="L94" s="65">
        <f>IFERROR(__xludf.DUMMYFUNCTION("""COMPUTED_VALUE"""),1.0)</f>
        <v>1</v>
      </c>
      <c r="M94" s="65">
        <f>IFERROR(__xludf.DUMMYFUNCTION("""COMPUTED_VALUE"""),71.0)</f>
        <v>71</v>
      </c>
      <c r="N94" s="66">
        <f>IFERROR(__xludf.DUMMYFUNCTION("""COMPUTED_VALUE"""),6.0)</f>
        <v>6</v>
      </c>
    </row>
    <row r="95">
      <c r="A95" s="1"/>
      <c r="B95" s="62" t="str">
        <f>IFERROR(__xludf.DUMMYFUNCTION("""COMPUTED_VALUE"""),"Ted Shen")</f>
        <v>Ted Shen</v>
      </c>
      <c r="C95" s="63">
        <f>IFERROR(__xludf.DUMMYFUNCTION("""COMPUTED_VALUE"""),56.0)</f>
        <v>56</v>
      </c>
      <c r="D95" s="64">
        <f>IFERROR(__xludf.DUMMYFUNCTION("""COMPUTED_VALUE"""),4.0)</f>
        <v>4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IFERROR(__xludf.DUMMYFUNCTION("""COMPUTED_VALUE"""),3.0)</f>
        <v>3</v>
      </c>
      <c r="I95" s="65">
        <f>IFERROR(__xludf.DUMMYFUNCTION("""COMPUTED_VALUE"""),3.0)</f>
        <v>3</v>
      </c>
      <c r="J95" s="65">
        <f>IFERROR(__xludf.DUMMYFUNCTION("""COMPUTED_VALUE"""),7.0)</f>
        <v>7</v>
      </c>
      <c r="K95" s="65">
        <f>IFERROR(__xludf.DUMMYFUNCTION("""COMPUTED_VALUE"""),13.0)</f>
        <v>13</v>
      </c>
      <c r="L95" s="65">
        <f>IFERROR(__xludf.DUMMYFUNCTION("""COMPUTED_VALUE"""),1.0)</f>
        <v>1</v>
      </c>
      <c r="M95" s="65">
        <f>IFERROR(__xludf.DUMMYFUNCTION("""COMPUTED_VALUE"""),69.0)</f>
        <v>69</v>
      </c>
      <c r="N95" s="66">
        <f>IFERROR(__xludf.DUMMYFUNCTION("""COMPUTED_VALUE"""),5.0)</f>
        <v>5</v>
      </c>
    </row>
    <row r="96">
      <c r="A96" s="1"/>
      <c r="B96" s="62" t="str">
        <f>IFERROR(__xludf.DUMMYFUNCTION("""COMPUTED_VALUE"""),"Eric Pan")</f>
        <v>Eric Pan</v>
      </c>
      <c r="C96" s="63">
        <f>IFERROR(__xludf.DUMMYFUNCTION("""COMPUTED_VALUE"""),55.0)</f>
        <v>55</v>
      </c>
      <c r="D96" s="64">
        <f>IFERROR(__xludf.DUMMYFUNCTION("""COMPUTED_VALUE"""),5.0)</f>
        <v>5</v>
      </c>
      <c r="E96" s="63">
        <f>IFERROR(__xludf.DUMMYFUNCTION("""COMPUTED_VALUE"""),2.0)</f>
        <v>2</v>
      </c>
      <c r="F96" s="65">
        <f>IFERROR(__xludf.DUMMYFUNCTION("""COMPUTED_VALUE"""),1.0)</f>
        <v>1</v>
      </c>
      <c r="G96" s="65">
        <f>IFERROR(__xludf.DUMMYFUNCTION("""COMPUTED_VALUE"""),0.0)</f>
        <v>0</v>
      </c>
      <c r="H96" s="65">
        <f>IFERROR(__xludf.DUMMYFUNCTION("""COMPUTED_VALUE"""),6.0)</f>
        <v>6</v>
      </c>
      <c r="I96" s="65">
        <f>IFERROR(__xludf.DUMMYFUNCTION("""COMPUTED_VALUE"""),6.0)</f>
        <v>6</v>
      </c>
      <c r="J96" s="65">
        <f>IFERROR(__xludf.DUMMYFUNCTION("""COMPUTED_VALUE"""),7.0)</f>
        <v>7</v>
      </c>
      <c r="K96" s="65">
        <f>IFERROR(__xludf.DUMMYFUNCTION("""COMPUTED_VALUE"""),19.0)</f>
        <v>19</v>
      </c>
      <c r="L96" s="65">
        <f>IFERROR(__xludf.DUMMYFUNCTION("""COMPUTED_VALUE"""),3.0)</f>
        <v>3</v>
      </c>
      <c r="M96" s="65">
        <f>IFERROR(__xludf.DUMMYFUNCTION("""COMPUTED_VALUE"""),74.0)</f>
        <v>74</v>
      </c>
      <c r="N96" s="66">
        <f>IFERROR(__xludf.DUMMYFUNCTION("""COMPUTED_VALUE"""),8.0)</f>
        <v>8</v>
      </c>
    </row>
    <row r="97">
      <c r="A97" s="1"/>
      <c r="B97" s="67" t="str">
        <f>IFERROR(__xludf.DUMMYFUNCTION("""COMPUTED_VALUE"""),"Adrian Tay")</f>
        <v>Adrian Tay</v>
      </c>
      <c r="C97" s="68">
        <f>IFERROR(__xludf.DUMMYFUNCTION("""COMPUTED_VALUE"""),54.0)</f>
        <v>54</v>
      </c>
      <c r="D97" s="69">
        <f>IFERROR(__xludf.DUMMYFUNCTION("""COMPUTED_VALUE"""),6.0)</f>
        <v>6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IFERROR(__xludf.DUMMYFUNCTION("""COMPUTED_VALUE"""),7.0)</f>
        <v>7</v>
      </c>
      <c r="I97" s="70">
        <f>IFERROR(__xludf.DUMMYFUNCTION("""COMPUTED_VALUE"""),6.0)</f>
        <v>6</v>
      </c>
      <c r="J97" s="70">
        <f>IFERROR(__xludf.DUMMYFUNCTION("""COMPUTED_VALUE"""),6.0)</f>
        <v>6</v>
      </c>
      <c r="K97" s="70">
        <f>IFERROR(__xludf.DUMMYFUNCTION("""COMPUTED_VALUE"""),19.0)</f>
        <v>19</v>
      </c>
      <c r="L97" s="70">
        <f>IFERROR(__xludf.DUMMYFUNCTION("""COMPUTED_VALUE"""),3.0)</f>
        <v>3</v>
      </c>
      <c r="M97" s="70">
        <f>IFERROR(__xludf.DUMMYFUNCTION("""COMPUTED_VALUE"""),73.0)</f>
        <v>73</v>
      </c>
      <c r="N97" s="71">
        <f>IFERROR(__xludf.DUMMYFUNCTION("""COMPUTED_VALUE"""),9.0)</f>
        <v>9</v>
      </c>
    </row>
    <row r="98">
      <c r="A98" s="1"/>
      <c r="B98" s="67" t="str">
        <f>IFERROR(__xludf.DUMMYFUNCTION("""COMPUTED_VALUE"""),"Suleman Alidina")</f>
        <v>Suleman Alidina</v>
      </c>
      <c r="C98" s="68">
        <f>IFERROR(__xludf.DUMMYFUNCTION("""COMPUTED_VALUE"""),54.0)</f>
        <v>54</v>
      </c>
      <c r="D98" s="69">
        <f>IFERROR(__xludf.DUMMYFUNCTION("""COMPUTED_VALUE"""),5.0)</f>
        <v>5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IFERROR(__xludf.DUMMYFUNCTION("""COMPUTED_VALUE"""),7.0)</f>
        <v>7</v>
      </c>
      <c r="I98" s="70">
        <f>IFERROR(__xludf.DUMMYFUNCTION("""COMPUTED_VALUE"""),1.0)</f>
        <v>1</v>
      </c>
      <c r="J98" s="70">
        <f>IFERROR(__xludf.DUMMYFUNCTION("""COMPUTED_VALUE"""),1.0)</f>
        <v>1</v>
      </c>
      <c r="K98" s="70">
        <f>IFERROR(__xludf.DUMMYFUNCTION("""COMPUTED_VALUE"""),9.0)</f>
        <v>9</v>
      </c>
      <c r="L98" s="70">
        <f>IFERROR(__xludf.DUMMYFUNCTION("""COMPUTED_VALUE"""),1.0)</f>
        <v>1</v>
      </c>
      <c r="M98" s="70">
        <f>IFERROR(__xludf.DUMMYFUNCTION("""COMPUTED_VALUE"""),63.0)</f>
        <v>63</v>
      </c>
      <c r="N98" s="71">
        <f>IFERROR(__xludf.DUMMYFUNCTION("""COMPUTED_VALUE"""),6.0)</f>
        <v>6</v>
      </c>
    </row>
    <row r="99">
      <c r="A99" s="1"/>
      <c r="B99" s="67" t="str">
        <f>IFERROR(__xludf.DUMMYFUNCTION("""COMPUTED_VALUE"""),"Oscar Bonilla")</f>
        <v>Oscar Bonilla</v>
      </c>
      <c r="C99" s="68">
        <f>IFERROR(__xludf.DUMMYFUNCTION("""COMPUTED_VALUE"""),54.0)</f>
        <v>54</v>
      </c>
      <c r="D99" s="69">
        <f>IFERROR(__xludf.DUMMYFUNCTION("""COMPUTED_VALUE"""),5.0)</f>
        <v>5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IFERROR(__xludf.DUMMYFUNCTION("""COMPUTED_VALUE"""),5.0)</f>
        <v>5</v>
      </c>
      <c r="I99" s="70">
        <f>IFERROR(__xludf.DUMMYFUNCTION("""COMPUTED_VALUE"""),6.0)</f>
        <v>6</v>
      </c>
      <c r="J99" s="70">
        <f>IFERROR(__xludf.DUMMYFUNCTION("""COMPUTED_VALUE"""),1.0)</f>
        <v>1</v>
      </c>
      <c r="K99" s="70">
        <f>IFERROR(__xludf.DUMMYFUNCTION("""COMPUTED_VALUE"""),12.0)</f>
        <v>12</v>
      </c>
      <c r="L99" s="70">
        <f>IFERROR(__xludf.DUMMYFUNCTION("""COMPUTED_VALUE"""),1.0)</f>
        <v>1</v>
      </c>
      <c r="M99" s="70">
        <f>IFERROR(__xludf.DUMMYFUNCTION("""COMPUTED_VALUE"""),66.0)</f>
        <v>66</v>
      </c>
      <c r="N99" s="71">
        <f>IFERROR(__xludf.DUMMYFUNCTION("""COMPUTED_VALUE"""),6.0)</f>
        <v>6</v>
      </c>
    </row>
    <row r="100">
      <c r="A100" s="1"/>
      <c r="B100" s="67" t="str">
        <f>IFERROR(__xludf.DUMMYFUNCTION("""COMPUTED_VALUE"""),"Mauricio Palacios")</f>
        <v>Mauricio Palacios</v>
      </c>
      <c r="C100" s="68">
        <f>IFERROR(__xludf.DUMMYFUNCTION("""COMPUTED_VALUE"""),54.0)</f>
        <v>54</v>
      </c>
      <c r="D100" s="69">
        <f>IFERROR(__xludf.DUMMYFUNCTION("""COMPUTED_VALUE"""),5.0)</f>
        <v>5</v>
      </c>
      <c r="E100" s="68">
        <f>IFERROR(__xludf.DUMMYFUNCTION("""COMPUTED_VALUE"""),2.0)</f>
        <v>2</v>
      </c>
      <c r="F100" s="70">
        <f>IFERROR(__xludf.DUMMYFUNCTION("""COMPUTED_VALUE"""),2.0)</f>
        <v>2</v>
      </c>
      <c r="G100" s="70">
        <f>IFERROR(__xludf.DUMMYFUNCTION("""COMPUTED_VALUE"""),0.0)</f>
        <v>0</v>
      </c>
      <c r="H100" s="70">
        <f>IFERROR(__xludf.DUMMYFUNCTION("""COMPUTED_VALUE"""),5.0)</f>
        <v>5</v>
      </c>
      <c r="I100" s="70">
        <f>IFERROR(__xludf.DUMMYFUNCTION("""COMPUTED_VALUE"""),1.0)</f>
        <v>1</v>
      </c>
      <c r="J100" s="70">
        <f>IFERROR(__xludf.DUMMYFUNCTION("""COMPUTED_VALUE"""),6.0)</f>
        <v>6</v>
      </c>
      <c r="K100" s="70">
        <f>IFERROR(__xludf.DUMMYFUNCTION("""COMPUTED_VALUE"""),12.0)</f>
        <v>12</v>
      </c>
      <c r="L100" s="70">
        <f>IFERROR(__xludf.DUMMYFUNCTION("""COMPUTED_VALUE"""),1.0)</f>
        <v>1</v>
      </c>
      <c r="M100" s="70">
        <f>IFERROR(__xludf.DUMMYFUNCTION("""COMPUTED_VALUE"""),66.0)</f>
        <v>66</v>
      </c>
      <c r="N100" s="71">
        <f>IFERROR(__xludf.DUMMYFUNCTION("""COMPUTED_VALUE"""),6.0)</f>
        <v>6</v>
      </c>
    </row>
    <row r="101">
      <c r="A101" s="1"/>
      <c r="B101" s="62" t="str">
        <f>IFERROR(__xludf.DUMMYFUNCTION("""COMPUTED_VALUE"""),"Tony Wong")</f>
        <v>Tony Wong</v>
      </c>
      <c r="C101" s="63">
        <f>IFERROR(__xludf.DUMMYFUNCTION("""COMPUTED_VALUE"""),53.0)</f>
        <v>53</v>
      </c>
      <c r="D101" s="64">
        <f>IFERROR(__xludf.DUMMYFUNCTION("""COMPUTED_VALUE"""),5.0)</f>
        <v>5</v>
      </c>
      <c r="E101" s="63">
        <f>IFERROR(__xludf.DUMMYFUNCTION("""COMPUTED_VALUE"""),2.0)</f>
        <v>2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IFERROR(__xludf.DUMMYFUNCTION("""COMPUTED_VALUE"""),5.0)</f>
        <v>5</v>
      </c>
      <c r="I101" s="65">
        <f>IFERROR(__xludf.DUMMYFUNCTION("""COMPUTED_VALUE"""),2.0)</f>
        <v>2</v>
      </c>
      <c r="J101" s="65">
        <f>IFERROR(__xludf.DUMMYFUNCTION("""COMPUTED_VALUE"""),2.0)</f>
        <v>2</v>
      </c>
      <c r="K101" s="65">
        <f>IFERROR(__xludf.DUMMYFUNCTION("""COMPUTED_VALUE"""),9.0)</f>
        <v>9</v>
      </c>
      <c r="L101" s="65">
        <f>IFERROR(__xludf.DUMMYFUNCTION("""COMPUTED_VALUE"""),0.0)</f>
        <v>0</v>
      </c>
      <c r="M101" s="65">
        <f>IFERROR(__xludf.DUMMYFUNCTION("""COMPUTED_VALUE"""),62.0)</f>
        <v>62</v>
      </c>
      <c r="N101" s="66">
        <f>IFERROR(__xludf.DUMMYFUNCTION("""COMPUTED_VALUE"""),5.0)</f>
        <v>5</v>
      </c>
    </row>
    <row r="102">
      <c r="A102" s="1"/>
      <c r="B102" s="62" t="str">
        <f>IFERROR(__xludf.DUMMYFUNCTION("""COMPUTED_VALUE"""),"Joe Luzzi")</f>
        <v>Joe Luzzi</v>
      </c>
      <c r="C102" s="63">
        <f>IFERROR(__xludf.DUMMYFUNCTION("""COMPUTED_VALUE"""),51.0)</f>
        <v>51</v>
      </c>
      <c r="D102" s="64">
        <f>IFERROR(__xludf.DUMMYFUNCTION("""COMPUTED_VALUE"""),5.0)</f>
        <v>5</v>
      </c>
      <c r="E102" s="63">
        <f>IFERROR(__xludf.DUMMYFUNCTION("""COMPUTED_VALUE"""),2.0)</f>
        <v>2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IFERROR(__xludf.DUMMYFUNCTION("""COMPUTED_VALUE"""),7.0)</f>
        <v>7</v>
      </c>
      <c r="I102" s="65">
        <f>IFERROR(__xludf.DUMMYFUNCTION("""COMPUTED_VALUE"""),6.0)</f>
        <v>6</v>
      </c>
      <c r="J102" s="65">
        <f>IFERROR(__xludf.DUMMYFUNCTION("""COMPUTED_VALUE"""),2.0)</f>
        <v>2</v>
      </c>
      <c r="K102" s="65">
        <f>IFERROR(__xludf.DUMMYFUNCTION("""COMPUTED_VALUE"""),15.0)</f>
        <v>15</v>
      </c>
      <c r="L102" s="65">
        <f>IFERROR(__xludf.DUMMYFUNCTION("""COMPUTED_VALUE"""),2.0)</f>
        <v>2</v>
      </c>
      <c r="M102" s="65">
        <f>IFERROR(__xludf.DUMMYFUNCTION("""COMPUTED_VALUE"""),66.0)</f>
        <v>66</v>
      </c>
      <c r="N102" s="66">
        <f>IFERROR(__xludf.DUMMYFUNCTION("""COMPUTED_VALUE"""),7.0)</f>
        <v>7</v>
      </c>
    </row>
    <row r="103">
      <c r="A103" s="1"/>
      <c r="B103" s="62" t="str">
        <f>IFERROR(__xludf.DUMMYFUNCTION("""COMPUTED_VALUE"""),"David Shin")</f>
        <v>David Shin</v>
      </c>
      <c r="C103" s="63">
        <f>IFERROR(__xludf.DUMMYFUNCTION("""COMPUTED_VALUE"""),51.0)</f>
        <v>51</v>
      </c>
      <c r="D103" s="64">
        <f>IFERROR(__xludf.DUMMYFUNCTION("""COMPUTED_VALUE"""),4.0)</f>
        <v>4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IFERROR(__xludf.DUMMYFUNCTION("""COMPUTED_VALUE"""),7.0)</f>
        <v>7</v>
      </c>
      <c r="I103" s="65">
        <f>IFERROR(__xludf.DUMMYFUNCTION("""COMPUTED_VALUE"""),2.0)</f>
        <v>2</v>
      </c>
      <c r="J103" s="65">
        <f>IFERROR(__xludf.DUMMYFUNCTION("""COMPUTED_VALUE"""),6.0)</f>
        <v>6</v>
      </c>
      <c r="K103" s="65">
        <f>IFERROR(__xludf.DUMMYFUNCTION("""COMPUTED_VALUE"""),15.0)</f>
        <v>15</v>
      </c>
      <c r="L103" s="65">
        <f>IFERROR(__xludf.DUMMYFUNCTION("""COMPUTED_VALUE"""),2.0)</f>
        <v>2</v>
      </c>
      <c r="M103" s="65">
        <f>IFERROR(__xludf.DUMMYFUNCTION("""COMPUTED_VALUE"""),66.0)</f>
        <v>66</v>
      </c>
      <c r="N103" s="66">
        <f>IFERROR(__xludf.DUMMYFUNCTION("""COMPUTED_VALUE"""),6.0)</f>
        <v>6</v>
      </c>
    </row>
    <row r="104">
      <c r="A104" s="1"/>
      <c r="B104" s="62" t="str">
        <f>IFERROR(__xludf.DUMMYFUNCTION("""COMPUTED_VALUE"""),"Savay Lieu")</f>
        <v>Savay Lieu</v>
      </c>
      <c r="C104" s="63">
        <f>IFERROR(__xludf.DUMMYFUNCTION("""COMPUTED_VALUE"""),51.0)</f>
        <v>51</v>
      </c>
      <c r="D104" s="64">
        <f>IFERROR(__xludf.DUMMYFUNCTION("""COMPUTED_VALUE"""),3.0)</f>
        <v>3</v>
      </c>
      <c r="E104" s="63">
        <f>IFERROR(__xludf.DUMMYFUNCTION("""COMPUTED_VALUE"""),2.0)</f>
        <v>2</v>
      </c>
      <c r="F104" s="65">
        <f>IFERROR(__xludf.DUMMYFUNCTION("""COMPUTED_VALUE"""),3.0)</f>
        <v>3</v>
      </c>
      <c r="G104" s="65">
        <f>IFERROR(__xludf.DUMMYFUNCTION("""COMPUTED_VALUE"""),0.0)</f>
        <v>0</v>
      </c>
      <c r="H104" s="65">
        <f>IFERROR(__xludf.DUMMYFUNCTION("""COMPUTED_VALUE"""),5.0)</f>
        <v>5</v>
      </c>
      <c r="I104" s="65">
        <f>IFERROR(__xludf.DUMMYFUNCTION("""COMPUTED_VALUE"""),6.0)</f>
        <v>6</v>
      </c>
      <c r="J104" s="65">
        <f>IFERROR(__xludf.DUMMYFUNCTION("""COMPUTED_VALUE"""),6.0)</f>
        <v>6</v>
      </c>
      <c r="K104" s="65">
        <f>IFERROR(__xludf.DUMMYFUNCTION("""COMPUTED_VALUE"""),17.0)</f>
        <v>17</v>
      </c>
      <c r="L104" s="65">
        <f>IFERROR(__xludf.DUMMYFUNCTION("""COMPUTED_VALUE"""),2.0)</f>
        <v>2</v>
      </c>
      <c r="M104" s="65">
        <f>IFERROR(__xludf.DUMMYFUNCTION("""COMPUTED_VALUE"""),68.0)</f>
        <v>68</v>
      </c>
      <c r="N104" s="66">
        <f>IFERROR(__xludf.DUMMYFUNCTION("""COMPUTED_VALUE"""),5.0)</f>
        <v>5</v>
      </c>
    </row>
    <row r="105">
      <c r="A105" s="1"/>
      <c r="B105" s="67" t="str">
        <f>IFERROR(__xludf.DUMMYFUNCTION("""COMPUTED_VALUE"""),"Kingsley Kuo")</f>
        <v>Kingsley Kuo</v>
      </c>
      <c r="C105" s="68">
        <f>IFERROR(__xludf.DUMMYFUNCTION("""COMPUTED_VALUE"""),50.0)</f>
        <v>50</v>
      </c>
      <c r="D105" s="69">
        <f>IFERROR(__xludf.DUMMYFUNCTION("""COMPUTED_VALUE"""),5.0)</f>
        <v>5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IFERROR(__xludf.DUMMYFUNCTION("""COMPUTED_VALUE"""),2.0)</f>
        <v>2</v>
      </c>
      <c r="J105" s="70">
        <f>IFERROR(__xludf.DUMMYFUNCTION("""COMPUTED_VALUE"""),6.0)</f>
        <v>6</v>
      </c>
      <c r="K105" s="70">
        <f>IFERROR(__xludf.DUMMYFUNCTION("""COMPUTED_VALUE"""),14.0)</f>
        <v>14</v>
      </c>
      <c r="L105" s="70">
        <f>IFERROR(__xludf.DUMMYFUNCTION("""COMPUTED_VALUE"""),2.0)</f>
        <v>2</v>
      </c>
      <c r="M105" s="70">
        <f>IFERROR(__xludf.DUMMYFUNCTION("""COMPUTED_VALUE"""),64.0)</f>
        <v>64</v>
      </c>
      <c r="N105" s="71">
        <f>IFERROR(__xludf.DUMMYFUNCTION("""COMPUTED_VALUE"""),7.0)</f>
        <v>7</v>
      </c>
    </row>
    <row r="106">
      <c r="A106" s="1"/>
      <c r="B106" s="67" t="str">
        <f>IFERROR(__xludf.DUMMYFUNCTION("""COMPUTED_VALUE"""),"Jimmy Awolesi")</f>
        <v>Jimmy Awolesi</v>
      </c>
      <c r="C106" s="68">
        <f>IFERROR(__xludf.DUMMYFUNCTION("""COMPUTED_VALUE"""),50.0)</f>
        <v>50</v>
      </c>
      <c r="D106" s="69">
        <f>IFERROR(__xludf.DUMMYFUNCTION("""COMPUTED_VALUE"""),5.0)</f>
        <v>5</v>
      </c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IFERROR(__xludf.DUMMYFUNCTION("""COMPUTED_VALUE"""),0.0)</f>
        <v>0</v>
      </c>
      <c r="I106" s="70">
        <f>IFERROR(__xludf.DUMMYFUNCTION("""COMPUTED_VALUE"""),2.0)</f>
        <v>2</v>
      </c>
      <c r="J106" s="70">
        <f>IFERROR(__xludf.DUMMYFUNCTION("""COMPUTED_VALUE"""),0.0)</f>
        <v>0</v>
      </c>
      <c r="K106" s="70">
        <f>IFERROR(__xludf.DUMMYFUNCTION("""COMPUTED_VALUE"""),2.0)</f>
        <v>2</v>
      </c>
      <c r="L106" s="70">
        <f>IFERROR(__xludf.DUMMYFUNCTION("""COMPUTED_VALUE"""),0.0)</f>
        <v>0</v>
      </c>
      <c r="M106" s="70">
        <f>IFERROR(__xludf.DUMMYFUNCTION("""COMPUTED_VALUE"""),52.0)</f>
        <v>52</v>
      </c>
      <c r="N106" s="71">
        <f>IFERROR(__xludf.DUMMYFUNCTION("""COMPUTED_VALUE"""),5.0)</f>
        <v>5</v>
      </c>
    </row>
    <row r="107">
      <c r="A107" s="1"/>
      <c r="B107" s="67" t="str">
        <f>IFERROR(__xludf.DUMMYFUNCTION("""COMPUTED_VALUE"""),"Erik Hoeckmann")</f>
        <v>Erik Hoeckmann</v>
      </c>
      <c r="C107" s="68">
        <f>IFERROR(__xludf.DUMMYFUNCTION("""COMPUTED_VALUE"""),49.0)</f>
        <v>49</v>
      </c>
      <c r="D107" s="69">
        <f>IFERROR(__xludf.DUMMYFUNCTION("""COMPUTED_VALUE"""),6.0)</f>
        <v>6</v>
      </c>
      <c r="E107" s="68">
        <f>IFERROR(__xludf.DUMMYFUNCTION("""COMPUTED_VALUE"""),1.0)</f>
        <v>1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IFERROR(__xludf.DUMMYFUNCTION("""COMPUTED_VALUE"""),0.0)</f>
        <v>0</v>
      </c>
      <c r="I107" s="70">
        <f>IFERROR(__xludf.DUMMYFUNCTION("""COMPUTED_VALUE"""),6.0)</f>
        <v>6</v>
      </c>
      <c r="J107" s="70">
        <f>IFERROR(__xludf.DUMMYFUNCTION("""COMPUTED_VALUE"""),6.0)</f>
        <v>6</v>
      </c>
      <c r="K107" s="70">
        <f>IFERROR(__xludf.DUMMYFUNCTION("""COMPUTED_VALUE"""),12.0)</f>
        <v>12</v>
      </c>
      <c r="L107" s="70">
        <f>IFERROR(__xludf.DUMMYFUNCTION("""COMPUTED_VALUE"""),2.0)</f>
        <v>2</v>
      </c>
      <c r="M107" s="70">
        <f>IFERROR(__xludf.DUMMYFUNCTION("""COMPUTED_VALUE"""),61.0)</f>
        <v>61</v>
      </c>
      <c r="N107" s="71">
        <f>IFERROR(__xludf.DUMMYFUNCTION("""COMPUTED_VALUE"""),8.0)</f>
        <v>8</v>
      </c>
    </row>
    <row r="108">
      <c r="A108" s="1"/>
      <c r="B108" s="67" t="str">
        <f>IFERROR(__xludf.DUMMYFUNCTION("""COMPUTED_VALUE"""),"Andrew Chin")</f>
        <v>Andrew Chin</v>
      </c>
      <c r="C108" s="68">
        <f>IFERROR(__xludf.DUMMYFUNCTION("""COMPUTED_VALUE"""),49.0)</f>
        <v>49</v>
      </c>
      <c r="D108" s="69">
        <f>IFERROR(__xludf.DUMMYFUNCTION("""COMPUTED_VALUE"""),5.0)</f>
        <v>5</v>
      </c>
      <c r="E108" s="68">
        <f>IFERROR(__xludf.DUMMYFUNCTION("""COMPUTED_VALUE"""),1.0)</f>
        <v>1</v>
      </c>
      <c r="F108" s="70">
        <f>IFERROR(__xludf.DUMMYFUNCTION("""COMPUTED_VALUE"""),4.0)</f>
        <v>4</v>
      </c>
      <c r="G108" s="70">
        <f>IFERROR(__xludf.DUMMYFUNCTION("""COMPUTED_VALUE"""),0.0)</f>
        <v>0</v>
      </c>
      <c r="H108" s="70">
        <f>IFERROR(__xludf.DUMMYFUNCTION("""COMPUTED_VALUE"""),6.0)</f>
        <v>6</v>
      </c>
      <c r="I108" s="70">
        <f>IFERROR(__xludf.DUMMYFUNCTION("""COMPUTED_VALUE"""),6.0)</f>
        <v>6</v>
      </c>
      <c r="J108" s="70">
        <f>IFERROR(__xludf.DUMMYFUNCTION("""COMPUTED_VALUE"""),0.0)</f>
        <v>0</v>
      </c>
      <c r="K108" s="70">
        <f>IFERROR(__xludf.DUMMYFUNCTION("""COMPUTED_VALUE"""),12.0)</f>
        <v>12</v>
      </c>
      <c r="L108" s="70">
        <f>IFERROR(__xludf.DUMMYFUNCTION("""COMPUTED_VALUE"""),2.0)</f>
        <v>2</v>
      </c>
      <c r="M108" s="70">
        <f>IFERROR(__xludf.DUMMYFUNCTION("""COMPUTED_VALUE"""),61.0)</f>
        <v>61</v>
      </c>
      <c r="N108" s="71">
        <f>IFERROR(__xludf.DUMMYFUNCTION("""COMPUTED_VALUE"""),7.0)</f>
        <v>7</v>
      </c>
    </row>
    <row r="109">
      <c r="A109" s="1"/>
      <c r="B109" s="62" t="str">
        <f>IFERROR(__xludf.DUMMYFUNCTION("""COMPUTED_VALUE"""),"Elayaraja Thangaraj ")</f>
        <v>Elayaraja Thangaraj </v>
      </c>
      <c r="C109" s="63">
        <f>IFERROR(__xludf.DUMMYFUNCTION("""COMPUTED_VALUE"""),45.0)</f>
        <v>45</v>
      </c>
      <c r="D109" s="64">
        <f>IFERROR(__xludf.DUMMYFUNCTION("""COMPUTED_VALUE"""),4.0)</f>
        <v>4</v>
      </c>
      <c r="E109" s="63">
        <f>IFERROR(__xludf.DUMMYFUNCTION("""COMPUTED_VALUE"""),2.0)</f>
        <v>2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IFERROR(__xludf.DUMMYFUNCTION("""COMPUTED_VALUE"""),2.0)</f>
        <v>2</v>
      </c>
      <c r="J109" s="65">
        <f>IFERROR(__xludf.DUMMYFUNCTION("""COMPUTED_VALUE"""),0.0)</f>
        <v>0</v>
      </c>
      <c r="K109" s="65">
        <f>IFERROR(__xludf.DUMMYFUNCTION("""COMPUTED_VALUE"""),8.0)</f>
        <v>8</v>
      </c>
      <c r="L109" s="65">
        <f>IFERROR(__xludf.DUMMYFUNCTION("""COMPUTED_VALUE"""),1.0)</f>
        <v>1</v>
      </c>
      <c r="M109" s="65">
        <f>IFERROR(__xludf.DUMMYFUNCTION("""COMPUTED_VALUE"""),53.0)</f>
        <v>53</v>
      </c>
      <c r="N109" s="66">
        <f>IFERROR(__xludf.DUMMYFUNCTION("""COMPUTED_VALUE"""),5.0)</f>
        <v>5</v>
      </c>
    </row>
    <row r="110">
      <c r="A110" s="1"/>
      <c r="B110" s="62" t="str">
        <f>IFERROR(__xludf.DUMMYFUNCTION("""COMPUTED_VALUE"""),"Pulkit Mathur")</f>
        <v>Pulkit Mathur</v>
      </c>
      <c r="C110" s="63">
        <f>IFERROR(__xludf.DUMMYFUNCTION("""COMPUTED_VALUE"""),45.0)</f>
        <v>45</v>
      </c>
      <c r="D110" s="64">
        <f>IFERROR(__xludf.DUMMYFUNCTION("""COMPUTED_VALUE"""),3.0)</f>
        <v>3</v>
      </c>
      <c r="E110" s="63">
        <f>IFERROR(__xludf.DUMMYFUNCTION("""COMPUTED_VALUE"""),2.0)</f>
        <v>2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IFERROR(__xludf.DUMMYFUNCTION("""COMPUTED_VALUE"""),6.0)</f>
        <v>6</v>
      </c>
      <c r="J110" s="65">
        <f>IFERROR(__xludf.DUMMYFUNCTION("""COMPUTED_VALUE"""),6.0)</f>
        <v>6</v>
      </c>
      <c r="K110" s="65">
        <f>IFERROR(__xludf.DUMMYFUNCTION("""COMPUTED_VALUE"""),18.0)</f>
        <v>18</v>
      </c>
      <c r="L110" s="65">
        <f>IFERROR(__xludf.DUMMYFUNCTION("""COMPUTED_VALUE"""),3.0)</f>
        <v>3</v>
      </c>
      <c r="M110" s="65">
        <f>IFERROR(__xludf.DUMMYFUNCTION("""COMPUTED_VALUE"""),63.0)</f>
        <v>63</v>
      </c>
      <c r="N110" s="66">
        <f>IFERROR(__xludf.DUMMYFUNCTION("""COMPUTED_VALUE"""),6.0)</f>
        <v>6</v>
      </c>
    </row>
    <row r="111">
      <c r="A111" s="1"/>
      <c r="B111" s="62" t="str">
        <f>IFERROR(__xludf.DUMMYFUNCTION("""COMPUTED_VALUE"""),"Andrew Wen")</f>
        <v>Andrew Wen</v>
      </c>
      <c r="C111" s="63">
        <f>IFERROR(__xludf.DUMMYFUNCTION("""COMPUTED_VALUE"""),44.0)</f>
        <v>44</v>
      </c>
      <c r="D111" s="64">
        <f>IFERROR(__xludf.DUMMYFUNCTION("""COMPUTED_VALUE"""),5.0)</f>
        <v>5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IFERROR(__xludf.DUMMYFUNCTION("""COMPUTED_VALUE"""),4.0)</f>
        <v>4</v>
      </c>
      <c r="I111" s="65">
        <f>IFERROR(__xludf.DUMMYFUNCTION("""COMPUTED_VALUE"""),6.0)</f>
        <v>6</v>
      </c>
      <c r="J111" s="65">
        <f>IFERROR(__xludf.DUMMYFUNCTION("""COMPUTED_VALUE"""),0.0)</f>
        <v>0</v>
      </c>
      <c r="K111" s="65">
        <f>IFERROR(__xludf.DUMMYFUNCTION("""COMPUTED_VALUE"""),10.0)</f>
        <v>10</v>
      </c>
      <c r="L111" s="65">
        <f>IFERROR(__xludf.DUMMYFUNCTION("""COMPUTED_VALUE"""),1.0)</f>
        <v>1</v>
      </c>
      <c r="M111" s="65">
        <f>IFERROR(__xludf.DUMMYFUNCTION("""COMPUTED_VALUE"""),54.0)</f>
        <v>54</v>
      </c>
      <c r="N111" s="66">
        <f>IFERROR(__xludf.DUMMYFUNCTION("""COMPUTED_VALUE"""),6.0)</f>
        <v>6</v>
      </c>
    </row>
    <row r="112">
      <c r="A112" s="1"/>
      <c r="B112" s="62" t="str">
        <f>IFERROR(__xludf.DUMMYFUNCTION("""COMPUTED_VALUE"""),"Scott Li")</f>
        <v>Scott Li</v>
      </c>
      <c r="C112" s="63">
        <f>IFERROR(__xludf.DUMMYFUNCTION("""COMPUTED_VALUE"""),44.0)</f>
        <v>44</v>
      </c>
      <c r="D112" s="64">
        <f>IFERROR(__xludf.DUMMYFUNCTION("""COMPUTED_VALUE"""),4.0)</f>
        <v>4</v>
      </c>
      <c r="E112" s="63">
        <f>IFERROR(__xludf.DUMMYFUNCTION("""COMPUTED_VALUE"""),1.0)</f>
        <v>1</v>
      </c>
      <c r="F112" s="65">
        <f>IFERROR(__xludf.DUMMYFUNCTION("""COMPUTED_VALUE"""),5.0)</f>
        <v>5</v>
      </c>
      <c r="G112" s="65">
        <f>IFERROR(__xludf.DUMMYFUNCTION("""COMPUTED_VALUE"""),0.0)</f>
        <v>0</v>
      </c>
      <c r="H112" s="65">
        <f>IFERROR(__xludf.DUMMYFUNCTION("""COMPUTED_VALUE"""),4.0)</f>
        <v>4</v>
      </c>
      <c r="I112" s="65">
        <f>IFERROR(__xludf.DUMMYFUNCTION("""COMPUTED_VALUE"""),2.0)</f>
        <v>2</v>
      </c>
      <c r="J112" s="65">
        <f>IFERROR(__xludf.DUMMYFUNCTION("""COMPUTED_VALUE"""),6.0)</f>
        <v>6</v>
      </c>
      <c r="K112" s="65">
        <f>IFERROR(__xludf.DUMMYFUNCTION("""COMPUTED_VALUE"""),12.0)</f>
        <v>12</v>
      </c>
      <c r="L112" s="65">
        <f>IFERROR(__xludf.DUMMYFUNCTION("""COMPUTED_VALUE"""),1.0)</f>
        <v>1</v>
      </c>
      <c r="M112" s="65">
        <f>IFERROR(__xludf.DUMMYFUNCTION("""COMPUTED_VALUE"""),56.0)</f>
        <v>56</v>
      </c>
      <c r="N112" s="66">
        <f>IFERROR(__xludf.DUMMYFUNCTION("""COMPUTED_VALUE"""),5.0)</f>
        <v>5</v>
      </c>
    </row>
    <row r="113">
      <c r="A113" s="1"/>
      <c r="B113" s="67" t="str">
        <f>IFERROR(__xludf.DUMMYFUNCTION("""COMPUTED_VALUE"""),"Lam Bui")</f>
        <v>Lam Bui</v>
      </c>
      <c r="C113" s="68">
        <f>IFERROR(__xludf.DUMMYFUNCTION("""COMPUTED_VALUE"""),44.0)</f>
        <v>44</v>
      </c>
      <c r="D113" s="69">
        <f>IFERROR(__xludf.DUMMYFUNCTION("""COMPUTED_VALUE"""),2.0)</f>
        <v>2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IFERROR(__xludf.DUMMYFUNCTION("""COMPUTED_VALUE"""),6.0)</f>
        <v>6</v>
      </c>
      <c r="J113" s="70">
        <f>IFERROR(__xludf.DUMMYFUNCTION("""COMPUTED_VALUE"""),6.0)</f>
        <v>6</v>
      </c>
      <c r="K113" s="70">
        <f>IFERROR(__xludf.DUMMYFUNCTION("""COMPUTED_VALUE"""),18.0)</f>
        <v>18</v>
      </c>
      <c r="L113" s="70">
        <f>IFERROR(__xludf.DUMMYFUNCTION("""COMPUTED_VALUE"""),2.0)</f>
        <v>2</v>
      </c>
      <c r="M113" s="70">
        <f>IFERROR(__xludf.DUMMYFUNCTION("""COMPUTED_VALUE"""),62.0)</f>
        <v>62</v>
      </c>
      <c r="N113" s="71">
        <f>IFERROR(__xludf.DUMMYFUNCTION("""COMPUTED_VALUE"""),4.0)</f>
        <v>4</v>
      </c>
    </row>
    <row r="114">
      <c r="A114" s="1"/>
      <c r="B114" s="67" t="str">
        <f>IFERROR(__xludf.DUMMYFUNCTION("""COMPUTED_VALUE"""),"Lloyd Sagar")</f>
        <v>Lloyd Sagar</v>
      </c>
      <c r="C114" s="68">
        <f>IFERROR(__xludf.DUMMYFUNCTION("""COMPUTED_VALUE"""),44.0)</f>
        <v>44</v>
      </c>
      <c r="D114" s="69">
        <f>IFERROR(__xludf.DUMMYFUNCTION("""COMPUTED_VALUE"""),2.0)</f>
        <v>2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IFERROR(__xludf.DUMMYFUNCTION("""COMPUTED_VALUE"""),7.0)</f>
        <v>7</v>
      </c>
      <c r="I114" s="70">
        <f>IFERROR(__xludf.DUMMYFUNCTION("""COMPUTED_VALUE"""),2.0)</f>
        <v>2</v>
      </c>
      <c r="J114" s="70">
        <f>IFERROR(__xludf.DUMMYFUNCTION("""COMPUTED_VALUE"""),6.0)</f>
        <v>6</v>
      </c>
      <c r="K114" s="70">
        <f>IFERROR(__xludf.DUMMYFUNCTION("""COMPUTED_VALUE"""),15.0)</f>
        <v>15</v>
      </c>
      <c r="L114" s="70">
        <f>IFERROR(__xludf.DUMMYFUNCTION("""COMPUTED_VALUE"""),2.0)</f>
        <v>2</v>
      </c>
      <c r="M114" s="70">
        <f>IFERROR(__xludf.DUMMYFUNCTION("""COMPUTED_VALUE"""),59.0)</f>
        <v>59</v>
      </c>
      <c r="N114" s="71">
        <f>IFERROR(__xludf.DUMMYFUNCTION("""COMPUTED_VALUE"""),4.0)</f>
        <v>4</v>
      </c>
    </row>
    <row r="115">
      <c r="A115" s="1"/>
      <c r="B115" s="67" t="str">
        <f>IFERROR(__xludf.DUMMYFUNCTION("""COMPUTED_VALUE"""),"Rosie Bonilla")</f>
        <v>Rosie Bonilla</v>
      </c>
      <c r="C115" s="68">
        <f>IFERROR(__xludf.DUMMYFUNCTION("""COMPUTED_VALUE"""),44.0)</f>
        <v>44</v>
      </c>
      <c r="D115" s="69">
        <f>IFERROR(__xludf.DUMMYFUNCTION("""COMPUTED_VALUE"""),0.0)</f>
        <v>0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IFERROR(__xludf.DUMMYFUNCTION("""COMPUTED_VALUE"""),7.0)</f>
        <v>7</v>
      </c>
      <c r="I115" s="70">
        <f>IFERROR(__xludf.DUMMYFUNCTION("""COMPUTED_VALUE"""),6.0)</f>
        <v>6</v>
      </c>
      <c r="J115" s="70">
        <f>IFERROR(__xludf.DUMMYFUNCTION("""COMPUTED_VALUE"""),3.0)</f>
        <v>3</v>
      </c>
      <c r="K115" s="70">
        <f>IFERROR(__xludf.DUMMYFUNCTION("""COMPUTED_VALUE"""),16.0)</f>
        <v>16</v>
      </c>
      <c r="L115" s="70">
        <f>IFERROR(__xludf.DUMMYFUNCTION("""COMPUTED_VALUE"""),2.0)</f>
        <v>2</v>
      </c>
      <c r="M115" s="70">
        <f>IFERROR(__xludf.DUMMYFUNCTION("""COMPUTED_VALUE"""),60.0)</f>
        <v>60</v>
      </c>
      <c r="N115" s="71">
        <f>IFERROR(__xludf.DUMMYFUNCTION("""COMPUTED_VALUE"""),2.0)</f>
        <v>2</v>
      </c>
    </row>
    <row r="116">
      <c r="A116" s="1"/>
      <c r="B116" s="67" t="str">
        <f>IFERROR(__xludf.DUMMYFUNCTION("""COMPUTED_VALUE"""),"Naveen Raj")</f>
        <v>Naveen Raj</v>
      </c>
      <c r="C116" s="68">
        <f>IFERROR(__xludf.DUMMYFUNCTION("""COMPUTED_VALUE"""),43.0)</f>
        <v>43</v>
      </c>
      <c r="D116" s="69">
        <f>IFERROR(__xludf.DUMMYFUNCTION("""COMPUTED_VALUE"""),4.0)</f>
        <v>4</v>
      </c>
      <c r="E116" s="68">
        <f>IFERROR(__xludf.DUMMYFUNCTION("""COMPUTED_VALUE"""),1.0)</f>
        <v>1</v>
      </c>
      <c r="F116" s="70">
        <f>IFERROR(__xludf.DUMMYFUNCTION("""COMPUTED_VALUE"""),6.0)</f>
        <v>6</v>
      </c>
      <c r="G116" s="70">
        <f>IFERROR(__xludf.DUMMYFUNCTION("""COMPUTED_VALUE"""),0.0)</f>
        <v>0</v>
      </c>
      <c r="H116" s="70">
        <f>IFERROR(__xludf.DUMMYFUNCTION("""COMPUTED_VALUE"""),6.0)</f>
        <v>6</v>
      </c>
      <c r="I116" s="70">
        <f>IFERROR(__xludf.DUMMYFUNCTION("""COMPUTED_VALUE"""),2.0)</f>
        <v>2</v>
      </c>
      <c r="J116" s="70">
        <f>IFERROR(__xludf.DUMMYFUNCTION("""COMPUTED_VALUE"""),3.0)</f>
        <v>3</v>
      </c>
      <c r="K116" s="70">
        <f>IFERROR(__xludf.DUMMYFUNCTION("""COMPUTED_VALUE"""),11.0)</f>
        <v>11</v>
      </c>
      <c r="L116" s="70">
        <f>IFERROR(__xludf.DUMMYFUNCTION("""COMPUTED_VALUE"""),0.0)</f>
        <v>0</v>
      </c>
      <c r="M116" s="70">
        <f>IFERROR(__xludf.DUMMYFUNCTION("""COMPUTED_VALUE"""),54.0)</f>
        <v>54</v>
      </c>
      <c r="N116" s="71">
        <f>IFERROR(__xludf.DUMMYFUNCTION("""COMPUTED_VALUE"""),4.0)</f>
        <v>4</v>
      </c>
    </row>
    <row r="117">
      <c r="A117" s="1"/>
      <c r="B117" s="62" t="str">
        <f>IFERROR(__xludf.DUMMYFUNCTION("""COMPUTED_VALUE"""),"Chinna Ponnaganti")</f>
        <v>Chinna Ponnaganti</v>
      </c>
      <c r="C117" s="63">
        <f>IFERROR(__xludf.DUMMYFUNCTION("""COMPUTED_VALUE"""),43.0)</f>
        <v>43</v>
      </c>
      <c r="D117" s="64">
        <f>IFERROR(__xludf.DUMMYFUNCTION("""COMPUTED_VALUE"""),3.0)</f>
        <v>3</v>
      </c>
      <c r="E117" s="63">
        <f>IFERROR(__xludf.DUMMYFUNCTION("""COMPUTED_VALUE"""),2.0)</f>
        <v>2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IFERROR(__xludf.DUMMYFUNCTION("""COMPUTED_VALUE"""),6.0)</f>
        <v>6</v>
      </c>
      <c r="I117" s="65">
        <f>IFERROR(__xludf.DUMMYFUNCTION("""COMPUTED_VALUE"""),6.0)</f>
        <v>6</v>
      </c>
      <c r="J117" s="65">
        <f>IFERROR(__xludf.DUMMYFUNCTION("""COMPUTED_VALUE"""),1.0)</f>
        <v>1</v>
      </c>
      <c r="K117" s="65">
        <f>IFERROR(__xludf.DUMMYFUNCTION("""COMPUTED_VALUE"""),13.0)</f>
        <v>13</v>
      </c>
      <c r="L117" s="65">
        <f>IFERROR(__xludf.DUMMYFUNCTION("""COMPUTED_VALUE"""),2.0)</f>
        <v>2</v>
      </c>
      <c r="M117" s="65">
        <f>IFERROR(__xludf.DUMMYFUNCTION("""COMPUTED_VALUE"""),56.0)</f>
        <v>56</v>
      </c>
      <c r="N117" s="66">
        <f>IFERROR(__xludf.DUMMYFUNCTION("""COMPUTED_VALUE"""),5.0)</f>
        <v>5</v>
      </c>
    </row>
    <row r="118">
      <c r="A118" s="1"/>
      <c r="B118" s="62" t="str">
        <f>IFERROR(__xludf.DUMMYFUNCTION("""COMPUTED_VALUE"""),"Troy Wong")</f>
        <v>Troy Wong</v>
      </c>
      <c r="C118" s="63">
        <f>IFERROR(__xludf.DUMMYFUNCTION("""COMPUTED_VALUE"""),42.0)</f>
        <v>42</v>
      </c>
      <c r="D118" s="64">
        <f>IFERROR(__xludf.DUMMYFUNCTION("""COMPUTED_VALUE"""),2.0)</f>
        <v>2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IFERROR(__xludf.DUMMYFUNCTION("""COMPUTED_VALUE"""),1.0)</f>
        <v>1</v>
      </c>
      <c r="I118" s="65">
        <f>IFERROR(__xludf.DUMMYFUNCTION("""COMPUTED_VALUE"""),6.0)</f>
        <v>6</v>
      </c>
      <c r="J118" s="65">
        <f>IFERROR(__xludf.DUMMYFUNCTION("""COMPUTED_VALUE"""),6.0)</f>
        <v>6</v>
      </c>
      <c r="K118" s="65">
        <f>IFERROR(__xludf.DUMMYFUNCTION("""COMPUTED_VALUE"""),13.0)</f>
        <v>13</v>
      </c>
      <c r="L118" s="65">
        <f>IFERROR(__xludf.DUMMYFUNCTION("""COMPUTED_VALUE"""),2.0)</f>
        <v>2</v>
      </c>
      <c r="M118" s="65">
        <f>IFERROR(__xludf.DUMMYFUNCTION("""COMPUTED_VALUE"""),55.0)</f>
        <v>55</v>
      </c>
      <c r="N118" s="66">
        <f>IFERROR(__xludf.DUMMYFUNCTION("""COMPUTED_VALUE"""),4.0)</f>
        <v>4</v>
      </c>
    </row>
    <row r="119">
      <c r="A119" s="1"/>
      <c r="B119" s="62" t="str">
        <f>IFERROR(__xludf.DUMMYFUNCTION("""COMPUTED_VALUE"""),"Luis Hsu")</f>
        <v>Luis Hsu</v>
      </c>
      <c r="C119" s="63">
        <f>IFERROR(__xludf.DUMMYFUNCTION("""COMPUTED_VALUE"""),40.0)</f>
        <v>40</v>
      </c>
      <c r="D119" s="64">
        <f>IFERROR(__xludf.DUMMYFUNCTION("""COMPUTED_VALUE"""),0.0)</f>
        <v>0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IFERROR(__xludf.DUMMYFUNCTION("""COMPUTED_VALUE"""),3.0)</f>
        <v>3</v>
      </c>
      <c r="J119" s="65">
        <f>IFERROR(__xludf.DUMMYFUNCTION("""COMPUTED_VALUE"""),6.0)</f>
        <v>6</v>
      </c>
      <c r="K119" s="65">
        <f>IFERROR(__xludf.DUMMYFUNCTION("""COMPUTED_VALUE"""),15.0)</f>
        <v>15</v>
      </c>
      <c r="L119" s="65">
        <f>IFERROR(__xludf.DUMMYFUNCTION("""COMPUTED_VALUE"""),2.0)</f>
        <v>2</v>
      </c>
      <c r="M119" s="65">
        <f>IFERROR(__xludf.DUMMYFUNCTION("""COMPUTED_VALUE"""),55.0)</f>
        <v>55</v>
      </c>
      <c r="N119" s="66">
        <f>IFERROR(__xludf.DUMMYFUNCTION("""COMPUTED_VALUE"""),2.0)</f>
        <v>2</v>
      </c>
    </row>
    <row r="120">
      <c r="A120" s="1"/>
      <c r="B120" s="62" t="str">
        <f>IFERROR(__xludf.DUMMYFUNCTION("""COMPUTED_VALUE"""),"Eric Tan")</f>
        <v>Eric Tan</v>
      </c>
      <c r="C120" s="63">
        <f>IFERROR(__xludf.DUMMYFUNCTION("""COMPUTED_VALUE"""),37.0)</f>
        <v>37</v>
      </c>
      <c r="D120" s="64">
        <f>IFERROR(__xludf.DUMMYFUNCTION("""COMPUTED_VALUE"""),3.0)</f>
        <v>3</v>
      </c>
      <c r="E120" s="63">
        <f>IFERROR(__xludf.DUMMYFUNCTION("""COMPUTED_VALUE"""),1.0)</f>
        <v>1</v>
      </c>
      <c r="F120" s="65">
        <f>IFERROR(__xludf.DUMMYFUNCTION("""COMPUTED_VALUE"""),7.0)</f>
        <v>7</v>
      </c>
      <c r="G120" s="65">
        <f>IFERROR(__xludf.DUMMYFUNCTION("""COMPUTED_VALUE"""),0.0)</f>
        <v>0</v>
      </c>
      <c r="H120" s="65">
        <f>IFERROR(__xludf.DUMMYFUNCTION("""COMPUTED_VALUE"""),1.0)</f>
        <v>1</v>
      </c>
      <c r="I120" s="65">
        <f>IFERROR(__xludf.DUMMYFUNCTION("""COMPUTED_VALUE"""),3.0)</f>
        <v>3</v>
      </c>
      <c r="J120" s="65">
        <f>IFERROR(__xludf.DUMMYFUNCTION("""COMPUTED_VALUE"""),1.0)</f>
        <v>1</v>
      </c>
      <c r="K120" s="65">
        <f>IFERROR(__xludf.DUMMYFUNCTION("""COMPUTED_VALUE"""),5.0)</f>
        <v>5</v>
      </c>
      <c r="L120" s="65">
        <f>IFERROR(__xludf.DUMMYFUNCTION("""COMPUTED_VALUE"""),0.0)</f>
        <v>0</v>
      </c>
      <c r="M120" s="65">
        <f>IFERROR(__xludf.DUMMYFUNCTION("""COMPUTED_VALUE"""),42.0)</f>
        <v>42</v>
      </c>
      <c r="N120" s="66">
        <f>IFERROR(__xludf.DUMMYFUNCTION("""COMPUTED_VALUE"""),3.0)</f>
        <v>3</v>
      </c>
    </row>
    <row r="121">
      <c r="A121" s="1"/>
      <c r="B121" s="67" t="str">
        <f>IFERROR(__xludf.DUMMYFUNCTION("""COMPUTED_VALUE"""),"Vinaya Kajla")</f>
        <v>Vinaya Kajla</v>
      </c>
      <c r="C121" s="68">
        <f>IFERROR(__xludf.DUMMYFUNCTION("""COMPUTED_VALUE"""),36.0)</f>
        <v>36</v>
      </c>
      <c r="D121" s="69">
        <f>IFERROR(__xludf.DUMMYFUNCTION("""COMPUTED_VALUE"""),1.0)</f>
        <v>1</v>
      </c>
      <c r="E121" s="68">
        <f>IFERROR(__xludf.DUMMYFUNCTION("""COMPUTED_VALUE"""),1.0)</f>
        <v>1</v>
      </c>
      <c r="F121" s="70">
        <f>IFERROR(__xludf.DUMMYFUNCTION("""COMPUTED_VALUE"""),8.0)</f>
        <v>8</v>
      </c>
      <c r="G121" s="70">
        <f>IFERROR(__xludf.DUMMYFUNCTION("""COMPUTED_VALUE"""),0.0)</f>
        <v>0</v>
      </c>
      <c r="H121" s="70">
        <f>IFERROR(__xludf.DUMMYFUNCTION("""COMPUTED_VALUE"""),1.0)</f>
        <v>1</v>
      </c>
      <c r="I121" s="70">
        <f>IFERROR(__xludf.DUMMYFUNCTION("""COMPUTED_VALUE"""),7.0)</f>
        <v>7</v>
      </c>
      <c r="J121" s="70">
        <f>IFERROR(__xludf.DUMMYFUNCTION("""COMPUTED_VALUE"""),6.0)</f>
        <v>6</v>
      </c>
      <c r="K121" s="70">
        <f>IFERROR(__xludf.DUMMYFUNCTION("""COMPUTED_VALUE"""),14.0)</f>
        <v>14</v>
      </c>
      <c r="L121" s="70">
        <f>IFERROR(__xludf.DUMMYFUNCTION("""COMPUTED_VALUE"""),2.0)</f>
        <v>2</v>
      </c>
      <c r="M121" s="70">
        <f>IFERROR(__xludf.DUMMYFUNCTION("""COMPUTED_VALUE"""),50.0)</f>
        <v>50</v>
      </c>
      <c r="N121" s="71">
        <f>IFERROR(__xludf.DUMMYFUNCTION("""COMPUTED_VALUE"""),3.0)</f>
        <v>3</v>
      </c>
    </row>
    <row r="122">
      <c r="A122" s="1"/>
      <c r="B122" s="67" t="str">
        <f>IFERROR(__xludf.DUMMYFUNCTION("""COMPUTED_VALUE"""),"Vishnu Amarnath")</f>
        <v>Vishnu Amarnath</v>
      </c>
      <c r="C122" s="68">
        <f>IFERROR(__xludf.DUMMYFUNCTION("""COMPUTED_VALUE"""),34.0)</f>
        <v>34</v>
      </c>
      <c r="D122" s="69">
        <f>IFERROR(__xludf.DUMMYFUNCTION("""COMPUTED_VALUE"""),2.0)</f>
        <v>2</v>
      </c>
      <c r="E122" s="68">
        <f>IFERROR(__xludf.DUMMYFUNCTION("""COMPUTED_VALUE"""),1.0)</f>
        <v>1</v>
      </c>
      <c r="F122" s="70">
        <f>IFERROR(__xludf.DUMMYFUNCTION("""COMPUTED_VALUE"""),8.0)</f>
        <v>8</v>
      </c>
      <c r="G122" s="70">
        <f>IFERROR(__xludf.DUMMYFUNCTION("""COMPUTED_VALUE"""),0.0)</f>
        <v>0</v>
      </c>
      <c r="H122" s="70">
        <f>IFERROR(__xludf.DUMMYFUNCTION("""COMPUTED_VALUE"""),6.0)</f>
        <v>6</v>
      </c>
      <c r="I122" s="70">
        <f>IFERROR(__xludf.DUMMYFUNCTION("""COMPUTED_VALUE"""),5.0)</f>
        <v>5</v>
      </c>
      <c r="J122" s="70">
        <f>IFERROR(__xludf.DUMMYFUNCTION("""COMPUTED_VALUE"""),6.0)</f>
        <v>6</v>
      </c>
      <c r="K122" s="70">
        <f>IFERROR(__xludf.DUMMYFUNCTION("""COMPUTED_VALUE"""),17.0)</f>
        <v>17</v>
      </c>
      <c r="L122" s="70">
        <f>IFERROR(__xludf.DUMMYFUNCTION("""COMPUTED_VALUE"""),2.0)</f>
        <v>2</v>
      </c>
      <c r="M122" s="70">
        <f>IFERROR(__xludf.DUMMYFUNCTION("""COMPUTED_VALUE"""),51.0)</f>
        <v>51</v>
      </c>
      <c r="N122" s="71">
        <f>IFERROR(__xludf.DUMMYFUNCTION("""COMPUTED_VALUE"""),4.0)</f>
        <v>4</v>
      </c>
    </row>
    <row r="123">
      <c r="A123" s="1"/>
      <c r="B123" s="67" t="str">
        <f>IFERROR(__xludf.DUMMYFUNCTION("""COMPUTED_VALUE"""),"Joyce Zhu")</f>
        <v>Joyce Zhu</v>
      </c>
      <c r="C123" s="68">
        <f>IFERROR(__xludf.DUMMYFUNCTION("""COMPUTED_VALUE"""),34.0)</f>
        <v>34</v>
      </c>
      <c r="D123" s="69">
        <f>IFERROR(__xludf.DUMMYFUNCTION("""COMPUTED_VALUE"""),1.0)</f>
        <v>1</v>
      </c>
      <c r="E123" s="68">
        <f>IFERROR(__xludf.DUMMYFUNCTION("""COMPUTED_VALUE"""),1.0)</f>
        <v>1</v>
      </c>
      <c r="F123" s="70">
        <f>IFERROR(__xludf.DUMMYFUNCTION("""COMPUTED_VALUE"""),8.0)</f>
        <v>8</v>
      </c>
      <c r="G123" s="70">
        <f>IFERROR(__xludf.DUMMYFUNCTION("""COMPUTED_VALUE"""),0.0)</f>
        <v>0</v>
      </c>
      <c r="H123" s="70">
        <f>IFERROR(__xludf.DUMMYFUNCTION("""COMPUTED_VALUE"""),1.0)</f>
        <v>1</v>
      </c>
      <c r="I123" s="70">
        <f>IFERROR(__xludf.DUMMYFUNCTION("""COMPUTED_VALUE"""),5.0)</f>
        <v>5</v>
      </c>
      <c r="J123" s="70">
        <f>IFERROR(__xludf.DUMMYFUNCTION("""COMPUTED_VALUE"""),2.0)</f>
        <v>2</v>
      </c>
      <c r="K123" s="70">
        <f>IFERROR(__xludf.DUMMYFUNCTION("""COMPUTED_VALUE"""),8.0)</f>
        <v>8</v>
      </c>
      <c r="L123" s="70"/>
      <c r="M123" s="70">
        <f>IFERROR(__xludf.DUMMYFUNCTION("""COMPUTED_VALUE"""),42.0)</f>
        <v>42</v>
      </c>
      <c r="N123" s="71">
        <f>IFERROR(__xludf.DUMMYFUNCTION("""COMPUTED_VALUE"""),1.0)</f>
        <v>1</v>
      </c>
    </row>
    <row r="124">
      <c r="A124" s="1"/>
      <c r="B124" s="67" t="str">
        <f>IFERROR(__xludf.DUMMYFUNCTION("""COMPUTED_VALUE"""),"Sandy Weyant")</f>
        <v>Sandy Weyant</v>
      </c>
      <c r="C124" s="68">
        <f>IFERROR(__xludf.DUMMYFUNCTION("""COMPUTED_VALUE"""),34.0)</f>
        <v>34</v>
      </c>
      <c r="D124" s="69">
        <f>IFERROR(__xludf.DUMMYFUNCTION("""COMPUTED_VALUE"""),1.0)</f>
        <v>1</v>
      </c>
      <c r="E124" s="68">
        <f>IFERROR(__xludf.DUMMYFUNCTION("""COMPUTED_VALUE"""),1.0)</f>
        <v>1</v>
      </c>
      <c r="F124" s="70">
        <f>IFERROR(__xludf.DUMMYFUNCTION("""COMPUTED_VALUE"""),8.0)</f>
        <v>8</v>
      </c>
      <c r="G124" s="70">
        <f>IFERROR(__xludf.DUMMYFUNCTION("""COMPUTED_VALUE"""),0.0)</f>
        <v>0</v>
      </c>
      <c r="H124" s="70">
        <f>IFERROR(__xludf.DUMMYFUNCTION("""COMPUTED_VALUE"""),6.0)</f>
        <v>6</v>
      </c>
      <c r="I124" s="70">
        <f>IFERROR(__xludf.DUMMYFUNCTION("""COMPUTED_VALUE"""),7.0)</f>
        <v>7</v>
      </c>
      <c r="J124" s="70">
        <f>IFERROR(__xludf.DUMMYFUNCTION("""COMPUTED_VALUE"""),2.0)</f>
        <v>2</v>
      </c>
      <c r="K124" s="70">
        <f>IFERROR(__xludf.DUMMYFUNCTION("""COMPUTED_VALUE"""),15.0)</f>
        <v>15</v>
      </c>
      <c r="L124" s="70">
        <f>IFERROR(__xludf.DUMMYFUNCTION("""COMPUTED_VALUE"""),2.0)</f>
        <v>2</v>
      </c>
      <c r="M124" s="70">
        <f>IFERROR(__xludf.DUMMYFUNCTION("""COMPUTED_VALUE"""),49.0)</f>
        <v>49</v>
      </c>
      <c r="N124" s="71">
        <f>IFERROR(__xludf.DUMMYFUNCTION("""COMPUTED_VALUE"""),3.0)</f>
        <v>3</v>
      </c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B135" s="9" t="s">
        <v>136</v>
      </c>
      <c r="C135" s="1"/>
      <c r="D135" s="1"/>
      <c r="E135" s="1"/>
    </row>
    <row r="136">
      <c r="A136" s="1"/>
      <c r="B136" s="23" t="s">
        <v>29</v>
      </c>
      <c r="C136" s="24" t="s">
        <v>5</v>
      </c>
      <c r="D136" s="24" t="s">
        <v>7</v>
      </c>
      <c r="E136" s="24" t="s">
        <v>30</v>
      </c>
      <c r="F136" s="24" t="s">
        <v>31</v>
      </c>
      <c r="G136" s="24" t="s">
        <v>32</v>
      </c>
      <c r="H136" s="24" t="s">
        <v>11</v>
      </c>
      <c r="I136" s="24" t="s">
        <v>13</v>
      </c>
      <c r="J136" s="24" t="s">
        <v>14</v>
      </c>
      <c r="K136" s="24" t="s">
        <v>5</v>
      </c>
      <c r="L136" s="24" t="s">
        <v>7</v>
      </c>
      <c r="M136" s="25" t="s">
        <v>5</v>
      </c>
      <c r="N136" s="25" t="s">
        <v>7</v>
      </c>
    </row>
    <row r="137">
      <c r="A137" s="1"/>
      <c r="B137" s="62" t="str">
        <f>IFERROR(__xludf.DUMMYFUNCTION("QUERY(B5:N70, ""Select B, C, D, E, F, G, H, I, J, K, L, M, N   where F = 0"")"),"Sean Chang")</f>
        <v>Sean Chang</v>
      </c>
      <c r="C137" s="63">
        <f>IFERROR(__xludf.DUMMYFUNCTION("""COMPUTED_VALUE"""),58.0)</f>
        <v>58</v>
      </c>
      <c r="D137" s="64">
        <f>IFERROR(__xludf.DUMMYFUNCTION("""COMPUTED_VALUE"""),5.0)</f>
        <v>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IFERROR(__xludf.DUMMYFUNCTION("""COMPUTED_VALUE"""),67.0)</f>
        <v>67</v>
      </c>
      <c r="N137" s="66">
        <f>IFERROR(__xludf.DUMMYFUNCTION("""COMPUTED_VALUE"""),5.0)</f>
        <v>5</v>
      </c>
    </row>
    <row r="138">
      <c r="A138" s="1"/>
      <c r="B138" s="62" t="str">
        <f>IFERROR(__xludf.DUMMYFUNCTION("""COMPUTED_VALUE"""),"Balaji Alahari")</f>
        <v>Balaji Alahari</v>
      </c>
      <c r="C138" s="63">
        <f>IFERROR(__xludf.DUMMYFUNCTION("""COMPUTED_VALUE"""),57.0)</f>
        <v>57</v>
      </c>
      <c r="D138" s="64">
        <f>IFERROR(__xludf.DUMMYFUNCTION("""COMPUTED_VALUE"""),5.0)</f>
        <v>5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IFERROR(__xludf.DUMMYFUNCTION("""COMPUTED_VALUE"""),66.0)</f>
        <v>66</v>
      </c>
      <c r="N138" s="66">
        <f>IFERROR(__xludf.DUMMYFUNCTION("""COMPUTED_VALUE"""),5.0)</f>
        <v>5</v>
      </c>
    </row>
    <row r="139">
      <c r="A139" s="1"/>
      <c r="B139" s="62" t="str">
        <f>IFERROR(__xludf.DUMMYFUNCTION("""COMPUTED_VALUE"""),"Alejandro Mejia")</f>
        <v>Alejandro Mejia</v>
      </c>
      <c r="C139" s="63">
        <f>IFERROR(__xludf.DUMMYFUNCTION("""COMPUTED_VALUE"""),52.0)</f>
        <v>52</v>
      </c>
      <c r="D139" s="64">
        <f>IFERROR(__xludf.DUMMYFUNCTION("""COMPUTED_VALUE"""),4.0)</f>
        <v>4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IFERROR(__xludf.DUMMYFUNCTION("""COMPUTED_VALUE"""),61.0)</f>
        <v>61</v>
      </c>
      <c r="N139" s="66">
        <f>IFERROR(__xludf.DUMMYFUNCTION("""COMPUTED_VALUE"""),4.0)</f>
        <v>4</v>
      </c>
    </row>
    <row r="140">
      <c r="A140" s="1"/>
      <c r="B140" s="62" t="str">
        <f>IFERROR(__xludf.DUMMYFUNCTION("""COMPUTED_VALUE"""),"Anish Kumar")</f>
        <v>Anish Kumar</v>
      </c>
      <c r="C140" s="63">
        <f>IFERROR(__xludf.DUMMYFUNCTION("""COMPUTED_VALUE"""),51.0)</f>
        <v>51</v>
      </c>
      <c r="D140" s="64">
        <f>IFERROR(__xludf.DUMMYFUNCTION("""COMPUTED_VALUE"""),3.0)</f>
        <v>3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IFERROR(__xludf.DUMMYFUNCTION("""COMPUTED_VALUE"""),60.0)</f>
        <v>60</v>
      </c>
      <c r="N140" s="66">
        <f>IFERROR(__xludf.DUMMYFUNCTION("""COMPUTED_VALUE"""),3.0)</f>
        <v>3</v>
      </c>
    </row>
    <row r="141">
      <c r="A141" s="1"/>
      <c r="B141" s="62" t="str">
        <f>IFERROR(__xludf.DUMMYFUNCTION("""COMPUTED_VALUE"""),"Christopher Li")</f>
        <v>Christopher Li</v>
      </c>
      <c r="C141" s="63">
        <f>IFERROR(__xludf.DUMMYFUNCTION("""COMPUTED_VALUE"""),50.0)</f>
        <v>50</v>
      </c>
      <c r="D141" s="64">
        <f>IFERROR(__xludf.DUMMYFUNCTION("""COMPUTED_VALUE"""),5.0)</f>
        <v>5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IFERROR(__xludf.DUMMYFUNCTION("""COMPUTED_VALUE"""),59.0)</f>
        <v>59</v>
      </c>
      <c r="N141" s="66">
        <f>IFERROR(__xludf.DUMMYFUNCTION("""COMPUTED_VALUE"""),5.0)</f>
        <v>5</v>
      </c>
    </row>
    <row r="142">
      <c r="A142" s="1"/>
      <c r="B142" s="62" t="str">
        <f>IFERROR(__xludf.DUMMYFUNCTION("""COMPUTED_VALUE"""),"Robert Chang")</f>
        <v>Robert Chang</v>
      </c>
      <c r="C142" s="63">
        <f>IFERROR(__xludf.DUMMYFUNCTION("""COMPUTED_VALUE"""),50.0)</f>
        <v>50</v>
      </c>
      <c r="D142" s="64">
        <f>IFERROR(__xludf.DUMMYFUNCTION("""COMPUTED_VALUE"""),4.0)</f>
        <v>4</v>
      </c>
      <c r="E142" s="63">
        <f>IFERROR(__xludf.DUMMYFUNCTION("""COMPUTED_VALUE"""),5.0)</f>
        <v>5</v>
      </c>
      <c r="F142" s="65">
        <f>IFERROR(__xludf.DUMMYFUNCTION("""COMPUTED_VALUE"""),0.0)</f>
        <v>0</v>
      </c>
      <c r="G142" s="65">
        <f>IFERROR(__xludf.DUMMYFUNCTION("""COMPUTED_VALUE"""),13.0)</f>
        <v>13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IFERROR(__xludf.DUMMYFUNCTION("""COMPUTED_VALUE"""),13.0)</f>
        <v>13</v>
      </c>
      <c r="L142" s="65">
        <f>IFERROR(__xludf.DUMMYFUNCTION("""COMPUTED_VALUE"""),0.0)</f>
        <v>0</v>
      </c>
      <c r="M142" s="65">
        <f>IFERROR(__xludf.DUMMYFUNCTION("""COMPUTED_VALUE"""),63.0)</f>
        <v>63</v>
      </c>
      <c r="N142" s="66">
        <f>IFERROR(__xludf.DUMMYFUNCTION("""COMPUTED_VALUE"""),4.0)</f>
        <v>4</v>
      </c>
    </row>
    <row r="143">
      <c r="A143" s="1"/>
      <c r="B143" s="62" t="str">
        <f>IFERROR(__xludf.DUMMYFUNCTION("""COMPUTED_VALUE"""),"Matthew Huang")</f>
        <v>Matthew Huang</v>
      </c>
      <c r="C143" s="63">
        <f>IFERROR(__xludf.DUMMYFUNCTION("""COMPUTED_VALUE"""),50.0)</f>
        <v>50</v>
      </c>
      <c r="D143" s="64">
        <f>IFERROR(__xludf.DUMMYFUNCTION("""COMPUTED_VALUE"""),2.0)</f>
        <v>2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IFERROR(__xludf.DUMMYFUNCTION("""COMPUTED_VALUE"""),59.0)</f>
        <v>59</v>
      </c>
      <c r="N143" s="66">
        <f>IFERROR(__xludf.DUMMYFUNCTION("""COMPUTED_VALUE"""),2.0)</f>
        <v>2</v>
      </c>
    </row>
    <row r="144">
      <c r="A144" s="1"/>
      <c r="B144" s="62" t="str">
        <f>IFERROR(__xludf.DUMMYFUNCTION("""COMPUTED_VALUE"""),"Manish Anand")</f>
        <v>Manish Anand</v>
      </c>
      <c r="C144" s="63">
        <f>IFERROR(__xludf.DUMMYFUNCTION("""COMPUTED_VALUE"""),48.0)</f>
        <v>48</v>
      </c>
      <c r="D144" s="64">
        <f>IFERROR(__xludf.DUMMYFUNCTION("""COMPUTED_VALUE"""),3.0)</f>
        <v>3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IFERROR(__xludf.DUMMYFUNCTION("""COMPUTED_VALUE"""),57.0)</f>
        <v>57</v>
      </c>
      <c r="N144" s="66">
        <f>IFERROR(__xludf.DUMMYFUNCTION("""COMPUTED_VALUE"""),3.0)</f>
        <v>3</v>
      </c>
    </row>
    <row r="145">
      <c r="A145" s="1"/>
      <c r="B145" s="62" t="str">
        <f>IFERROR(__xludf.DUMMYFUNCTION("""COMPUTED_VALUE"""),"Santosh Sundaresan ")</f>
        <v>Santosh Sundaresan </v>
      </c>
      <c r="C145" s="63">
        <f>IFERROR(__xludf.DUMMYFUNCTION("""COMPUTED_VALUE"""),48.0)</f>
        <v>48</v>
      </c>
      <c r="D145" s="64">
        <f>IFERROR(__xludf.DUMMYFUNCTION("""COMPUTED_VALUE"""),2.0)</f>
        <v>2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IFERROR(__xludf.DUMMYFUNCTION("""COMPUTED_VALUE"""),57.0)</f>
        <v>57</v>
      </c>
      <c r="N145" s="66">
        <f>IFERROR(__xludf.DUMMYFUNCTION("""COMPUTED_VALUE"""),2.0)</f>
        <v>2</v>
      </c>
    </row>
    <row r="146">
      <c r="A146" s="1"/>
      <c r="B146" s="62" t="str">
        <f>IFERROR(__xludf.DUMMYFUNCTION("""COMPUTED_VALUE"""),"Peter Cheng")</f>
        <v>Peter Cheng</v>
      </c>
      <c r="C146" s="63">
        <f>IFERROR(__xludf.DUMMYFUNCTION("""COMPUTED_VALUE"""),48.0)</f>
        <v>48</v>
      </c>
      <c r="D146" s="64">
        <f>IFERROR(__xludf.DUMMYFUNCTION("""COMPUTED_VALUE"""),2.0)</f>
        <v>2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IFERROR(__xludf.DUMMYFUNCTION("""COMPUTED_VALUE"""),57.0)</f>
        <v>57</v>
      </c>
      <c r="N146" s="66">
        <f>IFERROR(__xludf.DUMMYFUNCTION("""COMPUTED_VALUE"""),2.0)</f>
        <v>2</v>
      </c>
    </row>
    <row r="147">
      <c r="A147" s="1"/>
      <c r="B147" s="62" t="str">
        <f>IFERROR(__xludf.DUMMYFUNCTION("""COMPUTED_VALUE"""),"Manuel Rivera")</f>
        <v>Manuel Rivera</v>
      </c>
      <c r="C147" s="63">
        <f>IFERROR(__xludf.DUMMYFUNCTION("""COMPUTED_VALUE"""),46.0)</f>
        <v>46</v>
      </c>
      <c r="D147" s="64">
        <f>IFERROR(__xludf.DUMMYFUNCTION("""COMPUTED_VALUE"""),3.0)</f>
        <v>3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IFERROR(__xludf.DUMMYFUNCTION("""COMPUTED_VALUE"""),55.0)</f>
        <v>55</v>
      </c>
      <c r="N147" s="66">
        <f>IFERROR(__xludf.DUMMYFUNCTION("""COMPUTED_VALUE"""),3.0)</f>
        <v>3</v>
      </c>
    </row>
    <row r="148">
      <c r="A148" s="1"/>
      <c r="B148" s="62" t="str">
        <f>IFERROR(__xludf.DUMMYFUNCTION("""COMPUTED_VALUE"""),"Tony Lin")</f>
        <v>Tony Lin</v>
      </c>
      <c r="C148" s="63">
        <f>IFERROR(__xludf.DUMMYFUNCTION("""COMPUTED_VALUE"""),45.0)</f>
        <v>45</v>
      </c>
      <c r="D148" s="64">
        <f>IFERROR(__xludf.DUMMYFUNCTION("""COMPUTED_VALUE"""),3.0)</f>
        <v>3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IFERROR(__xludf.DUMMYFUNCTION("""COMPUTED_VALUE"""),54.0)</f>
        <v>54</v>
      </c>
      <c r="N148" s="66">
        <f>IFERROR(__xludf.DUMMYFUNCTION("""COMPUTED_VALUE"""),3.0)</f>
        <v>3</v>
      </c>
    </row>
    <row r="149">
      <c r="A149" s="1"/>
      <c r="B149" s="62" t="str">
        <f>IFERROR(__xludf.DUMMYFUNCTION("""COMPUTED_VALUE"""),"Sudhagar Subbaian")</f>
        <v>Sudhagar Subbaian</v>
      </c>
      <c r="C149" s="63">
        <f>IFERROR(__xludf.DUMMYFUNCTION("""COMPUTED_VALUE"""),45.0)</f>
        <v>45</v>
      </c>
      <c r="D149" s="64">
        <f>IFERROR(__xludf.DUMMYFUNCTION("""COMPUTED_VALUE"""),3.0)</f>
        <v>3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IFERROR(__xludf.DUMMYFUNCTION("""COMPUTED_VALUE"""),54.0)</f>
        <v>54</v>
      </c>
      <c r="N149" s="66">
        <f>IFERROR(__xludf.DUMMYFUNCTION("""COMPUTED_VALUE"""),3.0)</f>
        <v>3</v>
      </c>
    </row>
    <row r="150">
      <c r="A150" s="1"/>
      <c r="B150" s="62" t="str">
        <f>IFERROR(__xludf.DUMMYFUNCTION("""COMPUTED_VALUE"""),"Tom Le")</f>
        <v>Tom Le</v>
      </c>
      <c r="C150" s="63">
        <f>IFERROR(__xludf.DUMMYFUNCTION("""COMPUTED_VALUE"""),45.0)</f>
        <v>45</v>
      </c>
      <c r="D150" s="64">
        <f>IFERROR(__xludf.DUMMYFUNCTION("""COMPUTED_VALUE"""),3.0)</f>
        <v>3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IFERROR(__xludf.DUMMYFUNCTION("""COMPUTED_VALUE"""),54.0)</f>
        <v>54</v>
      </c>
      <c r="N150" s="66">
        <f>IFERROR(__xludf.DUMMYFUNCTION("""COMPUTED_VALUE"""),3.0)</f>
        <v>3</v>
      </c>
    </row>
    <row r="151">
      <c r="A151" s="1"/>
      <c r="B151" s="62" t="str">
        <f>IFERROR(__xludf.DUMMYFUNCTION("""COMPUTED_VALUE"""),"Rajasekar Ramasamy")</f>
        <v>Rajasekar Ramasamy</v>
      </c>
      <c r="C151" s="63">
        <f>IFERROR(__xludf.DUMMYFUNCTION("""COMPUTED_VALUE"""),44.0)</f>
        <v>44</v>
      </c>
      <c r="D151" s="64">
        <f>IFERROR(__xludf.DUMMYFUNCTION("""COMPUTED_VALUE"""),3.0)</f>
        <v>3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IFERROR(__xludf.DUMMYFUNCTION("""COMPUTED_VALUE"""),53.0)</f>
        <v>53</v>
      </c>
      <c r="N151" s="66">
        <f>IFERROR(__xludf.DUMMYFUNCTION("""COMPUTED_VALUE"""),3.0)</f>
        <v>3</v>
      </c>
    </row>
    <row r="152">
      <c r="A152" s="1"/>
      <c r="B152" s="62" t="str">
        <f>IFERROR(__xludf.DUMMYFUNCTION("""COMPUTED_VALUE"""),"Peter Homsey")</f>
        <v>Peter Homsey</v>
      </c>
      <c r="C152" s="63">
        <f>IFERROR(__xludf.DUMMYFUNCTION("""COMPUTED_VALUE"""),44.0)</f>
        <v>44</v>
      </c>
      <c r="D152" s="64">
        <f>IFERROR(__xludf.DUMMYFUNCTION("""COMPUTED_VALUE"""),3.0)</f>
        <v>3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IFERROR(__xludf.DUMMYFUNCTION("""COMPUTED_VALUE"""),53.0)</f>
        <v>53</v>
      </c>
      <c r="N152" s="66">
        <f>IFERROR(__xludf.DUMMYFUNCTION("""COMPUTED_VALUE"""),3.0)</f>
        <v>3</v>
      </c>
    </row>
    <row r="153">
      <c r="A153" s="1"/>
      <c r="B153" s="62" t="str">
        <f>IFERROR(__xludf.DUMMYFUNCTION("""COMPUTED_VALUE"""),"Trinath Goteti")</f>
        <v>Trinath Goteti</v>
      </c>
      <c r="C153" s="63">
        <f>IFERROR(__xludf.DUMMYFUNCTION("""COMPUTED_VALUE"""),44.0)</f>
        <v>44</v>
      </c>
      <c r="D153" s="64">
        <f>IFERROR(__xludf.DUMMYFUNCTION("""COMPUTED_VALUE"""),0.0)</f>
        <v>0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IFERROR(__xludf.DUMMYFUNCTION("""COMPUTED_VALUE"""),53.0)</f>
        <v>53</v>
      </c>
      <c r="N153" s="66">
        <f>IFERROR(__xludf.DUMMYFUNCTION("""COMPUTED_VALUE"""),0.0)</f>
        <v>0</v>
      </c>
    </row>
    <row r="154">
      <c r="A154" s="1"/>
      <c r="B154" s="62" t="str">
        <f>IFERROR(__xludf.DUMMYFUNCTION("""COMPUTED_VALUE"""),"Chandrasekar Chinnathambi")</f>
        <v>Chandrasekar Chinnathambi</v>
      </c>
      <c r="C154" s="63">
        <f>IFERROR(__xludf.DUMMYFUNCTION("""COMPUTED_VALUE"""),43.0)</f>
        <v>43</v>
      </c>
      <c r="D154" s="64">
        <f>IFERROR(__xludf.DUMMYFUNCTION("""COMPUTED_VALUE"""),1.0)</f>
        <v>1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IFERROR(__xludf.DUMMYFUNCTION("""COMPUTED_VALUE"""),52.0)</f>
        <v>52</v>
      </c>
      <c r="N154" s="66">
        <f>IFERROR(__xludf.DUMMYFUNCTION("""COMPUTED_VALUE"""),1.0)</f>
        <v>1</v>
      </c>
    </row>
    <row r="155">
      <c r="A155" s="1"/>
      <c r="B155" s="62" t="str">
        <f>IFERROR(__xludf.DUMMYFUNCTION("""COMPUTED_VALUE"""),"David Tam")</f>
        <v>David Tam</v>
      </c>
      <c r="C155" s="63">
        <f>IFERROR(__xludf.DUMMYFUNCTION("""COMPUTED_VALUE"""),42.0)</f>
        <v>42</v>
      </c>
      <c r="D155" s="64">
        <f>IFERROR(__xludf.DUMMYFUNCTION("""COMPUTED_VALUE"""),5.0)</f>
        <v>5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IFERROR(__xludf.DUMMYFUNCTION("""COMPUTED_VALUE"""),51.0)</f>
        <v>51</v>
      </c>
      <c r="N155" s="66">
        <f>IFERROR(__xludf.DUMMYFUNCTION("""COMPUTED_VALUE"""),5.0)</f>
        <v>5</v>
      </c>
    </row>
    <row r="156">
      <c r="A156" s="1"/>
      <c r="B156" s="62" t="str">
        <f>IFERROR(__xludf.DUMMYFUNCTION("""COMPUTED_VALUE"""),"Ramesh Bandaru")</f>
        <v>Ramesh Bandaru</v>
      </c>
      <c r="C156" s="63">
        <f>IFERROR(__xludf.DUMMYFUNCTION("""COMPUTED_VALUE"""),42.0)</f>
        <v>42</v>
      </c>
      <c r="D156" s="64">
        <f>IFERROR(__xludf.DUMMYFUNCTION("""COMPUTED_VALUE"""),2.0)</f>
        <v>2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IFERROR(__xludf.DUMMYFUNCTION("""COMPUTED_VALUE"""),51.0)</f>
        <v>51</v>
      </c>
      <c r="N156" s="66">
        <f>IFERROR(__xludf.DUMMYFUNCTION("""COMPUTED_VALUE"""),2.0)</f>
        <v>2</v>
      </c>
    </row>
    <row r="157">
      <c r="A157" s="1"/>
      <c r="B157" s="62" t="str">
        <f>IFERROR(__xludf.DUMMYFUNCTION("""COMPUTED_VALUE"""),"Ash Nikravan")</f>
        <v>Ash Nikravan</v>
      </c>
      <c r="C157" s="63">
        <f>IFERROR(__xludf.DUMMYFUNCTION("""COMPUTED_VALUE"""),41.0)</f>
        <v>41</v>
      </c>
      <c r="D157" s="64">
        <f>IFERROR(__xludf.DUMMYFUNCTION("""COMPUTED_VALUE"""),2.0)</f>
        <v>2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IFERROR(__xludf.DUMMYFUNCTION("""COMPUTED_VALUE"""),50.0)</f>
        <v>50</v>
      </c>
      <c r="N157" s="66">
        <f>IFERROR(__xludf.DUMMYFUNCTION("""COMPUTED_VALUE"""),2.0)</f>
        <v>2</v>
      </c>
    </row>
    <row r="158">
      <c r="A158" s="1"/>
      <c r="B158" s="62" t="str">
        <f>IFERROR(__xludf.DUMMYFUNCTION("""COMPUTED_VALUE"""),"Nohely Mejia")</f>
        <v>Nohely Mejia</v>
      </c>
      <c r="C158" s="63">
        <f>IFERROR(__xludf.DUMMYFUNCTION("""COMPUTED_VALUE"""),40.0)</f>
        <v>40</v>
      </c>
      <c r="D158" s="64">
        <f>IFERROR(__xludf.DUMMYFUNCTION("""COMPUTED_VALUE"""),0.0)</f>
        <v>0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IFERROR(__xludf.DUMMYFUNCTION("""COMPUTED_VALUE"""),49.0)</f>
        <v>49</v>
      </c>
      <c r="N158" s="66">
        <f>IFERROR(__xludf.DUMMYFUNCTION("""COMPUTED_VALUE"""),0.0)</f>
        <v>0</v>
      </c>
    </row>
    <row r="159">
      <c r="A159" s="1"/>
      <c r="B159" s="62" t="str">
        <f>IFERROR(__xludf.DUMMYFUNCTION("""COMPUTED_VALUE"""),"Marcus Yovas")</f>
        <v>Marcus Yovas</v>
      </c>
      <c r="C159" s="63">
        <f>IFERROR(__xludf.DUMMYFUNCTION("""COMPUTED_VALUE"""),40.0)</f>
        <v>40</v>
      </c>
      <c r="D159" s="64">
        <f>IFERROR(__xludf.DUMMYFUNCTION("""COMPUTED_VALUE"""),0.0)</f>
        <v>0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IFERROR(__xludf.DUMMYFUNCTION("""COMPUTED_VALUE"""),49.0)</f>
        <v>49</v>
      </c>
      <c r="N159" s="66">
        <f>IFERROR(__xludf.DUMMYFUNCTION("""COMPUTED_VALUE"""),0.0)</f>
        <v>0</v>
      </c>
    </row>
    <row r="160">
      <c r="A160" s="1"/>
      <c r="B160" s="62" t="str">
        <f>IFERROR(__xludf.DUMMYFUNCTION("""COMPUTED_VALUE"""),"Sanjaye Elayattu")</f>
        <v>Sanjaye Elayattu</v>
      </c>
      <c r="C160" s="63">
        <f>IFERROR(__xludf.DUMMYFUNCTION("""COMPUTED_VALUE"""),40.0)</f>
        <v>40</v>
      </c>
      <c r="D160" s="64">
        <f>IFERROR(__xludf.DUMMYFUNCTION("""COMPUTED_VALUE"""),0.0)</f>
        <v>0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IFERROR(__xludf.DUMMYFUNCTION("""COMPUTED_VALUE"""),49.0)</f>
        <v>49</v>
      </c>
      <c r="N160" s="66">
        <f>IFERROR(__xludf.DUMMYFUNCTION("""COMPUTED_VALUE"""),0.0)</f>
        <v>0</v>
      </c>
    </row>
    <row r="161">
      <c r="A161" s="1"/>
      <c r="B161" s="62" t="str">
        <f>IFERROR(__xludf.DUMMYFUNCTION("""COMPUTED_VALUE"""),"Vamsi Lolla ")</f>
        <v>Vamsi Lolla </v>
      </c>
      <c r="C161" s="63">
        <f>IFERROR(__xludf.DUMMYFUNCTION("""COMPUTED_VALUE"""),39.0)</f>
        <v>39</v>
      </c>
      <c r="D161" s="64">
        <f>IFERROR(__xludf.DUMMYFUNCTION("""COMPUTED_VALUE"""),2.0)</f>
        <v>2</v>
      </c>
      <c r="E161" s="63">
        <f>IFERROR(__xludf.DUMMYFUNCTION("""COMPUTED_VALUE"""),5.0)</f>
        <v>5</v>
      </c>
      <c r="F161" s="65">
        <f>IFERROR(__xludf.DUMMYFUNCTION("""COMPUTED_VALUE"""),0.0)</f>
        <v>0</v>
      </c>
      <c r="G161" s="65">
        <f>IFERROR(__xludf.DUMMYFUNCTION("""COMPUTED_VALUE"""),13.0)</f>
        <v>13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IFERROR(__xludf.DUMMYFUNCTION("""COMPUTED_VALUE"""),13.0)</f>
        <v>13</v>
      </c>
      <c r="L161" s="65">
        <f>IFERROR(__xludf.DUMMYFUNCTION("""COMPUTED_VALUE"""),0.0)</f>
        <v>0</v>
      </c>
      <c r="M161" s="65">
        <f>IFERROR(__xludf.DUMMYFUNCTION("""COMPUTED_VALUE"""),52.0)</f>
        <v>52</v>
      </c>
      <c r="N161" s="66">
        <f>IFERROR(__xludf.DUMMYFUNCTION("""COMPUTED_VALUE"""),2.0)</f>
        <v>2</v>
      </c>
    </row>
    <row r="162">
      <c r="A162" s="1"/>
      <c r="B162" s="62" t="str">
        <f>IFERROR(__xludf.DUMMYFUNCTION("""COMPUTED_VALUE"""),"Vinot Kumar Nagappan")</f>
        <v>Vinot Kumar Nagappan</v>
      </c>
      <c r="C162" s="63">
        <f>IFERROR(__xludf.DUMMYFUNCTION("""COMPUTED_VALUE"""),39.0)</f>
        <v>39</v>
      </c>
      <c r="D162" s="64">
        <f>IFERROR(__xludf.DUMMYFUNCTION("""COMPUTED_VALUE"""),1.0)</f>
        <v>1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IFERROR(__xludf.DUMMYFUNCTION("""COMPUTED_VALUE"""),48.0)</f>
        <v>48</v>
      </c>
      <c r="N162" s="66">
        <f>IFERROR(__xludf.DUMMYFUNCTION("""COMPUTED_VALUE"""),1.0)</f>
        <v>1</v>
      </c>
    </row>
    <row r="163">
      <c r="A163" s="1"/>
      <c r="B163" s="62" t="str">
        <f>IFERROR(__xludf.DUMMYFUNCTION("""COMPUTED_VALUE"""),"Kumar Palakeel")</f>
        <v>Kumar Palakeel</v>
      </c>
      <c r="C163" s="63">
        <f>IFERROR(__xludf.DUMMYFUNCTION("""COMPUTED_VALUE"""),37.0)</f>
        <v>37</v>
      </c>
      <c r="D163" s="64">
        <f>IFERROR(__xludf.DUMMYFUNCTION("""COMPUTED_VALUE"""),3.0)</f>
        <v>3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IFERROR(__xludf.DUMMYFUNCTION("""COMPUTED_VALUE"""),46.0)</f>
        <v>46</v>
      </c>
      <c r="N163" s="66">
        <f>IFERROR(__xludf.DUMMYFUNCTION("""COMPUTED_VALUE"""),3.0)</f>
        <v>3</v>
      </c>
    </row>
    <row r="164">
      <c r="A164" s="1"/>
      <c r="B164" s="62" t="str">
        <f>IFERROR(__xludf.DUMMYFUNCTION("""COMPUTED_VALUE"""),"Sai Dilip Ponnaganti")</f>
        <v>Sai Dilip Ponnaganti</v>
      </c>
      <c r="C164" s="63">
        <f>IFERROR(__xludf.DUMMYFUNCTION("""COMPUTED_VALUE"""),36.0)</f>
        <v>36</v>
      </c>
      <c r="D164" s="64">
        <f>IFERROR(__xludf.DUMMYFUNCTION("""COMPUTED_VALUE"""),0.0)</f>
        <v>0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IFERROR(__xludf.DUMMYFUNCTION("""COMPUTED_VALUE"""),45.0)</f>
        <v>45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IFERROR(__xludf.DUMMYFUNCTION("""COMPUTED_VALUE"""),"Susanta Mishra")</f>
        <v>Susanta Mishra</v>
      </c>
      <c r="C165" s="63">
        <f>IFERROR(__xludf.DUMMYFUNCTION("""COMPUTED_VALUE"""),36.0)</f>
        <v>36</v>
      </c>
      <c r="D165" s="64">
        <f>IFERROR(__xludf.DUMMYFUNCTION("""COMPUTED_VALUE"""),0.0)</f>
        <v>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IFERROR(__xludf.DUMMYFUNCTION("""COMPUTED_VALUE"""),45.0)</f>
        <v>45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IFERROR(__xludf.DUMMYFUNCTION("""COMPUTED_VALUE"""),"Vilas Janardhanan")</f>
        <v>Vilas Janardhanan</v>
      </c>
      <c r="C166" s="63">
        <f>IFERROR(__xludf.DUMMYFUNCTION("""COMPUTED_VALUE"""),36.0)</f>
        <v>36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IFERROR(__xludf.DUMMYFUNCTION("""COMPUTED_VALUE"""),45.0)</f>
        <v>45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IFERROR(__xludf.DUMMYFUNCTION("""COMPUTED_VALUE"""),"Amit Patel")</f>
        <v>Amit Patel</v>
      </c>
      <c r="C167" s="63">
        <f>IFERROR(__xludf.DUMMYFUNCTION("""COMPUTED_VALUE"""),36.0)</f>
        <v>36</v>
      </c>
      <c r="D167" s="64">
        <f>IFERROR(__xludf.DUMMYFUNCTION("""COMPUTED_VALUE"""),0.0)</f>
        <v>0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IFERROR(__xludf.DUMMYFUNCTION("""COMPUTED_VALUE"""),45.0)</f>
        <v>45</v>
      </c>
      <c r="N167" s="66">
        <f>IFERROR(__xludf.DUMMYFUNCTION("""COMPUTED_VALUE"""),0.0)</f>
        <v>0</v>
      </c>
    </row>
    <row r="168">
      <c r="A168" s="1"/>
      <c r="B168" s="62" t="str">
        <f>IFERROR(__xludf.DUMMYFUNCTION("""COMPUTED_VALUE"""),"Coco Yan")</f>
        <v>Coco Yan</v>
      </c>
      <c r="C168" s="63">
        <f>IFERROR(__xludf.DUMMYFUNCTION("""COMPUTED_VALUE"""),36.0)</f>
        <v>36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IFERROR(__xludf.DUMMYFUNCTION("""COMPUTED_VALUE"""),45.0)</f>
        <v>45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IFERROR(__xludf.DUMMYFUNCTION("""COMPUTED_VALUE"""),"Jose Ortiz")</f>
        <v>Jose Ortiz</v>
      </c>
      <c r="C169" s="63">
        <f>IFERROR(__xludf.DUMMYFUNCTION("""COMPUTED_VALUE"""),36.0)</f>
        <v>36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IFERROR(__xludf.DUMMYFUNCTION("""COMPUTED_VALUE"""),45.0)</f>
        <v>45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IFERROR(__xludf.DUMMYFUNCTION("""COMPUTED_VALUE"""),"Tiffany Yu")</f>
        <v>Tiffany Yu</v>
      </c>
      <c r="C170" s="63">
        <f>IFERROR(__xludf.DUMMYFUNCTION("""COMPUTED_VALUE"""),31.0)</f>
        <v>31</v>
      </c>
      <c r="D170" s="64">
        <f>IFERROR(__xludf.DUMMYFUNCTION("""COMPUTED_VALUE"""),0.0)</f>
        <v>0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IFERROR(__xludf.DUMMYFUNCTION("""COMPUTED_VALUE"""),40.0)</f>
        <v>40</v>
      </c>
      <c r="N170" s="66">
        <f>IFERROR(__xludf.DUMMYFUNCTION("""COMPUTED_VALUE"""),0.0)</f>
        <v>0</v>
      </c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B201" s="62"/>
      <c r="C201" s="63"/>
      <c r="D201" s="64"/>
      <c r="E201" s="63"/>
      <c r="F201" s="65"/>
      <c r="G201" s="65"/>
      <c r="H201" s="65"/>
      <c r="I201" s="65"/>
      <c r="J201" s="65"/>
      <c r="K201" s="65"/>
      <c r="L201" s="65"/>
      <c r="M201" s="65"/>
      <c r="N201" s="66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  <row r="1029">
      <c r="A1029" s="1"/>
      <c r="C1029" s="1"/>
      <c r="D1029" s="1"/>
      <c r="E1029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0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0" priority="7" operator="containsText" text="Good">
      <formula>NOT(ISERROR(SEARCH(("Good"),(L81))))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45318.0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4.0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77</v>
      </c>
      <c r="C5" s="28">
        <v>46.0</v>
      </c>
      <c r="D5" s="29">
        <v>4.0</v>
      </c>
      <c r="E5" s="79">
        <v>1.0</v>
      </c>
      <c r="F5" s="80">
        <v>1.0</v>
      </c>
      <c r="G5" s="77">
        <v>0.0</v>
      </c>
      <c r="H5" s="80">
        <v>3.0</v>
      </c>
      <c r="I5" s="80">
        <v>3.0</v>
      </c>
      <c r="J5" s="80">
        <v>6.0</v>
      </c>
      <c r="K5" s="81">
        <v>12.0</v>
      </c>
      <c r="L5" s="80">
        <v>1.0</v>
      </c>
      <c r="M5" s="28">
        <f t="shared" ref="M5:N5" si="1">C5+K5</f>
        <v>58</v>
      </c>
      <c r="N5" s="29">
        <f t="shared" si="1"/>
        <v>5</v>
      </c>
      <c r="O5" s="35" t="s">
        <v>46</v>
      </c>
      <c r="P5" s="35" t="s">
        <v>46</v>
      </c>
      <c r="Q5" s="31">
        <f>if(G5=13,1,0)+VLOOKUP(B5,'012024'!B:Q,16,false)</f>
        <v>1</v>
      </c>
      <c r="R5" s="31"/>
      <c r="S5" s="31">
        <f>if(G5=9,1,0)+VLOOKUP(B5,'012024'!B:S,18,false)</f>
        <v>0</v>
      </c>
    </row>
    <row r="6">
      <c r="A6" s="26">
        <f t="shared" ref="A6:A70" si="3">A5+1</f>
        <v>2</v>
      </c>
      <c r="B6" s="39" t="s">
        <v>52</v>
      </c>
      <c r="C6" s="28">
        <v>45.0</v>
      </c>
      <c r="D6" s="29">
        <v>5.0</v>
      </c>
      <c r="E6" s="79">
        <v>3.0</v>
      </c>
      <c r="F6" s="80">
        <v>0.0</v>
      </c>
      <c r="G6" s="77">
        <v>9.0</v>
      </c>
      <c r="H6" s="80">
        <v>0.0</v>
      </c>
      <c r="I6" s="80">
        <v>0.0</v>
      </c>
      <c r="J6" s="80">
        <v>0.0</v>
      </c>
      <c r="K6" s="81">
        <v>9.0</v>
      </c>
      <c r="L6" s="80">
        <v>0.0</v>
      </c>
      <c r="M6" s="28">
        <f t="shared" ref="M6:N6" si="2">C6+K6</f>
        <v>54</v>
      </c>
      <c r="N6" s="29">
        <f t="shared" si="2"/>
        <v>5</v>
      </c>
      <c r="O6" s="35" t="s">
        <v>46</v>
      </c>
      <c r="P6" s="35" t="s">
        <v>46</v>
      </c>
      <c r="Q6" s="31">
        <f>if(G6=13,1,0)+VLOOKUP(B6,'012024'!B:Q,16,false)</f>
        <v>0</v>
      </c>
      <c r="R6" s="31"/>
      <c r="S6" s="31">
        <f>if(G6=9,1,0)+VLOOKUP(B6,'012024'!B:S,18,false)</f>
        <v>2</v>
      </c>
    </row>
    <row r="7">
      <c r="A7" s="26">
        <f t="shared" si="3"/>
        <v>3</v>
      </c>
      <c r="B7" s="27" t="s">
        <v>102</v>
      </c>
      <c r="C7" s="28">
        <v>45.0</v>
      </c>
      <c r="D7" s="29">
        <v>5.0</v>
      </c>
      <c r="E7" s="79">
        <v>3.0</v>
      </c>
      <c r="F7" s="80">
        <v>0.0</v>
      </c>
      <c r="G7" s="77">
        <v>9.0</v>
      </c>
      <c r="H7" s="80">
        <v>0.0</v>
      </c>
      <c r="I7" s="80">
        <v>0.0</v>
      </c>
      <c r="J7" s="80">
        <v>0.0</v>
      </c>
      <c r="K7" s="81">
        <v>9.0</v>
      </c>
      <c r="L7" s="80">
        <v>0.0</v>
      </c>
      <c r="M7" s="28">
        <f t="shared" ref="M7:N7" si="4">C7+K7</f>
        <v>54</v>
      </c>
      <c r="N7" s="29">
        <f t="shared" si="4"/>
        <v>5</v>
      </c>
      <c r="O7" s="35" t="s">
        <v>46</v>
      </c>
      <c r="P7" s="35" t="s">
        <v>46</v>
      </c>
      <c r="Q7" s="31">
        <f>if(G7=13,1,0)+VLOOKUP(B7,'012024'!B:Q,16,false)</f>
        <v>0</v>
      </c>
      <c r="R7" s="31"/>
      <c r="S7" s="31">
        <f>if(G7=9,1,0)+VLOOKUP(B7,'012024'!B:S,18,false)</f>
        <v>2</v>
      </c>
    </row>
    <row r="8">
      <c r="A8" s="26">
        <f t="shared" si="3"/>
        <v>4</v>
      </c>
      <c r="B8" s="27" t="s">
        <v>98</v>
      </c>
      <c r="C8" s="28">
        <v>44.0</v>
      </c>
      <c r="D8" s="29">
        <v>5.0</v>
      </c>
      <c r="E8" s="79">
        <v>5.0</v>
      </c>
      <c r="F8" s="80">
        <v>0.0</v>
      </c>
      <c r="G8" s="77">
        <v>13.0</v>
      </c>
      <c r="H8" s="80">
        <v>0.0</v>
      </c>
      <c r="I8" s="80">
        <v>0.0</v>
      </c>
      <c r="J8" s="80">
        <v>0.0</v>
      </c>
      <c r="K8" s="81">
        <v>13.0</v>
      </c>
      <c r="L8" s="80">
        <v>0.0</v>
      </c>
      <c r="M8" s="28">
        <f t="shared" ref="M8:N8" si="5">C8+K8</f>
        <v>57</v>
      </c>
      <c r="N8" s="29">
        <f t="shared" si="5"/>
        <v>5</v>
      </c>
      <c r="O8" s="35" t="s">
        <v>46</v>
      </c>
      <c r="P8" s="35" t="s">
        <v>46</v>
      </c>
      <c r="Q8" s="31">
        <f>if(G8=13,1,0)+VLOOKUP(B8,'012024'!B:Q,16,false)</f>
        <v>1</v>
      </c>
      <c r="R8" s="31"/>
      <c r="S8" s="31">
        <f>if(G8=9,1,0)+VLOOKUP(B8,'012024'!B:S,18,false)</f>
        <v>1</v>
      </c>
    </row>
    <row r="9">
      <c r="A9" s="26">
        <f t="shared" si="3"/>
        <v>5</v>
      </c>
      <c r="B9" s="27" t="s">
        <v>75</v>
      </c>
      <c r="C9" s="28">
        <v>44.0</v>
      </c>
      <c r="D9" s="29">
        <v>5.0</v>
      </c>
      <c r="E9" s="79">
        <v>5.0</v>
      </c>
      <c r="F9" s="80">
        <v>0.0</v>
      </c>
      <c r="G9" s="77">
        <v>13.0</v>
      </c>
      <c r="H9" s="80">
        <v>0.0</v>
      </c>
      <c r="I9" s="80">
        <v>0.0</v>
      </c>
      <c r="J9" s="80">
        <v>0.0</v>
      </c>
      <c r="K9" s="81">
        <v>13.0</v>
      </c>
      <c r="L9" s="80">
        <v>0.0</v>
      </c>
      <c r="M9" s="28">
        <f t="shared" ref="M9:N9" si="6">C9+K9</f>
        <v>57</v>
      </c>
      <c r="N9" s="29">
        <f t="shared" si="6"/>
        <v>5</v>
      </c>
      <c r="O9" s="35" t="s">
        <v>46</v>
      </c>
      <c r="P9" s="35" t="s">
        <v>46</v>
      </c>
      <c r="Q9" s="31">
        <f>if(G9=13,1,0)+VLOOKUP(B9,'012024'!B:Q,16,false)</f>
        <v>1</v>
      </c>
      <c r="R9" s="31"/>
      <c r="S9" s="31">
        <f>if(G9=9,1,0)+VLOOKUP(B9,'012024'!B:S,18,false)</f>
        <v>0</v>
      </c>
    </row>
    <row r="10">
      <c r="A10" s="26">
        <f t="shared" si="3"/>
        <v>6</v>
      </c>
      <c r="B10" s="27" t="s">
        <v>39</v>
      </c>
      <c r="C10" s="28">
        <v>43.0</v>
      </c>
      <c r="D10" s="29">
        <v>4.0</v>
      </c>
      <c r="E10" s="79">
        <v>3.0</v>
      </c>
      <c r="F10" s="80">
        <v>0.0</v>
      </c>
      <c r="G10" s="77">
        <v>9.0</v>
      </c>
      <c r="H10" s="80">
        <v>0.0</v>
      </c>
      <c r="I10" s="80">
        <v>0.0</v>
      </c>
      <c r="J10" s="80">
        <v>0.0</v>
      </c>
      <c r="K10" s="81">
        <v>9.0</v>
      </c>
      <c r="L10" s="80">
        <v>0.0</v>
      </c>
      <c r="M10" s="28">
        <f t="shared" ref="M10:N10" si="7">C10+K10</f>
        <v>52</v>
      </c>
      <c r="N10" s="29">
        <f t="shared" si="7"/>
        <v>4</v>
      </c>
      <c r="O10" s="35" t="s">
        <v>46</v>
      </c>
      <c r="P10" s="35" t="s">
        <v>46</v>
      </c>
      <c r="Q10" s="31">
        <f>if(G10=13,1,0)+VLOOKUP(B10,'012024'!B:Q,16,false)</f>
        <v>0</v>
      </c>
      <c r="R10" s="31"/>
      <c r="S10" s="31">
        <f>if(G10=9,1,0)+VLOOKUP(B10,'012024'!B:S,18,false)</f>
        <v>2</v>
      </c>
    </row>
    <row r="11">
      <c r="A11" s="26">
        <f t="shared" si="3"/>
        <v>7</v>
      </c>
      <c r="B11" s="27" t="s">
        <v>96</v>
      </c>
      <c r="C11" s="28">
        <v>42.0</v>
      </c>
      <c r="D11" s="29">
        <v>4.0</v>
      </c>
      <c r="E11" s="79">
        <v>2.0</v>
      </c>
      <c r="F11" s="80">
        <v>1.0</v>
      </c>
      <c r="G11" s="77">
        <v>0.0</v>
      </c>
      <c r="H11" s="80">
        <v>3.0</v>
      </c>
      <c r="I11" s="80">
        <v>6.0</v>
      </c>
      <c r="J11" s="80">
        <v>3.0</v>
      </c>
      <c r="K11" s="81">
        <v>12.0</v>
      </c>
      <c r="L11" s="80">
        <v>1.0</v>
      </c>
      <c r="M11" s="28">
        <f t="shared" ref="M11:N11" si="8">C11+K11</f>
        <v>54</v>
      </c>
      <c r="N11" s="29">
        <f t="shared" si="8"/>
        <v>5</v>
      </c>
      <c r="O11" s="35" t="s">
        <v>46</v>
      </c>
      <c r="P11" s="35" t="s">
        <v>46</v>
      </c>
      <c r="Q11" s="31">
        <f>if(G11=13,1,0)+VLOOKUP(B11,'012024'!B:Q,16,false)</f>
        <v>1</v>
      </c>
      <c r="R11" s="31"/>
      <c r="S11" s="31">
        <f>if(G11=9,1,0)+VLOOKUP(B11,'012024'!B:S,18,false)</f>
        <v>0</v>
      </c>
    </row>
    <row r="12">
      <c r="A12" s="26">
        <f t="shared" si="3"/>
        <v>8</v>
      </c>
      <c r="B12" s="39" t="s">
        <v>80</v>
      </c>
      <c r="C12" s="28">
        <v>42.0</v>
      </c>
      <c r="D12" s="29">
        <v>3.0</v>
      </c>
      <c r="E12" s="79">
        <v>3.0</v>
      </c>
      <c r="F12" s="80">
        <v>0.0</v>
      </c>
      <c r="G12" s="77">
        <v>9.0</v>
      </c>
      <c r="H12" s="80">
        <v>0.0</v>
      </c>
      <c r="I12" s="80">
        <v>0.0</v>
      </c>
      <c r="J12" s="80">
        <v>0.0</v>
      </c>
      <c r="K12" s="81">
        <v>9.0</v>
      </c>
      <c r="L12" s="80">
        <v>0.0</v>
      </c>
      <c r="M12" s="28">
        <f t="shared" ref="M12:N12" si="9">C12+K12</f>
        <v>51</v>
      </c>
      <c r="N12" s="29">
        <f t="shared" si="9"/>
        <v>3</v>
      </c>
      <c r="O12" s="35" t="s">
        <v>46</v>
      </c>
      <c r="P12" s="35" t="s">
        <v>46</v>
      </c>
      <c r="Q12" s="31">
        <f>if(G12=13,1,0)+VLOOKUP(B12,'012024'!B:Q,16,false)</f>
        <v>0</v>
      </c>
      <c r="R12" s="31"/>
      <c r="S12" s="31">
        <f>if(G12=9,1,0)+VLOOKUP(B12,'012024'!B:S,18,false)</f>
        <v>2</v>
      </c>
    </row>
    <row r="13">
      <c r="A13" s="26">
        <f t="shared" si="3"/>
        <v>9</v>
      </c>
      <c r="B13" s="39" t="s">
        <v>71</v>
      </c>
      <c r="C13" s="28">
        <v>41.0</v>
      </c>
      <c r="D13" s="29">
        <v>5.0</v>
      </c>
      <c r="E13" s="79">
        <v>3.0</v>
      </c>
      <c r="F13" s="80">
        <v>0.0</v>
      </c>
      <c r="G13" s="77">
        <v>9.0</v>
      </c>
      <c r="H13" s="80">
        <v>0.0</v>
      </c>
      <c r="I13" s="80">
        <v>0.0</v>
      </c>
      <c r="J13" s="80">
        <v>0.0</v>
      </c>
      <c r="K13" s="81">
        <v>9.0</v>
      </c>
      <c r="L13" s="80">
        <v>0.0</v>
      </c>
      <c r="M13" s="28">
        <f t="shared" ref="M13:N13" si="10">C13+K13</f>
        <v>50</v>
      </c>
      <c r="N13" s="29">
        <f t="shared" si="10"/>
        <v>5</v>
      </c>
      <c r="O13" s="35" t="s">
        <v>46</v>
      </c>
      <c r="P13" s="35" t="s">
        <v>46</v>
      </c>
      <c r="Q13" s="31">
        <f>if(G13=13,1,0)+VLOOKUP(B13,'012024'!B:Q,16,false)</f>
        <v>0</v>
      </c>
      <c r="R13" s="31"/>
      <c r="S13" s="31">
        <f>if(G13=9,1,0)+VLOOKUP(B13,'012024'!B:S,18,false)</f>
        <v>1</v>
      </c>
    </row>
    <row r="14">
      <c r="A14" s="26">
        <f t="shared" si="3"/>
        <v>10</v>
      </c>
      <c r="B14" s="39" t="s">
        <v>45</v>
      </c>
      <c r="C14" s="28">
        <v>41.0</v>
      </c>
      <c r="D14" s="29">
        <v>4.0</v>
      </c>
      <c r="E14" s="79">
        <v>2.0</v>
      </c>
      <c r="F14" s="80">
        <v>1.0</v>
      </c>
      <c r="G14" s="77">
        <v>0.0</v>
      </c>
      <c r="H14" s="80">
        <v>6.0</v>
      </c>
      <c r="I14" s="80">
        <v>3.0</v>
      </c>
      <c r="J14" s="80">
        <v>3.0</v>
      </c>
      <c r="K14" s="81">
        <v>12.0</v>
      </c>
      <c r="L14" s="80">
        <v>1.0</v>
      </c>
      <c r="M14" s="28">
        <f t="shared" ref="M14:N14" si="11">C14+K14</f>
        <v>53</v>
      </c>
      <c r="N14" s="29">
        <f t="shared" si="11"/>
        <v>5</v>
      </c>
      <c r="O14" s="35" t="s">
        <v>46</v>
      </c>
      <c r="P14" s="35" t="s">
        <v>46</v>
      </c>
      <c r="Q14" s="31">
        <f>if(G14=13,1,0)+VLOOKUP(B14,'012024'!B:Q,16,false)</f>
        <v>1</v>
      </c>
      <c r="R14" s="31"/>
      <c r="S14" s="31">
        <f>if(G14=9,1,0)+VLOOKUP(B14,'012024'!B:S,18,false)</f>
        <v>0</v>
      </c>
    </row>
    <row r="15">
      <c r="A15" s="26">
        <f t="shared" si="3"/>
        <v>11</v>
      </c>
      <c r="B15" s="27" t="s">
        <v>78</v>
      </c>
      <c r="C15" s="28">
        <v>40.0</v>
      </c>
      <c r="D15" s="29">
        <v>6.0</v>
      </c>
      <c r="E15" s="79">
        <v>3.0</v>
      </c>
      <c r="F15" s="80">
        <v>0.0</v>
      </c>
      <c r="G15" s="77">
        <v>9.0</v>
      </c>
      <c r="H15" s="80">
        <v>0.0</v>
      </c>
      <c r="I15" s="80">
        <v>0.0</v>
      </c>
      <c r="J15" s="80">
        <v>0.0</v>
      </c>
      <c r="K15" s="81">
        <v>9.0</v>
      </c>
      <c r="L15" s="80">
        <v>0.0</v>
      </c>
      <c r="M15" s="28">
        <f t="shared" ref="M15:N15" si="12">C15+K15</f>
        <v>49</v>
      </c>
      <c r="N15" s="29">
        <f t="shared" si="12"/>
        <v>6</v>
      </c>
      <c r="O15" s="35" t="s">
        <v>46</v>
      </c>
      <c r="P15" s="35" t="s">
        <v>46</v>
      </c>
      <c r="Q15" s="31">
        <f>if(G15=13,1,0)+VLOOKUP(B15,'012024'!B:Q,16,false)</f>
        <v>0</v>
      </c>
      <c r="R15" s="31"/>
      <c r="S15" s="31">
        <f>if(G15=9,1,0)+VLOOKUP(B15,'012024'!B:S,18,false)</f>
        <v>1</v>
      </c>
    </row>
    <row r="16">
      <c r="A16" s="26">
        <f t="shared" si="3"/>
        <v>12</v>
      </c>
      <c r="B16" s="39" t="s">
        <v>111</v>
      </c>
      <c r="C16" s="28">
        <v>40.0</v>
      </c>
      <c r="D16" s="29">
        <v>5.0</v>
      </c>
      <c r="E16" s="79">
        <v>3.0</v>
      </c>
      <c r="F16" s="80">
        <v>0.0</v>
      </c>
      <c r="G16" s="77">
        <v>9.0</v>
      </c>
      <c r="H16" s="80">
        <v>0.0</v>
      </c>
      <c r="I16" s="80">
        <v>0.0</v>
      </c>
      <c r="J16" s="80">
        <v>0.0</v>
      </c>
      <c r="K16" s="81">
        <v>9.0</v>
      </c>
      <c r="L16" s="80">
        <v>0.0</v>
      </c>
      <c r="M16" s="28">
        <f t="shared" ref="M16:N16" si="13">C16+K16</f>
        <v>49</v>
      </c>
      <c r="N16" s="29">
        <f t="shared" si="13"/>
        <v>5</v>
      </c>
      <c r="O16" s="35" t="s">
        <v>46</v>
      </c>
      <c r="P16" s="35" t="s">
        <v>46</v>
      </c>
      <c r="Q16" s="31">
        <f>if(G16=13,1,0)+VLOOKUP(B16,'012024'!B:Q,16,false)</f>
        <v>0</v>
      </c>
      <c r="R16" s="31"/>
      <c r="S16" s="31">
        <f>if(G16=9,1,0)+VLOOKUP(B16,'012024'!B:S,18,false)</f>
        <v>2</v>
      </c>
    </row>
    <row r="17">
      <c r="A17" s="26">
        <f t="shared" si="3"/>
        <v>13</v>
      </c>
      <c r="B17" s="27" t="s">
        <v>81</v>
      </c>
      <c r="C17" s="28">
        <v>40.0</v>
      </c>
      <c r="D17" s="29">
        <v>4.0</v>
      </c>
      <c r="E17" s="79">
        <v>1.0</v>
      </c>
      <c r="F17" s="80">
        <v>1.0</v>
      </c>
      <c r="G17" s="77">
        <v>0.0</v>
      </c>
      <c r="H17" s="80">
        <v>6.0</v>
      </c>
      <c r="I17" s="80">
        <v>6.0</v>
      </c>
      <c r="J17" s="80">
        <v>6.0</v>
      </c>
      <c r="K17" s="81">
        <v>18.0</v>
      </c>
      <c r="L17" s="80">
        <v>3.0</v>
      </c>
      <c r="M17" s="28">
        <f t="shared" ref="M17:N17" si="14">C17+K17</f>
        <v>58</v>
      </c>
      <c r="N17" s="29">
        <f t="shared" si="14"/>
        <v>7</v>
      </c>
      <c r="O17" s="35" t="s">
        <v>46</v>
      </c>
      <c r="P17" s="35" t="s">
        <v>46</v>
      </c>
      <c r="Q17" s="31">
        <f>if(G17=13,1,0)+VLOOKUP(B17,'012024'!B:Q,16,false)</f>
        <v>0</v>
      </c>
      <c r="R17" s="31"/>
      <c r="S17" s="31">
        <f>if(G17=9,1,0)+VLOOKUP(B17,'012024'!B:S,18,false)</f>
        <v>1</v>
      </c>
    </row>
    <row r="18">
      <c r="A18" s="26">
        <f t="shared" si="3"/>
        <v>14</v>
      </c>
      <c r="B18" s="27" t="s">
        <v>82</v>
      </c>
      <c r="C18" s="28">
        <v>40.0</v>
      </c>
      <c r="D18" s="29">
        <v>3.0</v>
      </c>
      <c r="E18" s="79">
        <v>2.0</v>
      </c>
      <c r="F18" s="80">
        <v>2.0</v>
      </c>
      <c r="G18" s="77">
        <v>0.0</v>
      </c>
      <c r="H18" s="80">
        <v>6.0</v>
      </c>
      <c r="I18" s="80">
        <v>3.0</v>
      </c>
      <c r="J18" s="80">
        <v>6.0</v>
      </c>
      <c r="K18" s="81">
        <v>15.0</v>
      </c>
      <c r="L18" s="80">
        <v>2.0</v>
      </c>
      <c r="M18" s="28">
        <f t="shared" ref="M18:N18" si="15">C18+K18</f>
        <v>55</v>
      </c>
      <c r="N18" s="29">
        <f t="shared" si="15"/>
        <v>5</v>
      </c>
      <c r="O18" s="35" t="s">
        <v>46</v>
      </c>
      <c r="P18" s="35" t="s">
        <v>46</v>
      </c>
      <c r="Q18" s="31">
        <f>if(G18=13,1,0)+VLOOKUP(B18,'012024'!B:Q,16,false)</f>
        <v>1</v>
      </c>
      <c r="R18" s="31"/>
      <c r="S18" s="31">
        <f>if(G18=9,1,0)+VLOOKUP(B18,'012024'!B:S,18,false)</f>
        <v>1</v>
      </c>
    </row>
    <row r="19">
      <c r="A19" s="26">
        <f t="shared" si="3"/>
        <v>15</v>
      </c>
      <c r="B19" s="54" t="s">
        <v>59</v>
      </c>
      <c r="C19" s="28">
        <v>39.0</v>
      </c>
      <c r="D19" s="29">
        <v>5.0</v>
      </c>
      <c r="E19" s="79">
        <v>1.0</v>
      </c>
      <c r="F19" s="80">
        <v>2.0</v>
      </c>
      <c r="G19" s="77">
        <v>0.0</v>
      </c>
      <c r="H19" s="80">
        <v>0.0</v>
      </c>
      <c r="I19" s="80">
        <v>3.0</v>
      </c>
      <c r="J19" s="80">
        <v>0.0</v>
      </c>
      <c r="K19" s="81">
        <v>3.0</v>
      </c>
      <c r="L19" s="80">
        <v>0.0</v>
      </c>
      <c r="M19" s="28">
        <f t="shared" ref="M19:N19" si="16">C19+K19</f>
        <v>42</v>
      </c>
      <c r="N19" s="29">
        <f t="shared" si="16"/>
        <v>5</v>
      </c>
      <c r="O19" s="35" t="s">
        <v>46</v>
      </c>
      <c r="P19" s="35" t="s">
        <v>46</v>
      </c>
      <c r="Q19" s="31">
        <f>if(G19=13,1,0)+VLOOKUP(B19,'012024'!B:Q,16,false)</f>
        <v>0</v>
      </c>
      <c r="R19" s="31"/>
      <c r="S19" s="31">
        <f>if(G19=9,1,0)+VLOOKUP(B19,'012024'!B:S,18,false)</f>
        <v>0</v>
      </c>
    </row>
    <row r="20">
      <c r="A20" s="26">
        <f t="shared" si="3"/>
        <v>16</v>
      </c>
      <c r="B20" s="27" t="s">
        <v>84</v>
      </c>
      <c r="C20" s="28">
        <v>39.0</v>
      </c>
      <c r="D20" s="29">
        <v>3.0</v>
      </c>
      <c r="E20" s="79">
        <v>2.0</v>
      </c>
      <c r="F20" s="80">
        <v>2.0</v>
      </c>
      <c r="G20" s="77">
        <v>0.0</v>
      </c>
      <c r="H20" s="80">
        <v>0.0</v>
      </c>
      <c r="I20" s="80">
        <v>6.0</v>
      </c>
      <c r="J20" s="80">
        <v>6.0</v>
      </c>
      <c r="K20" s="81">
        <v>12.0</v>
      </c>
      <c r="L20" s="80">
        <v>2.0</v>
      </c>
      <c r="M20" s="28">
        <f t="shared" ref="M20:N20" si="17">C20+K20</f>
        <v>51</v>
      </c>
      <c r="N20" s="29">
        <f t="shared" si="17"/>
        <v>5</v>
      </c>
      <c r="O20" s="35" t="s">
        <v>46</v>
      </c>
      <c r="P20" s="35" t="s">
        <v>46</v>
      </c>
      <c r="Q20" s="31">
        <f>if(G20=13,1,0)+VLOOKUP(B20,'012024'!B:Q,16,false)</f>
        <v>1</v>
      </c>
      <c r="R20" s="31"/>
      <c r="S20" s="31">
        <f>if(G20=9,1,0)+VLOOKUP(B20,'012024'!B:S,18,false)</f>
        <v>0</v>
      </c>
    </row>
    <row r="21">
      <c r="A21" s="26">
        <f t="shared" si="3"/>
        <v>17</v>
      </c>
      <c r="B21" s="27" t="s">
        <v>120</v>
      </c>
      <c r="C21" s="28">
        <v>39.0</v>
      </c>
      <c r="D21" s="29">
        <v>2.0</v>
      </c>
      <c r="E21" s="79">
        <v>3.0</v>
      </c>
      <c r="F21" s="80">
        <v>0.0</v>
      </c>
      <c r="G21" s="77">
        <v>9.0</v>
      </c>
      <c r="H21" s="80">
        <v>0.0</v>
      </c>
      <c r="I21" s="80">
        <v>0.0</v>
      </c>
      <c r="J21" s="80">
        <v>0.0</v>
      </c>
      <c r="K21" s="81">
        <v>9.0</v>
      </c>
      <c r="L21" s="80">
        <v>0.0</v>
      </c>
      <c r="M21" s="28">
        <f t="shared" ref="M21:N21" si="18">C21+K21</f>
        <v>48</v>
      </c>
      <c r="N21" s="29">
        <f t="shared" si="18"/>
        <v>2</v>
      </c>
      <c r="O21" s="35" t="s">
        <v>46</v>
      </c>
      <c r="P21" s="35" t="s">
        <v>46</v>
      </c>
      <c r="Q21" s="31">
        <f>if(G21=13,1,0)+VLOOKUP(B21,'012024'!B:Q,16,false)</f>
        <v>1</v>
      </c>
      <c r="R21" s="31"/>
      <c r="S21" s="31">
        <f>if(G21=9,1,0)+VLOOKUP(B21,'012024'!B:S,18,false)</f>
        <v>2</v>
      </c>
    </row>
    <row r="22">
      <c r="A22" s="26">
        <f t="shared" si="3"/>
        <v>18</v>
      </c>
      <c r="B22" s="27" t="s">
        <v>61</v>
      </c>
      <c r="C22" s="28">
        <v>39.0</v>
      </c>
      <c r="D22" s="29">
        <v>2.0</v>
      </c>
      <c r="E22" s="79">
        <v>2.0</v>
      </c>
      <c r="F22" s="80">
        <v>2.0</v>
      </c>
      <c r="G22" s="77">
        <v>0.0</v>
      </c>
      <c r="H22" s="80">
        <v>6.0</v>
      </c>
      <c r="I22" s="80">
        <v>6.0</v>
      </c>
      <c r="J22" s="80">
        <v>0.0</v>
      </c>
      <c r="K22" s="81">
        <v>12.0</v>
      </c>
      <c r="L22" s="80">
        <v>2.0</v>
      </c>
      <c r="M22" s="28">
        <f t="shared" ref="M22:N22" si="19">C22+K22</f>
        <v>51</v>
      </c>
      <c r="N22" s="29">
        <f t="shared" si="19"/>
        <v>4</v>
      </c>
      <c r="O22" s="35" t="s">
        <v>46</v>
      </c>
      <c r="P22" s="35" t="s">
        <v>46</v>
      </c>
      <c r="Q22" s="31">
        <f>if(G22=13,1,0)+VLOOKUP(B22,'012024'!B:Q,16,false)</f>
        <v>1</v>
      </c>
      <c r="R22" s="31"/>
      <c r="S22" s="31">
        <f>if(G22=9,1,0)+VLOOKUP(B22,'012024'!B:S,18,false)</f>
        <v>1</v>
      </c>
    </row>
    <row r="23">
      <c r="A23" s="26">
        <f t="shared" si="3"/>
        <v>19</v>
      </c>
      <c r="B23" s="27" t="s">
        <v>113</v>
      </c>
      <c r="C23" s="28">
        <v>38.0</v>
      </c>
      <c r="D23" s="29">
        <v>3.0</v>
      </c>
      <c r="E23" s="79">
        <v>5.0</v>
      </c>
      <c r="F23" s="80">
        <v>0.0</v>
      </c>
      <c r="G23" s="77">
        <v>13.0</v>
      </c>
      <c r="H23" s="80">
        <v>0.0</v>
      </c>
      <c r="I23" s="80">
        <v>0.0</v>
      </c>
      <c r="J23" s="80">
        <v>0.0</v>
      </c>
      <c r="K23" s="81">
        <v>13.0</v>
      </c>
      <c r="L23" s="80">
        <v>0.0</v>
      </c>
      <c r="M23" s="28">
        <f t="shared" ref="M23:N23" si="20">C23+K23</f>
        <v>51</v>
      </c>
      <c r="N23" s="29">
        <f t="shared" si="20"/>
        <v>3</v>
      </c>
      <c r="O23" s="35" t="s">
        <v>46</v>
      </c>
      <c r="P23" s="35" t="s">
        <v>46</v>
      </c>
      <c r="Q23" s="31">
        <f>if(G23=13,1,0)+VLOOKUP(B23,'012024'!B:Q,16,false)</f>
        <v>1</v>
      </c>
      <c r="R23" s="31"/>
      <c r="S23" s="31">
        <f>if(G23=9,1,0)+VLOOKUP(B23,'012024'!B:S,18,false)</f>
        <v>2</v>
      </c>
    </row>
    <row r="24">
      <c r="A24" s="26">
        <f t="shared" si="3"/>
        <v>20</v>
      </c>
      <c r="B24" s="27" t="s">
        <v>63</v>
      </c>
      <c r="C24" s="28">
        <v>38.0</v>
      </c>
      <c r="D24" s="29">
        <v>2.0</v>
      </c>
      <c r="E24" s="79">
        <v>1.0</v>
      </c>
      <c r="F24" s="80">
        <v>3.0</v>
      </c>
      <c r="G24" s="77">
        <v>0.0</v>
      </c>
      <c r="H24" s="80">
        <v>6.0</v>
      </c>
      <c r="I24" s="80">
        <v>6.0</v>
      </c>
      <c r="J24" s="80">
        <v>6.0</v>
      </c>
      <c r="K24" s="81">
        <v>18.0</v>
      </c>
      <c r="L24" s="80">
        <v>2.0</v>
      </c>
      <c r="M24" s="28">
        <f t="shared" ref="M24:N24" si="21">C24+K24</f>
        <v>56</v>
      </c>
      <c r="N24" s="29">
        <f t="shared" si="21"/>
        <v>4</v>
      </c>
      <c r="O24" s="35" t="s">
        <v>46</v>
      </c>
      <c r="P24" s="35" t="s">
        <v>46</v>
      </c>
      <c r="Q24" s="31">
        <f>if(G24=13,1,0)+VLOOKUP(B24,'012024'!B:Q,16,false)</f>
        <v>1</v>
      </c>
      <c r="R24" s="31"/>
      <c r="S24" s="31">
        <f>if(G24=9,1,0)+VLOOKUP(B24,'012024'!B:S,18,false)</f>
        <v>0</v>
      </c>
    </row>
    <row r="25">
      <c r="A25" s="26">
        <f t="shared" si="3"/>
        <v>21</v>
      </c>
      <c r="B25" s="54" t="s">
        <v>95</v>
      </c>
      <c r="C25" s="28">
        <v>37.0</v>
      </c>
      <c r="D25" s="29">
        <v>5.0</v>
      </c>
      <c r="E25" s="79">
        <v>1.0</v>
      </c>
      <c r="F25" s="80">
        <v>3.0</v>
      </c>
      <c r="G25" s="77">
        <v>0.0</v>
      </c>
      <c r="H25" s="80">
        <v>6.0</v>
      </c>
      <c r="I25" s="80">
        <v>1.0</v>
      </c>
      <c r="J25" s="80">
        <v>0.0</v>
      </c>
      <c r="K25" s="81">
        <v>7.0</v>
      </c>
      <c r="L25" s="80">
        <v>0.0</v>
      </c>
      <c r="M25" s="28">
        <f t="shared" ref="M25:N25" si="22">C25+K25</f>
        <v>44</v>
      </c>
      <c r="N25" s="29">
        <f t="shared" si="22"/>
        <v>5</v>
      </c>
      <c r="O25" s="35" t="s">
        <v>46</v>
      </c>
      <c r="P25" s="35" t="s">
        <v>46</v>
      </c>
      <c r="Q25" s="31">
        <f>if(G25=13,1,0)+VLOOKUP(B25,'012024'!B:Q,16,false)</f>
        <v>0</v>
      </c>
      <c r="R25" s="31"/>
      <c r="S25" s="31">
        <f>if(G25=9,1,0)+VLOOKUP(B25,'012024'!B:S,18,false)</f>
        <v>0</v>
      </c>
    </row>
    <row r="26">
      <c r="A26" s="26">
        <f t="shared" si="3"/>
        <v>22</v>
      </c>
      <c r="B26" s="27" t="s">
        <v>117</v>
      </c>
      <c r="C26" s="28">
        <v>37.0</v>
      </c>
      <c r="D26" s="29">
        <v>2.0</v>
      </c>
      <c r="E26" s="79">
        <v>2.0</v>
      </c>
      <c r="F26" s="80">
        <v>3.0</v>
      </c>
      <c r="G26" s="77">
        <v>0.0</v>
      </c>
      <c r="H26" s="80">
        <v>7.0</v>
      </c>
      <c r="I26" s="80">
        <v>6.0</v>
      </c>
      <c r="J26" s="80">
        <v>0.0</v>
      </c>
      <c r="K26" s="81">
        <v>13.0</v>
      </c>
      <c r="L26" s="80">
        <v>2.0</v>
      </c>
      <c r="M26" s="28">
        <f t="shared" ref="M26:N26" si="23">C26+K26</f>
        <v>50</v>
      </c>
      <c r="N26" s="29">
        <f t="shared" si="23"/>
        <v>4</v>
      </c>
      <c r="O26" s="35" t="s">
        <v>46</v>
      </c>
      <c r="P26" s="35" t="s">
        <v>46</v>
      </c>
      <c r="Q26" s="31">
        <f>if(G26=13,1,0)+VLOOKUP(B26,'012024'!B:Q,16,false)</f>
        <v>1</v>
      </c>
      <c r="R26" s="31"/>
      <c r="S26" s="31">
        <f>if(G26=9,1,0)+VLOOKUP(B26,'012024'!B:S,18,false)</f>
        <v>1</v>
      </c>
    </row>
    <row r="27">
      <c r="A27" s="26">
        <f t="shared" si="3"/>
        <v>23</v>
      </c>
      <c r="B27" s="27" t="s">
        <v>42</v>
      </c>
      <c r="C27" s="28">
        <v>36.0</v>
      </c>
      <c r="D27" s="29">
        <v>3.0</v>
      </c>
      <c r="E27" s="79">
        <v>1.0</v>
      </c>
      <c r="F27" s="80">
        <v>3.0</v>
      </c>
      <c r="G27" s="77">
        <v>0.0</v>
      </c>
      <c r="H27" s="80">
        <v>7.0</v>
      </c>
      <c r="I27" s="80">
        <v>1.0</v>
      </c>
      <c r="J27" s="80">
        <v>6.0</v>
      </c>
      <c r="K27" s="81">
        <v>14.0</v>
      </c>
      <c r="L27" s="80">
        <v>2.0</v>
      </c>
      <c r="M27" s="28">
        <f t="shared" ref="M27:N27" si="24">C27+K27</f>
        <v>50</v>
      </c>
      <c r="N27" s="29">
        <f t="shared" si="24"/>
        <v>5</v>
      </c>
      <c r="O27" s="35" t="s">
        <v>46</v>
      </c>
      <c r="P27" s="35" t="s">
        <v>46</v>
      </c>
      <c r="Q27" s="31">
        <f>if(G27=13,1,0)+VLOOKUP(B27,'012024'!B:Q,16,false)</f>
        <v>0</v>
      </c>
      <c r="R27" s="31"/>
      <c r="S27" s="31">
        <f>if(G27=9,1,0)+VLOOKUP(B27,'012024'!B:S,18,false)</f>
        <v>0</v>
      </c>
    </row>
    <row r="28">
      <c r="A28" s="26">
        <f t="shared" si="3"/>
        <v>24</v>
      </c>
      <c r="B28" s="27" t="s">
        <v>65</v>
      </c>
      <c r="C28" s="28">
        <v>36.0</v>
      </c>
      <c r="D28" s="29">
        <v>3.0</v>
      </c>
      <c r="E28" s="79">
        <v>3.0</v>
      </c>
      <c r="F28" s="80">
        <v>0.0</v>
      </c>
      <c r="G28" s="77">
        <v>9.0</v>
      </c>
      <c r="H28" s="80">
        <v>0.0</v>
      </c>
      <c r="I28" s="80">
        <v>0.0</v>
      </c>
      <c r="J28" s="80">
        <v>0.0</v>
      </c>
      <c r="K28" s="81">
        <v>9.0</v>
      </c>
      <c r="L28" s="80">
        <v>0.0</v>
      </c>
      <c r="M28" s="28">
        <f t="shared" ref="M28:N28" si="25">C28+K28</f>
        <v>45</v>
      </c>
      <c r="N28" s="29">
        <f t="shared" si="25"/>
        <v>3</v>
      </c>
      <c r="O28" s="35" t="s">
        <v>46</v>
      </c>
      <c r="P28" s="35" t="s">
        <v>46</v>
      </c>
      <c r="Q28" s="31">
        <f>if(G28=13,1,0)+VLOOKUP(B28,'012024'!B:Q,16,false)</f>
        <v>0</v>
      </c>
      <c r="R28" s="31"/>
      <c r="S28" s="31">
        <f>if(G28=9,1,0)+VLOOKUP(B28,'012024'!B:S,18,false)</f>
        <v>3</v>
      </c>
    </row>
    <row r="29">
      <c r="A29" s="26">
        <f t="shared" si="3"/>
        <v>25</v>
      </c>
      <c r="B29" s="39" t="s">
        <v>121</v>
      </c>
      <c r="C29" s="28">
        <v>36.0</v>
      </c>
      <c r="D29" s="29">
        <v>3.0</v>
      </c>
      <c r="E29" s="79">
        <v>3.0</v>
      </c>
      <c r="F29" s="80">
        <v>0.0</v>
      </c>
      <c r="G29" s="77">
        <v>9.0</v>
      </c>
      <c r="H29" s="80">
        <v>0.0</v>
      </c>
      <c r="I29" s="80">
        <v>0.0</v>
      </c>
      <c r="J29" s="80">
        <v>0.0</v>
      </c>
      <c r="K29" s="81">
        <v>9.0</v>
      </c>
      <c r="L29" s="80">
        <v>0.0</v>
      </c>
      <c r="M29" s="28">
        <f t="shared" ref="M29:N29" si="26">C29+K29</f>
        <v>45</v>
      </c>
      <c r="N29" s="29">
        <f t="shared" si="26"/>
        <v>3</v>
      </c>
      <c r="O29" s="35" t="s">
        <v>46</v>
      </c>
      <c r="P29" s="35" t="s">
        <v>46</v>
      </c>
      <c r="Q29" s="31">
        <f>if(G29=13,1,0)+VLOOKUP(B29,'012024'!B:Q,16,false)</f>
        <v>0</v>
      </c>
      <c r="R29" s="31"/>
      <c r="S29" s="31">
        <f>if(G29=9,1,0)+VLOOKUP(B29,'012024'!B:S,18,false)</f>
        <v>2</v>
      </c>
    </row>
    <row r="30">
      <c r="A30" s="26">
        <f t="shared" si="3"/>
        <v>26</v>
      </c>
      <c r="B30" s="27" t="s">
        <v>38</v>
      </c>
      <c r="C30" s="28">
        <v>36.0</v>
      </c>
      <c r="D30" s="29">
        <v>3.0</v>
      </c>
      <c r="E30" s="79">
        <v>1.0</v>
      </c>
      <c r="F30" s="80">
        <v>4.0</v>
      </c>
      <c r="G30" s="77">
        <v>0.0</v>
      </c>
      <c r="H30" s="80">
        <v>6.0</v>
      </c>
      <c r="I30" s="80">
        <v>6.0</v>
      </c>
      <c r="J30" s="80">
        <v>6.0</v>
      </c>
      <c r="K30" s="81">
        <v>18.0</v>
      </c>
      <c r="L30" s="80">
        <v>3.0</v>
      </c>
      <c r="M30" s="28">
        <f t="shared" ref="M30:N30" si="27">C30+K30</f>
        <v>54</v>
      </c>
      <c r="N30" s="29">
        <f t="shared" si="27"/>
        <v>6</v>
      </c>
      <c r="O30" s="35" t="s">
        <v>46</v>
      </c>
      <c r="P30" s="35" t="s">
        <v>46</v>
      </c>
      <c r="Q30" s="31">
        <f>if(G30=13,1,0)+VLOOKUP(B30,'012024'!B:Q,16,false)</f>
        <v>0</v>
      </c>
      <c r="R30" s="31"/>
      <c r="S30" s="31">
        <f>if(G30=9,1,0)+VLOOKUP(B30,'012024'!B:S,18,false)</f>
        <v>2</v>
      </c>
    </row>
    <row r="31">
      <c r="A31" s="26">
        <f t="shared" si="3"/>
        <v>27</v>
      </c>
      <c r="B31" s="27" t="s">
        <v>79</v>
      </c>
      <c r="C31" s="28">
        <v>36.0</v>
      </c>
      <c r="D31" s="29">
        <v>2.0</v>
      </c>
      <c r="E31" s="79">
        <v>2.0</v>
      </c>
      <c r="F31" s="80">
        <v>4.0</v>
      </c>
      <c r="G31" s="77">
        <v>0.0</v>
      </c>
      <c r="H31" s="80">
        <v>0.0</v>
      </c>
      <c r="I31" s="80">
        <v>2.0</v>
      </c>
      <c r="J31" s="80">
        <v>6.0</v>
      </c>
      <c r="K31" s="81">
        <v>8.0</v>
      </c>
      <c r="L31" s="80">
        <v>1.0</v>
      </c>
      <c r="M31" s="28">
        <f t="shared" ref="M31:N31" si="28">C31+K31</f>
        <v>44</v>
      </c>
      <c r="N31" s="29">
        <f t="shared" si="28"/>
        <v>3</v>
      </c>
      <c r="O31" s="35" t="s">
        <v>46</v>
      </c>
      <c r="P31" s="35" t="s">
        <v>46</v>
      </c>
      <c r="Q31" s="31">
        <f>if(G31=13,1,0)+VLOOKUP(B31,'012024'!B:Q,16,false)</f>
        <v>0</v>
      </c>
      <c r="R31" s="31"/>
      <c r="S31" s="31">
        <f>if(G31=9,1,0)+VLOOKUP(B31,'012024'!B:S,18,false)</f>
        <v>1</v>
      </c>
    </row>
    <row r="32">
      <c r="A32" s="26">
        <f t="shared" si="3"/>
        <v>28</v>
      </c>
      <c r="B32" s="54" t="s">
        <v>100</v>
      </c>
      <c r="C32" s="28">
        <v>36.0</v>
      </c>
      <c r="D32" s="29">
        <v>1.0</v>
      </c>
      <c r="E32" s="79">
        <v>1.0</v>
      </c>
      <c r="F32" s="80">
        <v>4.0</v>
      </c>
      <c r="G32" s="77">
        <v>0.0</v>
      </c>
      <c r="H32" s="80">
        <v>0.0</v>
      </c>
      <c r="I32" s="80">
        <v>6.0</v>
      </c>
      <c r="J32" s="80">
        <v>0.0</v>
      </c>
      <c r="K32" s="81">
        <v>6.0</v>
      </c>
      <c r="L32" s="80">
        <v>1.0</v>
      </c>
      <c r="M32" s="28">
        <f t="shared" ref="M32:N32" si="29">C32+K32</f>
        <v>42</v>
      </c>
      <c r="N32" s="29">
        <f t="shared" si="29"/>
        <v>2</v>
      </c>
      <c r="O32" s="35" t="s">
        <v>46</v>
      </c>
      <c r="P32" s="35" t="s">
        <v>46</v>
      </c>
      <c r="Q32" s="31">
        <f>if(G32=13,1,0)+VLOOKUP(B32,'012024'!B:Q,16,false)</f>
        <v>1</v>
      </c>
      <c r="R32" s="31"/>
      <c r="S32" s="31">
        <f>if(G32=9,1,0)+VLOOKUP(B32,'012024'!B:S,18,false)</f>
        <v>1</v>
      </c>
    </row>
    <row r="33">
      <c r="A33" s="26">
        <f t="shared" si="3"/>
        <v>29</v>
      </c>
      <c r="B33" s="39" t="s">
        <v>86</v>
      </c>
      <c r="C33" s="28">
        <v>35.0</v>
      </c>
      <c r="D33" s="29">
        <v>2.0</v>
      </c>
      <c r="E33" s="79">
        <v>2.0</v>
      </c>
      <c r="F33" s="80">
        <v>4.0</v>
      </c>
      <c r="G33" s="77">
        <v>0.0</v>
      </c>
      <c r="H33" s="80">
        <v>6.0</v>
      </c>
      <c r="I33" s="80">
        <v>2.0</v>
      </c>
      <c r="J33" s="80">
        <v>0.0</v>
      </c>
      <c r="K33" s="81">
        <v>8.0</v>
      </c>
      <c r="L33" s="80">
        <v>1.0</v>
      </c>
      <c r="M33" s="28">
        <f t="shared" ref="M33:N33" si="30">C33+K33</f>
        <v>43</v>
      </c>
      <c r="N33" s="29">
        <f t="shared" si="30"/>
        <v>3</v>
      </c>
      <c r="O33" s="35" t="s">
        <v>46</v>
      </c>
      <c r="P33" s="35" t="s">
        <v>46</v>
      </c>
      <c r="Q33" s="31">
        <f>if(G33=13,1,0)+VLOOKUP(B33,'012024'!B:Q,16,false)</f>
        <v>1</v>
      </c>
      <c r="R33" s="31"/>
      <c r="S33" s="31">
        <f>if(G33=9,1,0)+VLOOKUP(B33,'012024'!B:S,18,false)</f>
        <v>1</v>
      </c>
    </row>
    <row r="34">
      <c r="A34" s="26">
        <f t="shared" si="3"/>
        <v>30</v>
      </c>
      <c r="B34" s="27" t="s">
        <v>110</v>
      </c>
      <c r="C34" s="28">
        <v>35.0</v>
      </c>
      <c r="D34" s="29">
        <v>1.0</v>
      </c>
      <c r="E34" s="79">
        <v>1.0</v>
      </c>
      <c r="F34" s="80">
        <v>5.0</v>
      </c>
      <c r="G34" s="77">
        <v>0.0</v>
      </c>
      <c r="H34" s="80">
        <v>6.0</v>
      </c>
      <c r="I34" s="80">
        <v>1.0</v>
      </c>
      <c r="J34" s="80">
        <v>6.0</v>
      </c>
      <c r="K34" s="81">
        <v>13.0</v>
      </c>
      <c r="L34" s="80">
        <v>2.0</v>
      </c>
      <c r="M34" s="28">
        <f t="shared" ref="M34:N34" si="31">C34+K34</f>
        <v>48</v>
      </c>
      <c r="N34" s="29">
        <f t="shared" si="31"/>
        <v>3</v>
      </c>
      <c r="O34" s="35" t="s">
        <v>46</v>
      </c>
      <c r="P34" s="35" t="s">
        <v>46</v>
      </c>
      <c r="Q34" s="31">
        <f>if(G34=13,1,0)+VLOOKUP(B34,'012024'!B:Q,16,false)</f>
        <v>1</v>
      </c>
      <c r="R34" s="31"/>
      <c r="S34" s="31">
        <f>if(G34=9,1,0)+VLOOKUP(B34,'012024'!B:S,18,false)</f>
        <v>1</v>
      </c>
    </row>
    <row r="35">
      <c r="A35" s="26">
        <f t="shared" si="3"/>
        <v>31</v>
      </c>
      <c r="B35" s="27" t="s">
        <v>118</v>
      </c>
      <c r="C35" s="28">
        <v>35.0</v>
      </c>
      <c r="D35" s="29">
        <v>0.0</v>
      </c>
      <c r="E35" s="79">
        <v>3.0</v>
      </c>
      <c r="F35" s="80">
        <v>0.0</v>
      </c>
      <c r="G35" s="77">
        <v>9.0</v>
      </c>
      <c r="H35" s="80">
        <v>0.0</v>
      </c>
      <c r="I35" s="80">
        <v>0.0</v>
      </c>
      <c r="J35" s="80">
        <v>0.0</v>
      </c>
      <c r="K35" s="81">
        <v>9.0</v>
      </c>
      <c r="L35" s="80">
        <v>0.0</v>
      </c>
      <c r="M35" s="28">
        <f t="shared" ref="M35:N35" si="32">C35+K35</f>
        <v>44</v>
      </c>
      <c r="N35" s="29">
        <f t="shared" si="32"/>
        <v>0</v>
      </c>
      <c r="O35" s="35" t="s">
        <v>46</v>
      </c>
      <c r="P35" s="35" t="s">
        <v>46</v>
      </c>
      <c r="Q35" s="31">
        <f>if(G35=13,1,0)+VLOOKUP(B35,'012024'!B:Q,16,false)</f>
        <v>2</v>
      </c>
      <c r="R35" s="31"/>
      <c r="S35" s="31">
        <f>if(G35=9,1,0)+VLOOKUP(B35,'012024'!B:S,18,false)</f>
        <v>2</v>
      </c>
    </row>
    <row r="36">
      <c r="A36" s="26">
        <f t="shared" si="3"/>
        <v>32</v>
      </c>
      <c r="B36" s="27" t="s">
        <v>48</v>
      </c>
      <c r="C36" s="28">
        <v>35.0</v>
      </c>
      <c r="D36" s="29">
        <v>0.0</v>
      </c>
      <c r="E36" s="79">
        <v>2.0</v>
      </c>
      <c r="F36" s="80">
        <v>5.0</v>
      </c>
      <c r="G36" s="77">
        <v>0.0</v>
      </c>
      <c r="H36" s="80">
        <v>6.0</v>
      </c>
      <c r="I36" s="80">
        <v>6.0</v>
      </c>
      <c r="J36" s="80">
        <v>1.0</v>
      </c>
      <c r="K36" s="81">
        <v>13.0</v>
      </c>
      <c r="L36" s="80">
        <v>2.0</v>
      </c>
      <c r="M36" s="28">
        <f t="shared" ref="M36:N36" si="33">C36+K36</f>
        <v>48</v>
      </c>
      <c r="N36" s="29">
        <f t="shared" si="33"/>
        <v>2</v>
      </c>
      <c r="O36" s="35" t="s">
        <v>46</v>
      </c>
      <c r="P36" s="35" t="s">
        <v>46</v>
      </c>
      <c r="Q36" s="31">
        <f>if(G36=13,1,0)+VLOOKUP(B36,'012024'!B:Q,16,false)</f>
        <v>2</v>
      </c>
      <c r="R36" s="31"/>
      <c r="S36" s="31">
        <f>if(G36=9,1,0)+VLOOKUP(B36,'012024'!B:S,18,false)</f>
        <v>1</v>
      </c>
    </row>
    <row r="37">
      <c r="A37" s="26">
        <f t="shared" si="3"/>
        <v>33</v>
      </c>
      <c r="B37" s="27" t="s">
        <v>107</v>
      </c>
      <c r="C37" s="28">
        <v>35.0</v>
      </c>
      <c r="D37" s="29">
        <v>0.0</v>
      </c>
      <c r="E37" s="79">
        <v>1.0</v>
      </c>
      <c r="F37" s="80">
        <v>5.0</v>
      </c>
      <c r="G37" s="77">
        <v>0.0</v>
      </c>
      <c r="H37" s="80">
        <v>3.0</v>
      </c>
      <c r="I37" s="80">
        <v>6.0</v>
      </c>
      <c r="J37" s="80">
        <v>6.0</v>
      </c>
      <c r="K37" s="81">
        <v>15.0</v>
      </c>
      <c r="L37" s="80">
        <v>2.0</v>
      </c>
      <c r="M37" s="28">
        <f t="shared" ref="M37:N37" si="34">C37+K37</f>
        <v>50</v>
      </c>
      <c r="N37" s="29">
        <f t="shared" si="34"/>
        <v>2</v>
      </c>
      <c r="O37" s="35" t="s">
        <v>46</v>
      </c>
      <c r="P37" s="35" t="s">
        <v>46</v>
      </c>
      <c r="Q37" s="31">
        <f>if(G37=13,1,0)+VLOOKUP(B37,'012024'!B:Q,16,false)</f>
        <v>2</v>
      </c>
      <c r="R37" s="31"/>
      <c r="S37" s="31">
        <f>if(G37=9,1,0)+VLOOKUP(B37,'012024'!B:S,18,false)</f>
        <v>1</v>
      </c>
    </row>
    <row r="38">
      <c r="A38" s="26">
        <f t="shared" si="3"/>
        <v>34</v>
      </c>
      <c r="B38" s="27" t="s">
        <v>68</v>
      </c>
      <c r="C38" s="28">
        <v>35.0</v>
      </c>
      <c r="D38" s="29">
        <v>0.0</v>
      </c>
      <c r="E38" s="79">
        <v>3.0</v>
      </c>
      <c r="F38" s="80">
        <v>0.0</v>
      </c>
      <c r="G38" s="77">
        <v>9.0</v>
      </c>
      <c r="H38" s="80">
        <v>0.0</v>
      </c>
      <c r="I38" s="80">
        <v>0.0</v>
      </c>
      <c r="J38" s="80">
        <v>0.0</v>
      </c>
      <c r="K38" s="81">
        <v>9.0</v>
      </c>
      <c r="L38" s="80">
        <v>0.0</v>
      </c>
      <c r="M38" s="28">
        <f t="shared" ref="M38:N38" si="35">C38+K38</f>
        <v>44</v>
      </c>
      <c r="N38" s="29">
        <f t="shared" si="35"/>
        <v>0</v>
      </c>
      <c r="O38" s="35" t="s">
        <v>46</v>
      </c>
      <c r="P38" s="35" t="s">
        <v>46</v>
      </c>
      <c r="Q38" s="31">
        <f>if(G38=13,1,0)+VLOOKUP(B38,'012024'!B:Q,16,false)</f>
        <v>2</v>
      </c>
      <c r="R38" s="31"/>
      <c r="S38" s="31">
        <f>if(G38=9,1,0)+VLOOKUP(B38,'012024'!B:S,18,false)</f>
        <v>2</v>
      </c>
    </row>
    <row r="39">
      <c r="A39" s="26">
        <f t="shared" si="3"/>
        <v>35</v>
      </c>
      <c r="B39" s="27" t="s">
        <v>109</v>
      </c>
      <c r="C39" s="28">
        <v>35.0</v>
      </c>
      <c r="D39" s="29">
        <v>0.0</v>
      </c>
      <c r="E39" s="79">
        <v>2.0</v>
      </c>
      <c r="F39" s="80">
        <v>5.0</v>
      </c>
      <c r="G39" s="77">
        <v>0.0</v>
      </c>
      <c r="H39" s="80">
        <v>3.0</v>
      </c>
      <c r="I39" s="80">
        <v>1.0</v>
      </c>
      <c r="J39" s="80">
        <v>1.0</v>
      </c>
      <c r="K39" s="81">
        <v>5.0</v>
      </c>
      <c r="L39" s="80">
        <v>0.0</v>
      </c>
      <c r="M39" s="28">
        <f t="shared" ref="M39:N39" si="36">C39+K39</f>
        <v>40</v>
      </c>
      <c r="N39" s="29">
        <f t="shared" si="36"/>
        <v>0</v>
      </c>
      <c r="O39" s="35" t="s">
        <v>46</v>
      </c>
      <c r="P39" s="35" t="s">
        <v>46</v>
      </c>
      <c r="Q39" s="31">
        <f>if(G39=13,1,0)+VLOOKUP(B39,'012024'!B:Q,16,false)</f>
        <v>2</v>
      </c>
      <c r="R39" s="31"/>
      <c r="S39" s="31">
        <f>if(G39=9,1,0)+VLOOKUP(B39,'012024'!B:S,18,false)</f>
        <v>1</v>
      </c>
    </row>
    <row r="40">
      <c r="A40" s="26">
        <f t="shared" si="3"/>
        <v>36</v>
      </c>
      <c r="B40" s="39" t="s">
        <v>105</v>
      </c>
      <c r="C40" s="28">
        <v>34.0</v>
      </c>
      <c r="D40" s="29">
        <v>3.0</v>
      </c>
      <c r="E40" s="79">
        <v>2.0</v>
      </c>
      <c r="F40" s="80">
        <v>6.0</v>
      </c>
      <c r="G40" s="77">
        <v>0.0</v>
      </c>
      <c r="H40" s="80">
        <v>2.0</v>
      </c>
      <c r="I40" s="80">
        <v>3.0</v>
      </c>
      <c r="J40" s="80">
        <v>6.0</v>
      </c>
      <c r="K40" s="81">
        <v>11.0</v>
      </c>
      <c r="L40" s="80">
        <v>1.0</v>
      </c>
      <c r="M40" s="28">
        <f t="shared" ref="M40:N40" si="37">C40+K40</f>
        <v>45</v>
      </c>
      <c r="N40" s="29">
        <f t="shared" si="37"/>
        <v>4</v>
      </c>
      <c r="O40" s="35" t="s">
        <v>46</v>
      </c>
      <c r="P40" s="35" t="s">
        <v>46</v>
      </c>
      <c r="Q40" s="31">
        <f>if(G40=13,1,0)+VLOOKUP(B40,'012024'!B:Q,16,false)</f>
        <v>0</v>
      </c>
      <c r="R40" s="31"/>
      <c r="S40" s="31">
        <f>if(G40=9,1,0)+VLOOKUP(B40,'012024'!B:S,18,false)</f>
        <v>1</v>
      </c>
    </row>
    <row r="41">
      <c r="A41" s="26">
        <f t="shared" si="3"/>
        <v>37</v>
      </c>
      <c r="B41" s="54" t="s">
        <v>116</v>
      </c>
      <c r="C41" s="28">
        <v>34.0</v>
      </c>
      <c r="D41" s="29">
        <v>2.0</v>
      </c>
      <c r="E41" s="79">
        <v>1.0</v>
      </c>
      <c r="F41" s="80">
        <v>6.0</v>
      </c>
      <c r="G41" s="77">
        <v>0.0</v>
      </c>
      <c r="H41" s="80">
        <v>2.0</v>
      </c>
      <c r="I41" s="80">
        <v>6.0</v>
      </c>
      <c r="J41" s="80">
        <v>3.0</v>
      </c>
      <c r="K41" s="81">
        <v>11.0</v>
      </c>
      <c r="L41" s="80">
        <v>1.0</v>
      </c>
      <c r="M41" s="28">
        <f t="shared" ref="M41:N41" si="38">C41+K41</f>
        <v>45</v>
      </c>
      <c r="N41" s="29">
        <f t="shared" si="38"/>
        <v>3</v>
      </c>
      <c r="O41" s="35" t="s">
        <v>46</v>
      </c>
      <c r="P41" s="35" t="s">
        <v>46</v>
      </c>
      <c r="Q41" s="31">
        <f>if(G41=13,1,0)+VLOOKUP(B41,'012024'!B:Q,16,false)</f>
        <v>0</v>
      </c>
      <c r="R41" s="31"/>
      <c r="S41" s="31">
        <f>if(G41=9,1,0)+VLOOKUP(B41,'012024'!B:S,18,false)</f>
        <v>2</v>
      </c>
    </row>
    <row r="42">
      <c r="A42" s="26">
        <f t="shared" si="3"/>
        <v>38</v>
      </c>
      <c r="B42" s="54" t="s">
        <v>122</v>
      </c>
      <c r="C42" s="28">
        <v>34.0</v>
      </c>
      <c r="D42" s="29">
        <v>1.0</v>
      </c>
      <c r="E42" s="79">
        <v>3.0</v>
      </c>
      <c r="F42" s="80">
        <v>0.0</v>
      </c>
      <c r="G42" s="77">
        <v>9.0</v>
      </c>
      <c r="H42" s="80">
        <v>0.0</v>
      </c>
      <c r="I42" s="80">
        <v>0.0</v>
      </c>
      <c r="J42" s="80">
        <v>0.0</v>
      </c>
      <c r="K42" s="81">
        <v>9.0</v>
      </c>
      <c r="L42" s="80">
        <v>0.0</v>
      </c>
      <c r="M42" s="28">
        <f t="shared" ref="M42:N42" si="39">C42+K42</f>
        <v>43</v>
      </c>
      <c r="N42" s="29">
        <f t="shared" si="39"/>
        <v>1</v>
      </c>
      <c r="O42" s="35" t="s">
        <v>46</v>
      </c>
      <c r="P42" s="35" t="s">
        <v>46</v>
      </c>
      <c r="Q42" s="31">
        <f>if(G42=13,1,0)+VLOOKUP(B42,'012024'!B:Q,16,false)</f>
        <v>0</v>
      </c>
      <c r="R42" s="31"/>
      <c r="S42" s="31">
        <f>if(G42=9,1,0)+VLOOKUP(B42,'012024'!B:S,18,false)</f>
        <v>3</v>
      </c>
    </row>
    <row r="43">
      <c r="A43" s="26">
        <f t="shared" si="3"/>
        <v>39</v>
      </c>
      <c r="B43" s="39" t="s">
        <v>119</v>
      </c>
      <c r="C43" s="28">
        <v>33.0</v>
      </c>
      <c r="D43" s="29">
        <v>2.0</v>
      </c>
      <c r="E43" s="79">
        <v>3.0</v>
      </c>
      <c r="F43" s="80">
        <v>0.0</v>
      </c>
      <c r="G43" s="77">
        <v>9.0</v>
      </c>
      <c r="H43" s="80">
        <v>0.0</v>
      </c>
      <c r="I43" s="80">
        <v>0.0</v>
      </c>
      <c r="J43" s="80">
        <v>0.0</v>
      </c>
      <c r="K43" s="81">
        <v>9.0</v>
      </c>
      <c r="L43" s="80">
        <v>0.0</v>
      </c>
      <c r="M43" s="28">
        <f t="shared" ref="M43:N43" si="40">C43+K43</f>
        <v>42</v>
      </c>
      <c r="N43" s="29">
        <f t="shared" si="40"/>
        <v>2</v>
      </c>
      <c r="O43" s="35" t="s">
        <v>46</v>
      </c>
      <c r="P43" s="35" t="s">
        <v>46</v>
      </c>
      <c r="Q43" s="31">
        <f>if(G43=13,1,0)+VLOOKUP(B43,'012024'!B:Q,16,false)</f>
        <v>0</v>
      </c>
      <c r="R43" s="31"/>
      <c r="S43" s="31">
        <f>if(G43=9,1,0)+VLOOKUP(B43,'012024'!B:S,18,false)</f>
        <v>3</v>
      </c>
    </row>
    <row r="44">
      <c r="A44" s="26">
        <f t="shared" si="3"/>
        <v>40</v>
      </c>
      <c r="B44" s="39" t="s">
        <v>50</v>
      </c>
      <c r="C44" s="28">
        <v>32.0</v>
      </c>
      <c r="D44" s="29">
        <v>2.0</v>
      </c>
      <c r="E44" s="79">
        <v>1.0</v>
      </c>
      <c r="F44" s="80">
        <v>6.0</v>
      </c>
      <c r="G44" s="77">
        <v>0.0</v>
      </c>
      <c r="H44" s="80">
        <v>6.0</v>
      </c>
      <c r="I44" s="80">
        <v>6.0</v>
      </c>
      <c r="J44" s="80">
        <v>6.0</v>
      </c>
      <c r="K44" s="81">
        <v>18.0</v>
      </c>
      <c r="L44" s="80">
        <v>3.0</v>
      </c>
      <c r="M44" s="28">
        <f t="shared" ref="M44:N44" si="41">C44+K44</f>
        <v>50</v>
      </c>
      <c r="N44" s="29">
        <f t="shared" si="41"/>
        <v>5</v>
      </c>
      <c r="O44" s="35" t="s">
        <v>46</v>
      </c>
      <c r="P44" s="35" t="s">
        <v>46</v>
      </c>
      <c r="Q44" s="31">
        <f>if(G44=13,1,0)+VLOOKUP(B44,'012024'!B:Q,16,false)</f>
        <v>0</v>
      </c>
      <c r="R44" s="31"/>
      <c r="S44" s="31">
        <f>if(G44=9,1,0)+VLOOKUP(B44,'012024'!B:S,18,false)</f>
        <v>2</v>
      </c>
    </row>
    <row r="45">
      <c r="A45" s="26">
        <f t="shared" si="3"/>
        <v>41</v>
      </c>
      <c r="B45" s="54" t="s">
        <v>54</v>
      </c>
      <c r="C45" s="28">
        <v>32.0</v>
      </c>
      <c r="D45" s="29">
        <v>2.0</v>
      </c>
      <c r="E45" s="79">
        <v>3.0</v>
      </c>
      <c r="F45" s="80">
        <v>0.0</v>
      </c>
      <c r="G45" s="77">
        <v>9.0</v>
      </c>
      <c r="H45" s="80">
        <v>0.0</v>
      </c>
      <c r="I45" s="80">
        <v>0.0</v>
      </c>
      <c r="J45" s="80">
        <v>0.0</v>
      </c>
      <c r="K45" s="81">
        <v>9.0</v>
      </c>
      <c r="L45" s="80">
        <v>0.0</v>
      </c>
      <c r="M45" s="28">
        <f t="shared" ref="M45:N45" si="42">C45+K45</f>
        <v>41</v>
      </c>
      <c r="N45" s="29">
        <f t="shared" si="42"/>
        <v>2</v>
      </c>
      <c r="O45" s="35" t="s">
        <v>46</v>
      </c>
      <c r="P45" s="35" t="s">
        <v>46</v>
      </c>
      <c r="Q45" s="31">
        <f>if(G45=13,1,0)+VLOOKUP(B45,'012024'!B:Q,16,false)</f>
        <v>1</v>
      </c>
      <c r="R45" s="31"/>
      <c r="S45" s="31">
        <f>if(G45=9,1,0)+VLOOKUP(B45,'012024'!B:S,18,false)</f>
        <v>1</v>
      </c>
    </row>
    <row r="46">
      <c r="A46" s="26">
        <f t="shared" si="3"/>
        <v>42</v>
      </c>
      <c r="B46" s="27" t="s">
        <v>57</v>
      </c>
      <c r="C46" s="28">
        <v>32.0</v>
      </c>
      <c r="D46" s="29">
        <v>2.0</v>
      </c>
      <c r="E46" s="79">
        <v>1.0</v>
      </c>
      <c r="F46" s="80">
        <v>6.0</v>
      </c>
      <c r="G46" s="77">
        <v>0.0</v>
      </c>
      <c r="H46" s="80">
        <v>6.0</v>
      </c>
      <c r="I46" s="80">
        <v>3.0</v>
      </c>
      <c r="J46" s="80">
        <v>3.0</v>
      </c>
      <c r="K46" s="81">
        <v>12.0</v>
      </c>
      <c r="L46" s="80">
        <v>1.0</v>
      </c>
      <c r="M46" s="28">
        <f t="shared" ref="M46:N46" si="43">C46+K46</f>
        <v>44</v>
      </c>
      <c r="N46" s="29">
        <f t="shared" si="43"/>
        <v>3</v>
      </c>
      <c r="O46" s="35" t="s">
        <v>46</v>
      </c>
      <c r="P46" s="35" t="s">
        <v>46</v>
      </c>
      <c r="Q46" s="31">
        <f>if(G46=13,1,0)+VLOOKUP(B46,'012024'!B:Q,16,false)</f>
        <v>0</v>
      </c>
      <c r="R46" s="31"/>
      <c r="S46" s="31">
        <f>if(G46=9,1,0)+VLOOKUP(B46,'012024'!B:S,18,false)</f>
        <v>2</v>
      </c>
    </row>
    <row r="47">
      <c r="A47" s="26">
        <f t="shared" si="3"/>
        <v>43</v>
      </c>
      <c r="B47" s="27" t="s">
        <v>83</v>
      </c>
      <c r="C47" s="28">
        <v>32.0</v>
      </c>
      <c r="D47" s="29">
        <v>1.0</v>
      </c>
      <c r="E47" s="79">
        <v>2.0</v>
      </c>
      <c r="F47" s="80">
        <v>7.0</v>
      </c>
      <c r="G47" s="77">
        <v>0.0</v>
      </c>
      <c r="H47" s="80">
        <v>2.0</v>
      </c>
      <c r="I47" s="80">
        <v>6.0</v>
      </c>
      <c r="J47" s="80">
        <v>6.0</v>
      </c>
      <c r="K47" s="81">
        <v>14.0</v>
      </c>
      <c r="L47" s="80">
        <v>2.0</v>
      </c>
      <c r="M47" s="28">
        <f t="shared" ref="M47:N47" si="44">C47+K47</f>
        <v>46</v>
      </c>
      <c r="N47" s="29">
        <f t="shared" si="44"/>
        <v>3</v>
      </c>
      <c r="O47" s="35" t="s">
        <v>46</v>
      </c>
      <c r="P47" s="35" t="s">
        <v>46</v>
      </c>
      <c r="Q47" s="31">
        <f>if(G47=13,1,0)+VLOOKUP(B47,'012024'!B:Q,16,false)</f>
        <v>1</v>
      </c>
      <c r="R47" s="31"/>
      <c r="S47" s="31">
        <f>if(G47=9,1,0)+VLOOKUP(B47,'012024'!B:S,18,false)</f>
        <v>0</v>
      </c>
    </row>
    <row r="48">
      <c r="A48" s="26">
        <f t="shared" si="3"/>
        <v>44</v>
      </c>
      <c r="B48" s="54" t="s">
        <v>47</v>
      </c>
      <c r="C48" s="28">
        <v>32.0</v>
      </c>
      <c r="D48" s="29">
        <v>1.0</v>
      </c>
      <c r="E48" s="79">
        <v>1.0</v>
      </c>
      <c r="F48" s="80">
        <v>7.0</v>
      </c>
      <c r="G48" s="77">
        <v>0.0</v>
      </c>
      <c r="H48" s="80">
        <v>2.0</v>
      </c>
      <c r="I48" s="80">
        <v>1.0</v>
      </c>
      <c r="J48" s="80">
        <v>1.0</v>
      </c>
      <c r="K48" s="81">
        <v>4.0</v>
      </c>
      <c r="L48" s="80">
        <v>0.0</v>
      </c>
      <c r="M48" s="28">
        <f t="shared" ref="M48:N48" si="45">C48+K48</f>
        <v>36</v>
      </c>
      <c r="N48" s="29">
        <f t="shared" si="45"/>
        <v>1</v>
      </c>
      <c r="O48" s="35" t="s">
        <v>46</v>
      </c>
      <c r="P48" s="35" t="s">
        <v>46</v>
      </c>
      <c r="Q48" s="31">
        <f>if(G48=13,1,0)+VLOOKUP(B48,'012024'!B:Q,16,false)</f>
        <v>0</v>
      </c>
      <c r="R48" s="31"/>
      <c r="S48" s="31">
        <f>if(G48=9,1,0)+VLOOKUP(B48,'012024'!B:S,18,false)</f>
        <v>0</v>
      </c>
    </row>
    <row r="49">
      <c r="A49" s="26">
        <f t="shared" si="3"/>
        <v>45</v>
      </c>
      <c r="B49" s="54" t="s">
        <v>73</v>
      </c>
      <c r="C49" s="28">
        <v>31.0</v>
      </c>
      <c r="D49" s="29">
        <v>2.0</v>
      </c>
      <c r="E49" s="79">
        <v>1.0</v>
      </c>
      <c r="F49" s="80">
        <v>7.0</v>
      </c>
      <c r="G49" s="77">
        <v>0.0</v>
      </c>
      <c r="H49" s="80">
        <v>6.0</v>
      </c>
      <c r="I49" s="80">
        <v>1.0</v>
      </c>
      <c r="J49" s="80">
        <v>6.0</v>
      </c>
      <c r="K49" s="81">
        <v>13.0</v>
      </c>
      <c r="L49" s="80">
        <v>2.0</v>
      </c>
      <c r="M49" s="28">
        <f t="shared" ref="M49:N49" si="46">C49+K49</f>
        <v>44</v>
      </c>
      <c r="N49" s="29">
        <f t="shared" si="46"/>
        <v>4</v>
      </c>
      <c r="O49" s="35" t="s">
        <v>46</v>
      </c>
      <c r="P49" s="35" t="s">
        <v>46</v>
      </c>
      <c r="Q49" s="31">
        <f>if(G49=13,1,0)+VLOOKUP(B49,'012024'!B:Q,16,false)</f>
        <v>0</v>
      </c>
      <c r="R49" s="31"/>
      <c r="S49" s="31">
        <f>if(G49=9,1,0)+VLOOKUP(B49,'012024'!B:S,18,false)</f>
        <v>0</v>
      </c>
    </row>
    <row r="50">
      <c r="A50" s="26">
        <f t="shared" si="3"/>
        <v>46</v>
      </c>
      <c r="B50" s="27" t="s">
        <v>60</v>
      </c>
      <c r="C50" s="28">
        <v>31.0</v>
      </c>
      <c r="D50" s="29">
        <v>2.0</v>
      </c>
      <c r="E50" s="79">
        <v>5.0</v>
      </c>
      <c r="F50" s="80">
        <v>0.0</v>
      </c>
      <c r="G50" s="77">
        <v>13.0</v>
      </c>
      <c r="H50" s="80">
        <v>0.0</v>
      </c>
      <c r="I50" s="80">
        <v>0.0</v>
      </c>
      <c r="J50" s="80">
        <v>0.0</v>
      </c>
      <c r="K50" s="81">
        <v>13.0</v>
      </c>
      <c r="L50" s="80">
        <v>0.0</v>
      </c>
      <c r="M50" s="28">
        <f t="shared" ref="M50:N50" si="47">C50+K50</f>
        <v>44</v>
      </c>
      <c r="N50" s="29">
        <f t="shared" si="47"/>
        <v>2</v>
      </c>
      <c r="O50" s="35" t="s">
        <v>46</v>
      </c>
      <c r="P50" s="35" t="s">
        <v>46</v>
      </c>
      <c r="Q50" s="31">
        <f>if(G50=13,1,0)+VLOOKUP(B50,'012024'!B:Q,16,false)</f>
        <v>1</v>
      </c>
      <c r="R50" s="31"/>
      <c r="S50" s="31">
        <f>if(G50=9,1,0)+VLOOKUP(B50,'012024'!B:S,18,false)</f>
        <v>2</v>
      </c>
    </row>
    <row r="51">
      <c r="A51" s="26">
        <f t="shared" si="3"/>
        <v>47</v>
      </c>
      <c r="B51" s="39" t="s">
        <v>103</v>
      </c>
      <c r="C51" s="28">
        <v>31.0</v>
      </c>
      <c r="D51" s="29">
        <v>2.0</v>
      </c>
      <c r="E51" s="79">
        <v>5.0</v>
      </c>
      <c r="F51" s="80">
        <v>0.0</v>
      </c>
      <c r="G51" s="77">
        <v>13.0</v>
      </c>
      <c r="H51" s="80">
        <v>0.0</v>
      </c>
      <c r="I51" s="80">
        <v>0.0</v>
      </c>
      <c r="J51" s="80">
        <v>0.0</v>
      </c>
      <c r="K51" s="81">
        <v>13.0</v>
      </c>
      <c r="L51" s="80">
        <v>0.0</v>
      </c>
      <c r="M51" s="28">
        <f t="shared" ref="M51:N51" si="48">C51+K51</f>
        <v>44</v>
      </c>
      <c r="N51" s="29">
        <f t="shared" si="48"/>
        <v>2</v>
      </c>
      <c r="O51" s="35" t="s">
        <v>46</v>
      </c>
      <c r="P51" s="35" t="s">
        <v>46</v>
      </c>
      <c r="Q51" s="31">
        <f>if(G51=13,1,0)+VLOOKUP(B51,'012024'!B:Q,16,false)</f>
        <v>1</v>
      </c>
      <c r="R51" s="31"/>
      <c r="S51" s="31">
        <f>if(G51=9,1,0)+VLOOKUP(B51,'012024'!B:S,18,false)</f>
        <v>2</v>
      </c>
    </row>
    <row r="52">
      <c r="A52" s="26">
        <f t="shared" si="3"/>
        <v>48</v>
      </c>
      <c r="B52" s="76" t="s">
        <v>123</v>
      </c>
      <c r="C52" s="28">
        <v>31.0</v>
      </c>
      <c r="D52" s="29">
        <v>0.0</v>
      </c>
      <c r="E52" s="79">
        <v>3.0</v>
      </c>
      <c r="F52" s="80">
        <v>0.0</v>
      </c>
      <c r="G52" s="77">
        <v>9.0</v>
      </c>
      <c r="H52" s="80">
        <v>0.0</v>
      </c>
      <c r="I52" s="80">
        <v>0.0</v>
      </c>
      <c r="J52" s="80">
        <v>0.0</v>
      </c>
      <c r="K52" s="81">
        <v>9.0</v>
      </c>
      <c r="L52" s="80">
        <v>0.0</v>
      </c>
      <c r="M52" s="28">
        <f t="shared" ref="M52:N52" si="49">C52+K52</f>
        <v>40</v>
      </c>
      <c r="N52" s="29">
        <f t="shared" si="49"/>
        <v>0</v>
      </c>
      <c r="O52" s="35" t="s">
        <v>46</v>
      </c>
      <c r="P52" s="35" t="s">
        <v>46</v>
      </c>
      <c r="Q52" s="31">
        <f>if(G52=13,1,0)+VLOOKUP(B52,'012024'!B:Q,16,false)</f>
        <v>1</v>
      </c>
      <c r="R52" s="31"/>
      <c r="S52" s="31">
        <f>if(G52=9,1,0)+VLOOKUP(B52,'012024'!B:S,18,false)</f>
        <v>3</v>
      </c>
    </row>
    <row r="53">
      <c r="A53" s="26">
        <f t="shared" si="3"/>
        <v>49</v>
      </c>
      <c r="B53" s="39" t="s">
        <v>55</v>
      </c>
      <c r="C53" s="28">
        <v>31.0</v>
      </c>
      <c r="D53" s="29">
        <v>0.0</v>
      </c>
      <c r="E53" s="79">
        <v>3.0</v>
      </c>
      <c r="F53" s="80">
        <v>0.0</v>
      </c>
      <c r="G53" s="77">
        <v>9.0</v>
      </c>
      <c r="H53" s="80">
        <v>0.0</v>
      </c>
      <c r="I53" s="80">
        <v>0.0</v>
      </c>
      <c r="J53" s="80">
        <v>0.0</v>
      </c>
      <c r="K53" s="81">
        <v>9.0</v>
      </c>
      <c r="L53" s="80">
        <v>0.0</v>
      </c>
      <c r="M53" s="28">
        <f t="shared" ref="M53:N53" si="50">C53+K53</f>
        <v>40</v>
      </c>
      <c r="N53" s="29">
        <f t="shared" si="50"/>
        <v>0</v>
      </c>
      <c r="O53" s="35" t="s">
        <v>46</v>
      </c>
      <c r="P53" s="35" t="s">
        <v>46</v>
      </c>
      <c r="Q53" s="31">
        <f>if(G53=13,1,0)+VLOOKUP(B53,'012024'!B:Q,16,false)</f>
        <v>1</v>
      </c>
      <c r="R53" s="31"/>
      <c r="S53" s="31">
        <f>if(G53=9,1,0)+VLOOKUP(B53,'012024'!B:S,18,false)</f>
        <v>3</v>
      </c>
    </row>
    <row r="54">
      <c r="A54" s="26">
        <f t="shared" si="3"/>
        <v>50</v>
      </c>
      <c r="B54" s="27" t="s">
        <v>66</v>
      </c>
      <c r="C54" s="28">
        <v>30.0</v>
      </c>
      <c r="D54" s="29">
        <v>2.0</v>
      </c>
      <c r="E54" s="79">
        <v>1.0</v>
      </c>
      <c r="F54" s="80">
        <v>7.0</v>
      </c>
      <c r="G54" s="77">
        <v>0.0</v>
      </c>
      <c r="H54" s="80">
        <v>6.0</v>
      </c>
      <c r="I54" s="80">
        <v>6.0</v>
      </c>
      <c r="J54" s="80">
        <v>1.0</v>
      </c>
      <c r="K54" s="81">
        <v>13.0</v>
      </c>
      <c r="L54" s="80">
        <v>2.0</v>
      </c>
      <c r="M54" s="28">
        <f t="shared" ref="M54:N54" si="51">C54+K54</f>
        <v>43</v>
      </c>
      <c r="N54" s="29">
        <f t="shared" si="51"/>
        <v>4</v>
      </c>
      <c r="O54" s="35" t="s">
        <v>46</v>
      </c>
      <c r="P54" s="35" t="s">
        <v>46</v>
      </c>
      <c r="Q54" s="31">
        <f>if(G54=13,1,0)+VLOOKUP(B54,'012024'!B:Q,16,false)</f>
        <v>0</v>
      </c>
      <c r="R54" s="31"/>
      <c r="S54" s="31">
        <f>if(G54=9,1,0)+VLOOKUP(B54,'012024'!B:S,18,false)</f>
        <v>1</v>
      </c>
    </row>
    <row r="55">
      <c r="A55" s="26">
        <f t="shared" si="3"/>
        <v>51</v>
      </c>
      <c r="B55" s="27" t="s">
        <v>112</v>
      </c>
      <c r="C55" s="28">
        <v>30.0</v>
      </c>
      <c r="D55" s="29">
        <v>1.0</v>
      </c>
      <c r="E55" s="79">
        <v>3.0</v>
      </c>
      <c r="F55" s="80">
        <v>0.0</v>
      </c>
      <c r="G55" s="77">
        <v>9.0</v>
      </c>
      <c r="H55" s="80">
        <v>0.0</v>
      </c>
      <c r="I55" s="80">
        <v>0.0</v>
      </c>
      <c r="J55" s="80">
        <v>0.0</v>
      </c>
      <c r="K55" s="81">
        <v>9.0</v>
      </c>
      <c r="L55" s="80">
        <v>0.0</v>
      </c>
      <c r="M55" s="28">
        <f t="shared" ref="M55:N55" si="52">C55+K55</f>
        <v>39</v>
      </c>
      <c r="N55" s="29">
        <f t="shared" si="52"/>
        <v>1</v>
      </c>
      <c r="O55" s="35" t="s">
        <v>46</v>
      </c>
      <c r="P55" s="35" t="s">
        <v>46</v>
      </c>
      <c r="Q55" s="31">
        <f>if(G55=13,1,0)+VLOOKUP(B55,'012024'!B:Q,16,false)</f>
        <v>0</v>
      </c>
      <c r="R55" s="31"/>
      <c r="S55" s="31">
        <f>if(G55=9,1,0)+VLOOKUP(B55,'012024'!B:S,18,false)</f>
        <v>3</v>
      </c>
    </row>
    <row r="56">
      <c r="A56" s="26">
        <f t="shared" si="3"/>
        <v>52</v>
      </c>
      <c r="B56" s="54" t="s">
        <v>108</v>
      </c>
      <c r="C56" s="28">
        <v>28.0</v>
      </c>
      <c r="D56" s="29">
        <v>2.0</v>
      </c>
      <c r="E56" s="79">
        <v>1.0</v>
      </c>
      <c r="F56" s="80">
        <v>8.0</v>
      </c>
      <c r="G56" s="77">
        <v>0.0</v>
      </c>
      <c r="H56" s="80">
        <v>6.0</v>
      </c>
      <c r="I56" s="80">
        <v>0.0</v>
      </c>
      <c r="J56" s="80">
        <v>3.0</v>
      </c>
      <c r="K56" s="81">
        <v>9.0</v>
      </c>
      <c r="L56" s="80">
        <v>1.0</v>
      </c>
      <c r="M56" s="28">
        <f t="shared" ref="M56:N56" si="53">C56+K56</f>
        <v>37</v>
      </c>
      <c r="N56" s="29">
        <f t="shared" si="53"/>
        <v>3</v>
      </c>
      <c r="O56" s="35" t="s">
        <v>46</v>
      </c>
      <c r="P56" s="35" t="s">
        <v>46</v>
      </c>
      <c r="Q56" s="31">
        <f>if(G56=13,1,0)+VLOOKUP(B56,'012024'!B:Q,16,false)</f>
        <v>0</v>
      </c>
      <c r="R56" s="31"/>
      <c r="S56" s="31">
        <f>if(G56=9,1,0)+VLOOKUP(B56,'012024'!B:S,18,false)</f>
        <v>0</v>
      </c>
    </row>
    <row r="57">
      <c r="A57" s="26">
        <f t="shared" si="3"/>
        <v>53</v>
      </c>
      <c r="B57" s="54" t="s">
        <v>94</v>
      </c>
      <c r="C57" s="28">
        <v>28.0</v>
      </c>
      <c r="D57" s="29">
        <v>2.0</v>
      </c>
      <c r="E57" s="79">
        <v>1.0</v>
      </c>
      <c r="F57" s="80">
        <v>8.0</v>
      </c>
      <c r="G57" s="77">
        <v>0.0</v>
      </c>
      <c r="H57" s="80">
        <v>3.0</v>
      </c>
      <c r="I57" s="80">
        <v>0.0</v>
      </c>
      <c r="J57" s="80">
        <v>6.0</v>
      </c>
      <c r="K57" s="81">
        <v>9.0</v>
      </c>
      <c r="L57" s="80">
        <v>1.0</v>
      </c>
      <c r="M57" s="28">
        <f t="shared" ref="M57:N57" si="54">C57+K57</f>
        <v>37</v>
      </c>
      <c r="N57" s="29">
        <f t="shared" si="54"/>
        <v>3</v>
      </c>
      <c r="O57" s="35" t="s">
        <v>46</v>
      </c>
      <c r="P57" s="35" t="s">
        <v>46</v>
      </c>
      <c r="Q57" s="31">
        <f>if(G57=13,1,0)+VLOOKUP(B57,'012024'!B:Q,16,false)</f>
        <v>0</v>
      </c>
      <c r="R57" s="31"/>
      <c r="S57" s="31">
        <f>if(G57=9,1,0)+VLOOKUP(B57,'012024'!B:S,18,false)</f>
        <v>1</v>
      </c>
    </row>
    <row r="58">
      <c r="A58" s="26">
        <f t="shared" si="3"/>
        <v>54</v>
      </c>
      <c r="B58" s="27" t="s">
        <v>76</v>
      </c>
      <c r="C58" s="28">
        <v>27.0</v>
      </c>
      <c r="D58" s="29">
        <v>1.0</v>
      </c>
      <c r="E58" s="79">
        <v>1.0</v>
      </c>
      <c r="F58" s="80">
        <v>8.0</v>
      </c>
      <c r="G58" s="77">
        <v>0.0</v>
      </c>
      <c r="H58" s="80">
        <v>3.0</v>
      </c>
      <c r="I58" s="80">
        <v>6.0</v>
      </c>
      <c r="J58" s="80">
        <v>3.0</v>
      </c>
      <c r="K58" s="81">
        <v>12.0</v>
      </c>
      <c r="L58" s="80">
        <v>1.0</v>
      </c>
      <c r="M58" s="28">
        <f t="shared" ref="M58:N58" si="55">C58+K58</f>
        <v>39</v>
      </c>
      <c r="N58" s="29">
        <f t="shared" si="55"/>
        <v>2</v>
      </c>
      <c r="O58" s="35" t="s">
        <v>46</v>
      </c>
      <c r="P58" s="35" t="s">
        <v>46</v>
      </c>
      <c r="Q58" s="31">
        <f>if(G58=13,1,0)+VLOOKUP(B58,'012024'!B:Q,16,false)</f>
        <v>0</v>
      </c>
      <c r="R58" s="31"/>
      <c r="S58" s="31">
        <f>if(G58=9,1,0)+VLOOKUP(B58,'012024'!B:S,18,false)</f>
        <v>2</v>
      </c>
    </row>
    <row r="59">
      <c r="A59" s="26">
        <f t="shared" si="3"/>
        <v>55</v>
      </c>
      <c r="B59" s="27" t="s">
        <v>74</v>
      </c>
      <c r="C59" s="28">
        <v>27.0</v>
      </c>
      <c r="D59" s="29">
        <v>0.0</v>
      </c>
      <c r="E59" s="79">
        <v>3.0</v>
      </c>
      <c r="F59" s="80">
        <v>0.0</v>
      </c>
      <c r="G59" s="77">
        <v>9.0</v>
      </c>
      <c r="H59" s="80">
        <v>0.0</v>
      </c>
      <c r="I59" s="80">
        <v>0.0</v>
      </c>
      <c r="J59" s="80">
        <v>0.0</v>
      </c>
      <c r="K59" s="81">
        <v>9.0</v>
      </c>
      <c r="L59" s="80">
        <v>0.0</v>
      </c>
      <c r="M59" s="28">
        <f t="shared" ref="M59:N59" si="56">C59+K59</f>
        <v>36</v>
      </c>
      <c r="N59" s="29">
        <f t="shared" si="56"/>
        <v>0</v>
      </c>
      <c r="O59" s="35" t="s">
        <v>46</v>
      </c>
      <c r="P59" s="35" t="s">
        <v>46</v>
      </c>
      <c r="Q59" s="31">
        <f>if(G59=13,1,0)+VLOOKUP(B59,'012024'!B:Q,16,false)</f>
        <v>0</v>
      </c>
      <c r="R59" s="31"/>
      <c r="S59" s="31">
        <f>if(G59=9,1,0)+VLOOKUP(B59,'012024'!B:S,18,false)</f>
        <v>4</v>
      </c>
    </row>
    <row r="60">
      <c r="A60" s="26">
        <f t="shared" si="3"/>
        <v>56</v>
      </c>
      <c r="B60" s="27" t="s">
        <v>90</v>
      </c>
      <c r="C60" s="28">
        <v>27.0</v>
      </c>
      <c r="D60" s="29">
        <v>0.0</v>
      </c>
      <c r="E60" s="79">
        <v>1.0</v>
      </c>
      <c r="F60" s="80">
        <v>8.0</v>
      </c>
      <c r="G60" s="77">
        <v>0.0</v>
      </c>
      <c r="H60" s="80">
        <v>6.0</v>
      </c>
      <c r="I60" s="80">
        <v>6.0</v>
      </c>
      <c r="J60" s="80">
        <v>6.0</v>
      </c>
      <c r="K60" s="81">
        <v>18.0</v>
      </c>
      <c r="L60" s="80">
        <v>3.0</v>
      </c>
      <c r="M60" s="28">
        <f t="shared" ref="M60:N60" si="57">C60+K60</f>
        <v>45</v>
      </c>
      <c r="N60" s="29">
        <f t="shared" si="57"/>
        <v>3</v>
      </c>
      <c r="O60" s="35" t="s">
        <v>46</v>
      </c>
      <c r="P60" s="35" t="s">
        <v>46</v>
      </c>
      <c r="Q60" s="31">
        <f>if(G60=13,1,0)+VLOOKUP(B60,'012024'!B:Q,16,false)</f>
        <v>0</v>
      </c>
      <c r="R60" s="31"/>
      <c r="S60" s="31">
        <f>if(G60=9,1,0)+VLOOKUP(B60,'012024'!B:S,18,false)</f>
        <v>3</v>
      </c>
    </row>
    <row r="61">
      <c r="A61" s="26">
        <f t="shared" si="3"/>
        <v>57</v>
      </c>
      <c r="B61" s="27" t="s">
        <v>56</v>
      </c>
      <c r="C61" s="28">
        <v>27.0</v>
      </c>
      <c r="D61" s="29">
        <v>0.0</v>
      </c>
      <c r="E61" s="79">
        <v>3.0</v>
      </c>
      <c r="F61" s="80">
        <v>0.0</v>
      </c>
      <c r="G61" s="77">
        <v>9.0</v>
      </c>
      <c r="H61" s="80">
        <v>0.0</v>
      </c>
      <c r="I61" s="80">
        <v>0.0</v>
      </c>
      <c r="J61" s="80">
        <v>0.0</v>
      </c>
      <c r="K61" s="81">
        <v>9.0</v>
      </c>
      <c r="L61" s="80">
        <v>0.0</v>
      </c>
      <c r="M61" s="28">
        <f t="shared" ref="M61:N61" si="58">C61+K61</f>
        <v>36</v>
      </c>
      <c r="N61" s="29">
        <f t="shared" si="58"/>
        <v>0</v>
      </c>
      <c r="O61" s="35" t="s">
        <v>46</v>
      </c>
      <c r="P61" s="35" t="s">
        <v>46</v>
      </c>
      <c r="Q61" s="31">
        <f>if(G61=13,1,0)+VLOOKUP(B61,'012024'!B:Q,16,false)</f>
        <v>0</v>
      </c>
      <c r="R61" s="31"/>
      <c r="S61" s="31">
        <f>if(G61=9,1,0)+VLOOKUP(B61,'012024'!B:S,18,false)</f>
        <v>4</v>
      </c>
    </row>
    <row r="62">
      <c r="A62" s="26">
        <f t="shared" si="3"/>
        <v>58</v>
      </c>
      <c r="B62" s="27" t="s">
        <v>114</v>
      </c>
      <c r="C62" s="28">
        <v>27.0</v>
      </c>
      <c r="D62" s="29">
        <v>0.0</v>
      </c>
      <c r="E62" s="79">
        <v>5.0</v>
      </c>
      <c r="F62" s="80">
        <v>0.0</v>
      </c>
      <c r="G62" s="77">
        <v>13.0</v>
      </c>
      <c r="H62" s="80">
        <v>0.0</v>
      </c>
      <c r="I62" s="80">
        <v>0.0</v>
      </c>
      <c r="J62" s="80">
        <v>0.0</v>
      </c>
      <c r="K62" s="81">
        <v>13.0</v>
      </c>
      <c r="L62" s="80">
        <v>0.0</v>
      </c>
      <c r="M62" s="28">
        <f t="shared" ref="M62:N62" si="59">C62+K62</f>
        <v>40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if(G62=13,1,0)+VLOOKUP(B62,'012024'!B:Q,16,false)</f>
        <v>1</v>
      </c>
      <c r="R62" s="31"/>
      <c r="S62" s="31">
        <f>if(G62=9,1,0)+VLOOKUP(B62,'012024'!B:S,18,false)</f>
        <v>3</v>
      </c>
    </row>
    <row r="63">
      <c r="A63" s="26">
        <f t="shared" si="3"/>
        <v>59</v>
      </c>
      <c r="B63" s="39" t="s">
        <v>124</v>
      </c>
      <c r="C63" s="28">
        <v>27.0</v>
      </c>
      <c r="D63" s="29">
        <v>0.0</v>
      </c>
      <c r="E63" s="79">
        <v>3.0</v>
      </c>
      <c r="F63" s="80">
        <v>0.0</v>
      </c>
      <c r="G63" s="77">
        <v>9.0</v>
      </c>
      <c r="H63" s="80">
        <v>0.0</v>
      </c>
      <c r="I63" s="80">
        <v>0.0</v>
      </c>
      <c r="J63" s="80">
        <v>0.0</v>
      </c>
      <c r="K63" s="81">
        <v>9.0</v>
      </c>
      <c r="L63" s="80">
        <v>0.0</v>
      </c>
      <c r="M63" s="28">
        <f t="shared" ref="M63:N63" si="60">C63+K63</f>
        <v>36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if(G63=13,1,0)+VLOOKUP(B63,'012024'!B:Q,16,false)</f>
        <v>0</v>
      </c>
      <c r="R63" s="31"/>
      <c r="S63" s="31">
        <f>if(G63=9,1,0)+VLOOKUP(B63,'012024'!B:S,18,false)</f>
        <v>4</v>
      </c>
    </row>
    <row r="64">
      <c r="A64" s="26">
        <f t="shared" si="3"/>
        <v>60</v>
      </c>
      <c r="B64" s="27" t="s">
        <v>115</v>
      </c>
      <c r="C64" s="28">
        <v>27.0</v>
      </c>
      <c r="D64" s="29">
        <v>0.0</v>
      </c>
      <c r="E64" s="79">
        <v>3.0</v>
      </c>
      <c r="F64" s="80">
        <v>0.0</v>
      </c>
      <c r="G64" s="77">
        <v>9.0</v>
      </c>
      <c r="H64" s="80">
        <v>0.0</v>
      </c>
      <c r="I64" s="80">
        <v>0.0</v>
      </c>
      <c r="J64" s="80">
        <v>0.0</v>
      </c>
      <c r="K64" s="81">
        <v>9.0</v>
      </c>
      <c r="L64" s="80">
        <v>0.0</v>
      </c>
      <c r="M64" s="28">
        <f t="shared" ref="M64:N64" si="61">C64+K64</f>
        <v>36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if(G64=13,1,0)+VLOOKUP(B64,'012024'!B:Q,16,false)</f>
        <v>0</v>
      </c>
      <c r="R64" s="31"/>
      <c r="S64" s="31">
        <f>if(G64=9,1,0)+VLOOKUP(B64,'012024'!B:S,18,false)</f>
        <v>4</v>
      </c>
    </row>
    <row r="65">
      <c r="A65" s="26">
        <f t="shared" si="3"/>
        <v>61</v>
      </c>
      <c r="B65" s="39" t="s">
        <v>125</v>
      </c>
      <c r="C65" s="28">
        <v>27.0</v>
      </c>
      <c r="D65" s="29">
        <v>0.0</v>
      </c>
      <c r="E65" s="79">
        <v>3.0</v>
      </c>
      <c r="F65" s="80">
        <v>0.0</v>
      </c>
      <c r="G65" s="77">
        <v>9.0</v>
      </c>
      <c r="H65" s="80">
        <v>0.0</v>
      </c>
      <c r="I65" s="80">
        <v>0.0</v>
      </c>
      <c r="J65" s="80">
        <v>0.0</v>
      </c>
      <c r="K65" s="81">
        <v>9.0</v>
      </c>
      <c r="L65" s="80">
        <v>0.0</v>
      </c>
      <c r="M65" s="28">
        <f t="shared" ref="M65:N65" si="62">C65+K65</f>
        <v>36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if(G65=13,1,0)+VLOOKUP(B65,'012024'!B:Q,16,false)</f>
        <v>0</v>
      </c>
      <c r="R65" s="31"/>
      <c r="S65" s="31">
        <f>if(G65=9,1,0)+VLOOKUP(B65,'012024'!B:S,18,false)</f>
        <v>3</v>
      </c>
    </row>
    <row r="66">
      <c r="A66" s="26">
        <f t="shared" si="3"/>
        <v>62</v>
      </c>
      <c r="B66" s="39" t="s">
        <v>127</v>
      </c>
      <c r="C66" s="28">
        <v>27.0</v>
      </c>
      <c r="D66" s="29">
        <v>0.0</v>
      </c>
      <c r="E66" s="79">
        <v>3.0</v>
      </c>
      <c r="F66" s="80">
        <v>0.0</v>
      </c>
      <c r="G66" s="77">
        <v>9.0</v>
      </c>
      <c r="H66" s="80">
        <v>0.0</v>
      </c>
      <c r="I66" s="80">
        <v>0.0</v>
      </c>
      <c r="J66" s="80">
        <v>0.0</v>
      </c>
      <c r="K66" s="81">
        <v>9.0</v>
      </c>
      <c r="L66" s="80">
        <v>0.0</v>
      </c>
      <c r="M66" s="28">
        <f t="shared" ref="M66:N66" si="63">C66+K66</f>
        <v>36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if(G66=13,1,0)+VLOOKUP(B66,'012024'!B:Q,16,false)</f>
        <v>0</v>
      </c>
      <c r="R66" s="31"/>
      <c r="S66" s="31">
        <f>if(G66=9,1,0)+VLOOKUP(B66,'012024'!B:S,18,false)</f>
        <v>4</v>
      </c>
    </row>
    <row r="67">
      <c r="A67" s="26">
        <f t="shared" si="3"/>
        <v>63</v>
      </c>
      <c r="B67" s="54" t="s">
        <v>89</v>
      </c>
      <c r="C67" s="28">
        <v>25.0</v>
      </c>
      <c r="D67" s="29">
        <v>2.0</v>
      </c>
      <c r="E67" s="79">
        <v>3.0</v>
      </c>
      <c r="F67" s="80">
        <v>0.0</v>
      </c>
      <c r="G67" s="77">
        <v>9.0</v>
      </c>
      <c r="H67" s="80">
        <v>0.0</v>
      </c>
      <c r="I67" s="80">
        <v>0.0</v>
      </c>
      <c r="J67" s="80">
        <v>0.0</v>
      </c>
      <c r="K67" s="81">
        <v>9.0</v>
      </c>
      <c r="L67" s="80">
        <v>0.0</v>
      </c>
      <c r="M67" s="28">
        <f t="shared" ref="M67:N67" si="64">C67+K67</f>
        <v>34</v>
      </c>
      <c r="N67" s="29">
        <f t="shared" si="64"/>
        <v>2</v>
      </c>
      <c r="O67" s="35" t="s">
        <v>46</v>
      </c>
      <c r="P67" s="35" t="s">
        <v>46</v>
      </c>
      <c r="Q67" s="31">
        <f>if(G67=13,1,0)+VLOOKUP(B67,'012024'!B:Q,16,false)</f>
        <v>0</v>
      </c>
      <c r="R67" s="31"/>
      <c r="S67" s="31">
        <f>if(G67=9,1,0)+VLOOKUP(B67,'012024'!B:S,18,false)</f>
        <v>1</v>
      </c>
    </row>
    <row r="68">
      <c r="A68" s="26">
        <f t="shared" si="3"/>
        <v>64</v>
      </c>
      <c r="B68" s="39" t="s">
        <v>97</v>
      </c>
      <c r="C68" s="28">
        <v>25.0</v>
      </c>
      <c r="D68" s="29">
        <v>1.0</v>
      </c>
      <c r="E68" s="79">
        <v>3.0</v>
      </c>
      <c r="F68" s="80">
        <v>0.0</v>
      </c>
      <c r="G68" s="77">
        <v>9.0</v>
      </c>
      <c r="H68" s="80">
        <v>0.0</v>
      </c>
      <c r="I68" s="80">
        <v>0.0</v>
      </c>
      <c r="J68" s="80">
        <v>0.0</v>
      </c>
      <c r="K68" s="81">
        <v>9.0</v>
      </c>
      <c r="L68" s="80">
        <v>0.0</v>
      </c>
      <c r="M68" s="28">
        <f t="shared" ref="M68:N68" si="65">C68+K68</f>
        <v>34</v>
      </c>
      <c r="N68" s="29">
        <f t="shared" si="65"/>
        <v>1</v>
      </c>
      <c r="O68" s="35" t="s">
        <v>46</v>
      </c>
      <c r="P68" s="35" t="s">
        <v>46</v>
      </c>
      <c r="Q68" s="31">
        <f>if(G68=13,1,0)+VLOOKUP(B68,'012024'!B:Q,16,false)</f>
        <v>0</v>
      </c>
      <c r="R68" s="31"/>
      <c r="S68" s="31">
        <f>if(G68=9,1,0)+VLOOKUP(B68,'012024'!B:S,18,false)</f>
        <v>1</v>
      </c>
    </row>
    <row r="69">
      <c r="A69" s="26">
        <f t="shared" si="3"/>
        <v>65</v>
      </c>
      <c r="B69" s="39" t="s">
        <v>106</v>
      </c>
      <c r="C69" s="28">
        <v>25.0</v>
      </c>
      <c r="D69" s="29">
        <v>1.0</v>
      </c>
      <c r="E69" s="79">
        <v>3.0</v>
      </c>
      <c r="F69" s="80">
        <v>0.0</v>
      </c>
      <c r="G69" s="77">
        <v>9.0</v>
      </c>
      <c r="H69" s="80">
        <v>0.0</v>
      </c>
      <c r="I69" s="80">
        <v>0.0</v>
      </c>
      <c r="J69" s="80">
        <v>0.0</v>
      </c>
      <c r="K69" s="81">
        <v>9.0</v>
      </c>
      <c r="L69" s="80">
        <v>0.0</v>
      </c>
      <c r="M69" s="28">
        <f t="shared" ref="M69:N69" si="66">C69+K69</f>
        <v>34</v>
      </c>
      <c r="N69" s="29">
        <f t="shared" si="66"/>
        <v>1</v>
      </c>
      <c r="O69" s="35" t="s">
        <v>46</v>
      </c>
      <c r="P69" s="35" t="s">
        <v>46</v>
      </c>
      <c r="Q69" s="31">
        <f>if(G69=13,1,0)+VLOOKUP(B69,'012024'!B:Q,16,false)</f>
        <v>0</v>
      </c>
      <c r="R69" s="31"/>
      <c r="S69" s="31">
        <f>if(G69=9,1,0)+VLOOKUP(B69,'012024'!B:S,18,false)</f>
        <v>3</v>
      </c>
    </row>
    <row r="70">
      <c r="A70" s="26">
        <f t="shared" si="3"/>
        <v>66</v>
      </c>
      <c r="B70" s="39" t="s">
        <v>126</v>
      </c>
      <c r="C70" s="28">
        <v>22.0</v>
      </c>
      <c r="D70" s="29">
        <v>0.0</v>
      </c>
      <c r="E70" s="79">
        <v>3.0</v>
      </c>
      <c r="F70" s="80">
        <v>0.0</v>
      </c>
      <c r="G70" s="77">
        <v>9.0</v>
      </c>
      <c r="H70" s="80">
        <v>0.0</v>
      </c>
      <c r="I70" s="80">
        <v>0.0</v>
      </c>
      <c r="J70" s="80">
        <v>0.0</v>
      </c>
      <c r="K70" s="81">
        <v>9.0</v>
      </c>
      <c r="L70" s="80">
        <v>0.0</v>
      </c>
      <c r="M70" s="28">
        <f t="shared" ref="M70:N70" si="67">C70+K70</f>
        <v>31</v>
      </c>
      <c r="N70" s="29">
        <f t="shared" si="67"/>
        <v>0</v>
      </c>
      <c r="O70" s="35" t="s">
        <v>46</v>
      </c>
      <c r="P70" s="35" t="s">
        <v>46</v>
      </c>
      <c r="Q70" s="31">
        <f>if(G70=13,1,0)+VLOOKUP(B70,'012024'!B:Q,16,false)</f>
        <v>0</v>
      </c>
      <c r="R70" s="31"/>
      <c r="S70" s="31">
        <f>if(G70=9,1,0)+VLOOKUP(B70,'012024'!B:S,18,false)</f>
        <v>3</v>
      </c>
    </row>
    <row r="71">
      <c r="A71" s="1"/>
      <c r="C71" s="1"/>
      <c r="D71" s="1"/>
      <c r="E71" s="1"/>
      <c r="P71" s="1"/>
    </row>
    <row r="72">
      <c r="A72" s="1"/>
      <c r="C72" s="1"/>
      <c r="D72" s="1"/>
      <c r="E72" s="1"/>
      <c r="P72" s="1"/>
    </row>
    <row r="73">
      <c r="A73" s="1"/>
      <c r="B73" s="56">
        <f>COUNTA(B5:B70)</f>
        <v>66</v>
      </c>
      <c r="C73" s="1"/>
      <c r="D73" s="1"/>
      <c r="E73" s="1"/>
      <c r="O73" s="13" t="s">
        <v>128</v>
      </c>
      <c r="P73" s="14">
        <f>COUNTA(P5:P70)</f>
        <v>66</v>
      </c>
    </row>
    <row r="74">
      <c r="A74" s="1"/>
      <c r="C74" s="1"/>
      <c r="D74" s="1"/>
      <c r="E74" s="1"/>
      <c r="O74" s="13" t="s">
        <v>129</v>
      </c>
      <c r="P74" s="14">
        <f>P75-P73</f>
        <v>0</v>
      </c>
    </row>
    <row r="75">
      <c r="A75" s="1"/>
      <c r="C75" s="1"/>
      <c r="D75" s="1"/>
      <c r="J75" s="41"/>
      <c r="K75" s="57"/>
      <c r="L75" s="58"/>
      <c r="O75" s="13" t="s">
        <v>53</v>
      </c>
      <c r="P75" s="14">
        <f>B73</f>
        <v>66</v>
      </c>
    </row>
    <row r="76">
      <c r="A76" s="1"/>
      <c r="C76" s="1"/>
      <c r="D76" s="1"/>
      <c r="E76" s="9" t="s">
        <v>130</v>
      </c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C78" s="1"/>
      <c r="D78" s="1"/>
      <c r="J78" s="41"/>
      <c r="K78" s="57"/>
      <c r="L78" s="58"/>
    </row>
    <row r="79">
      <c r="A79" s="1"/>
      <c r="B79" s="59" t="s">
        <v>131</v>
      </c>
      <c r="C79" s="59" t="s">
        <v>132</v>
      </c>
      <c r="D79" s="59" t="s">
        <v>133</v>
      </c>
      <c r="J79" s="41"/>
      <c r="K79" s="57"/>
      <c r="L79" s="58"/>
    </row>
    <row r="80">
      <c r="A80" s="1"/>
      <c r="B80" s="39" t="str">
        <f>IFERROR(__xludf.DUMMYFUNCTION("QUERY(B5:L70,""Select B, K, L where K &gt;= 18 order by K desc, L desc"",0)"),"Pavan Akkimsetty")</f>
        <v>Pavan Akkimsetty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K80" s="57"/>
      <c r="L80" s="58"/>
    </row>
    <row r="81">
      <c r="A81" s="1"/>
      <c r="B81" s="39" t="str">
        <f>IFERROR(__xludf.DUMMYFUNCTION("""COMPUTED_VALUE"""),"Adrian Tay")</f>
        <v>Adrian Tay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  <c r="L81" s="61"/>
    </row>
    <row r="82">
      <c r="A82" s="1"/>
      <c r="B82" s="39" t="str">
        <f>IFERROR(__xludf.DUMMYFUNCTION("""COMPUTED_VALUE"""),"Christopher Li")</f>
        <v>Christopher Li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IFERROR(__xludf.DUMMYFUNCTION("""COMPUTED_VALUE"""),"Tom Le")</f>
        <v>Tom Le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</row>
    <row r="84">
      <c r="A84" s="1"/>
      <c r="B84" s="39" t="str">
        <f>IFERROR(__xludf.DUMMYFUNCTION("""COMPUTED_VALUE"""),"Ted Shen")</f>
        <v>Ted Shen</v>
      </c>
      <c r="C84" s="60">
        <f>IFERROR(__xludf.DUMMYFUNCTION("""COMPUTED_VALUE"""),18.0)</f>
        <v>18</v>
      </c>
      <c r="D84" s="60">
        <f>IFERROR(__xludf.DUMMYFUNCTION("""COMPUTED_VALUE"""),2.0)</f>
        <v>2</v>
      </c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  <c r="K87" s="9"/>
    </row>
    <row r="88">
      <c r="A88" s="1"/>
      <c r="B88" s="39"/>
      <c r="C88" s="60"/>
      <c r="D88" s="60"/>
      <c r="E88" s="1"/>
    </row>
    <row r="89">
      <c r="A89" s="1"/>
      <c r="B89" s="39"/>
      <c r="C89" s="60"/>
      <c r="D89" s="60"/>
      <c r="E89" s="1"/>
    </row>
    <row r="90">
      <c r="A90" s="1"/>
      <c r="C90" s="1"/>
      <c r="D90" s="1"/>
      <c r="E90" s="1"/>
    </row>
    <row r="91">
      <c r="A91" s="1"/>
      <c r="B91" s="9" t="s">
        <v>135</v>
      </c>
      <c r="C91" s="1"/>
      <c r="D91" s="1"/>
      <c r="E91" s="1"/>
    </row>
    <row r="92">
      <c r="A92" s="1"/>
      <c r="B92" s="23" t="s">
        <v>29</v>
      </c>
      <c r="C92" s="24" t="s">
        <v>5</v>
      </c>
      <c r="D92" s="24" t="s">
        <v>7</v>
      </c>
      <c r="E92" s="24" t="s">
        <v>30</v>
      </c>
      <c r="F92" s="24" t="s">
        <v>31</v>
      </c>
      <c r="G92" s="24" t="s">
        <v>32</v>
      </c>
      <c r="H92" s="24" t="s">
        <v>11</v>
      </c>
      <c r="I92" s="24" t="s">
        <v>13</v>
      </c>
      <c r="J92" s="24" t="s">
        <v>14</v>
      </c>
      <c r="K92" s="24" t="s">
        <v>5</v>
      </c>
      <c r="L92" s="24" t="s">
        <v>7</v>
      </c>
      <c r="M92" s="25" t="s">
        <v>5</v>
      </c>
      <c r="N92" s="25" t="s">
        <v>7</v>
      </c>
    </row>
    <row r="93">
      <c r="A93" s="1"/>
      <c r="B93" s="62" t="str">
        <f>IFERROR(__xludf.DUMMYFUNCTION("QUERY(B5:N70, ""Select B, C, D, E, F, G, H, I, J, K, L, M, N   where F &gt;= 1"")"),"Sean Chang")</f>
        <v>Sean Chang</v>
      </c>
      <c r="C93" s="63">
        <f>IFERROR(__xludf.DUMMYFUNCTION("""COMPUTED_VALUE"""),46.0)</f>
        <v>46</v>
      </c>
      <c r="D93" s="64">
        <f>IFERROR(__xludf.DUMMYFUNCTION("""COMPUTED_VALUE"""),4.0)</f>
        <v>4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IFERROR(__xludf.DUMMYFUNCTION("""COMPUTED_VALUE"""),3.0)</f>
        <v>3</v>
      </c>
      <c r="I93" s="65">
        <f>IFERROR(__xludf.DUMMYFUNCTION("""COMPUTED_VALUE"""),3.0)</f>
        <v>3</v>
      </c>
      <c r="J93" s="65">
        <f>IFERROR(__xludf.DUMMYFUNCTION("""COMPUTED_VALUE"""),6.0)</f>
        <v>6</v>
      </c>
      <c r="K93" s="65">
        <f>IFERROR(__xludf.DUMMYFUNCTION("""COMPUTED_VALUE"""),12.0)</f>
        <v>12</v>
      </c>
      <c r="L93" s="65">
        <f>IFERROR(__xludf.DUMMYFUNCTION("""COMPUTED_VALUE"""),1.0)</f>
        <v>1</v>
      </c>
      <c r="M93" s="65">
        <f>IFERROR(__xludf.DUMMYFUNCTION("""COMPUTED_VALUE"""),58.0)</f>
        <v>58</v>
      </c>
      <c r="N93" s="66">
        <f>IFERROR(__xludf.DUMMYFUNCTION("""COMPUTED_VALUE"""),5.0)</f>
        <v>5</v>
      </c>
    </row>
    <row r="94">
      <c r="A94" s="1"/>
      <c r="B94" s="62" t="str">
        <f>IFERROR(__xludf.DUMMYFUNCTION("""COMPUTED_VALUE"""),"Mauricio Palacios")</f>
        <v>Mauricio Palacios</v>
      </c>
      <c r="C94" s="63">
        <f>IFERROR(__xludf.DUMMYFUNCTION("""COMPUTED_VALUE"""),42.0)</f>
        <v>42</v>
      </c>
      <c r="D94" s="64">
        <f>IFERROR(__xludf.DUMMYFUNCTION("""COMPUTED_VALUE"""),4.0)</f>
        <v>4</v>
      </c>
      <c r="E94" s="63">
        <f>IFERROR(__xludf.DUMMYFUNCTION("""COMPUTED_VALUE"""),2.0)</f>
        <v>2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IFERROR(__xludf.DUMMYFUNCTION("""COMPUTED_VALUE"""),3.0)</f>
        <v>3</v>
      </c>
      <c r="I94" s="65">
        <f>IFERROR(__xludf.DUMMYFUNCTION("""COMPUTED_VALUE"""),6.0)</f>
        <v>6</v>
      </c>
      <c r="J94" s="65">
        <f>IFERROR(__xludf.DUMMYFUNCTION("""COMPUTED_VALUE"""),3.0)</f>
        <v>3</v>
      </c>
      <c r="K94" s="65">
        <f>IFERROR(__xludf.DUMMYFUNCTION("""COMPUTED_VALUE"""),12.0)</f>
        <v>12</v>
      </c>
      <c r="L94" s="65">
        <f>IFERROR(__xludf.DUMMYFUNCTION("""COMPUTED_VALUE"""),1.0)</f>
        <v>1</v>
      </c>
      <c r="M94" s="65">
        <f>IFERROR(__xludf.DUMMYFUNCTION("""COMPUTED_VALUE"""),54.0)</f>
        <v>54</v>
      </c>
      <c r="N94" s="66">
        <f>IFERROR(__xludf.DUMMYFUNCTION("""COMPUTED_VALUE"""),5.0)</f>
        <v>5</v>
      </c>
    </row>
    <row r="95">
      <c r="A95" s="1"/>
      <c r="B95" s="62" t="str">
        <f>IFERROR(__xludf.DUMMYFUNCTION("""COMPUTED_VALUE"""),"Tony Wong")</f>
        <v>Tony Wong</v>
      </c>
      <c r="C95" s="63">
        <f>IFERROR(__xludf.DUMMYFUNCTION("""COMPUTED_VALUE"""),41.0)</f>
        <v>41</v>
      </c>
      <c r="D95" s="64">
        <f>IFERROR(__xludf.DUMMYFUNCTION("""COMPUTED_VALUE"""),4.0)</f>
        <v>4</v>
      </c>
      <c r="E95" s="63">
        <f>IFERROR(__xludf.DUMMYFUNCTION("""COMPUTED_VALUE"""),2.0)</f>
        <v>2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IFERROR(__xludf.DUMMYFUNCTION("""COMPUTED_VALUE"""),6.0)</f>
        <v>6</v>
      </c>
      <c r="I95" s="65">
        <f>IFERROR(__xludf.DUMMYFUNCTION("""COMPUTED_VALUE"""),3.0)</f>
        <v>3</v>
      </c>
      <c r="J95" s="65">
        <f>IFERROR(__xludf.DUMMYFUNCTION("""COMPUTED_VALUE"""),3.0)</f>
        <v>3</v>
      </c>
      <c r="K95" s="65">
        <f>IFERROR(__xludf.DUMMYFUNCTION("""COMPUTED_VALUE"""),12.0)</f>
        <v>12</v>
      </c>
      <c r="L95" s="65">
        <f>IFERROR(__xludf.DUMMYFUNCTION("""COMPUTED_VALUE"""),1.0)</f>
        <v>1</v>
      </c>
      <c r="M95" s="65">
        <f>IFERROR(__xludf.DUMMYFUNCTION("""COMPUTED_VALUE"""),53.0)</f>
        <v>53</v>
      </c>
      <c r="N95" s="66">
        <f>IFERROR(__xludf.DUMMYFUNCTION("""COMPUTED_VALUE"""),5.0)</f>
        <v>5</v>
      </c>
    </row>
    <row r="96">
      <c r="A96" s="1"/>
      <c r="B96" s="62" t="str">
        <f>IFERROR(__xludf.DUMMYFUNCTION("""COMPUTED_VALUE"""),"Pavan Akkimsetty")</f>
        <v>Pavan Akkimsetty</v>
      </c>
      <c r="C96" s="63">
        <f>IFERROR(__xludf.DUMMYFUNCTION("""COMPUTED_VALUE"""),40.0)</f>
        <v>40</v>
      </c>
      <c r="D96" s="64">
        <f>IFERROR(__xludf.DUMMYFUNCTION("""COMPUTED_VALUE"""),4.0)</f>
        <v>4</v>
      </c>
      <c r="E96" s="63">
        <f>IFERROR(__xludf.DUMMYFUNCTION("""COMPUTED_VALUE"""),1.0)</f>
        <v>1</v>
      </c>
      <c r="F96" s="65">
        <f>IFERROR(__xludf.DUMMYFUNCTION("""COMPUTED_VALUE"""),1.0)</f>
        <v>1</v>
      </c>
      <c r="G96" s="65">
        <f>IFERROR(__xludf.DUMMYFUNCTION("""COMPUTED_VALUE"""),0.0)</f>
        <v>0</v>
      </c>
      <c r="H96" s="65">
        <f>IFERROR(__xludf.DUMMYFUNCTION("""COMPUTED_VALUE"""),6.0)</f>
        <v>6</v>
      </c>
      <c r="I96" s="65">
        <f>IFERROR(__xludf.DUMMYFUNCTION("""COMPUTED_VALUE"""),6.0)</f>
        <v>6</v>
      </c>
      <c r="J96" s="65">
        <f>IFERROR(__xludf.DUMMYFUNCTION("""COMPUTED_VALUE"""),6.0)</f>
        <v>6</v>
      </c>
      <c r="K96" s="65">
        <f>IFERROR(__xludf.DUMMYFUNCTION("""COMPUTED_VALUE"""),18.0)</f>
        <v>18</v>
      </c>
      <c r="L96" s="65">
        <f>IFERROR(__xludf.DUMMYFUNCTION("""COMPUTED_VALUE"""),3.0)</f>
        <v>3</v>
      </c>
      <c r="M96" s="65">
        <f>IFERROR(__xludf.DUMMYFUNCTION("""COMPUTED_VALUE"""),58.0)</f>
        <v>58</v>
      </c>
      <c r="N96" s="66">
        <f>IFERROR(__xludf.DUMMYFUNCTION("""COMPUTED_VALUE"""),7.0)</f>
        <v>7</v>
      </c>
    </row>
    <row r="97">
      <c r="A97" s="1"/>
      <c r="B97" s="67" t="str">
        <f>IFERROR(__xludf.DUMMYFUNCTION("""COMPUTED_VALUE"""),"Eric Pan")</f>
        <v>Eric Pan</v>
      </c>
      <c r="C97" s="68">
        <f>IFERROR(__xludf.DUMMYFUNCTION("""COMPUTED_VALUE"""),40.0)</f>
        <v>40</v>
      </c>
      <c r="D97" s="69">
        <f>IFERROR(__xludf.DUMMYFUNCTION("""COMPUTED_VALUE"""),3.0)</f>
        <v>3</v>
      </c>
      <c r="E97" s="68">
        <f>IFERROR(__xludf.DUMMYFUNCTION("""COMPUTED_VALUE"""),2.0)</f>
        <v>2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IFERROR(__xludf.DUMMYFUNCTION("""COMPUTED_VALUE"""),3.0)</f>
        <v>3</v>
      </c>
      <c r="J97" s="70">
        <f>IFERROR(__xludf.DUMMYFUNCTION("""COMPUTED_VALUE"""),6.0)</f>
        <v>6</v>
      </c>
      <c r="K97" s="70">
        <f>IFERROR(__xludf.DUMMYFUNCTION("""COMPUTED_VALUE"""),15.0)</f>
        <v>15</v>
      </c>
      <c r="L97" s="70">
        <f>IFERROR(__xludf.DUMMYFUNCTION("""COMPUTED_VALUE"""),2.0)</f>
        <v>2</v>
      </c>
      <c r="M97" s="70">
        <f>IFERROR(__xludf.DUMMYFUNCTION("""COMPUTED_VALUE"""),55.0)</f>
        <v>55</v>
      </c>
      <c r="N97" s="71">
        <f>IFERROR(__xludf.DUMMYFUNCTION("""COMPUTED_VALUE"""),5.0)</f>
        <v>5</v>
      </c>
    </row>
    <row r="98">
      <c r="A98" s="1"/>
      <c r="B98" s="67" t="str">
        <f>IFERROR(__xludf.DUMMYFUNCTION("""COMPUTED_VALUE"""),"David Tam")</f>
        <v>David Tam</v>
      </c>
      <c r="C98" s="68">
        <f>IFERROR(__xludf.DUMMYFUNCTION("""COMPUTED_VALUE"""),39.0)</f>
        <v>39</v>
      </c>
      <c r="D98" s="69">
        <f>IFERROR(__xludf.DUMMYFUNCTION("""COMPUTED_VALUE"""),5.0)</f>
        <v>5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IFERROR(__xludf.DUMMYFUNCTION("""COMPUTED_VALUE"""),0.0)</f>
        <v>0</v>
      </c>
      <c r="I98" s="70">
        <f>IFERROR(__xludf.DUMMYFUNCTION("""COMPUTED_VALUE"""),3.0)</f>
        <v>3</v>
      </c>
      <c r="J98" s="70">
        <f>IFERROR(__xludf.DUMMYFUNCTION("""COMPUTED_VALUE"""),0.0)</f>
        <v>0</v>
      </c>
      <c r="K98" s="70">
        <f>IFERROR(__xludf.DUMMYFUNCTION("""COMPUTED_VALUE"""),3.0)</f>
        <v>3</v>
      </c>
      <c r="L98" s="70">
        <f>IFERROR(__xludf.DUMMYFUNCTION("""COMPUTED_VALUE"""),0.0)</f>
        <v>0</v>
      </c>
      <c r="M98" s="70">
        <f>IFERROR(__xludf.DUMMYFUNCTION("""COMPUTED_VALUE"""),42.0)</f>
        <v>42</v>
      </c>
      <c r="N98" s="71">
        <f>IFERROR(__xludf.DUMMYFUNCTION("""COMPUTED_VALUE"""),5.0)</f>
        <v>5</v>
      </c>
    </row>
    <row r="99">
      <c r="A99" s="1"/>
      <c r="B99" s="67" t="str">
        <f>IFERROR(__xludf.DUMMYFUNCTION("""COMPUTED_VALUE"""),"Joe Luzzi")</f>
        <v>Joe Luzzi</v>
      </c>
      <c r="C99" s="68">
        <f>IFERROR(__xludf.DUMMYFUNCTION("""COMPUTED_VALUE"""),39.0)</f>
        <v>39</v>
      </c>
      <c r="D99" s="69">
        <f>IFERROR(__xludf.DUMMYFUNCTION("""COMPUTED_VALUE"""),3.0)</f>
        <v>3</v>
      </c>
      <c r="E99" s="68">
        <f>IFERROR(__xludf.DUMMYFUNCTION("""COMPUTED_VALUE"""),2.0)</f>
        <v>2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IFERROR(__xludf.DUMMYFUNCTION("""COMPUTED_VALUE"""),0.0)</f>
        <v>0</v>
      </c>
      <c r="I99" s="70">
        <f>IFERROR(__xludf.DUMMYFUNCTION("""COMPUTED_VALUE"""),6.0)</f>
        <v>6</v>
      </c>
      <c r="J99" s="70">
        <f>IFERROR(__xludf.DUMMYFUNCTION("""COMPUTED_VALUE"""),6.0)</f>
        <v>6</v>
      </c>
      <c r="K99" s="70">
        <f>IFERROR(__xludf.DUMMYFUNCTION("""COMPUTED_VALUE"""),12.0)</f>
        <v>12</v>
      </c>
      <c r="L99" s="70">
        <f>IFERROR(__xludf.DUMMYFUNCTION("""COMPUTED_VALUE"""),2.0)</f>
        <v>2</v>
      </c>
      <c r="M99" s="70">
        <f>IFERROR(__xludf.DUMMYFUNCTION("""COMPUTED_VALUE"""),51.0)</f>
        <v>51</v>
      </c>
      <c r="N99" s="71">
        <f>IFERROR(__xludf.DUMMYFUNCTION("""COMPUTED_VALUE"""),5.0)</f>
        <v>5</v>
      </c>
    </row>
    <row r="100">
      <c r="A100" s="1"/>
      <c r="B100" s="67" t="str">
        <f>IFERROR(__xludf.DUMMYFUNCTION("""COMPUTED_VALUE"""),"David Shin")</f>
        <v>David Shin</v>
      </c>
      <c r="C100" s="68">
        <f>IFERROR(__xludf.DUMMYFUNCTION("""COMPUTED_VALUE"""),39.0)</f>
        <v>39</v>
      </c>
      <c r="D100" s="69">
        <f>IFERROR(__xludf.DUMMYFUNCTION("""COMPUTED_VALUE"""),2.0)</f>
        <v>2</v>
      </c>
      <c r="E100" s="68">
        <f>IFERROR(__xludf.DUMMYFUNCTION("""COMPUTED_VALUE"""),2.0)</f>
        <v>2</v>
      </c>
      <c r="F100" s="70">
        <f>IFERROR(__xludf.DUMMYFUNCTION("""COMPUTED_VALUE"""),2.0)</f>
        <v>2</v>
      </c>
      <c r="G100" s="70">
        <f>IFERROR(__xludf.DUMMYFUNCTION("""COMPUTED_VALUE"""),0.0)</f>
        <v>0</v>
      </c>
      <c r="H100" s="70">
        <f>IFERROR(__xludf.DUMMYFUNCTION("""COMPUTED_VALUE"""),6.0)</f>
        <v>6</v>
      </c>
      <c r="I100" s="70">
        <f>IFERROR(__xludf.DUMMYFUNCTION("""COMPUTED_VALUE"""),6.0)</f>
        <v>6</v>
      </c>
      <c r="J100" s="70">
        <f>IFERROR(__xludf.DUMMYFUNCTION("""COMPUTED_VALUE"""),0.0)</f>
        <v>0</v>
      </c>
      <c r="K100" s="70">
        <f>IFERROR(__xludf.DUMMYFUNCTION("""COMPUTED_VALUE"""),12.0)</f>
        <v>12</v>
      </c>
      <c r="L100" s="70">
        <f>IFERROR(__xludf.DUMMYFUNCTION("""COMPUTED_VALUE"""),2.0)</f>
        <v>2</v>
      </c>
      <c r="M100" s="70">
        <f>IFERROR(__xludf.DUMMYFUNCTION("""COMPUTED_VALUE"""),51.0)</f>
        <v>51</v>
      </c>
      <c r="N100" s="71">
        <f>IFERROR(__xludf.DUMMYFUNCTION("""COMPUTED_VALUE"""),4.0)</f>
        <v>4</v>
      </c>
    </row>
    <row r="101">
      <c r="A101" s="1"/>
      <c r="B101" s="62" t="str">
        <f>IFERROR(__xludf.DUMMYFUNCTION("""COMPUTED_VALUE"""),"Ted Shen")</f>
        <v>Ted Shen</v>
      </c>
      <c r="C101" s="63">
        <f>IFERROR(__xludf.DUMMYFUNCTION("""COMPUTED_VALUE"""),38.0)</f>
        <v>38</v>
      </c>
      <c r="D101" s="64">
        <f>IFERROR(__xludf.DUMMYFUNCTION("""COMPUTED_VALUE"""),2.0)</f>
        <v>2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IFERROR(__xludf.DUMMYFUNCTION("""COMPUTED_VALUE"""),6.0)</f>
        <v>6</v>
      </c>
      <c r="J101" s="65">
        <f>IFERROR(__xludf.DUMMYFUNCTION("""COMPUTED_VALUE"""),6.0)</f>
        <v>6</v>
      </c>
      <c r="K101" s="65">
        <f>IFERROR(__xludf.DUMMYFUNCTION("""COMPUTED_VALUE"""),18.0)</f>
        <v>18</v>
      </c>
      <c r="L101" s="65">
        <f>IFERROR(__xludf.DUMMYFUNCTION("""COMPUTED_VALUE"""),2.0)</f>
        <v>2</v>
      </c>
      <c r="M101" s="65">
        <f>IFERROR(__xludf.DUMMYFUNCTION("""COMPUTED_VALUE"""),56.0)</f>
        <v>56</v>
      </c>
      <c r="N101" s="66">
        <f>IFERROR(__xludf.DUMMYFUNCTION("""COMPUTED_VALUE"""),4.0)</f>
        <v>4</v>
      </c>
    </row>
    <row r="102">
      <c r="A102" s="1"/>
      <c r="B102" s="62" t="str">
        <f>IFERROR(__xludf.DUMMYFUNCTION("""COMPUTED_VALUE"""),"Andrew Wen")</f>
        <v>Andrew Wen</v>
      </c>
      <c r="C102" s="63">
        <f>IFERROR(__xludf.DUMMYFUNCTION("""COMPUTED_VALUE"""),37.0)</f>
        <v>37</v>
      </c>
      <c r="D102" s="64">
        <f>IFERROR(__xludf.DUMMYFUNCTION("""COMPUTED_VALUE"""),5.0)</f>
        <v>5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IFERROR(__xludf.DUMMYFUNCTION("""COMPUTED_VALUE"""),1.0)</f>
        <v>1</v>
      </c>
      <c r="J102" s="65">
        <f>IFERROR(__xludf.DUMMYFUNCTION("""COMPUTED_VALUE"""),0.0)</f>
        <v>0</v>
      </c>
      <c r="K102" s="65">
        <f>IFERROR(__xludf.DUMMYFUNCTION("""COMPUTED_VALUE"""),7.0)</f>
        <v>7</v>
      </c>
      <c r="L102" s="65">
        <f>IFERROR(__xludf.DUMMYFUNCTION("""COMPUTED_VALUE"""),0.0)</f>
        <v>0</v>
      </c>
      <c r="M102" s="65">
        <f>IFERROR(__xludf.DUMMYFUNCTION("""COMPUTED_VALUE"""),44.0)</f>
        <v>44</v>
      </c>
      <c r="N102" s="66">
        <f>IFERROR(__xludf.DUMMYFUNCTION("""COMPUTED_VALUE"""),5.0)</f>
        <v>5</v>
      </c>
    </row>
    <row r="103">
      <c r="A103" s="1"/>
      <c r="B103" s="62" t="str">
        <f>IFERROR(__xludf.DUMMYFUNCTION("""COMPUTED_VALUE"""),"Robert Chang")</f>
        <v>Robert Chang</v>
      </c>
      <c r="C103" s="63">
        <f>IFERROR(__xludf.DUMMYFUNCTION("""COMPUTED_VALUE"""),37.0)</f>
        <v>37</v>
      </c>
      <c r="D103" s="64">
        <f>IFERROR(__xludf.DUMMYFUNCTION("""COMPUTED_VALUE"""),2.0)</f>
        <v>2</v>
      </c>
      <c r="E103" s="63">
        <f>IFERROR(__xludf.DUMMYFUNCTION("""COMPUTED_VALUE"""),2.0)</f>
        <v>2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IFERROR(__xludf.DUMMYFUNCTION("""COMPUTED_VALUE"""),7.0)</f>
        <v>7</v>
      </c>
      <c r="I103" s="65">
        <f>IFERROR(__xludf.DUMMYFUNCTION("""COMPUTED_VALUE"""),6.0)</f>
        <v>6</v>
      </c>
      <c r="J103" s="65">
        <f>IFERROR(__xludf.DUMMYFUNCTION("""COMPUTED_VALUE"""),0.0)</f>
        <v>0</v>
      </c>
      <c r="K103" s="65">
        <f>IFERROR(__xludf.DUMMYFUNCTION("""COMPUTED_VALUE"""),13.0)</f>
        <v>13</v>
      </c>
      <c r="L103" s="65">
        <f>IFERROR(__xludf.DUMMYFUNCTION("""COMPUTED_VALUE"""),2.0)</f>
        <v>2</v>
      </c>
      <c r="M103" s="65">
        <f>IFERROR(__xludf.DUMMYFUNCTION("""COMPUTED_VALUE"""),50.0)</f>
        <v>50</v>
      </c>
      <c r="N103" s="66">
        <f>IFERROR(__xludf.DUMMYFUNCTION("""COMPUTED_VALUE"""),4.0)</f>
        <v>4</v>
      </c>
    </row>
    <row r="104">
      <c r="A104" s="1"/>
      <c r="B104" s="62" t="str">
        <f>IFERROR(__xludf.DUMMYFUNCTION("""COMPUTED_VALUE"""),"Jimmy Awolesi")</f>
        <v>Jimmy Awolesi</v>
      </c>
      <c r="C104" s="63">
        <f>IFERROR(__xludf.DUMMYFUNCTION("""COMPUTED_VALUE"""),36.0)</f>
        <v>36</v>
      </c>
      <c r="D104" s="64">
        <f>IFERROR(__xludf.DUMMYFUNCTION("""COMPUTED_VALUE"""),3.0)</f>
        <v>3</v>
      </c>
      <c r="E104" s="63">
        <f>IFERROR(__xludf.DUMMYFUNCTION("""COMPUTED_VALUE"""),1.0)</f>
        <v>1</v>
      </c>
      <c r="F104" s="65">
        <f>IFERROR(__xludf.DUMMYFUNCTION("""COMPUTED_VALUE"""),3.0)</f>
        <v>3</v>
      </c>
      <c r="G104" s="65">
        <f>IFERROR(__xludf.DUMMYFUNCTION("""COMPUTED_VALUE"""),0.0)</f>
        <v>0</v>
      </c>
      <c r="H104" s="65">
        <f>IFERROR(__xludf.DUMMYFUNCTION("""COMPUTED_VALUE"""),7.0)</f>
        <v>7</v>
      </c>
      <c r="I104" s="65">
        <f>IFERROR(__xludf.DUMMYFUNCTION("""COMPUTED_VALUE"""),1.0)</f>
        <v>1</v>
      </c>
      <c r="J104" s="65">
        <f>IFERROR(__xludf.DUMMYFUNCTION("""COMPUTED_VALUE"""),6.0)</f>
        <v>6</v>
      </c>
      <c r="K104" s="65">
        <f>IFERROR(__xludf.DUMMYFUNCTION("""COMPUTED_VALUE"""),14.0)</f>
        <v>14</v>
      </c>
      <c r="L104" s="65">
        <f>IFERROR(__xludf.DUMMYFUNCTION("""COMPUTED_VALUE"""),2.0)</f>
        <v>2</v>
      </c>
      <c r="M104" s="65">
        <f>IFERROR(__xludf.DUMMYFUNCTION("""COMPUTED_VALUE"""),50.0)</f>
        <v>50</v>
      </c>
      <c r="N104" s="66">
        <f>IFERROR(__xludf.DUMMYFUNCTION("""COMPUTED_VALUE"""),5.0)</f>
        <v>5</v>
      </c>
    </row>
    <row r="105">
      <c r="A105" s="1"/>
      <c r="B105" s="67" t="str">
        <f>IFERROR(__xludf.DUMMYFUNCTION("""COMPUTED_VALUE"""),"Adrian Tay")</f>
        <v>Adrian Tay</v>
      </c>
      <c r="C105" s="68">
        <f>IFERROR(__xludf.DUMMYFUNCTION("""COMPUTED_VALUE"""),36.0)</f>
        <v>36</v>
      </c>
      <c r="D105" s="69">
        <f>IFERROR(__xludf.DUMMYFUNCTION("""COMPUTED_VALUE"""),3.0)</f>
        <v>3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IFERROR(__xludf.DUMMYFUNCTION("""COMPUTED_VALUE"""),6.0)</f>
        <v>6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IFERROR(__xludf.DUMMYFUNCTION("""COMPUTED_VALUE"""),18.0)</f>
        <v>18</v>
      </c>
      <c r="L105" s="70">
        <f>IFERROR(__xludf.DUMMYFUNCTION("""COMPUTED_VALUE"""),3.0)</f>
        <v>3</v>
      </c>
      <c r="M105" s="70">
        <f>IFERROR(__xludf.DUMMYFUNCTION("""COMPUTED_VALUE"""),54.0)</f>
        <v>54</v>
      </c>
      <c r="N105" s="71">
        <f>IFERROR(__xludf.DUMMYFUNCTION("""COMPUTED_VALUE"""),6.0)</f>
        <v>6</v>
      </c>
    </row>
    <row r="106">
      <c r="A106" s="1"/>
      <c r="B106" s="67" t="str">
        <f>IFERROR(__xludf.DUMMYFUNCTION("""COMPUTED_VALUE"""),"Rajasekar Ramasamy")</f>
        <v>Rajasekar Ramasamy</v>
      </c>
      <c r="C106" s="68">
        <f>IFERROR(__xludf.DUMMYFUNCTION("""COMPUTED_VALUE"""),36.0)</f>
        <v>36</v>
      </c>
      <c r="D106" s="69">
        <f>IFERROR(__xludf.DUMMYFUNCTION("""COMPUTED_VALUE"""),2.0)</f>
        <v>2</v>
      </c>
      <c r="E106" s="68">
        <f>IFERROR(__xludf.DUMMYFUNCTION("""COMPUTED_VALUE"""),2.0)</f>
        <v>2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IFERROR(__xludf.DUMMYFUNCTION("""COMPUTED_VALUE"""),0.0)</f>
        <v>0</v>
      </c>
      <c r="I106" s="70">
        <f>IFERROR(__xludf.DUMMYFUNCTION("""COMPUTED_VALUE"""),2.0)</f>
        <v>2</v>
      </c>
      <c r="J106" s="70">
        <f>IFERROR(__xludf.DUMMYFUNCTION("""COMPUTED_VALUE"""),6.0)</f>
        <v>6</v>
      </c>
      <c r="K106" s="70">
        <f>IFERROR(__xludf.DUMMYFUNCTION("""COMPUTED_VALUE"""),8.0)</f>
        <v>8</v>
      </c>
      <c r="L106" s="70">
        <f>IFERROR(__xludf.DUMMYFUNCTION("""COMPUTED_VALUE"""),1.0)</f>
        <v>1</v>
      </c>
      <c r="M106" s="70">
        <f>IFERROR(__xludf.DUMMYFUNCTION("""COMPUTED_VALUE"""),44.0)</f>
        <v>44</v>
      </c>
      <c r="N106" s="71">
        <f>IFERROR(__xludf.DUMMYFUNCTION("""COMPUTED_VALUE"""),3.0)</f>
        <v>3</v>
      </c>
    </row>
    <row r="107">
      <c r="A107" s="1"/>
      <c r="B107" s="67" t="str">
        <f>IFERROR(__xludf.DUMMYFUNCTION("""COMPUTED_VALUE"""),"Ramesh Bandaru")</f>
        <v>Ramesh Bandaru</v>
      </c>
      <c r="C107" s="68">
        <f>IFERROR(__xludf.DUMMYFUNCTION("""COMPUTED_VALUE"""),36.0)</f>
        <v>36</v>
      </c>
      <c r="D107" s="69">
        <f>IFERROR(__xludf.DUMMYFUNCTION("""COMPUTED_VALUE"""),1.0)</f>
        <v>1</v>
      </c>
      <c r="E107" s="68">
        <f>IFERROR(__xludf.DUMMYFUNCTION("""COMPUTED_VALUE"""),1.0)</f>
        <v>1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IFERROR(__xludf.DUMMYFUNCTION("""COMPUTED_VALUE"""),0.0)</f>
        <v>0</v>
      </c>
      <c r="I107" s="70">
        <f>IFERROR(__xludf.DUMMYFUNCTION("""COMPUTED_VALUE"""),6.0)</f>
        <v>6</v>
      </c>
      <c r="J107" s="70">
        <f>IFERROR(__xludf.DUMMYFUNCTION("""COMPUTED_VALUE"""),0.0)</f>
        <v>0</v>
      </c>
      <c r="K107" s="70">
        <f>IFERROR(__xludf.DUMMYFUNCTION("""COMPUTED_VALUE"""),6.0)</f>
        <v>6</v>
      </c>
      <c r="L107" s="70">
        <f>IFERROR(__xludf.DUMMYFUNCTION("""COMPUTED_VALUE"""),1.0)</f>
        <v>1</v>
      </c>
      <c r="M107" s="70">
        <f>IFERROR(__xludf.DUMMYFUNCTION("""COMPUTED_VALUE"""),42.0)</f>
        <v>42</v>
      </c>
      <c r="N107" s="71">
        <f>IFERROR(__xludf.DUMMYFUNCTION("""COMPUTED_VALUE"""),2.0)</f>
        <v>2</v>
      </c>
    </row>
    <row r="108">
      <c r="A108" s="1"/>
      <c r="B108" s="67" t="str">
        <f>IFERROR(__xludf.DUMMYFUNCTION("""COMPUTED_VALUE"""),"Chinna Ponnaganti")</f>
        <v>Chinna Ponnaganti</v>
      </c>
      <c r="C108" s="68">
        <f>IFERROR(__xludf.DUMMYFUNCTION("""COMPUTED_VALUE"""),35.0)</f>
        <v>35</v>
      </c>
      <c r="D108" s="69">
        <f>IFERROR(__xludf.DUMMYFUNCTION("""COMPUTED_VALUE"""),2.0)</f>
        <v>2</v>
      </c>
      <c r="E108" s="68">
        <f>IFERROR(__xludf.DUMMYFUNCTION("""COMPUTED_VALUE"""),2.0)</f>
        <v>2</v>
      </c>
      <c r="F108" s="70">
        <f>IFERROR(__xludf.DUMMYFUNCTION("""COMPUTED_VALUE"""),4.0)</f>
        <v>4</v>
      </c>
      <c r="G108" s="70">
        <f>IFERROR(__xludf.DUMMYFUNCTION("""COMPUTED_VALUE"""),0.0)</f>
        <v>0</v>
      </c>
      <c r="H108" s="70">
        <f>IFERROR(__xludf.DUMMYFUNCTION("""COMPUTED_VALUE"""),6.0)</f>
        <v>6</v>
      </c>
      <c r="I108" s="70">
        <f>IFERROR(__xludf.DUMMYFUNCTION("""COMPUTED_VALUE"""),2.0)</f>
        <v>2</v>
      </c>
      <c r="J108" s="70">
        <f>IFERROR(__xludf.DUMMYFUNCTION("""COMPUTED_VALUE"""),0.0)</f>
        <v>0</v>
      </c>
      <c r="K108" s="70">
        <f>IFERROR(__xludf.DUMMYFUNCTION("""COMPUTED_VALUE"""),8.0)</f>
        <v>8</v>
      </c>
      <c r="L108" s="70">
        <f>IFERROR(__xludf.DUMMYFUNCTION("""COMPUTED_VALUE"""),1.0)</f>
        <v>1</v>
      </c>
      <c r="M108" s="70">
        <f>IFERROR(__xludf.DUMMYFUNCTION("""COMPUTED_VALUE"""),43.0)</f>
        <v>43</v>
      </c>
      <c r="N108" s="71">
        <f>IFERROR(__xludf.DUMMYFUNCTION("""COMPUTED_VALUE"""),3.0)</f>
        <v>3</v>
      </c>
    </row>
    <row r="109">
      <c r="A109" s="1"/>
      <c r="B109" s="62" t="str">
        <f>IFERROR(__xludf.DUMMYFUNCTION("""COMPUTED_VALUE"""),"Manish Anand")</f>
        <v>Manish Anand</v>
      </c>
      <c r="C109" s="63">
        <f>IFERROR(__xludf.DUMMYFUNCTION("""COMPUTED_VALUE"""),35.0)</f>
        <v>35</v>
      </c>
      <c r="D109" s="64">
        <f>IFERROR(__xludf.DUMMYFUNCTION("""COMPUTED_VALUE"""),1.0)</f>
        <v>1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IFERROR(__xludf.DUMMYFUNCTION("""COMPUTED_VALUE"""),1.0)</f>
        <v>1</v>
      </c>
      <c r="J109" s="65">
        <f>IFERROR(__xludf.DUMMYFUNCTION("""COMPUTED_VALUE"""),6.0)</f>
        <v>6</v>
      </c>
      <c r="K109" s="65">
        <f>IFERROR(__xludf.DUMMYFUNCTION("""COMPUTED_VALUE"""),13.0)</f>
        <v>13</v>
      </c>
      <c r="L109" s="65">
        <f>IFERROR(__xludf.DUMMYFUNCTION("""COMPUTED_VALUE"""),2.0)</f>
        <v>2</v>
      </c>
      <c r="M109" s="65">
        <f>IFERROR(__xludf.DUMMYFUNCTION("""COMPUTED_VALUE"""),48.0)</f>
        <v>48</v>
      </c>
      <c r="N109" s="66">
        <f>IFERROR(__xludf.DUMMYFUNCTION("""COMPUTED_VALUE"""),3.0)</f>
        <v>3</v>
      </c>
    </row>
    <row r="110">
      <c r="A110" s="1"/>
      <c r="B110" s="62" t="str">
        <f>IFERROR(__xludf.DUMMYFUNCTION("""COMPUTED_VALUE"""),"Peter Cheng")</f>
        <v>Peter Cheng</v>
      </c>
      <c r="C110" s="63">
        <f>IFERROR(__xludf.DUMMYFUNCTION("""COMPUTED_VALUE"""),35.0)</f>
        <v>35</v>
      </c>
      <c r="D110" s="64">
        <f>IFERROR(__xludf.DUMMYFUNCTION("""COMPUTED_VALUE"""),0.0)</f>
        <v>0</v>
      </c>
      <c r="E110" s="63">
        <f>IFERROR(__xludf.DUMMYFUNCTION("""COMPUTED_VALUE"""),2.0)</f>
        <v>2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IFERROR(__xludf.DUMMYFUNCTION("""COMPUTED_VALUE"""),6.0)</f>
        <v>6</v>
      </c>
      <c r="I110" s="65">
        <f>IFERROR(__xludf.DUMMYFUNCTION("""COMPUTED_VALUE"""),6.0)</f>
        <v>6</v>
      </c>
      <c r="J110" s="65">
        <f>IFERROR(__xludf.DUMMYFUNCTION("""COMPUTED_VALUE"""),1.0)</f>
        <v>1</v>
      </c>
      <c r="K110" s="65">
        <f>IFERROR(__xludf.DUMMYFUNCTION("""COMPUTED_VALUE"""),13.0)</f>
        <v>13</v>
      </c>
      <c r="L110" s="65">
        <f>IFERROR(__xludf.DUMMYFUNCTION("""COMPUTED_VALUE"""),2.0)</f>
        <v>2</v>
      </c>
      <c r="M110" s="65">
        <f>IFERROR(__xludf.DUMMYFUNCTION("""COMPUTED_VALUE"""),48.0)</f>
        <v>48</v>
      </c>
      <c r="N110" s="66">
        <f>IFERROR(__xludf.DUMMYFUNCTION("""COMPUTED_VALUE"""),2.0)</f>
        <v>2</v>
      </c>
    </row>
    <row r="111">
      <c r="A111" s="1"/>
      <c r="B111" s="62" t="str">
        <f>IFERROR(__xludf.DUMMYFUNCTION("""COMPUTED_VALUE"""),"Matthew Huang")</f>
        <v>Matthew Huang</v>
      </c>
      <c r="C111" s="63">
        <f>IFERROR(__xludf.DUMMYFUNCTION("""COMPUTED_VALUE"""),35.0)</f>
        <v>35</v>
      </c>
      <c r="D111" s="64">
        <f>IFERROR(__xludf.DUMMYFUNCTION("""COMPUTED_VALUE"""),0.0)</f>
        <v>0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IFERROR(__xludf.DUMMYFUNCTION("""COMPUTED_VALUE"""),3.0)</f>
        <v>3</v>
      </c>
      <c r="I111" s="65">
        <f>IFERROR(__xludf.DUMMYFUNCTION("""COMPUTED_VALUE"""),6.0)</f>
        <v>6</v>
      </c>
      <c r="J111" s="65">
        <f>IFERROR(__xludf.DUMMYFUNCTION("""COMPUTED_VALUE"""),6.0)</f>
        <v>6</v>
      </c>
      <c r="K111" s="65">
        <f>IFERROR(__xludf.DUMMYFUNCTION("""COMPUTED_VALUE"""),15.0)</f>
        <v>15</v>
      </c>
      <c r="L111" s="65">
        <f>IFERROR(__xludf.DUMMYFUNCTION("""COMPUTED_VALUE"""),2.0)</f>
        <v>2</v>
      </c>
      <c r="M111" s="65">
        <f>IFERROR(__xludf.DUMMYFUNCTION("""COMPUTED_VALUE"""),50.0)</f>
        <v>50</v>
      </c>
      <c r="N111" s="66">
        <f>IFERROR(__xludf.DUMMYFUNCTION("""COMPUTED_VALUE"""),2.0)</f>
        <v>2</v>
      </c>
    </row>
    <row r="112">
      <c r="A112" s="1"/>
      <c r="B112" s="62" t="str">
        <f>IFERROR(__xludf.DUMMYFUNCTION("""COMPUTED_VALUE"""),"Nohely Mejia")</f>
        <v>Nohely Mejia</v>
      </c>
      <c r="C112" s="63">
        <f>IFERROR(__xludf.DUMMYFUNCTION("""COMPUTED_VALUE"""),35.0)</f>
        <v>35</v>
      </c>
      <c r="D112" s="64">
        <f>IFERROR(__xludf.DUMMYFUNCTION("""COMPUTED_VALUE"""),0.0)</f>
        <v>0</v>
      </c>
      <c r="E112" s="63">
        <f>IFERROR(__xludf.DUMMYFUNCTION("""COMPUTED_VALUE"""),2.0)</f>
        <v>2</v>
      </c>
      <c r="F112" s="65">
        <f>IFERROR(__xludf.DUMMYFUNCTION("""COMPUTED_VALUE"""),5.0)</f>
        <v>5</v>
      </c>
      <c r="G112" s="65">
        <f>IFERROR(__xludf.DUMMYFUNCTION("""COMPUTED_VALUE"""),0.0)</f>
        <v>0</v>
      </c>
      <c r="H112" s="65">
        <f>IFERROR(__xludf.DUMMYFUNCTION("""COMPUTED_VALUE"""),3.0)</f>
        <v>3</v>
      </c>
      <c r="I112" s="65">
        <f>IFERROR(__xludf.DUMMYFUNCTION("""COMPUTED_VALUE"""),1.0)</f>
        <v>1</v>
      </c>
      <c r="J112" s="65">
        <f>IFERROR(__xludf.DUMMYFUNCTION("""COMPUTED_VALUE"""),1.0)</f>
        <v>1</v>
      </c>
      <c r="K112" s="65">
        <f>IFERROR(__xludf.DUMMYFUNCTION("""COMPUTED_VALUE"""),5.0)</f>
        <v>5</v>
      </c>
      <c r="L112" s="65">
        <f>IFERROR(__xludf.DUMMYFUNCTION("""COMPUTED_VALUE"""),0.0)</f>
        <v>0</v>
      </c>
      <c r="M112" s="65">
        <f>IFERROR(__xludf.DUMMYFUNCTION("""COMPUTED_VALUE"""),40.0)</f>
        <v>40</v>
      </c>
      <c r="N112" s="66">
        <f>IFERROR(__xludf.DUMMYFUNCTION("""COMPUTED_VALUE"""),0.0)</f>
        <v>0</v>
      </c>
    </row>
    <row r="113">
      <c r="A113" s="1"/>
      <c r="B113" s="67" t="str">
        <f>IFERROR(__xludf.DUMMYFUNCTION("""COMPUTED_VALUE"""),"Elayaraja Thangaraj ")</f>
        <v>Elayaraja Thangaraj </v>
      </c>
      <c r="C113" s="68">
        <f>IFERROR(__xludf.DUMMYFUNCTION("""COMPUTED_VALUE"""),34.0)</f>
        <v>34</v>
      </c>
      <c r="D113" s="69">
        <f>IFERROR(__xludf.DUMMYFUNCTION("""COMPUTED_VALUE"""),3.0)</f>
        <v>3</v>
      </c>
      <c r="E113" s="68">
        <f>IFERROR(__xludf.DUMMYFUNCTION("""COMPUTED_VALUE"""),2.0)</f>
        <v>2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IFERROR(__xludf.DUMMYFUNCTION("""COMPUTED_VALUE"""),2.0)</f>
        <v>2</v>
      </c>
      <c r="I113" s="70">
        <f>IFERROR(__xludf.DUMMYFUNCTION("""COMPUTED_VALUE"""),3.0)</f>
        <v>3</v>
      </c>
      <c r="J113" s="70">
        <f>IFERROR(__xludf.DUMMYFUNCTION("""COMPUTED_VALUE"""),6.0)</f>
        <v>6</v>
      </c>
      <c r="K113" s="70">
        <f>IFERROR(__xludf.DUMMYFUNCTION("""COMPUTED_VALUE"""),11.0)</f>
        <v>11</v>
      </c>
      <c r="L113" s="70">
        <f>IFERROR(__xludf.DUMMYFUNCTION("""COMPUTED_VALUE"""),1.0)</f>
        <v>1</v>
      </c>
      <c r="M113" s="70">
        <f>IFERROR(__xludf.DUMMYFUNCTION("""COMPUTED_VALUE"""),45.0)</f>
        <v>45</v>
      </c>
      <c r="N113" s="71">
        <f>IFERROR(__xludf.DUMMYFUNCTION("""COMPUTED_VALUE"""),4.0)</f>
        <v>4</v>
      </c>
    </row>
    <row r="114">
      <c r="A114" s="1"/>
      <c r="B114" s="67" t="str">
        <f>IFERROR(__xludf.DUMMYFUNCTION("""COMPUTED_VALUE"""),"Sudhagar Subbaian")</f>
        <v>Sudhagar Subbaian</v>
      </c>
      <c r="C114" s="68">
        <f>IFERROR(__xludf.DUMMYFUNCTION("""COMPUTED_VALUE"""),34.0)</f>
        <v>34</v>
      </c>
      <c r="D114" s="69">
        <f>IFERROR(__xludf.DUMMYFUNCTION("""COMPUTED_VALUE"""),2.0)</f>
        <v>2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IFERROR(__xludf.DUMMYFUNCTION("""COMPUTED_VALUE"""),2.0)</f>
        <v>2</v>
      </c>
      <c r="I114" s="70">
        <f>IFERROR(__xludf.DUMMYFUNCTION("""COMPUTED_VALUE"""),6.0)</f>
        <v>6</v>
      </c>
      <c r="J114" s="70">
        <f>IFERROR(__xludf.DUMMYFUNCTION("""COMPUTED_VALUE"""),3.0)</f>
        <v>3</v>
      </c>
      <c r="K114" s="70">
        <f>IFERROR(__xludf.DUMMYFUNCTION("""COMPUTED_VALUE"""),11.0)</f>
        <v>11</v>
      </c>
      <c r="L114" s="70">
        <f>IFERROR(__xludf.DUMMYFUNCTION("""COMPUTED_VALUE"""),1.0)</f>
        <v>1</v>
      </c>
      <c r="M114" s="70">
        <f>IFERROR(__xludf.DUMMYFUNCTION("""COMPUTED_VALUE"""),45.0)</f>
        <v>45</v>
      </c>
      <c r="N114" s="71">
        <f>IFERROR(__xludf.DUMMYFUNCTION("""COMPUTED_VALUE"""),3.0)</f>
        <v>3</v>
      </c>
    </row>
    <row r="115">
      <c r="A115" s="1"/>
      <c r="B115" s="67" t="str">
        <f>IFERROR(__xludf.DUMMYFUNCTION("""COMPUTED_VALUE"""),"Christopher Li")</f>
        <v>Christopher Li</v>
      </c>
      <c r="C115" s="68">
        <f>IFERROR(__xludf.DUMMYFUNCTION("""COMPUTED_VALUE"""),32.0)</f>
        <v>32</v>
      </c>
      <c r="D115" s="69">
        <f>IFERROR(__xludf.DUMMYFUNCTION("""COMPUTED_VALUE"""),2.0)</f>
        <v>2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IFERROR(__xludf.DUMMYFUNCTION("""COMPUTED_VALUE"""),6.0)</f>
        <v>6</v>
      </c>
      <c r="I115" s="70">
        <f>IFERROR(__xludf.DUMMYFUNCTION("""COMPUTED_VALUE"""),6.0)</f>
        <v>6</v>
      </c>
      <c r="J115" s="70">
        <f>IFERROR(__xludf.DUMMYFUNCTION("""COMPUTED_VALUE"""),6.0)</f>
        <v>6</v>
      </c>
      <c r="K115" s="70">
        <f>IFERROR(__xludf.DUMMYFUNCTION("""COMPUTED_VALUE"""),18.0)</f>
        <v>18</v>
      </c>
      <c r="L115" s="70">
        <f>IFERROR(__xludf.DUMMYFUNCTION("""COMPUTED_VALUE"""),3.0)</f>
        <v>3</v>
      </c>
      <c r="M115" s="70">
        <f>IFERROR(__xludf.DUMMYFUNCTION("""COMPUTED_VALUE"""),50.0)</f>
        <v>50</v>
      </c>
      <c r="N115" s="71">
        <f>IFERROR(__xludf.DUMMYFUNCTION("""COMPUTED_VALUE"""),5.0)</f>
        <v>5</v>
      </c>
    </row>
    <row r="116">
      <c r="A116" s="1"/>
      <c r="B116" s="67" t="str">
        <f>IFERROR(__xludf.DUMMYFUNCTION("""COMPUTED_VALUE"""),"Peter Homsey")</f>
        <v>Peter Homsey</v>
      </c>
      <c r="C116" s="68">
        <f>IFERROR(__xludf.DUMMYFUNCTION("""COMPUTED_VALUE"""),32.0)</f>
        <v>32</v>
      </c>
      <c r="D116" s="69">
        <f>IFERROR(__xludf.DUMMYFUNCTION("""COMPUTED_VALUE"""),2.0)</f>
        <v>2</v>
      </c>
      <c r="E116" s="68">
        <f>IFERROR(__xludf.DUMMYFUNCTION("""COMPUTED_VALUE"""),1.0)</f>
        <v>1</v>
      </c>
      <c r="F116" s="70">
        <f>IFERROR(__xludf.DUMMYFUNCTION("""COMPUTED_VALUE"""),6.0)</f>
        <v>6</v>
      </c>
      <c r="G116" s="70">
        <f>IFERROR(__xludf.DUMMYFUNCTION("""COMPUTED_VALUE"""),0.0)</f>
        <v>0</v>
      </c>
      <c r="H116" s="70">
        <f>IFERROR(__xludf.DUMMYFUNCTION("""COMPUTED_VALUE"""),6.0)</f>
        <v>6</v>
      </c>
      <c r="I116" s="70">
        <f>IFERROR(__xludf.DUMMYFUNCTION("""COMPUTED_VALUE"""),3.0)</f>
        <v>3</v>
      </c>
      <c r="J116" s="70">
        <f>IFERROR(__xludf.DUMMYFUNCTION("""COMPUTED_VALUE"""),3.0)</f>
        <v>3</v>
      </c>
      <c r="K116" s="70">
        <f>IFERROR(__xludf.DUMMYFUNCTION("""COMPUTED_VALUE"""),12.0)</f>
        <v>12</v>
      </c>
      <c r="L116" s="70">
        <f>IFERROR(__xludf.DUMMYFUNCTION("""COMPUTED_VALUE"""),1.0)</f>
        <v>1</v>
      </c>
      <c r="M116" s="70">
        <f>IFERROR(__xludf.DUMMYFUNCTION("""COMPUTED_VALUE"""),44.0)</f>
        <v>44</v>
      </c>
      <c r="N116" s="71">
        <f>IFERROR(__xludf.DUMMYFUNCTION("""COMPUTED_VALUE"""),3.0)</f>
        <v>3</v>
      </c>
    </row>
    <row r="117">
      <c r="A117" s="1"/>
      <c r="B117" s="62" t="str">
        <f>IFERROR(__xludf.DUMMYFUNCTION("""COMPUTED_VALUE"""),"Manuel Rivera")</f>
        <v>Manuel Rivera</v>
      </c>
      <c r="C117" s="63">
        <f>IFERROR(__xludf.DUMMYFUNCTION("""COMPUTED_VALUE"""),32.0)</f>
        <v>32</v>
      </c>
      <c r="D117" s="64">
        <f>IFERROR(__xludf.DUMMYFUNCTION("""COMPUTED_VALUE"""),1.0)</f>
        <v>1</v>
      </c>
      <c r="E117" s="63">
        <f>IFERROR(__xludf.DUMMYFUNCTION("""COMPUTED_VALUE"""),2.0)</f>
        <v>2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IFERROR(__xludf.DUMMYFUNCTION("""COMPUTED_VALUE"""),2.0)</f>
        <v>2</v>
      </c>
      <c r="I117" s="65">
        <f>IFERROR(__xludf.DUMMYFUNCTION("""COMPUTED_VALUE"""),6.0)</f>
        <v>6</v>
      </c>
      <c r="J117" s="65">
        <f>IFERROR(__xludf.DUMMYFUNCTION("""COMPUTED_VALUE"""),6.0)</f>
        <v>6</v>
      </c>
      <c r="K117" s="65">
        <f>IFERROR(__xludf.DUMMYFUNCTION("""COMPUTED_VALUE"""),14.0)</f>
        <v>14</v>
      </c>
      <c r="L117" s="65">
        <f>IFERROR(__xludf.DUMMYFUNCTION("""COMPUTED_VALUE"""),2.0)</f>
        <v>2</v>
      </c>
      <c r="M117" s="65">
        <f>IFERROR(__xludf.DUMMYFUNCTION("""COMPUTED_VALUE"""),46.0)</f>
        <v>46</v>
      </c>
      <c r="N117" s="66">
        <f>IFERROR(__xludf.DUMMYFUNCTION("""COMPUTED_VALUE"""),3.0)</f>
        <v>3</v>
      </c>
    </row>
    <row r="118">
      <c r="A118" s="1"/>
      <c r="B118" s="62" t="str">
        <f>IFERROR(__xludf.DUMMYFUNCTION("""COMPUTED_VALUE"""),"Vinaya Kajla")</f>
        <v>Vinaya Kajla</v>
      </c>
      <c r="C118" s="63">
        <f>IFERROR(__xludf.DUMMYFUNCTION("""COMPUTED_VALUE"""),32.0)</f>
        <v>32</v>
      </c>
      <c r="D118" s="64">
        <f>IFERROR(__xludf.DUMMYFUNCTION("""COMPUTED_VALUE"""),1.0)</f>
        <v>1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IFERROR(__xludf.DUMMYFUNCTION("""COMPUTED_VALUE"""),2.0)</f>
        <v>2</v>
      </c>
      <c r="I118" s="65">
        <f>IFERROR(__xludf.DUMMYFUNCTION("""COMPUTED_VALUE"""),1.0)</f>
        <v>1</v>
      </c>
      <c r="J118" s="65">
        <f>IFERROR(__xludf.DUMMYFUNCTION("""COMPUTED_VALUE"""),1.0)</f>
        <v>1</v>
      </c>
      <c r="K118" s="65">
        <f>IFERROR(__xludf.DUMMYFUNCTION("""COMPUTED_VALUE"""),4.0)</f>
        <v>4</v>
      </c>
      <c r="L118" s="65">
        <f>IFERROR(__xludf.DUMMYFUNCTION("""COMPUTED_VALUE"""),0.0)</f>
        <v>0</v>
      </c>
      <c r="M118" s="65">
        <f>IFERROR(__xludf.DUMMYFUNCTION("""COMPUTED_VALUE"""),36.0)</f>
        <v>36</v>
      </c>
      <c r="N118" s="66">
        <f>IFERROR(__xludf.DUMMYFUNCTION("""COMPUTED_VALUE"""),1.0)</f>
        <v>1</v>
      </c>
    </row>
    <row r="119">
      <c r="A119" s="1"/>
      <c r="B119" s="62" t="str">
        <f>IFERROR(__xludf.DUMMYFUNCTION("""COMPUTED_VALUE"""),"Scott Li")</f>
        <v>Scott Li</v>
      </c>
      <c r="C119" s="63">
        <f>IFERROR(__xludf.DUMMYFUNCTION("""COMPUTED_VALUE"""),31.0)</f>
        <v>31</v>
      </c>
      <c r="D119" s="64">
        <f>IFERROR(__xludf.DUMMYFUNCTION("""COMPUTED_VALUE"""),2.0)</f>
        <v>2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IFERROR(__xludf.DUMMYFUNCTION("""COMPUTED_VALUE"""),6.0)</f>
        <v>6</v>
      </c>
      <c r="I119" s="65">
        <f>IFERROR(__xludf.DUMMYFUNCTION("""COMPUTED_VALUE"""),1.0)</f>
        <v>1</v>
      </c>
      <c r="J119" s="65">
        <f>IFERROR(__xludf.DUMMYFUNCTION("""COMPUTED_VALUE"""),6.0)</f>
        <v>6</v>
      </c>
      <c r="K119" s="65">
        <f>IFERROR(__xludf.DUMMYFUNCTION("""COMPUTED_VALUE"""),13.0)</f>
        <v>13</v>
      </c>
      <c r="L119" s="65">
        <f>IFERROR(__xludf.DUMMYFUNCTION("""COMPUTED_VALUE"""),2.0)</f>
        <v>2</v>
      </c>
      <c r="M119" s="65">
        <f>IFERROR(__xludf.DUMMYFUNCTION("""COMPUTED_VALUE"""),44.0)</f>
        <v>44</v>
      </c>
      <c r="N119" s="66">
        <f>IFERROR(__xludf.DUMMYFUNCTION("""COMPUTED_VALUE"""),4.0)</f>
        <v>4</v>
      </c>
    </row>
    <row r="120">
      <c r="A120" s="1"/>
      <c r="B120" s="62" t="str">
        <f>IFERROR(__xludf.DUMMYFUNCTION("""COMPUTED_VALUE"""),"Naveen Raj")</f>
        <v>Naveen Raj</v>
      </c>
      <c r="C120" s="63">
        <f>IFERROR(__xludf.DUMMYFUNCTION("""COMPUTED_VALUE"""),30.0)</f>
        <v>30</v>
      </c>
      <c r="D120" s="64">
        <f>IFERROR(__xludf.DUMMYFUNCTION("""COMPUTED_VALUE"""),2.0)</f>
        <v>2</v>
      </c>
      <c r="E120" s="63">
        <f>IFERROR(__xludf.DUMMYFUNCTION("""COMPUTED_VALUE"""),1.0)</f>
        <v>1</v>
      </c>
      <c r="F120" s="65">
        <f>IFERROR(__xludf.DUMMYFUNCTION("""COMPUTED_VALUE"""),7.0)</f>
        <v>7</v>
      </c>
      <c r="G120" s="65">
        <f>IFERROR(__xludf.DUMMYFUNCTION("""COMPUTED_VALUE"""),0.0)</f>
        <v>0</v>
      </c>
      <c r="H120" s="65">
        <f>IFERROR(__xludf.DUMMYFUNCTION("""COMPUTED_VALUE"""),6.0)</f>
        <v>6</v>
      </c>
      <c r="I120" s="65">
        <f>IFERROR(__xludf.DUMMYFUNCTION("""COMPUTED_VALUE"""),6.0)</f>
        <v>6</v>
      </c>
      <c r="J120" s="65">
        <f>IFERROR(__xludf.DUMMYFUNCTION("""COMPUTED_VALUE"""),1.0)</f>
        <v>1</v>
      </c>
      <c r="K120" s="65">
        <f>IFERROR(__xludf.DUMMYFUNCTION("""COMPUTED_VALUE"""),13.0)</f>
        <v>13</v>
      </c>
      <c r="L120" s="65">
        <f>IFERROR(__xludf.DUMMYFUNCTION("""COMPUTED_VALUE"""),2.0)</f>
        <v>2</v>
      </c>
      <c r="M120" s="65">
        <f>IFERROR(__xludf.DUMMYFUNCTION("""COMPUTED_VALUE"""),43.0)</f>
        <v>43</v>
      </c>
      <c r="N120" s="66">
        <f>IFERROR(__xludf.DUMMYFUNCTION("""COMPUTED_VALUE"""),4.0)</f>
        <v>4</v>
      </c>
    </row>
    <row r="121">
      <c r="A121" s="1"/>
      <c r="B121" s="67" t="str">
        <f>IFERROR(__xludf.DUMMYFUNCTION("""COMPUTED_VALUE"""),"Kumar Palakeel")</f>
        <v>Kumar Palakeel</v>
      </c>
      <c r="C121" s="68">
        <f>IFERROR(__xludf.DUMMYFUNCTION("""COMPUTED_VALUE"""),28.0)</f>
        <v>28</v>
      </c>
      <c r="D121" s="69">
        <f>IFERROR(__xludf.DUMMYFUNCTION("""COMPUTED_VALUE"""),2.0)</f>
        <v>2</v>
      </c>
      <c r="E121" s="68">
        <f>IFERROR(__xludf.DUMMYFUNCTION("""COMPUTED_VALUE"""),1.0)</f>
        <v>1</v>
      </c>
      <c r="F121" s="70">
        <f>IFERROR(__xludf.DUMMYFUNCTION("""COMPUTED_VALUE"""),8.0)</f>
        <v>8</v>
      </c>
      <c r="G121" s="70">
        <f>IFERROR(__xludf.DUMMYFUNCTION("""COMPUTED_VALUE"""),0.0)</f>
        <v>0</v>
      </c>
      <c r="H121" s="70">
        <f>IFERROR(__xludf.DUMMYFUNCTION("""COMPUTED_VALUE"""),6.0)</f>
        <v>6</v>
      </c>
      <c r="I121" s="70">
        <f>IFERROR(__xludf.DUMMYFUNCTION("""COMPUTED_VALUE"""),0.0)</f>
        <v>0</v>
      </c>
      <c r="J121" s="70">
        <f>IFERROR(__xludf.DUMMYFUNCTION("""COMPUTED_VALUE"""),3.0)</f>
        <v>3</v>
      </c>
      <c r="K121" s="70">
        <f>IFERROR(__xludf.DUMMYFUNCTION("""COMPUTED_VALUE"""),9.0)</f>
        <v>9</v>
      </c>
      <c r="L121" s="70">
        <f>IFERROR(__xludf.DUMMYFUNCTION("""COMPUTED_VALUE"""),1.0)</f>
        <v>1</v>
      </c>
      <c r="M121" s="70">
        <f>IFERROR(__xludf.DUMMYFUNCTION("""COMPUTED_VALUE"""),37.0)</f>
        <v>37</v>
      </c>
      <c r="N121" s="71">
        <f>IFERROR(__xludf.DUMMYFUNCTION("""COMPUTED_VALUE"""),3.0)</f>
        <v>3</v>
      </c>
    </row>
    <row r="122">
      <c r="A122" s="1"/>
      <c r="B122" s="67" t="str">
        <f>IFERROR(__xludf.DUMMYFUNCTION("""COMPUTED_VALUE"""),"Eric Tan")</f>
        <v>Eric Tan</v>
      </c>
      <c r="C122" s="68">
        <f>IFERROR(__xludf.DUMMYFUNCTION("""COMPUTED_VALUE"""),28.0)</f>
        <v>28</v>
      </c>
      <c r="D122" s="69">
        <f>IFERROR(__xludf.DUMMYFUNCTION("""COMPUTED_VALUE"""),2.0)</f>
        <v>2</v>
      </c>
      <c r="E122" s="68">
        <f>IFERROR(__xludf.DUMMYFUNCTION("""COMPUTED_VALUE"""),1.0)</f>
        <v>1</v>
      </c>
      <c r="F122" s="70">
        <f>IFERROR(__xludf.DUMMYFUNCTION("""COMPUTED_VALUE"""),8.0)</f>
        <v>8</v>
      </c>
      <c r="G122" s="70">
        <f>IFERROR(__xludf.DUMMYFUNCTION("""COMPUTED_VALUE"""),0.0)</f>
        <v>0</v>
      </c>
      <c r="H122" s="70">
        <f>IFERROR(__xludf.DUMMYFUNCTION("""COMPUTED_VALUE"""),3.0)</f>
        <v>3</v>
      </c>
      <c r="I122" s="70">
        <f>IFERROR(__xludf.DUMMYFUNCTION("""COMPUTED_VALUE"""),0.0)</f>
        <v>0</v>
      </c>
      <c r="J122" s="70">
        <f>IFERROR(__xludf.DUMMYFUNCTION("""COMPUTED_VALUE"""),6.0)</f>
        <v>6</v>
      </c>
      <c r="K122" s="70">
        <f>IFERROR(__xludf.DUMMYFUNCTION("""COMPUTED_VALUE"""),9.0)</f>
        <v>9</v>
      </c>
      <c r="L122" s="70">
        <f>IFERROR(__xludf.DUMMYFUNCTION("""COMPUTED_VALUE"""),1.0)</f>
        <v>1</v>
      </c>
      <c r="M122" s="70">
        <f>IFERROR(__xludf.DUMMYFUNCTION("""COMPUTED_VALUE"""),37.0)</f>
        <v>37</v>
      </c>
      <c r="N122" s="71">
        <f>IFERROR(__xludf.DUMMYFUNCTION("""COMPUTED_VALUE"""),3.0)</f>
        <v>3</v>
      </c>
    </row>
    <row r="123">
      <c r="A123" s="1"/>
      <c r="B123" s="67" t="str">
        <f>IFERROR(__xludf.DUMMYFUNCTION("""COMPUTED_VALUE"""),"Vamsi Lolla ")</f>
        <v>Vamsi Lolla </v>
      </c>
      <c r="C123" s="68">
        <f>IFERROR(__xludf.DUMMYFUNCTION("""COMPUTED_VALUE"""),27.0)</f>
        <v>27</v>
      </c>
      <c r="D123" s="69">
        <f>IFERROR(__xludf.DUMMYFUNCTION("""COMPUTED_VALUE"""),1.0)</f>
        <v>1</v>
      </c>
      <c r="E123" s="68">
        <f>IFERROR(__xludf.DUMMYFUNCTION("""COMPUTED_VALUE"""),1.0)</f>
        <v>1</v>
      </c>
      <c r="F123" s="70">
        <f>IFERROR(__xludf.DUMMYFUNCTION("""COMPUTED_VALUE"""),8.0)</f>
        <v>8</v>
      </c>
      <c r="G123" s="70">
        <f>IFERROR(__xludf.DUMMYFUNCTION("""COMPUTED_VALUE"""),0.0)</f>
        <v>0</v>
      </c>
      <c r="H123" s="70">
        <f>IFERROR(__xludf.DUMMYFUNCTION("""COMPUTED_VALUE"""),3.0)</f>
        <v>3</v>
      </c>
      <c r="I123" s="70">
        <f>IFERROR(__xludf.DUMMYFUNCTION("""COMPUTED_VALUE"""),6.0)</f>
        <v>6</v>
      </c>
      <c r="J123" s="70">
        <f>IFERROR(__xludf.DUMMYFUNCTION("""COMPUTED_VALUE"""),3.0)</f>
        <v>3</v>
      </c>
      <c r="K123" s="70">
        <f>IFERROR(__xludf.DUMMYFUNCTION("""COMPUTED_VALUE"""),12.0)</f>
        <v>12</v>
      </c>
      <c r="L123" s="70">
        <f>IFERROR(__xludf.DUMMYFUNCTION("""COMPUTED_VALUE"""),1.0)</f>
        <v>1</v>
      </c>
      <c r="M123" s="70">
        <f>IFERROR(__xludf.DUMMYFUNCTION("""COMPUTED_VALUE"""),39.0)</f>
        <v>39</v>
      </c>
      <c r="N123" s="71">
        <f>IFERROR(__xludf.DUMMYFUNCTION("""COMPUTED_VALUE"""),2.0)</f>
        <v>2</v>
      </c>
    </row>
    <row r="124">
      <c r="A124" s="1"/>
      <c r="B124" s="67" t="str">
        <f>IFERROR(__xludf.DUMMYFUNCTION("""COMPUTED_VALUE"""),"Tom Le")</f>
        <v>Tom Le</v>
      </c>
      <c r="C124" s="68">
        <f>IFERROR(__xludf.DUMMYFUNCTION("""COMPUTED_VALUE"""),27.0)</f>
        <v>27</v>
      </c>
      <c r="D124" s="69">
        <f>IFERROR(__xludf.DUMMYFUNCTION("""COMPUTED_VALUE"""),0.0)</f>
        <v>0</v>
      </c>
      <c r="E124" s="68">
        <f>IFERROR(__xludf.DUMMYFUNCTION("""COMPUTED_VALUE"""),1.0)</f>
        <v>1</v>
      </c>
      <c r="F124" s="70">
        <f>IFERROR(__xludf.DUMMYFUNCTION("""COMPUTED_VALUE"""),8.0)</f>
        <v>8</v>
      </c>
      <c r="G124" s="70">
        <f>IFERROR(__xludf.DUMMYFUNCTION("""COMPUTED_VALUE"""),0.0)</f>
        <v>0</v>
      </c>
      <c r="H124" s="70">
        <f>IFERROR(__xludf.DUMMYFUNCTION("""COMPUTED_VALUE"""),6.0)</f>
        <v>6</v>
      </c>
      <c r="I124" s="70">
        <f>IFERROR(__xludf.DUMMYFUNCTION("""COMPUTED_VALUE"""),6.0)</f>
        <v>6</v>
      </c>
      <c r="J124" s="70">
        <f>IFERROR(__xludf.DUMMYFUNCTION("""COMPUTED_VALUE"""),6.0)</f>
        <v>6</v>
      </c>
      <c r="K124" s="70">
        <f>IFERROR(__xludf.DUMMYFUNCTION("""COMPUTED_VALUE"""),18.0)</f>
        <v>18</v>
      </c>
      <c r="L124" s="70">
        <f>IFERROR(__xludf.DUMMYFUNCTION("""COMPUTED_VALUE"""),3.0)</f>
        <v>3</v>
      </c>
      <c r="M124" s="70">
        <f>IFERROR(__xludf.DUMMYFUNCTION("""COMPUTED_VALUE"""),45.0)</f>
        <v>45</v>
      </c>
      <c r="N124" s="71">
        <f>IFERROR(__xludf.DUMMYFUNCTION("""COMPUTED_VALUE"""),3.0)</f>
        <v>3</v>
      </c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B135" s="9" t="s">
        <v>136</v>
      </c>
      <c r="C135" s="1"/>
      <c r="D135" s="1"/>
      <c r="E135" s="1"/>
    </row>
    <row r="136">
      <c r="A136" s="1"/>
      <c r="B136" s="23" t="s">
        <v>29</v>
      </c>
      <c r="C136" s="24" t="s">
        <v>5</v>
      </c>
      <c r="D136" s="24" t="s">
        <v>7</v>
      </c>
      <c r="E136" s="24" t="s">
        <v>30</v>
      </c>
      <c r="F136" s="24" t="s">
        <v>31</v>
      </c>
      <c r="G136" s="24" t="s">
        <v>32</v>
      </c>
      <c r="H136" s="24" t="s">
        <v>11</v>
      </c>
      <c r="I136" s="24" t="s">
        <v>13</v>
      </c>
      <c r="J136" s="24" t="s">
        <v>14</v>
      </c>
      <c r="K136" s="24" t="s">
        <v>5</v>
      </c>
      <c r="L136" s="24" t="s">
        <v>7</v>
      </c>
      <c r="M136" s="25" t="s">
        <v>5</v>
      </c>
      <c r="N136" s="25" t="s">
        <v>7</v>
      </c>
    </row>
    <row r="137">
      <c r="A137" s="1"/>
      <c r="B137" s="62" t="str">
        <f>IFERROR(__xludf.DUMMYFUNCTION("QUERY(B5:N70, ""Select B, C, D, E, F, G, H, I, J, K, L, M, N   where F = 0"")"),"Suleman Alidina")</f>
        <v>Suleman Alidina</v>
      </c>
      <c r="C137" s="63">
        <f>IFERROR(__xludf.DUMMYFUNCTION("""COMPUTED_VALUE"""),45.0)</f>
        <v>45</v>
      </c>
      <c r="D137" s="64">
        <f>IFERROR(__xludf.DUMMYFUNCTION("""COMPUTED_VALUE"""),5.0)</f>
        <v>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IFERROR(__xludf.DUMMYFUNCTION("""COMPUTED_VALUE"""),54.0)</f>
        <v>54</v>
      </c>
      <c r="N137" s="66">
        <f>IFERROR(__xludf.DUMMYFUNCTION("""COMPUTED_VALUE"""),5.0)</f>
        <v>5</v>
      </c>
    </row>
    <row r="138">
      <c r="A138" s="1"/>
      <c r="B138" s="62" t="str">
        <f>IFERROR(__xludf.DUMMYFUNCTION("""COMPUTED_VALUE"""),"Oscar Bonilla")</f>
        <v>Oscar Bonilla</v>
      </c>
      <c r="C138" s="63">
        <f>IFERROR(__xludf.DUMMYFUNCTION("""COMPUTED_VALUE"""),45.0)</f>
        <v>45</v>
      </c>
      <c r="D138" s="64">
        <f>IFERROR(__xludf.DUMMYFUNCTION("""COMPUTED_VALUE"""),5.0)</f>
        <v>5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IFERROR(__xludf.DUMMYFUNCTION("""COMPUTED_VALUE"""),9.0)</f>
        <v>9</v>
      </c>
      <c r="L138" s="65">
        <f>IFERROR(__xludf.DUMMYFUNCTION("""COMPUTED_VALUE"""),0.0)</f>
        <v>0</v>
      </c>
      <c r="M138" s="65">
        <f>IFERROR(__xludf.DUMMYFUNCTION("""COMPUTED_VALUE"""),54.0)</f>
        <v>54</v>
      </c>
      <c r="N138" s="66">
        <f>IFERROR(__xludf.DUMMYFUNCTION("""COMPUTED_VALUE"""),5.0)</f>
        <v>5</v>
      </c>
    </row>
    <row r="139">
      <c r="A139" s="1"/>
      <c r="B139" s="62" t="str">
        <f>IFERROR(__xludf.DUMMYFUNCTION("""COMPUTED_VALUE"""),"Balaji Alahari")</f>
        <v>Balaji Alahari</v>
      </c>
      <c r="C139" s="63">
        <f>IFERROR(__xludf.DUMMYFUNCTION("""COMPUTED_VALUE"""),44.0)</f>
        <v>44</v>
      </c>
      <c r="D139" s="64">
        <f>IFERROR(__xludf.DUMMYFUNCTION("""COMPUTED_VALUE"""),5.0)</f>
        <v>5</v>
      </c>
      <c r="E139" s="63">
        <f>IFERROR(__xludf.DUMMYFUNCTION("""COMPUTED_VALUE"""),5.0)</f>
        <v>5</v>
      </c>
      <c r="F139" s="65">
        <f>IFERROR(__xludf.DUMMYFUNCTION("""COMPUTED_VALUE"""),0.0)</f>
        <v>0</v>
      </c>
      <c r="G139" s="65">
        <f>IFERROR(__xludf.DUMMYFUNCTION("""COMPUTED_VALUE"""),13.0)</f>
        <v>13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IFERROR(__xludf.DUMMYFUNCTION("""COMPUTED_VALUE"""),13.0)</f>
        <v>13</v>
      </c>
      <c r="L139" s="65">
        <f>IFERROR(__xludf.DUMMYFUNCTION("""COMPUTED_VALUE"""),0.0)</f>
        <v>0</v>
      </c>
      <c r="M139" s="65">
        <f>IFERROR(__xludf.DUMMYFUNCTION("""COMPUTED_VALUE"""),57.0)</f>
        <v>57</v>
      </c>
      <c r="N139" s="66">
        <f>IFERROR(__xludf.DUMMYFUNCTION("""COMPUTED_VALUE"""),5.0)</f>
        <v>5</v>
      </c>
    </row>
    <row r="140">
      <c r="A140" s="1"/>
      <c r="B140" s="62" t="str">
        <f>IFERROR(__xludf.DUMMYFUNCTION("""COMPUTED_VALUE"""),"Jonathan Phan")</f>
        <v>Jonathan Phan</v>
      </c>
      <c r="C140" s="63">
        <f>IFERROR(__xludf.DUMMYFUNCTION("""COMPUTED_VALUE"""),44.0)</f>
        <v>44</v>
      </c>
      <c r="D140" s="64">
        <f>IFERROR(__xludf.DUMMYFUNCTION("""COMPUTED_VALUE"""),5.0)</f>
        <v>5</v>
      </c>
      <c r="E140" s="63">
        <f>IFERROR(__xludf.DUMMYFUNCTION("""COMPUTED_VALUE"""),5.0)</f>
        <v>5</v>
      </c>
      <c r="F140" s="65">
        <f>IFERROR(__xludf.DUMMYFUNCTION("""COMPUTED_VALUE"""),0.0)</f>
        <v>0</v>
      </c>
      <c r="G140" s="65">
        <f>IFERROR(__xludf.DUMMYFUNCTION("""COMPUTED_VALUE"""),13.0)</f>
        <v>13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IFERROR(__xludf.DUMMYFUNCTION("""COMPUTED_VALUE"""),13.0)</f>
        <v>13</v>
      </c>
      <c r="L140" s="65">
        <f>IFERROR(__xludf.DUMMYFUNCTION("""COMPUTED_VALUE"""),0.0)</f>
        <v>0</v>
      </c>
      <c r="M140" s="65">
        <f>IFERROR(__xludf.DUMMYFUNCTION("""COMPUTED_VALUE"""),57.0)</f>
        <v>57</v>
      </c>
      <c r="N140" s="66">
        <f>IFERROR(__xludf.DUMMYFUNCTION("""COMPUTED_VALUE"""),5.0)</f>
        <v>5</v>
      </c>
    </row>
    <row r="141">
      <c r="A141" s="1"/>
      <c r="B141" s="62" t="str">
        <f>IFERROR(__xludf.DUMMYFUNCTION("""COMPUTED_VALUE"""),"Alejandro Mejia")</f>
        <v>Alejandro Mejia</v>
      </c>
      <c r="C141" s="63">
        <f>IFERROR(__xludf.DUMMYFUNCTION("""COMPUTED_VALUE"""),43.0)</f>
        <v>43</v>
      </c>
      <c r="D141" s="64">
        <f>IFERROR(__xludf.DUMMYFUNCTION("""COMPUTED_VALUE"""),4.0)</f>
        <v>4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IFERROR(__xludf.DUMMYFUNCTION("""COMPUTED_VALUE"""),52.0)</f>
        <v>52</v>
      </c>
      <c r="N141" s="66">
        <f>IFERROR(__xludf.DUMMYFUNCTION("""COMPUTED_VALUE"""),4.0)</f>
        <v>4</v>
      </c>
    </row>
    <row r="142">
      <c r="A142" s="1"/>
      <c r="B142" s="62" t="str">
        <f>IFERROR(__xludf.DUMMYFUNCTION("""COMPUTED_VALUE"""),"Anish Kumar")</f>
        <v>Anish Kumar</v>
      </c>
      <c r="C142" s="63">
        <f>IFERROR(__xludf.DUMMYFUNCTION("""COMPUTED_VALUE"""),42.0)</f>
        <v>42</v>
      </c>
      <c r="D142" s="64">
        <f>IFERROR(__xludf.DUMMYFUNCTION("""COMPUTED_VALUE"""),3.0)</f>
        <v>3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IFERROR(__xludf.DUMMYFUNCTION("""COMPUTED_VALUE"""),51.0)</f>
        <v>51</v>
      </c>
      <c r="N142" s="66">
        <f>IFERROR(__xludf.DUMMYFUNCTION("""COMPUTED_VALUE"""),3.0)</f>
        <v>3</v>
      </c>
    </row>
    <row r="143">
      <c r="A143" s="1"/>
      <c r="B143" s="62" t="str">
        <f>IFERROR(__xludf.DUMMYFUNCTION("""COMPUTED_VALUE"""),"Kingsley Kuo")</f>
        <v>Kingsley Kuo</v>
      </c>
      <c r="C143" s="63">
        <f>IFERROR(__xludf.DUMMYFUNCTION("""COMPUTED_VALUE"""),41.0)</f>
        <v>41</v>
      </c>
      <c r="D143" s="64">
        <f>IFERROR(__xludf.DUMMYFUNCTION("""COMPUTED_VALUE"""),5.0)</f>
        <v>5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IFERROR(__xludf.DUMMYFUNCTION("""COMPUTED_VALUE"""),50.0)</f>
        <v>50</v>
      </c>
      <c r="N143" s="66">
        <f>IFERROR(__xludf.DUMMYFUNCTION("""COMPUTED_VALUE"""),5.0)</f>
        <v>5</v>
      </c>
    </row>
    <row r="144">
      <c r="A144" s="1"/>
      <c r="B144" s="62" t="str">
        <f>IFERROR(__xludf.DUMMYFUNCTION("""COMPUTED_VALUE"""),"Erik Hoeckmann")</f>
        <v>Erik Hoeckmann</v>
      </c>
      <c r="C144" s="63">
        <f>IFERROR(__xludf.DUMMYFUNCTION("""COMPUTED_VALUE"""),40.0)</f>
        <v>40</v>
      </c>
      <c r="D144" s="64">
        <f>IFERROR(__xludf.DUMMYFUNCTION("""COMPUTED_VALUE"""),6.0)</f>
        <v>6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IFERROR(__xludf.DUMMYFUNCTION("""COMPUTED_VALUE"""),49.0)</f>
        <v>49</v>
      </c>
      <c r="N144" s="66">
        <f>IFERROR(__xludf.DUMMYFUNCTION("""COMPUTED_VALUE"""),6.0)</f>
        <v>6</v>
      </c>
    </row>
    <row r="145">
      <c r="A145" s="1"/>
      <c r="B145" s="62" t="str">
        <f>IFERROR(__xludf.DUMMYFUNCTION("""COMPUTED_VALUE"""),"Andrew Chin")</f>
        <v>Andrew Chin</v>
      </c>
      <c r="C145" s="63">
        <f>IFERROR(__xludf.DUMMYFUNCTION("""COMPUTED_VALUE"""),40.0)</f>
        <v>40</v>
      </c>
      <c r="D145" s="64">
        <f>IFERROR(__xludf.DUMMYFUNCTION("""COMPUTED_VALUE"""),5.0)</f>
        <v>5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IFERROR(__xludf.DUMMYFUNCTION("""COMPUTED_VALUE"""),49.0)</f>
        <v>49</v>
      </c>
      <c r="N145" s="66">
        <f>IFERROR(__xludf.DUMMYFUNCTION("""COMPUTED_VALUE"""),5.0)</f>
        <v>5</v>
      </c>
    </row>
    <row r="146">
      <c r="A146" s="1"/>
      <c r="B146" s="62" t="str">
        <f>IFERROR(__xludf.DUMMYFUNCTION("""COMPUTED_VALUE"""),"Santosh Sundaresan ")</f>
        <v>Santosh Sundaresan </v>
      </c>
      <c r="C146" s="63">
        <f>IFERROR(__xludf.DUMMYFUNCTION("""COMPUTED_VALUE"""),39.0)</f>
        <v>39</v>
      </c>
      <c r="D146" s="64">
        <f>IFERROR(__xludf.DUMMYFUNCTION("""COMPUTED_VALUE"""),2.0)</f>
        <v>2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IFERROR(__xludf.DUMMYFUNCTION("""COMPUTED_VALUE"""),48.0)</f>
        <v>48</v>
      </c>
      <c r="N146" s="66">
        <f>IFERROR(__xludf.DUMMYFUNCTION("""COMPUTED_VALUE"""),2.0)</f>
        <v>2</v>
      </c>
    </row>
    <row r="147">
      <c r="A147" s="1"/>
      <c r="B147" s="62" t="str">
        <f>IFERROR(__xludf.DUMMYFUNCTION("""COMPUTED_VALUE"""),"Savay Lieu")</f>
        <v>Savay Lieu</v>
      </c>
      <c r="C147" s="63">
        <f>IFERROR(__xludf.DUMMYFUNCTION("""COMPUTED_VALUE"""),38.0)</f>
        <v>38</v>
      </c>
      <c r="D147" s="64">
        <f>IFERROR(__xludf.DUMMYFUNCTION("""COMPUTED_VALUE"""),3.0)</f>
        <v>3</v>
      </c>
      <c r="E147" s="63">
        <f>IFERROR(__xludf.DUMMYFUNCTION("""COMPUTED_VALUE"""),5.0)</f>
        <v>5</v>
      </c>
      <c r="F147" s="65">
        <f>IFERROR(__xludf.DUMMYFUNCTION("""COMPUTED_VALUE"""),0.0)</f>
        <v>0</v>
      </c>
      <c r="G147" s="65">
        <f>IFERROR(__xludf.DUMMYFUNCTION("""COMPUTED_VALUE"""),13.0)</f>
        <v>13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IFERROR(__xludf.DUMMYFUNCTION("""COMPUTED_VALUE"""),13.0)</f>
        <v>13</v>
      </c>
      <c r="L147" s="65">
        <f>IFERROR(__xludf.DUMMYFUNCTION("""COMPUTED_VALUE"""),0.0)</f>
        <v>0</v>
      </c>
      <c r="M147" s="65">
        <f>IFERROR(__xludf.DUMMYFUNCTION("""COMPUTED_VALUE"""),51.0)</f>
        <v>51</v>
      </c>
      <c r="N147" s="66">
        <f>IFERROR(__xludf.DUMMYFUNCTION("""COMPUTED_VALUE"""),3.0)</f>
        <v>3</v>
      </c>
    </row>
    <row r="148">
      <c r="A148" s="1"/>
      <c r="B148" s="62" t="str">
        <f>IFERROR(__xludf.DUMMYFUNCTION("""COMPUTED_VALUE"""),"Pulkit Mathur")</f>
        <v>Pulkit Mathur</v>
      </c>
      <c r="C148" s="63">
        <f>IFERROR(__xludf.DUMMYFUNCTION("""COMPUTED_VALUE"""),36.0)</f>
        <v>36</v>
      </c>
      <c r="D148" s="64">
        <f>IFERROR(__xludf.DUMMYFUNCTION("""COMPUTED_VALUE"""),3.0)</f>
        <v>3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IFERROR(__xludf.DUMMYFUNCTION("""COMPUTED_VALUE"""),45.0)</f>
        <v>45</v>
      </c>
      <c r="N148" s="66">
        <f>IFERROR(__xludf.DUMMYFUNCTION("""COMPUTED_VALUE"""),3.0)</f>
        <v>3</v>
      </c>
    </row>
    <row r="149">
      <c r="A149" s="1"/>
      <c r="B149" s="62" t="str">
        <f>IFERROR(__xludf.DUMMYFUNCTION("""COMPUTED_VALUE"""),"Tony Lin")</f>
        <v>Tony Lin</v>
      </c>
      <c r="C149" s="63">
        <f>IFERROR(__xludf.DUMMYFUNCTION("""COMPUTED_VALUE"""),36.0)</f>
        <v>36</v>
      </c>
      <c r="D149" s="64">
        <f>IFERROR(__xludf.DUMMYFUNCTION("""COMPUTED_VALUE"""),3.0)</f>
        <v>3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IFERROR(__xludf.DUMMYFUNCTION("""COMPUTED_VALUE"""),45.0)</f>
        <v>45</v>
      </c>
      <c r="N149" s="66">
        <f>IFERROR(__xludf.DUMMYFUNCTION("""COMPUTED_VALUE"""),3.0)</f>
        <v>3</v>
      </c>
    </row>
    <row r="150">
      <c r="A150" s="1"/>
      <c r="B150" s="62" t="str">
        <f>IFERROR(__xludf.DUMMYFUNCTION("""COMPUTED_VALUE"""),"Rosie Bonilla")</f>
        <v>Rosie Bonilla</v>
      </c>
      <c r="C150" s="63">
        <f>IFERROR(__xludf.DUMMYFUNCTION("""COMPUTED_VALUE"""),35.0)</f>
        <v>35</v>
      </c>
      <c r="D150" s="64">
        <f>IFERROR(__xludf.DUMMYFUNCTION("""COMPUTED_VALUE"""),0.0)</f>
        <v>0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IFERROR(__xludf.DUMMYFUNCTION("""COMPUTED_VALUE"""),44.0)</f>
        <v>44</v>
      </c>
      <c r="N150" s="66">
        <f>IFERROR(__xludf.DUMMYFUNCTION("""COMPUTED_VALUE"""),0.0)</f>
        <v>0</v>
      </c>
    </row>
    <row r="151">
      <c r="A151" s="1"/>
      <c r="B151" s="62" t="str">
        <f>IFERROR(__xludf.DUMMYFUNCTION("""COMPUTED_VALUE"""),"Trinath Goteti")</f>
        <v>Trinath Goteti</v>
      </c>
      <c r="C151" s="63">
        <f>IFERROR(__xludf.DUMMYFUNCTION("""COMPUTED_VALUE"""),35.0)</f>
        <v>35</v>
      </c>
      <c r="D151" s="64">
        <f>IFERROR(__xludf.DUMMYFUNCTION("""COMPUTED_VALUE"""),0.0)</f>
        <v>0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IFERROR(__xludf.DUMMYFUNCTION("""COMPUTED_VALUE"""),44.0)</f>
        <v>44</v>
      </c>
      <c r="N151" s="66">
        <f>IFERROR(__xludf.DUMMYFUNCTION("""COMPUTED_VALUE"""),0.0)</f>
        <v>0</v>
      </c>
    </row>
    <row r="152">
      <c r="A152" s="1"/>
      <c r="B152" s="62" t="str">
        <f>IFERROR(__xludf.DUMMYFUNCTION("""COMPUTED_VALUE"""),"Chandrasekar Chinnathambi")</f>
        <v>Chandrasekar Chinnathambi</v>
      </c>
      <c r="C152" s="63">
        <f>IFERROR(__xludf.DUMMYFUNCTION("""COMPUTED_VALUE"""),34.0)</f>
        <v>34</v>
      </c>
      <c r="D152" s="64">
        <f>IFERROR(__xludf.DUMMYFUNCTION("""COMPUTED_VALUE"""),1.0)</f>
        <v>1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IFERROR(__xludf.DUMMYFUNCTION("""COMPUTED_VALUE"""),43.0)</f>
        <v>43</v>
      </c>
      <c r="N152" s="66">
        <f>IFERROR(__xludf.DUMMYFUNCTION("""COMPUTED_VALUE"""),1.0)</f>
        <v>1</v>
      </c>
    </row>
    <row r="153">
      <c r="A153" s="1"/>
      <c r="B153" s="62" t="str">
        <f>IFERROR(__xludf.DUMMYFUNCTION("""COMPUTED_VALUE"""),"Troy Wong")</f>
        <v>Troy Wong</v>
      </c>
      <c r="C153" s="63">
        <f>IFERROR(__xludf.DUMMYFUNCTION("""COMPUTED_VALUE"""),33.0)</f>
        <v>33</v>
      </c>
      <c r="D153" s="64">
        <f>IFERROR(__xludf.DUMMYFUNCTION("""COMPUTED_VALUE"""),2.0)</f>
        <v>2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IFERROR(__xludf.DUMMYFUNCTION("""COMPUTED_VALUE"""),42.0)</f>
        <v>42</v>
      </c>
      <c r="N153" s="66">
        <f>IFERROR(__xludf.DUMMYFUNCTION("""COMPUTED_VALUE"""),2.0)</f>
        <v>2</v>
      </c>
    </row>
    <row r="154">
      <c r="A154" s="1"/>
      <c r="B154" s="62" t="str">
        <f>IFERROR(__xludf.DUMMYFUNCTION("""COMPUTED_VALUE"""),"Ash Nikravan")</f>
        <v>Ash Nikravan</v>
      </c>
      <c r="C154" s="63">
        <f>IFERROR(__xludf.DUMMYFUNCTION("""COMPUTED_VALUE"""),32.0)</f>
        <v>32</v>
      </c>
      <c r="D154" s="64">
        <f>IFERROR(__xludf.DUMMYFUNCTION("""COMPUTED_VALUE"""),2.0)</f>
        <v>2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IFERROR(__xludf.DUMMYFUNCTION("""COMPUTED_VALUE"""),41.0)</f>
        <v>41</v>
      </c>
      <c r="N154" s="66">
        <f>IFERROR(__xludf.DUMMYFUNCTION("""COMPUTED_VALUE"""),2.0)</f>
        <v>2</v>
      </c>
    </row>
    <row r="155">
      <c r="A155" s="1"/>
      <c r="B155" s="62" t="str">
        <f>IFERROR(__xludf.DUMMYFUNCTION("""COMPUTED_VALUE"""),"Lam Bui")</f>
        <v>Lam Bui</v>
      </c>
      <c r="C155" s="63">
        <f>IFERROR(__xludf.DUMMYFUNCTION("""COMPUTED_VALUE"""),31.0)</f>
        <v>31</v>
      </c>
      <c r="D155" s="64">
        <f>IFERROR(__xludf.DUMMYFUNCTION("""COMPUTED_VALUE"""),2.0)</f>
        <v>2</v>
      </c>
      <c r="E155" s="63">
        <f>IFERROR(__xludf.DUMMYFUNCTION("""COMPUTED_VALUE"""),5.0)</f>
        <v>5</v>
      </c>
      <c r="F155" s="65">
        <f>IFERROR(__xludf.DUMMYFUNCTION("""COMPUTED_VALUE"""),0.0)</f>
        <v>0</v>
      </c>
      <c r="G155" s="65">
        <f>IFERROR(__xludf.DUMMYFUNCTION("""COMPUTED_VALUE"""),13.0)</f>
        <v>13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IFERROR(__xludf.DUMMYFUNCTION("""COMPUTED_VALUE"""),13.0)</f>
        <v>13</v>
      </c>
      <c r="L155" s="65">
        <f>IFERROR(__xludf.DUMMYFUNCTION("""COMPUTED_VALUE"""),0.0)</f>
        <v>0</v>
      </c>
      <c r="M155" s="65">
        <f>IFERROR(__xludf.DUMMYFUNCTION("""COMPUTED_VALUE"""),44.0)</f>
        <v>44</v>
      </c>
      <c r="N155" s="66">
        <f>IFERROR(__xludf.DUMMYFUNCTION("""COMPUTED_VALUE"""),2.0)</f>
        <v>2</v>
      </c>
    </row>
    <row r="156">
      <c r="A156" s="1"/>
      <c r="B156" s="62" t="str">
        <f>IFERROR(__xludf.DUMMYFUNCTION("""COMPUTED_VALUE"""),"Lloyd Sagar")</f>
        <v>Lloyd Sagar</v>
      </c>
      <c r="C156" s="63">
        <f>IFERROR(__xludf.DUMMYFUNCTION("""COMPUTED_VALUE"""),31.0)</f>
        <v>31</v>
      </c>
      <c r="D156" s="64">
        <f>IFERROR(__xludf.DUMMYFUNCTION("""COMPUTED_VALUE"""),2.0)</f>
        <v>2</v>
      </c>
      <c r="E156" s="63">
        <f>IFERROR(__xludf.DUMMYFUNCTION("""COMPUTED_VALUE"""),5.0)</f>
        <v>5</v>
      </c>
      <c r="F156" s="65">
        <f>IFERROR(__xludf.DUMMYFUNCTION("""COMPUTED_VALUE"""),0.0)</f>
        <v>0</v>
      </c>
      <c r="G156" s="65">
        <f>IFERROR(__xludf.DUMMYFUNCTION("""COMPUTED_VALUE"""),13.0)</f>
        <v>13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IFERROR(__xludf.DUMMYFUNCTION("""COMPUTED_VALUE"""),13.0)</f>
        <v>13</v>
      </c>
      <c r="L156" s="65">
        <f>IFERROR(__xludf.DUMMYFUNCTION("""COMPUTED_VALUE"""),0.0)</f>
        <v>0</v>
      </c>
      <c r="M156" s="65">
        <f>IFERROR(__xludf.DUMMYFUNCTION("""COMPUTED_VALUE"""),44.0)</f>
        <v>44</v>
      </c>
      <c r="N156" s="66">
        <f>IFERROR(__xludf.DUMMYFUNCTION("""COMPUTED_VALUE"""),2.0)</f>
        <v>2</v>
      </c>
    </row>
    <row r="157">
      <c r="A157" s="1"/>
      <c r="B157" s="62" t="str">
        <f>IFERROR(__xludf.DUMMYFUNCTION("""COMPUTED_VALUE"""),"Marcus Yovas")</f>
        <v>Marcus Yovas</v>
      </c>
      <c r="C157" s="63">
        <f>IFERROR(__xludf.DUMMYFUNCTION("""COMPUTED_VALUE"""),31.0)</f>
        <v>31</v>
      </c>
      <c r="D157" s="64">
        <f>IFERROR(__xludf.DUMMYFUNCTION("""COMPUTED_VALUE"""),0.0)</f>
        <v>0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IFERROR(__xludf.DUMMYFUNCTION("""COMPUTED_VALUE"""),40.0)</f>
        <v>40</v>
      </c>
      <c r="N157" s="66">
        <f>IFERROR(__xludf.DUMMYFUNCTION("""COMPUTED_VALUE"""),0.0)</f>
        <v>0</v>
      </c>
    </row>
    <row r="158">
      <c r="A158" s="1"/>
      <c r="B158" s="62" t="str">
        <f>IFERROR(__xludf.DUMMYFUNCTION("""COMPUTED_VALUE"""),"Luis Hsu")</f>
        <v>Luis Hsu</v>
      </c>
      <c r="C158" s="63">
        <f>IFERROR(__xludf.DUMMYFUNCTION("""COMPUTED_VALUE"""),31.0)</f>
        <v>31</v>
      </c>
      <c r="D158" s="64">
        <f>IFERROR(__xludf.DUMMYFUNCTION("""COMPUTED_VALUE"""),0.0)</f>
        <v>0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IFERROR(__xludf.DUMMYFUNCTION("""COMPUTED_VALUE"""),40.0)</f>
        <v>40</v>
      </c>
      <c r="N158" s="66">
        <f>IFERROR(__xludf.DUMMYFUNCTION("""COMPUTED_VALUE"""),0.0)</f>
        <v>0</v>
      </c>
    </row>
    <row r="159">
      <c r="A159" s="1"/>
      <c r="B159" s="62" t="str">
        <f>IFERROR(__xludf.DUMMYFUNCTION("""COMPUTED_VALUE"""),"Vinot Kumar Nagappan")</f>
        <v>Vinot Kumar Nagappan</v>
      </c>
      <c r="C159" s="63">
        <f>IFERROR(__xludf.DUMMYFUNCTION("""COMPUTED_VALUE"""),30.0)</f>
        <v>30</v>
      </c>
      <c r="D159" s="64">
        <f>IFERROR(__xludf.DUMMYFUNCTION("""COMPUTED_VALUE"""),1.0)</f>
        <v>1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IFERROR(__xludf.DUMMYFUNCTION("""COMPUTED_VALUE"""),39.0)</f>
        <v>39</v>
      </c>
      <c r="N159" s="66">
        <f>IFERROR(__xludf.DUMMYFUNCTION("""COMPUTED_VALUE"""),1.0)</f>
        <v>1</v>
      </c>
    </row>
    <row r="160">
      <c r="A160" s="1"/>
      <c r="B160" s="62" t="str">
        <f>IFERROR(__xludf.DUMMYFUNCTION("""COMPUTED_VALUE"""),"Sai Dilip Ponnaganti")</f>
        <v>Sai Dilip Ponnaganti</v>
      </c>
      <c r="C160" s="63">
        <f>IFERROR(__xludf.DUMMYFUNCTION("""COMPUTED_VALUE"""),27.0)</f>
        <v>27</v>
      </c>
      <c r="D160" s="64">
        <f>IFERROR(__xludf.DUMMYFUNCTION("""COMPUTED_VALUE"""),0.0)</f>
        <v>0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IFERROR(__xludf.DUMMYFUNCTION("""COMPUTED_VALUE"""),36.0)</f>
        <v>36</v>
      </c>
      <c r="N160" s="66">
        <f>IFERROR(__xludf.DUMMYFUNCTION("""COMPUTED_VALUE"""),0.0)</f>
        <v>0</v>
      </c>
    </row>
    <row r="161">
      <c r="A161" s="1"/>
      <c r="B161" s="62" t="str">
        <f>IFERROR(__xludf.DUMMYFUNCTION("""COMPUTED_VALUE"""),"Susanta Mishra")</f>
        <v>Susanta Mishra</v>
      </c>
      <c r="C161" s="63">
        <f>IFERROR(__xludf.DUMMYFUNCTION("""COMPUTED_VALUE"""),27.0)</f>
        <v>27</v>
      </c>
      <c r="D161" s="64">
        <f>IFERROR(__xludf.DUMMYFUNCTION("""COMPUTED_VALUE"""),0.0)</f>
        <v>0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IFERROR(__xludf.DUMMYFUNCTION("""COMPUTED_VALUE"""),36.0)</f>
        <v>36</v>
      </c>
      <c r="N161" s="66">
        <f>IFERROR(__xludf.DUMMYFUNCTION("""COMPUTED_VALUE"""),0.0)</f>
        <v>0</v>
      </c>
    </row>
    <row r="162">
      <c r="A162" s="1"/>
      <c r="B162" s="62" t="str">
        <f>IFERROR(__xludf.DUMMYFUNCTION("""COMPUTED_VALUE"""),"Sanjaye Elayattu")</f>
        <v>Sanjaye Elayattu</v>
      </c>
      <c r="C162" s="63">
        <f>IFERROR(__xludf.DUMMYFUNCTION("""COMPUTED_VALUE"""),27.0)</f>
        <v>27</v>
      </c>
      <c r="D162" s="64">
        <f>IFERROR(__xludf.DUMMYFUNCTION("""COMPUTED_VALUE"""),0.0)</f>
        <v>0</v>
      </c>
      <c r="E162" s="63">
        <f>IFERROR(__xludf.DUMMYFUNCTION("""COMPUTED_VALUE"""),5.0)</f>
        <v>5</v>
      </c>
      <c r="F162" s="65">
        <f>IFERROR(__xludf.DUMMYFUNCTION("""COMPUTED_VALUE"""),0.0)</f>
        <v>0</v>
      </c>
      <c r="G162" s="65">
        <f>IFERROR(__xludf.DUMMYFUNCTION("""COMPUTED_VALUE"""),13.0)</f>
        <v>13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IFERROR(__xludf.DUMMYFUNCTION("""COMPUTED_VALUE"""),13.0)</f>
        <v>13</v>
      </c>
      <c r="L162" s="65">
        <f>IFERROR(__xludf.DUMMYFUNCTION("""COMPUTED_VALUE"""),0.0)</f>
        <v>0</v>
      </c>
      <c r="M162" s="65">
        <f>IFERROR(__xludf.DUMMYFUNCTION("""COMPUTED_VALUE"""),40.0)</f>
        <v>40</v>
      </c>
      <c r="N162" s="66">
        <f>IFERROR(__xludf.DUMMYFUNCTION("""COMPUTED_VALUE"""),0.0)</f>
        <v>0</v>
      </c>
    </row>
    <row r="163">
      <c r="A163" s="1"/>
      <c r="B163" s="62" t="str">
        <f>IFERROR(__xludf.DUMMYFUNCTION("""COMPUTED_VALUE"""),"Vilas Janardhanan")</f>
        <v>Vilas Janardhanan</v>
      </c>
      <c r="C163" s="63">
        <f>IFERROR(__xludf.DUMMYFUNCTION("""COMPUTED_VALUE"""),27.0)</f>
        <v>27</v>
      </c>
      <c r="D163" s="64">
        <f>IFERROR(__xludf.DUMMYFUNCTION("""COMPUTED_VALUE"""),0.0)</f>
        <v>0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IFERROR(__xludf.DUMMYFUNCTION("""COMPUTED_VALUE"""),36.0)</f>
        <v>36</v>
      </c>
      <c r="N163" s="66">
        <f>IFERROR(__xludf.DUMMYFUNCTION("""COMPUTED_VALUE"""),0.0)</f>
        <v>0</v>
      </c>
    </row>
    <row r="164">
      <c r="A164" s="1"/>
      <c r="B164" s="62" t="str">
        <f>IFERROR(__xludf.DUMMYFUNCTION("""COMPUTED_VALUE"""),"Amit Patel")</f>
        <v>Amit Patel</v>
      </c>
      <c r="C164" s="63">
        <f>IFERROR(__xludf.DUMMYFUNCTION("""COMPUTED_VALUE"""),27.0)</f>
        <v>27</v>
      </c>
      <c r="D164" s="64">
        <f>IFERROR(__xludf.DUMMYFUNCTION("""COMPUTED_VALUE"""),0.0)</f>
        <v>0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IFERROR(__xludf.DUMMYFUNCTION("""COMPUTED_VALUE"""),36.0)</f>
        <v>36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IFERROR(__xludf.DUMMYFUNCTION("""COMPUTED_VALUE"""),"Coco Yan")</f>
        <v>Coco Yan</v>
      </c>
      <c r="C165" s="63">
        <f>IFERROR(__xludf.DUMMYFUNCTION("""COMPUTED_VALUE"""),27.0)</f>
        <v>27</v>
      </c>
      <c r="D165" s="64">
        <f>IFERROR(__xludf.DUMMYFUNCTION("""COMPUTED_VALUE"""),0.0)</f>
        <v>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IFERROR(__xludf.DUMMYFUNCTION("""COMPUTED_VALUE"""),36.0)</f>
        <v>36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IFERROR(__xludf.DUMMYFUNCTION("""COMPUTED_VALUE"""),"Jose Ortiz")</f>
        <v>Jose Ortiz</v>
      </c>
      <c r="C166" s="63">
        <f>IFERROR(__xludf.DUMMYFUNCTION("""COMPUTED_VALUE"""),27.0)</f>
        <v>27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IFERROR(__xludf.DUMMYFUNCTION("""COMPUTED_VALUE"""),36.0)</f>
        <v>36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IFERROR(__xludf.DUMMYFUNCTION("""COMPUTED_VALUE"""),"Vishnu Amarnath")</f>
        <v>Vishnu Amarnath</v>
      </c>
      <c r="C167" s="63">
        <f>IFERROR(__xludf.DUMMYFUNCTION("""COMPUTED_VALUE"""),25.0)</f>
        <v>25</v>
      </c>
      <c r="D167" s="64">
        <f>IFERROR(__xludf.DUMMYFUNCTION("""COMPUTED_VALUE"""),2.0)</f>
        <v>2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IFERROR(__xludf.DUMMYFUNCTION("""COMPUTED_VALUE"""),34.0)</f>
        <v>34</v>
      </c>
      <c r="N167" s="66">
        <f>IFERROR(__xludf.DUMMYFUNCTION("""COMPUTED_VALUE"""),2.0)</f>
        <v>2</v>
      </c>
    </row>
    <row r="168">
      <c r="A168" s="1"/>
      <c r="B168" s="62" t="str">
        <f>IFERROR(__xludf.DUMMYFUNCTION("""COMPUTED_VALUE"""),"Joyce Zhu")</f>
        <v>Joyce Zhu</v>
      </c>
      <c r="C168" s="63">
        <f>IFERROR(__xludf.DUMMYFUNCTION("""COMPUTED_VALUE"""),25.0)</f>
        <v>25</v>
      </c>
      <c r="D168" s="64">
        <f>IFERROR(__xludf.DUMMYFUNCTION("""COMPUTED_VALUE"""),1.0)</f>
        <v>1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IFERROR(__xludf.DUMMYFUNCTION("""COMPUTED_VALUE"""),34.0)</f>
        <v>34</v>
      </c>
      <c r="N168" s="66">
        <f>IFERROR(__xludf.DUMMYFUNCTION("""COMPUTED_VALUE"""),1.0)</f>
        <v>1</v>
      </c>
    </row>
    <row r="169">
      <c r="A169" s="1"/>
      <c r="B169" s="62" t="str">
        <f>IFERROR(__xludf.DUMMYFUNCTION("""COMPUTED_VALUE"""),"Sandy Weyant")</f>
        <v>Sandy Weyant</v>
      </c>
      <c r="C169" s="63">
        <f>IFERROR(__xludf.DUMMYFUNCTION("""COMPUTED_VALUE"""),25.0)</f>
        <v>25</v>
      </c>
      <c r="D169" s="64">
        <f>IFERROR(__xludf.DUMMYFUNCTION("""COMPUTED_VALUE"""),1.0)</f>
        <v>1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IFERROR(__xludf.DUMMYFUNCTION("""COMPUTED_VALUE"""),34.0)</f>
        <v>34</v>
      </c>
      <c r="N169" s="66">
        <f>IFERROR(__xludf.DUMMYFUNCTION("""COMPUTED_VALUE"""),1.0)</f>
        <v>1</v>
      </c>
    </row>
    <row r="170">
      <c r="A170" s="1"/>
      <c r="B170" s="62" t="str">
        <f>IFERROR(__xludf.DUMMYFUNCTION("""COMPUTED_VALUE"""),"Tiffany Yu")</f>
        <v>Tiffany Yu</v>
      </c>
      <c r="C170" s="63">
        <f>IFERROR(__xludf.DUMMYFUNCTION("""COMPUTED_VALUE"""),22.0)</f>
        <v>22</v>
      </c>
      <c r="D170" s="64">
        <f>IFERROR(__xludf.DUMMYFUNCTION("""COMPUTED_VALUE"""),0.0)</f>
        <v>0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IFERROR(__xludf.DUMMYFUNCTION("""COMPUTED_VALUE"""),31.0)</f>
        <v>31</v>
      </c>
      <c r="N170" s="66">
        <f>IFERROR(__xludf.DUMMYFUNCTION("""COMPUTED_VALUE"""),0.0)</f>
        <v>0</v>
      </c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B201" s="62"/>
      <c r="C201" s="63"/>
      <c r="D201" s="64"/>
      <c r="E201" s="63"/>
      <c r="F201" s="65"/>
      <c r="G201" s="65"/>
      <c r="H201" s="65"/>
      <c r="I201" s="65"/>
      <c r="J201" s="65"/>
      <c r="K201" s="65"/>
      <c r="L201" s="65"/>
      <c r="M201" s="65"/>
      <c r="N201" s="66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  <row r="1029">
      <c r="A1029" s="1"/>
      <c r="C1029" s="1"/>
      <c r="D1029" s="1"/>
      <c r="E1029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0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0" priority="7" operator="containsText" text="Good">
      <formula>NOT(ISERROR(SEARCH(("Good"),(L81))))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45311.0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3.0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102</v>
      </c>
      <c r="C5" s="28">
        <v>36.0</v>
      </c>
      <c r="D5" s="29">
        <v>5.0</v>
      </c>
      <c r="E5" s="30">
        <v>2.0</v>
      </c>
      <c r="F5" s="31">
        <v>1.0</v>
      </c>
      <c r="G5" s="28">
        <v>9.0</v>
      </c>
      <c r="H5" s="31"/>
      <c r="I5" s="31"/>
      <c r="J5" s="31"/>
      <c r="K5" s="33">
        <v>9.0</v>
      </c>
      <c r="L5" s="31"/>
      <c r="M5" s="28">
        <f t="shared" ref="M5:N5" si="1">C5+K5</f>
        <v>45</v>
      </c>
      <c r="N5" s="29">
        <f t="shared" si="1"/>
        <v>5</v>
      </c>
      <c r="O5" s="35" t="s">
        <v>46</v>
      </c>
      <c r="P5" s="35" t="s">
        <v>46</v>
      </c>
      <c r="Q5" s="31">
        <f>if(G5=13,1,0)+VLOOKUP(B5,'011324'!B:Q,16,false)</f>
        <v>0</v>
      </c>
      <c r="R5" s="31"/>
      <c r="S5" s="31">
        <f>if(G5=9,1,0)+VLOOKUP(B5,'011324'!B:S,18,false)</f>
        <v>1</v>
      </c>
    </row>
    <row r="6">
      <c r="A6" s="26">
        <f t="shared" ref="A6:A70" si="3">A5+1</f>
        <v>2</v>
      </c>
      <c r="B6" s="39" t="s">
        <v>52</v>
      </c>
      <c r="C6" s="28">
        <v>36.0</v>
      </c>
      <c r="D6" s="29">
        <v>5.0</v>
      </c>
      <c r="E6" s="30">
        <v>1.0</v>
      </c>
      <c r="F6" s="31">
        <v>1.0</v>
      </c>
      <c r="G6" s="28">
        <v>9.0</v>
      </c>
      <c r="H6" s="31"/>
      <c r="I6" s="31"/>
      <c r="J6" s="31"/>
      <c r="K6" s="33">
        <v>9.0</v>
      </c>
      <c r="L6" s="31"/>
      <c r="M6" s="28">
        <f t="shared" ref="M6:N6" si="2">C6+K6</f>
        <v>45</v>
      </c>
      <c r="N6" s="29">
        <f t="shared" si="2"/>
        <v>5</v>
      </c>
      <c r="O6" s="35" t="s">
        <v>46</v>
      </c>
      <c r="P6" s="35" t="s">
        <v>46</v>
      </c>
      <c r="Q6" s="31">
        <f>if(G6=13,1,0)+VLOOKUP(B6,'011324'!B:Q,16,false)</f>
        <v>0</v>
      </c>
      <c r="R6" s="31"/>
      <c r="S6" s="31">
        <f>if(G6=9,1,0)+VLOOKUP(B6,'011324'!B:S,18,false)</f>
        <v>1</v>
      </c>
    </row>
    <row r="7">
      <c r="A7" s="26">
        <f t="shared" si="3"/>
        <v>3</v>
      </c>
      <c r="B7" s="27" t="s">
        <v>98</v>
      </c>
      <c r="C7" s="28">
        <v>35.0</v>
      </c>
      <c r="D7" s="29">
        <v>5.0</v>
      </c>
      <c r="E7" s="30">
        <v>3.0</v>
      </c>
      <c r="F7" s="31">
        <v>0.0</v>
      </c>
      <c r="G7" s="28">
        <v>9.0</v>
      </c>
      <c r="H7" s="31"/>
      <c r="I7" s="31"/>
      <c r="J7" s="31"/>
      <c r="K7" s="33">
        <v>9.0</v>
      </c>
      <c r="L7" s="31"/>
      <c r="M7" s="28">
        <f t="shared" ref="M7:N7" si="4">C7+K7</f>
        <v>44</v>
      </c>
      <c r="N7" s="29">
        <f t="shared" si="4"/>
        <v>5</v>
      </c>
      <c r="O7" s="35" t="s">
        <v>46</v>
      </c>
      <c r="P7" s="35" t="s">
        <v>46</v>
      </c>
      <c r="Q7" s="31">
        <f>if(G7=13,1,0)+VLOOKUP(B7,'011324'!B:Q,16,false)</f>
        <v>0</v>
      </c>
      <c r="R7" s="31"/>
      <c r="S7" s="31">
        <f>if(G7=9,1,0)+VLOOKUP(B7,'011324'!B:S,18,false)</f>
        <v>1</v>
      </c>
    </row>
    <row r="8">
      <c r="A8" s="26">
        <f t="shared" si="3"/>
        <v>4</v>
      </c>
      <c r="B8" s="27" t="s">
        <v>39</v>
      </c>
      <c r="C8" s="28">
        <v>34.0</v>
      </c>
      <c r="D8" s="29">
        <v>4.0</v>
      </c>
      <c r="E8" s="30">
        <v>3.0</v>
      </c>
      <c r="F8" s="31">
        <v>0.0</v>
      </c>
      <c r="G8" s="28">
        <v>9.0</v>
      </c>
      <c r="H8" s="31"/>
      <c r="I8" s="31"/>
      <c r="J8" s="31"/>
      <c r="K8" s="33">
        <v>9.0</v>
      </c>
      <c r="L8" s="31"/>
      <c r="M8" s="28">
        <f t="shared" ref="M8:N8" si="5">C8+K8</f>
        <v>43</v>
      </c>
      <c r="N8" s="29">
        <f t="shared" si="5"/>
        <v>4</v>
      </c>
      <c r="O8" s="35" t="s">
        <v>46</v>
      </c>
      <c r="P8" s="35" t="s">
        <v>46</v>
      </c>
      <c r="Q8" s="31">
        <f>if(G8=13,1,0)+VLOOKUP(B8,'011324'!B:Q,16,false)</f>
        <v>0</v>
      </c>
      <c r="R8" s="31"/>
      <c r="S8" s="31">
        <f>if(G8=9,1,0)+VLOOKUP(B8,'011324'!B:S,18,false)</f>
        <v>1</v>
      </c>
    </row>
    <row r="9">
      <c r="A9" s="26">
        <f t="shared" si="3"/>
        <v>5</v>
      </c>
      <c r="B9" s="39" t="s">
        <v>80</v>
      </c>
      <c r="C9" s="28">
        <v>33.0</v>
      </c>
      <c r="D9" s="29">
        <v>3.0</v>
      </c>
      <c r="E9" s="30">
        <v>1.0</v>
      </c>
      <c r="F9" s="31">
        <v>1.0</v>
      </c>
      <c r="G9" s="28">
        <v>9.0</v>
      </c>
      <c r="H9" s="31"/>
      <c r="I9" s="31"/>
      <c r="J9" s="31"/>
      <c r="K9" s="33">
        <v>9.0</v>
      </c>
      <c r="L9" s="31"/>
      <c r="M9" s="28">
        <f t="shared" ref="M9:N9" si="6">C9+K9</f>
        <v>42</v>
      </c>
      <c r="N9" s="29">
        <f t="shared" si="6"/>
        <v>3</v>
      </c>
      <c r="O9" s="35" t="s">
        <v>46</v>
      </c>
      <c r="P9" s="35" t="s">
        <v>46</v>
      </c>
      <c r="Q9" s="31">
        <f>if(G9=13,1,0)+VLOOKUP(B9,'011324'!B:Q,16,false)</f>
        <v>0</v>
      </c>
      <c r="R9" s="31"/>
      <c r="S9" s="31">
        <f>if(G9=9,1,0)+VLOOKUP(B9,'011324'!B:S,18,false)</f>
        <v>1</v>
      </c>
    </row>
    <row r="10">
      <c r="A10" s="26">
        <f t="shared" si="3"/>
        <v>6</v>
      </c>
      <c r="B10" s="27" t="s">
        <v>81</v>
      </c>
      <c r="C10" s="28">
        <v>31.0</v>
      </c>
      <c r="D10" s="29">
        <v>4.0</v>
      </c>
      <c r="E10" s="30">
        <v>1.0</v>
      </c>
      <c r="F10" s="31">
        <v>1.0</v>
      </c>
      <c r="G10" s="28">
        <v>9.0</v>
      </c>
      <c r="H10" s="31"/>
      <c r="I10" s="31"/>
      <c r="J10" s="31"/>
      <c r="K10" s="33">
        <v>9.0</v>
      </c>
      <c r="L10" s="31"/>
      <c r="M10" s="28">
        <f t="shared" ref="M10:N10" si="7">C10+K10</f>
        <v>40</v>
      </c>
      <c r="N10" s="29">
        <f t="shared" si="7"/>
        <v>4</v>
      </c>
      <c r="O10" s="35" t="s">
        <v>46</v>
      </c>
      <c r="P10" s="35" t="s">
        <v>46</v>
      </c>
      <c r="Q10" s="31">
        <f>if(G10=13,1,0)+VLOOKUP(B10,'011324'!B:Q,16,false)</f>
        <v>0</v>
      </c>
      <c r="R10" s="31"/>
      <c r="S10" s="31">
        <f>if(G10=9,1,0)+VLOOKUP(B10,'011324'!B:S,18,false)</f>
        <v>1</v>
      </c>
    </row>
    <row r="11">
      <c r="A11" s="26">
        <f t="shared" si="3"/>
        <v>7</v>
      </c>
      <c r="B11" s="27" t="s">
        <v>77</v>
      </c>
      <c r="C11" s="28">
        <v>30.0</v>
      </c>
      <c r="D11" s="29">
        <v>2.0</v>
      </c>
      <c r="E11" s="30">
        <v>2.0</v>
      </c>
      <c r="F11" s="31">
        <v>2.0</v>
      </c>
      <c r="G11" s="28">
        <v>0.0</v>
      </c>
      <c r="H11" s="31">
        <v>6.0</v>
      </c>
      <c r="I11" s="31">
        <v>6.0</v>
      </c>
      <c r="J11" s="31">
        <v>4.0</v>
      </c>
      <c r="K11" s="33">
        <v>16.0</v>
      </c>
      <c r="L11" s="31">
        <v>2.0</v>
      </c>
      <c r="M11" s="28">
        <f t="shared" ref="M11:N11" si="8">C11+K11</f>
        <v>46</v>
      </c>
      <c r="N11" s="29">
        <f t="shared" si="8"/>
        <v>4</v>
      </c>
      <c r="O11" s="35" t="s">
        <v>46</v>
      </c>
      <c r="P11" s="35" t="s">
        <v>46</v>
      </c>
      <c r="Q11" s="31">
        <f>if(G11=13,1,0)+VLOOKUP(B11,'011324'!B:Q,16,false)</f>
        <v>1</v>
      </c>
      <c r="R11" s="31"/>
      <c r="S11" s="31">
        <f>if(G11=9,1,0)+VLOOKUP(B11,'011324'!B:S,18,false)</f>
        <v>0</v>
      </c>
    </row>
    <row r="12">
      <c r="A12" s="26">
        <f t="shared" si="3"/>
        <v>8</v>
      </c>
      <c r="B12" s="27" t="s">
        <v>96</v>
      </c>
      <c r="C12" s="28">
        <v>30.0</v>
      </c>
      <c r="D12" s="29">
        <v>2.0</v>
      </c>
      <c r="E12" s="30">
        <v>2.0</v>
      </c>
      <c r="F12" s="31">
        <v>2.0</v>
      </c>
      <c r="G12" s="28">
        <v>0.0</v>
      </c>
      <c r="H12" s="31">
        <v>0.0</v>
      </c>
      <c r="I12" s="31">
        <v>6.0</v>
      </c>
      <c r="J12" s="31">
        <v>6.0</v>
      </c>
      <c r="K12" s="33">
        <v>12.0</v>
      </c>
      <c r="L12" s="31">
        <v>2.0</v>
      </c>
      <c r="M12" s="28">
        <f t="shared" ref="M12:N12" si="9">C12+K12</f>
        <v>42</v>
      </c>
      <c r="N12" s="29">
        <f t="shared" si="9"/>
        <v>4</v>
      </c>
      <c r="O12" s="35" t="s">
        <v>46</v>
      </c>
      <c r="P12" s="35" t="s">
        <v>46</v>
      </c>
      <c r="Q12" s="31">
        <f>if(G12=13,1,0)+VLOOKUP(B12,'011324'!B:Q,16,false)</f>
        <v>1</v>
      </c>
      <c r="R12" s="31"/>
      <c r="S12" s="31">
        <f>if(G12=9,1,0)+VLOOKUP(B12,'011324'!B:S,18,false)</f>
        <v>0</v>
      </c>
    </row>
    <row r="13">
      <c r="A13" s="26">
        <f t="shared" si="3"/>
        <v>9</v>
      </c>
      <c r="B13" s="27" t="s">
        <v>120</v>
      </c>
      <c r="C13" s="28">
        <v>30.0</v>
      </c>
      <c r="D13" s="29">
        <v>2.0</v>
      </c>
      <c r="E13" s="30">
        <v>3.0</v>
      </c>
      <c r="F13" s="31">
        <v>0.0</v>
      </c>
      <c r="G13" s="28">
        <v>9.0</v>
      </c>
      <c r="H13" s="31">
        <v>0.0</v>
      </c>
      <c r="I13" s="31">
        <v>0.0</v>
      </c>
      <c r="J13" s="31">
        <v>0.0</v>
      </c>
      <c r="K13" s="33">
        <v>9.0</v>
      </c>
      <c r="L13" s="31">
        <v>0.0</v>
      </c>
      <c r="M13" s="28">
        <f t="shared" ref="M13:N13" si="10">C13+K13</f>
        <v>39</v>
      </c>
      <c r="N13" s="29">
        <f t="shared" si="10"/>
        <v>2</v>
      </c>
      <c r="O13" s="35" t="s">
        <v>46</v>
      </c>
      <c r="P13" s="35" t="s">
        <v>46</v>
      </c>
      <c r="Q13" s="31">
        <f>if(G13=13,1,0)+VLOOKUP(B13,'011324'!B:Q,16,false)</f>
        <v>1</v>
      </c>
      <c r="R13" s="31"/>
      <c r="S13" s="31">
        <f>if(G13=9,1,0)+VLOOKUP(B13,'011324'!B:S,18,false)</f>
        <v>1</v>
      </c>
    </row>
    <row r="14">
      <c r="A14" s="26">
        <f t="shared" si="3"/>
        <v>10</v>
      </c>
      <c r="B14" s="27" t="s">
        <v>42</v>
      </c>
      <c r="C14" s="28">
        <v>29.0</v>
      </c>
      <c r="D14" s="29">
        <v>3.0</v>
      </c>
      <c r="E14" s="30">
        <v>1.0</v>
      </c>
      <c r="F14" s="31">
        <v>2.0</v>
      </c>
      <c r="G14" s="28">
        <v>0.0</v>
      </c>
      <c r="H14" s="31">
        <v>0.0</v>
      </c>
      <c r="I14" s="31">
        <v>3.0</v>
      </c>
      <c r="J14" s="31">
        <v>4.0</v>
      </c>
      <c r="K14" s="33">
        <v>7.0</v>
      </c>
      <c r="L14" s="31">
        <v>0.0</v>
      </c>
      <c r="M14" s="28">
        <f t="shared" ref="M14:N14" si="11">C14+K14</f>
        <v>36</v>
      </c>
      <c r="N14" s="29">
        <f t="shared" si="11"/>
        <v>3</v>
      </c>
      <c r="O14" s="35" t="s">
        <v>46</v>
      </c>
      <c r="P14" s="35" t="s">
        <v>46</v>
      </c>
      <c r="Q14" s="31">
        <f>if(G14=13,1,0)+VLOOKUP(B14,'011324'!B:Q,16,false)</f>
        <v>0</v>
      </c>
      <c r="R14" s="31"/>
      <c r="S14" s="31">
        <f>if(G14=9,1,0)+VLOOKUP(B14,'011324'!B:S,18,false)</f>
        <v>0</v>
      </c>
    </row>
    <row r="15">
      <c r="A15" s="26">
        <f t="shared" si="3"/>
        <v>11</v>
      </c>
      <c r="B15" s="27" t="s">
        <v>75</v>
      </c>
      <c r="C15" s="28">
        <v>29.0</v>
      </c>
      <c r="D15" s="29">
        <v>3.0</v>
      </c>
      <c r="E15" s="30">
        <v>1.0</v>
      </c>
      <c r="F15" s="31">
        <v>2.0</v>
      </c>
      <c r="G15" s="28">
        <v>0.0</v>
      </c>
      <c r="H15" s="31">
        <v>6.0</v>
      </c>
      <c r="I15" s="31">
        <v>3.0</v>
      </c>
      <c r="J15" s="31">
        <v>6.0</v>
      </c>
      <c r="K15" s="33">
        <v>15.0</v>
      </c>
      <c r="L15" s="31">
        <v>2.0</v>
      </c>
      <c r="M15" s="28">
        <f t="shared" ref="M15:N15" si="12">C15+K15</f>
        <v>44</v>
      </c>
      <c r="N15" s="29">
        <f t="shared" si="12"/>
        <v>5</v>
      </c>
      <c r="O15" s="35" t="s">
        <v>46</v>
      </c>
      <c r="P15" s="35" t="s">
        <v>46</v>
      </c>
      <c r="Q15" s="31">
        <f>if(G15=13,1,0)+VLOOKUP(B15,'011324'!B:Q,16,false)</f>
        <v>0</v>
      </c>
      <c r="R15" s="31"/>
      <c r="S15" s="31">
        <f>if(G15=9,1,0)+VLOOKUP(B15,'011324'!B:S,18,false)</f>
        <v>0</v>
      </c>
    </row>
    <row r="16">
      <c r="A16" s="26">
        <f t="shared" si="3"/>
        <v>12</v>
      </c>
      <c r="B16" s="27" t="s">
        <v>113</v>
      </c>
      <c r="C16" s="28">
        <v>29.0</v>
      </c>
      <c r="D16" s="29">
        <v>3.0</v>
      </c>
      <c r="E16" s="30">
        <v>3.0</v>
      </c>
      <c r="F16" s="31">
        <v>0.0</v>
      </c>
      <c r="G16" s="28">
        <v>9.0</v>
      </c>
      <c r="H16" s="31">
        <v>0.0</v>
      </c>
      <c r="I16" s="31">
        <v>0.0</v>
      </c>
      <c r="J16" s="31">
        <v>0.0</v>
      </c>
      <c r="K16" s="33">
        <v>9.0</v>
      </c>
      <c r="L16" s="31">
        <v>0.0</v>
      </c>
      <c r="M16" s="28">
        <f t="shared" ref="M16:N16" si="13">C16+K16</f>
        <v>38</v>
      </c>
      <c r="N16" s="29">
        <f t="shared" si="13"/>
        <v>3</v>
      </c>
      <c r="O16" s="35" t="s">
        <v>46</v>
      </c>
      <c r="P16" s="35" t="s">
        <v>46</v>
      </c>
      <c r="Q16" s="31">
        <f>if(G16=13,1,0)+VLOOKUP(B16,'011324'!B:Q,16,false)</f>
        <v>0</v>
      </c>
      <c r="R16" s="31"/>
      <c r="S16" s="31">
        <f>if(G16=9,1,0)+VLOOKUP(B16,'011324'!B:S,18,false)</f>
        <v>2</v>
      </c>
    </row>
    <row r="17">
      <c r="A17" s="26">
        <f t="shared" si="3"/>
        <v>13</v>
      </c>
      <c r="B17" s="39" t="s">
        <v>111</v>
      </c>
      <c r="C17" s="28">
        <v>28.0</v>
      </c>
      <c r="D17" s="29">
        <v>3.0</v>
      </c>
      <c r="E17" s="30">
        <v>1.0</v>
      </c>
      <c r="F17" s="31">
        <v>3.0</v>
      </c>
      <c r="G17" s="28">
        <v>0.0</v>
      </c>
      <c r="H17" s="31">
        <v>6.0</v>
      </c>
      <c r="I17" s="31">
        <v>0.0</v>
      </c>
      <c r="J17" s="31">
        <v>6.0</v>
      </c>
      <c r="K17" s="33">
        <v>12.0</v>
      </c>
      <c r="L17" s="31">
        <v>2.0</v>
      </c>
      <c r="M17" s="28">
        <f t="shared" ref="M17:N17" si="14">C17+K17</f>
        <v>40</v>
      </c>
      <c r="N17" s="29">
        <f t="shared" si="14"/>
        <v>5</v>
      </c>
      <c r="O17" s="35" t="s">
        <v>46</v>
      </c>
      <c r="P17" s="35" t="s">
        <v>46</v>
      </c>
      <c r="Q17" s="31">
        <f>if(G17=13,1,0)+VLOOKUP(B17,'011324'!B:Q,16,false)</f>
        <v>0</v>
      </c>
      <c r="R17" s="31"/>
      <c r="S17" s="31">
        <f>if(G17=9,1,0)+VLOOKUP(B17,'011324'!B:S,18,false)</f>
        <v>1</v>
      </c>
    </row>
    <row r="18">
      <c r="A18" s="26">
        <f t="shared" si="3"/>
        <v>14</v>
      </c>
      <c r="B18" s="27" t="s">
        <v>83</v>
      </c>
      <c r="C18" s="28">
        <v>28.0</v>
      </c>
      <c r="D18" s="29">
        <v>1.0</v>
      </c>
      <c r="E18" s="30">
        <v>2.0</v>
      </c>
      <c r="F18" s="31">
        <v>3.0</v>
      </c>
      <c r="G18" s="28">
        <v>0.0</v>
      </c>
      <c r="H18" s="31">
        <v>3.0</v>
      </c>
      <c r="I18" s="31">
        <v>0.0</v>
      </c>
      <c r="J18" s="31">
        <v>1.0</v>
      </c>
      <c r="K18" s="33">
        <v>4.0</v>
      </c>
      <c r="L18" s="31">
        <v>0.0</v>
      </c>
      <c r="M18" s="28">
        <f t="shared" ref="M18:N18" si="15">C18+K18</f>
        <v>32</v>
      </c>
      <c r="N18" s="29">
        <f t="shared" si="15"/>
        <v>1</v>
      </c>
      <c r="O18" s="35" t="s">
        <v>46</v>
      </c>
      <c r="P18" s="35" t="s">
        <v>46</v>
      </c>
      <c r="Q18" s="31">
        <f>if(G18=13,1,0)+VLOOKUP(B18,'011324'!B:Q,16,false)</f>
        <v>1</v>
      </c>
      <c r="R18" s="31"/>
      <c r="S18" s="31">
        <f>if(G18=9,1,0)+VLOOKUP(B18,'011324'!B:S,18,false)</f>
        <v>0</v>
      </c>
    </row>
    <row r="19">
      <c r="A19" s="26">
        <f t="shared" si="3"/>
        <v>15</v>
      </c>
      <c r="B19" s="27" t="s">
        <v>78</v>
      </c>
      <c r="C19" s="28">
        <v>27.0</v>
      </c>
      <c r="D19" s="29">
        <v>4.0</v>
      </c>
      <c r="E19" s="30">
        <v>1.0</v>
      </c>
      <c r="F19" s="31">
        <v>3.0</v>
      </c>
      <c r="G19" s="28">
        <v>0.0</v>
      </c>
      <c r="H19" s="31">
        <v>6.0</v>
      </c>
      <c r="I19" s="31">
        <v>6.0</v>
      </c>
      <c r="J19" s="31">
        <v>1.0</v>
      </c>
      <c r="K19" s="33">
        <v>13.0</v>
      </c>
      <c r="L19" s="31">
        <v>2.0</v>
      </c>
      <c r="M19" s="28">
        <f t="shared" ref="M19:N19" si="16">C19+K19</f>
        <v>40</v>
      </c>
      <c r="N19" s="29">
        <f t="shared" si="16"/>
        <v>6</v>
      </c>
      <c r="O19" s="35" t="s">
        <v>46</v>
      </c>
      <c r="P19" s="35" t="s">
        <v>46</v>
      </c>
      <c r="Q19" s="31">
        <f>if(G19=13,1,0)+VLOOKUP(B19,'011324'!B:Q,16,false)</f>
        <v>0</v>
      </c>
      <c r="R19" s="31"/>
      <c r="S19" s="31">
        <f>if(G19=9,1,0)+VLOOKUP(B19,'011324'!B:S,18,false)</f>
        <v>0</v>
      </c>
    </row>
    <row r="20">
      <c r="A20" s="26">
        <f t="shared" si="3"/>
        <v>16</v>
      </c>
      <c r="B20" s="27" t="s">
        <v>65</v>
      </c>
      <c r="C20" s="28">
        <v>27.0</v>
      </c>
      <c r="D20" s="29">
        <v>3.0</v>
      </c>
      <c r="E20" s="30">
        <v>3.0</v>
      </c>
      <c r="F20" s="31">
        <v>0.0</v>
      </c>
      <c r="G20" s="28">
        <v>9.0</v>
      </c>
      <c r="H20" s="31">
        <v>0.0</v>
      </c>
      <c r="I20" s="31">
        <v>0.0</v>
      </c>
      <c r="J20" s="31">
        <v>0.0</v>
      </c>
      <c r="K20" s="33">
        <v>9.0</v>
      </c>
      <c r="L20" s="31">
        <v>0.0</v>
      </c>
      <c r="M20" s="28">
        <f t="shared" ref="M20:N20" si="17">C20+K20</f>
        <v>36</v>
      </c>
      <c r="N20" s="29">
        <f t="shared" si="17"/>
        <v>3</v>
      </c>
      <c r="O20" s="35" t="s">
        <v>46</v>
      </c>
      <c r="P20" s="35" t="s">
        <v>46</v>
      </c>
      <c r="Q20" s="31">
        <f>if(G20=13,1,0)+VLOOKUP(B20,'011324'!B:Q,16,false)</f>
        <v>0</v>
      </c>
      <c r="R20" s="31"/>
      <c r="S20" s="31">
        <f>if(G20=9,1,0)+VLOOKUP(B20,'011324'!B:S,18,false)</f>
        <v>2</v>
      </c>
    </row>
    <row r="21">
      <c r="A21" s="26">
        <f t="shared" si="3"/>
        <v>17</v>
      </c>
      <c r="B21" s="39" t="s">
        <v>121</v>
      </c>
      <c r="C21" s="28">
        <v>27.0</v>
      </c>
      <c r="D21" s="29">
        <v>3.0</v>
      </c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f t="shared" ref="M21:N21" si="18">C21+K21</f>
        <v>36</v>
      </c>
      <c r="N21" s="29">
        <f t="shared" si="18"/>
        <v>3</v>
      </c>
      <c r="O21" s="35" t="s">
        <v>46</v>
      </c>
      <c r="P21" s="35" t="s">
        <v>46</v>
      </c>
      <c r="Q21" s="31">
        <f>if(G21=13,1,0)+VLOOKUP(B21,'011324'!B:Q,16,false)</f>
        <v>0</v>
      </c>
      <c r="R21" s="31"/>
      <c r="S21" s="31">
        <f>if(G21=9,1,0)+VLOOKUP(B21,'011324'!B:S,18,false)</f>
        <v>1</v>
      </c>
    </row>
    <row r="22">
      <c r="A22" s="26">
        <f t="shared" si="3"/>
        <v>18</v>
      </c>
      <c r="B22" s="27" t="s">
        <v>79</v>
      </c>
      <c r="C22" s="28">
        <v>27.0</v>
      </c>
      <c r="D22" s="29">
        <v>2.0</v>
      </c>
      <c r="E22" s="30">
        <v>3.0</v>
      </c>
      <c r="F22" s="31">
        <v>0.0</v>
      </c>
      <c r="G22" s="28">
        <v>9.0</v>
      </c>
      <c r="H22" s="31">
        <v>0.0</v>
      </c>
      <c r="I22" s="31">
        <v>0.0</v>
      </c>
      <c r="J22" s="31">
        <v>0.0</v>
      </c>
      <c r="K22" s="33">
        <v>9.0</v>
      </c>
      <c r="L22" s="31">
        <v>0.0</v>
      </c>
      <c r="M22" s="28">
        <f t="shared" ref="M22:N22" si="19">C22+K22</f>
        <v>36</v>
      </c>
      <c r="N22" s="29">
        <f t="shared" si="19"/>
        <v>2</v>
      </c>
      <c r="O22" s="35" t="s">
        <v>46</v>
      </c>
      <c r="P22" s="35" t="s">
        <v>46</v>
      </c>
      <c r="Q22" s="31">
        <f>if(G22=13,1,0)+VLOOKUP(B22,'011324'!B:Q,16,false)</f>
        <v>0</v>
      </c>
      <c r="R22" s="31"/>
      <c r="S22" s="31">
        <f>if(G22=9,1,0)+VLOOKUP(B22,'011324'!B:S,18,false)</f>
        <v>1</v>
      </c>
    </row>
    <row r="23">
      <c r="A23" s="26">
        <f t="shared" si="3"/>
        <v>19</v>
      </c>
      <c r="B23" s="39" t="s">
        <v>71</v>
      </c>
      <c r="C23" s="28">
        <v>26.0</v>
      </c>
      <c r="D23" s="29">
        <v>3.0</v>
      </c>
      <c r="E23" s="30">
        <v>1.0</v>
      </c>
      <c r="F23" s="31">
        <v>3.0</v>
      </c>
      <c r="G23" s="28">
        <v>0.0</v>
      </c>
      <c r="H23" s="31">
        <v>3.0</v>
      </c>
      <c r="I23" s="31">
        <v>6.0</v>
      </c>
      <c r="J23" s="31">
        <v>6.0</v>
      </c>
      <c r="K23" s="33">
        <v>15.0</v>
      </c>
      <c r="L23" s="31">
        <v>2.0</v>
      </c>
      <c r="M23" s="28">
        <f t="shared" ref="M23:N23" si="20">C23+K23</f>
        <v>41</v>
      </c>
      <c r="N23" s="29">
        <f t="shared" si="20"/>
        <v>5</v>
      </c>
      <c r="O23" s="35" t="s">
        <v>46</v>
      </c>
      <c r="P23" s="35" t="s">
        <v>46</v>
      </c>
      <c r="Q23" s="31">
        <f>if(G23=13,1,0)+VLOOKUP(B23,'011324'!B:Q,16,false)</f>
        <v>0</v>
      </c>
      <c r="R23" s="31"/>
      <c r="S23" s="31">
        <f>if(G23=9,1,0)+VLOOKUP(B23,'011324'!B:S,18,false)</f>
        <v>0</v>
      </c>
    </row>
    <row r="24">
      <c r="A24" s="26">
        <f t="shared" si="3"/>
        <v>20</v>
      </c>
      <c r="B24" s="39" t="s">
        <v>45</v>
      </c>
      <c r="C24" s="28">
        <v>26.0</v>
      </c>
      <c r="D24" s="29">
        <v>2.0</v>
      </c>
      <c r="E24" s="30">
        <v>1.0</v>
      </c>
      <c r="F24" s="31">
        <v>4.0</v>
      </c>
      <c r="G24" s="28">
        <v>0.0</v>
      </c>
      <c r="H24" s="31">
        <v>6.0</v>
      </c>
      <c r="I24" s="31">
        <v>6.0</v>
      </c>
      <c r="J24" s="31">
        <v>3.0</v>
      </c>
      <c r="K24" s="33">
        <v>15.0</v>
      </c>
      <c r="L24" s="31">
        <v>2.0</v>
      </c>
      <c r="M24" s="28">
        <f t="shared" ref="M24:N24" si="21">C24+K24</f>
        <v>41</v>
      </c>
      <c r="N24" s="29">
        <f t="shared" si="21"/>
        <v>4</v>
      </c>
      <c r="O24" s="35" t="s">
        <v>46</v>
      </c>
      <c r="P24" s="35" t="s">
        <v>46</v>
      </c>
      <c r="Q24" s="31">
        <f>if(G24=13,1,0)+VLOOKUP(B24,'011324'!B:Q,16,false)</f>
        <v>1</v>
      </c>
      <c r="R24" s="31"/>
      <c r="S24" s="31">
        <f>if(G24=9,1,0)+VLOOKUP(B24,'011324'!B:S,18,false)</f>
        <v>0</v>
      </c>
    </row>
    <row r="25">
      <c r="A25" s="26">
        <f t="shared" si="3"/>
        <v>21</v>
      </c>
      <c r="B25" s="27" t="s">
        <v>48</v>
      </c>
      <c r="C25" s="28">
        <v>26.0</v>
      </c>
      <c r="D25" s="29">
        <v>0.0</v>
      </c>
      <c r="E25" s="30">
        <v>3.0</v>
      </c>
      <c r="F25" s="31">
        <v>0.0</v>
      </c>
      <c r="G25" s="28">
        <v>9.0</v>
      </c>
      <c r="H25" s="31">
        <v>0.0</v>
      </c>
      <c r="I25" s="31">
        <v>0.0</v>
      </c>
      <c r="J25" s="31">
        <v>0.0</v>
      </c>
      <c r="K25" s="33">
        <v>9.0</v>
      </c>
      <c r="L25" s="31">
        <v>0.0</v>
      </c>
      <c r="M25" s="28">
        <f t="shared" ref="M25:N25" si="22">C25+K25</f>
        <v>35</v>
      </c>
      <c r="N25" s="29">
        <f t="shared" si="22"/>
        <v>0</v>
      </c>
      <c r="O25" s="35" t="s">
        <v>46</v>
      </c>
      <c r="P25" s="35" t="s">
        <v>46</v>
      </c>
      <c r="Q25" s="31">
        <f>if(G25=13,1,0)+VLOOKUP(B25,'011324'!B:Q,16,false)</f>
        <v>2</v>
      </c>
      <c r="R25" s="31"/>
      <c r="S25" s="31">
        <f>if(G25=9,1,0)+VLOOKUP(B25,'011324'!B:S,18,false)</f>
        <v>1</v>
      </c>
    </row>
    <row r="26">
      <c r="A26" s="26">
        <f t="shared" si="3"/>
        <v>22</v>
      </c>
      <c r="B26" s="27" t="s">
        <v>107</v>
      </c>
      <c r="C26" s="28">
        <v>26.0</v>
      </c>
      <c r="D26" s="29">
        <v>0.0</v>
      </c>
      <c r="E26" s="30">
        <v>3.0</v>
      </c>
      <c r="F26" s="31">
        <v>0.0</v>
      </c>
      <c r="G26" s="28">
        <v>9.0</v>
      </c>
      <c r="H26" s="31">
        <v>0.0</v>
      </c>
      <c r="I26" s="31">
        <v>0.0</v>
      </c>
      <c r="J26" s="31">
        <v>0.0</v>
      </c>
      <c r="K26" s="33">
        <v>9.0</v>
      </c>
      <c r="L26" s="31">
        <v>0.0</v>
      </c>
      <c r="M26" s="28">
        <f t="shared" ref="M26:N26" si="23">C26+K26</f>
        <v>35</v>
      </c>
      <c r="N26" s="29">
        <f t="shared" si="23"/>
        <v>0</v>
      </c>
      <c r="O26" s="35" t="s">
        <v>46</v>
      </c>
      <c r="P26" s="35" t="s">
        <v>46</v>
      </c>
      <c r="Q26" s="31">
        <f>if(G26=13,1,0)+VLOOKUP(B26,'011324'!B:Q,16,false)</f>
        <v>2</v>
      </c>
      <c r="R26" s="31"/>
      <c r="S26" s="31">
        <f>if(G26=9,1,0)+VLOOKUP(B26,'011324'!B:S,18,false)</f>
        <v>1</v>
      </c>
    </row>
    <row r="27">
      <c r="A27" s="26">
        <f t="shared" si="3"/>
        <v>23</v>
      </c>
      <c r="B27" s="27" t="s">
        <v>68</v>
      </c>
      <c r="C27" s="28">
        <v>26.0</v>
      </c>
      <c r="D27" s="29">
        <v>0.0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35</v>
      </c>
      <c r="N27" s="29">
        <f t="shared" si="24"/>
        <v>0</v>
      </c>
      <c r="O27" s="35" t="s">
        <v>46</v>
      </c>
      <c r="P27" s="35" t="s">
        <v>46</v>
      </c>
      <c r="Q27" s="31">
        <f>if(G27=13,1,0)+VLOOKUP(B27,'011324'!B:Q,16,false)</f>
        <v>2</v>
      </c>
      <c r="R27" s="31"/>
      <c r="S27" s="31">
        <f>if(G27=9,1,0)+VLOOKUP(B27,'011324'!B:S,18,false)</f>
        <v>1</v>
      </c>
    </row>
    <row r="28">
      <c r="A28" s="26">
        <f t="shared" si="3"/>
        <v>24</v>
      </c>
      <c r="B28" s="27" t="s">
        <v>118</v>
      </c>
      <c r="C28" s="28">
        <v>26.0</v>
      </c>
      <c r="D28" s="29">
        <v>0.0</v>
      </c>
      <c r="E28" s="30">
        <v>3.0</v>
      </c>
      <c r="F28" s="31">
        <v>0.0</v>
      </c>
      <c r="G28" s="28">
        <v>9.0</v>
      </c>
      <c r="H28" s="31">
        <v>0.0</v>
      </c>
      <c r="I28" s="31">
        <v>0.0</v>
      </c>
      <c r="J28" s="31">
        <v>0.0</v>
      </c>
      <c r="K28" s="33">
        <v>9.0</v>
      </c>
      <c r="L28" s="31">
        <v>0.0</v>
      </c>
      <c r="M28" s="28">
        <f t="shared" ref="M28:N28" si="25">C28+K28</f>
        <v>35</v>
      </c>
      <c r="N28" s="29">
        <f t="shared" si="25"/>
        <v>0</v>
      </c>
      <c r="O28" s="35" t="s">
        <v>46</v>
      </c>
      <c r="P28" s="35" t="s">
        <v>46</v>
      </c>
      <c r="Q28" s="31">
        <f>if(G28=13,1,0)+VLOOKUP(B28,'011324'!B:Q,16,false)</f>
        <v>2</v>
      </c>
      <c r="R28" s="31"/>
      <c r="S28" s="31">
        <f>if(G28=9,1,0)+VLOOKUP(B28,'011324'!B:S,18,false)</f>
        <v>1</v>
      </c>
    </row>
    <row r="29">
      <c r="A29" s="26">
        <f t="shared" si="3"/>
        <v>25</v>
      </c>
      <c r="B29" s="27" t="s">
        <v>109</v>
      </c>
      <c r="C29" s="28">
        <v>26.0</v>
      </c>
      <c r="D29" s="29">
        <v>0.0</v>
      </c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f t="shared" ref="M29:N29" si="26">C29+K29</f>
        <v>35</v>
      </c>
      <c r="N29" s="29">
        <f t="shared" si="26"/>
        <v>0</v>
      </c>
      <c r="O29" s="35" t="s">
        <v>46</v>
      </c>
      <c r="P29" s="35" t="s">
        <v>46</v>
      </c>
      <c r="Q29" s="31">
        <f>if(G29=13,1,0)+VLOOKUP(B29,'011324'!B:Q,16,false)</f>
        <v>2</v>
      </c>
      <c r="R29" s="31"/>
      <c r="S29" s="31">
        <f>if(G29=9,1,0)+VLOOKUP(B29,'011324'!B:S,18,false)</f>
        <v>1</v>
      </c>
    </row>
    <row r="30">
      <c r="A30" s="26">
        <f t="shared" si="3"/>
        <v>26</v>
      </c>
      <c r="B30" s="54" t="s">
        <v>95</v>
      </c>
      <c r="C30" s="28">
        <v>25.0</v>
      </c>
      <c r="D30" s="29">
        <v>3.0</v>
      </c>
      <c r="E30" s="30">
        <v>1.0</v>
      </c>
      <c r="F30" s="31">
        <v>4.0</v>
      </c>
      <c r="G30" s="28">
        <v>0.0</v>
      </c>
      <c r="H30" s="31">
        <v>6.0</v>
      </c>
      <c r="I30" s="31">
        <v>0.0</v>
      </c>
      <c r="J30" s="31">
        <v>6.0</v>
      </c>
      <c r="K30" s="33">
        <v>12.0</v>
      </c>
      <c r="L30" s="31">
        <v>2.0</v>
      </c>
      <c r="M30" s="28">
        <f t="shared" ref="M30:N30" si="27">C30+K30</f>
        <v>37</v>
      </c>
      <c r="N30" s="29">
        <f t="shared" si="27"/>
        <v>5</v>
      </c>
      <c r="O30" s="35" t="s">
        <v>46</v>
      </c>
      <c r="P30" s="35" t="s">
        <v>46</v>
      </c>
      <c r="Q30" s="31">
        <f>if(G30=13,1,0)+VLOOKUP(B30,'011324'!B:Q,16,false)</f>
        <v>0</v>
      </c>
      <c r="R30" s="31"/>
      <c r="S30" s="31">
        <f>if(G30=9,1,0)+VLOOKUP(B30,'011324'!B:S,18,false)</f>
        <v>0</v>
      </c>
    </row>
    <row r="31">
      <c r="A31" s="26">
        <f t="shared" si="3"/>
        <v>27</v>
      </c>
      <c r="B31" s="39" t="s">
        <v>105</v>
      </c>
      <c r="C31" s="28">
        <v>25.0</v>
      </c>
      <c r="D31" s="29">
        <v>3.0</v>
      </c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f t="shared" ref="M31:N31" si="28">C31+K31</f>
        <v>34</v>
      </c>
      <c r="N31" s="29">
        <f t="shared" si="28"/>
        <v>3</v>
      </c>
      <c r="O31" s="35" t="s">
        <v>46</v>
      </c>
      <c r="P31" s="35" t="s">
        <v>46</v>
      </c>
      <c r="Q31" s="31">
        <f>if(G31=13,1,0)+VLOOKUP(B31,'011324'!B:Q,16,false)</f>
        <v>0</v>
      </c>
      <c r="R31" s="31"/>
      <c r="S31" s="31">
        <f>if(G31=9,1,0)+VLOOKUP(B31,'011324'!B:S,18,false)</f>
        <v>1</v>
      </c>
    </row>
    <row r="32">
      <c r="A32" s="26">
        <f t="shared" si="3"/>
        <v>28</v>
      </c>
      <c r="B32" s="54" t="s">
        <v>59</v>
      </c>
      <c r="C32" s="28">
        <v>25.0</v>
      </c>
      <c r="D32" s="29">
        <v>3.0</v>
      </c>
      <c r="E32" s="30">
        <v>1.0</v>
      </c>
      <c r="F32" s="31">
        <v>4.0</v>
      </c>
      <c r="G32" s="28">
        <v>0.0</v>
      </c>
      <c r="H32" s="31">
        <v>2.0</v>
      </c>
      <c r="I32" s="31">
        <v>6.0</v>
      </c>
      <c r="J32" s="31">
        <v>6.0</v>
      </c>
      <c r="K32" s="33">
        <v>14.0</v>
      </c>
      <c r="L32" s="31">
        <v>2.0</v>
      </c>
      <c r="M32" s="28">
        <f t="shared" ref="M32:N32" si="29">C32+K32</f>
        <v>39</v>
      </c>
      <c r="N32" s="29">
        <f t="shared" si="29"/>
        <v>5</v>
      </c>
      <c r="O32" s="35" t="s">
        <v>46</v>
      </c>
      <c r="P32" s="35" t="s">
        <v>46</v>
      </c>
      <c r="Q32" s="31">
        <f>if(G32=13,1,0)+VLOOKUP(B32,'011324'!B:Q,16,false)</f>
        <v>0</v>
      </c>
      <c r="R32" s="31"/>
      <c r="S32" s="31">
        <f>if(G32=9,1,0)+VLOOKUP(B32,'011324'!B:S,18,false)</f>
        <v>0</v>
      </c>
    </row>
    <row r="33">
      <c r="A33" s="26">
        <f t="shared" si="3"/>
        <v>29</v>
      </c>
      <c r="B33" s="54" t="s">
        <v>116</v>
      </c>
      <c r="C33" s="28">
        <v>25.0</v>
      </c>
      <c r="D33" s="29">
        <v>2.0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34</v>
      </c>
      <c r="N33" s="29">
        <f t="shared" si="30"/>
        <v>2</v>
      </c>
      <c r="O33" s="35" t="s">
        <v>46</v>
      </c>
      <c r="P33" s="35" t="s">
        <v>46</v>
      </c>
      <c r="Q33" s="31">
        <f>if(G33=13,1,0)+VLOOKUP(B33,'011324'!B:Q,16,false)</f>
        <v>0</v>
      </c>
      <c r="R33" s="31"/>
      <c r="S33" s="31">
        <f>if(G33=9,1,0)+VLOOKUP(B33,'011324'!B:S,18,false)</f>
        <v>2</v>
      </c>
    </row>
    <row r="34">
      <c r="A34" s="26">
        <f t="shared" si="3"/>
        <v>30</v>
      </c>
      <c r="B34" s="27" t="s">
        <v>63</v>
      </c>
      <c r="C34" s="28">
        <v>25.0</v>
      </c>
      <c r="D34" s="29">
        <v>2.0</v>
      </c>
      <c r="E34" s="30">
        <v>5.0</v>
      </c>
      <c r="F34" s="31">
        <v>0.0</v>
      </c>
      <c r="G34" s="28">
        <v>13.0</v>
      </c>
      <c r="H34" s="31">
        <v>0.0</v>
      </c>
      <c r="I34" s="31">
        <v>0.0</v>
      </c>
      <c r="J34" s="31">
        <v>0.0</v>
      </c>
      <c r="K34" s="33">
        <v>13.0</v>
      </c>
      <c r="L34" s="31">
        <v>0.0</v>
      </c>
      <c r="M34" s="28">
        <f t="shared" ref="M34:N34" si="31">C34+K34</f>
        <v>38</v>
      </c>
      <c r="N34" s="29">
        <f t="shared" si="31"/>
        <v>2</v>
      </c>
      <c r="O34" s="35" t="s">
        <v>46</v>
      </c>
      <c r="P34" s="35" t="s">
        <v>46</v>
      </c>
      <c r="Q34" s="31">
        <f>if(G34=13,1,0)+VLOOKUP(B34,'011324'!B:Q,16,false)</f>
        <v>1</v>
      </c>
      <c r="R34" s="31"/>
      <c r="S34" s="31">
        <f>if(G34=9,1,0)+VLOOKUP(B34,'011324'!B:S,18,false)</f>
        <v>0</v>
      </c>
    </row>
    <row r="35">
      <c r="A35" s="26">
        <f t="shared" si="3"/>
        <v>31</v>
      </c>
      <c r="B35" s="54" t="s">
        <v>122</v>
      </c>
      <c r="C35" s="28">
        <v>25.0</v>
      </c>
      <c r="D35" s="29">
        <v>1.0</v>
      </c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f t="shared" ref="M35:N35" si="32">C35+K35</f>
        <v>34</v>
      </c>
      <c r="N35" s="29">
        <f t="shared" si="32"/>
        <v>1</v>
      </c>
      <c r="O35" s="35" t="s">
        <v>46</v>
      </c>
      <c r="P35" s="35" t="s">
        <v>46</v>
      </c>
      <c r="Q35" s="31">
        <f>if(G35=13,1,0)+VLOOKUP(B35,'011324'!B:Q,16,false)</f>
        <v>0</v>
      </c>
      <c r="R35" s="31"/>
      <c r="S35" s="31">
        <f>if(G35=9,1,0)+VLOOKUP(B35,'011324'!B:S,18,false)</f>
        <v>2</v>
      </c>
    </row>
    <row r="36">
      <c r="A36" s="26">
        <f t="shared" si="3"/>
        <v>32</v>
      </c>
      <c r="B36" s="39" t="s">
        <v>119</v>
      </c>
      <c r="C36" s="28">
        <v>24.0</v>
      </c>
      <c r="D36" s="29">
        <v>2.0</v>
      </c>
      <c r="E36" s="30">
        <v>3.0</v>
      </c>
      <c r="F36" s="31">
        <v>0.0</v>
      </c>
      <c r="G36" s="28">
        <v>9.0</v>
      </c>
      <c r="H36" s="31">
        <v>0.0</v>
      </c>
      <c r="I36" s="31">
        <v>0.0</v>
      </c>
      <c r="J36" s="31">
        <v>0.0</v>
      </c>
      <c r="K36" s="33">
        <v>9.0</v>
      </c>
      <c r="L36" s="31">
        <v>0.0</v>
      </c>
      <c r="M36" s="28">
        <f t="shared" ref="M36:N36" si="33">C36+K36</f>
        <v>33</v>
      </c>
      <c r="N36" s="29">
        <f t="shared" si="33"/>
        <v>2</v>
      </c>
      <c r="O36" s="35" t="s">
        <v>46</v>
      </c>
      <c r="P36" s="35" t="s">
        <v>46</v>
      </c>
      <c r="Q36" s="31">
        <f>if(G36=13,1,0)+VLOOKUP(B36,'011324'!B:Q,16,false)</f>
        <v>0</v>
      </c>
      <c r="R36" s="31"/>
      <c r="S36" s="31">
        <f>if(G36=9,1,0)+VLOOKUP(B36,'011324'!B:S,18,false)</f>
        <v>2</v>
      </c>
    </row>
    <row r="37">
      <c r="A37" s="26">
        <f t="shared" si="3"/>
        <v>33</v>
      </c>
      <c r="B37" s="27" t="s">
        <v>117</v>
      </c>
      <c r="C37" s="28">
        <v>24.0</v>
      </c>
      <c r="D37" s="29">
        <v>2.0</v>
      </c>
      <c r="E37" s="30">
        <v>5.0</v>
      </c>
      <c r="F37" s="31">
        <v>0.0</v>
      </c>
      <c r="G37" s="28">
        <v>13.0</v>
      </c>
      <c r="H37" s="31">
        <v>0.0</v>
      </c>
      <c r="I37" s="31">
        <v>0.0</v>
      </c>
      <c r="J37" s="31">
        <v>0.0</v>
      </c>
      <c r="K37" s="33">
        <v>13.0</v>
      </c>
      <c r="L37" s="31">
        <v>0.0</v>
      </c>
      <c r="M37" s="28">
        <f t="shared" ref="M37:N37" si="34">C37+K37</f>
        <v>37</v>
      </c>
      <c r="N37" s="29">
        <f t="shared" si="34"/>
        <v>2</v>
      </c>
      <c r="O37" s="35" t="s">
        <v>46</v>
      </c>
      <c r="P37" s="35" t="s">
        <v>46</v>
      </c>
      <c r="Q37" s="31">
        <f>if(G37=13,1,0)+VLOOKUP(B37,'011324'!B:Q,16,false)</f>
        <v>1</v>
      </c>
      <c r="R37" s="31"/>
      <c r="S37" s="31">
        <f>if(G37=9,1,0)+VLOOKUP(B37,'011324'!B:S,18,false)</f>
        <v>1</v>
      </c>
    </row>
    <row r="38">
      <c r="A38" s="26">
        <f t="shared" si="3"/>
        <v>34</v>
      </c>
      <c r="B38" s="39" t="s">
        <v>50</v>
      </c>
      <c r="C38" s="28">
        <v>23.0</v>
      </c>
      <c r="D38" s="29">
        <v>2.0</v>
      </c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f t="shared" ref="M38:N38" si="35">C38+K38</f>
        <v>32</v>
      </c>
      <c r="N38" s="29">
        <f t="shared" si="35"/>
        <v>2</v>
      </c>
      <c r="O38" s="35" t="s">
        <v>46</v>
      </c>
      <c r="P38" s="35" t="s">
        <v>46</v>
      </c>
      <c r="Q38" s="31">
        <f>if(G38=13,1,0)+VLOOKUP(B38,'011324'!B:Q,16,false)</f>
        <v>0</v>
      </c>
      <c r="R38" s="31"/>
      <c r="S38" s="31">
        <f>if(G38=9,1,0)+VLOOKUP(B38,'011324'!B:S,18,false)</f>
        <v>2</v>
      </c>
    </row>
    <row r="39">
      <c r="A39" s="26">
        <f t="shared" si="3"/>
        <v>35</v>
      </c>
      <c r="B39" s="54" t="s">
        <v>108</v>
      </c>
      <c r="C39" s="28">
        <v>23.0</v>
      </c>
      <c r="D39" s="29">
        <v>2.0</v>
      </c>
      <c r="E39" s="30">
        <v>1.0</v>
      </c>
      <c r="F39" s="31">
        <v>4.0</v>
      </c>
      <c r="G39" s="28">
        <v>0.0</v>
      </c>
      <c r="H39" s="31">
        <v>2.0</v>
      </c>
      <c r="I39" s="31">
        <v>0.0</v>
      </c>
      <c r="J39" s="31">
        <v>3.0</v>
      </c>
      <c r="K39" s="33">
        <v>5.0</v>
      </c>
      <c r="L39" s="31">
        <v>0.0</v>
      </c>
      <c r="M39" s="28">
        <f t="shared" ref="M39:N39" si="36">C39+K39</f>
        <v>28</v>
      </c>
      <c r="N39" s="29">
        <f t="shared" si="36"/>
        <v>2</v>
      </c>
      <c r="O39" s="35" t="s">
        <v>46</v>
      </c>
      <c r="P39" s="35" t="s">
        <v>46</v>
      </c>
      <c r="Q39" s="31">
        <f>if(G39=13,1,0)+VLOOKUP(B39,'011324'!B:Q,16,false)</f>
        <v>0</v>
      </c>
      <c r="R39" s="31"/>
      <c r="S39" s="31">
        <f>if(G39=9,1,0)+VLOOKUP(B39,'011324'!B:S,18,false)</f>
        <v>0</v>
      </c>
    </row>
    <row r="40">
      <c r="A40" s="26">
        <f t="shared" si="3"/>
        <v>36</v>
      </c>
      <c r="B40" s="54" t="s">
        <v>47</v>
      </c>
      <c r="C40" s="28">
        <v>23.0</v>
      </c>
      <c r="D40" s="29">
        <v>1.0</v>
      </c>
      <c r="E40" s="30">
        <v>1.0</v>
      </c>
      <c r="F40" s="31">
        <v>5.0</v>
      </c>
      <c r="G40" s="28">
        <v>0.0</v>
      </c>
      <c r="H40" s="31">
        <v>0.0</v>
      </c>
      <c r="I40" s="31">
        <v>5.0</v>
      </c>
      <c r="J40" s="31">
        <v>4.0</v>
      </c>
      <c r="K40" s="33">
        <v>9.0</v>
      </c>
      <c r="L40" s="31">
        <v>0.0</v>
      </c>
      <c r="M40" s="28">
        <f t="shared" ref="M40:N40" si="37">C40+K40</f>
        <v>32</v>
      </c>
      <c r="N40" s="29">
        <f t="shared" si="37"/>
        <v>1</v>
      </c>
      <c r="O40" s="35" t="s">
        <v>46</v>
      </c>
      <c r="P40" s="35" t="s">
        <v>46</v>
      </c>
      <c r="Q40" s="31">
        <f>if(G40=13,1,0)+VLOOKUP(B40,'011324'!B:Q,16,false)</f>
        <v>0</v>
      </c>
      <c r="R40" s="31"/>
      <c r="S40" s="31">
        <f>if(G40=9,1,0)+VLOOKUP(B40,'011324'!B:S,18,false)</f>
        <v>0</v>
      </c>
    </row>
    <row r="41">
      <c r="A41" s="26">
        <f t="shared" si="3"/>
        <v>37</v>
      </c>
      <c r="B41" s="54" t="s">
        <v>100</v>
      </c>
      <c r="C41" s="28">
        <v>23.0</v>
      </c>
      <c r="D41" s="29">
        <v>1.0</v>
      </c>
      <c r="E41" s="30">
        <v>5.0</v>
      </c>
      <c r="F41" s="31">
        <v>0.0</v>
      </c>
      <c r="G41" s="28">
        <v>13.0</v>
      </c>
      <c r="H41" s="31">
        <v>0.0</v>
      </c>
      <c r="I41" s="31">
        <v>0.0</v>
      </c>
      <c r="J41" s="31">
        <v>0.0</v>
      </c>
      <c r="K41" s="33">
        <v>13.0</v>
      </c>
      <c r="L41" s="31">
        <v>0.0</v>
      </c>
      <c r="M41" s="28">
        <f t="shared" ref="M41:N41" si="38">C41+K41</f>
        <v>36</v>
      </c>
      <c r="N41" s="29">
        <f t="shared" si="38"/>
        <v>1</v>
      </c>
      <c r="O41" s="35" t="s">
        <v>46</v>
      </c>
      <c r="P41" s="35" t="s">
        <v>46</v>
      </c>
      <c r="Q41" s="31">
        <f>if(G41=13,1,0)+VLOOKUP(B41,'011324'!B:Q,16,false)</f>
        <v>1</v>
      </c>
      <c r="R41" s="31"/>
      <c r="S41" s="31">
        <f>if(G41=9,1,0)+VLOOKUP(B41,'011324'!B:S,18,false)</f>
        <v>1</v>
      </c>
    </row>
    <row r="42">
      <c r="A42" s="26">
        <f t="shared" si="3"/>
        <v>38</v>
      </c>
      <c r="B42" s="27" t="s">
        <v>84</v>
      </c>
      <c r="C42" s="28">
        <v>22.0</v>
      </c>
      <c r="D42" s="29">
        <v>1.0</v>
      </c>
      <c r="E42" s="30">
        <v>2.0</v>
      </c>
      <c r="F42" s="31">
        <v>5.0</v>
      </c>
      <c r="G42" s="28">
        <v>0.0</v>
      </c>
      <c r="H42" s="31">
        <v>6.0</v>
      </c>
      <c r="I42" s="31">
        <v>5.0</v>
      </c>
      <c r="J42" s="31">
        <v>6.0</v>
      </c>
      <c r="K42" s="33">
        <v>17.0</v>
      </c>
      <c r="L42" s="31">
        <v>2.0</v>
      </c>
      <c r="M42" s="28">
        <f t="shared" ref="M42:N42" si="39">C42+K42</f>
        <v>39</v>
      </c>
      <c r="N42" s="29">
        <f t="shared" si="39"/>
        <v>3</v>
      </c>
      <c r="O42" s="35" t="s">
        <v>46</v>
      </c>
      <c r="P42" s="35" t="s">
        <v>46</v>
      </c>
      <c r="Q42" s="31">
        <f>if(G42=13,1,0)+VLOOKUP(B42,'011324'!B:Q,16,false)</f>
        <v>1</v>
      </c>
      <c r="R42" s="31"/>
      <c r="S42" s="31">
        <f>if(G42=9,1,0)+VLOOKUP(B42,'011324'!B:S,18,false)</f>
        <v>0</v>
      </c>
    </row>
    <row r="43">
      <c r="A43" s="26">
        <f t="shared" si="3"/>
        <v>39</v>
      </c>
      <c r="B43" s="27" t="s">
        <v>61</v>
      </c>
      <c r="C43" s="28">
        <v>22.0</v>
      </c>
      <c r="D43" s="29">
        <v>0.0</v>
      </c>
      <c r="E43" s="30">
        <v>2.0</v>
      </c>
      <c r="F43" s="31">
        <v>5.0</v>
      </c>
      <c r="G43" s="28">
        <v>0.0</v>
      </c>
      <c r="H43" s="31">
        <v>6.0</v>
      </c>
      <c r="I43" s="31">
        <v>7.0</v>
      </c>
      <c r="J43" s="31">
        <v>4.0</v>
      </c>
      <c r="K43" s="33">
        <v>17.0</v>
      </c>
      <c r="L43" s="31">
        <v>2.0</v>
      </c>
      <c r="M43" s="28">
        <f t="shared" ref="M43:N43" si="40">C43+K43</f>
        <v>39</v>
      </c>
      <c r="N43" s="29">
        <f t="shared" si="40"/>
        <v>2</v>
      </c>
      <c r="O43" s="35" t="s">
        <v>46</v>
      </c>
      <c r="P43" s="35" t="s">
        <v>46</v>
      </c>
      <c r="Q43" s="31">
        <f>if(G43=13,1,0)+VLOOKUP(B43,'011324'!B:Q,16,false)</f>
        <v>1</v>
      </c>
      <c r="R43" s="31"/>
      <c r="S43" s="31">
        <f>if(G43=9,1,0)+VLOOKUP(B43,'011324'!B:S,18,false)</f>
        <v>1</v>
      </c>
    </row>
    <row r="44">
      <c r="A44" s="26">
        <f t="shared" si="3"/>
        <v>40</v>
      </c>
      <c r="B44" s="54" t="s">
        <v>123</v>
      </c>
      <c r="C44" s="28">
        <v>22.0</v>
      </c>
      <c r="D44" s="29">
        <v>0.0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31</v>
      </c>
      <c r="N44" s="29">
        <f t="shared" si="41"/>
        <v>0</v>
      </c>
      <c r="O44" s="35" t="s">
        <v>46</v>
      </c>
      <c r="P44" s="35" t="s">
        <v>46</v>
      </c>
      <c r="Q44" s="31">
        <f>if(G44=13,1,0)+VLOOKUP(B44,'011324'!B:Q,16,false)</f>
        <v>1</v>
      </c>
      <c r="R44" s="31"/>
      <c r="S44" s="31">
        <f>if(G44=9,1,0)+VLOOKUP(B44,'011324'!B:S,18,false)</f>
        <v>2</v>
      </c>
    </row>
    <row r="45">
      <c r="A45" s="26">
        <f t="shared" si="3"/>
        <v>41</v>
      </c>
      <c r="B45" s="39" t="s">
        <v>86</v>
      </c>
      <c r="C45" s="28">
        <v>22.0</v>
      </c>
      <c r="D45" s="29">
        <v>0.0</v>
      </c>
      <c r="E45" s="30">
        <v>2.0</v>
      </c>
      <c r="F45" s="31">
        <v>5.0</v>
      </c>
      <c r="G45" s="28">
        <v>0.0</v>
      </c>
      <c r="H45" s="31">
        <v>0.0</v>
      </c>
      <c r="I45" s="31">
        <v>7.0</v>
      </c>
      <c r="J45" s="31">
        <v>6.0</v>
      </c>
      <c r="K45" s="33">
        <v>13.0</v>
      </c>
      <c r="L45" s="31">
        <v>2.0</v>
      </c>
      <c r="M45" s="28">
        <f t="shared" ref="M45:N45" si="42">C45+K45</f>
        <v>35</v>
      </c>
      <c r="N45" s="29">
        <f t="shared" si="42"/>
        <v>2</v>
      </c>
      <c r="O45" s="35" t="s">
        <v>46</v>
      </c>
      <c r="P45" s="35" t="s">
        <v>46</v>
      </c>
      <c r="Q45" s="31">
        <f>if(G45=13,1,0)+VLOOKUP(B45,'011324'!B:Q,16,false)</f>
        <v>1</v>
      </c>
      <c r="R45" s="31"/>
      <c r="S45" s="31">
        <f>if(G45=9,1,0)+VLOOKUP(B45,'011324'!B:S,18,false)</f>
        <v>1</v>
      </c>
    </row>
    <row r="46">
      <c r="A46" s="26">
        <f t="shared" si="3"/>
        <v>42</v>
      </c>
      <c r="B46" s="27" t="s">
        <v>82</v>
      </c>
      <c r="C46" s="28">
        <v>22.0</v>
      </c>
      <c r="D46" s="29">
        <v>0.0</v>
      </c>
      <c r="E46" s="30">
        <v>2.0</v>
      </c>
      <c r="F46" s="31">
        <v>6.0</v>
      </c>
      <c r="G46" s="28">
        <v>0.0</v>
      </c>
      <c r="H46" s="31">
        <v>6.0</v>
      </c>
      <c r="I46" s="31">
        <v>6.0</v>
      </c>
      <c r="J46" s="31">
        <v>6.0</v>
      </c>
      <c r="K46" s="33">
        <v>18.0</v>
      </c>
      <c r="L46" s="31">
        <v>3.0</v>
      </c>
      <c r="M46" s="28">
        <f t="shared" ref="M46:N46" si="43">C46+K46</f>
        <v>40</v>
      </c>
      <c r="N46" s="29">
        <f t="shared" si="43"/>
        <v>3</v>
      </c>
      <c r="O46" s="35" t="s">
        <v>46</v>
      </c>
      <c r="P46" s="35" t="s">
        <v>46</v>
      </c>
      <c r="Q46" s="31">
        <f>if(G46=13,1,0)+VLOOKUP(B46,'011324'!B:Q,16,false)</f>
        <v>1</v>
      </c>
      <c r="R46" s="31"/>
      <c r="S46" s="31">
        <f>if(G46=9,1,0)+VLOOKUP(B46,'011324'!B:S,18,false)</f>
        <v>1</v>
      </c>
    </row>
    <row r="47">
      <c r="A47" s="26">
        <f t="shared" si="3"/>
        <v>43</v>
      </c>
      <c r="B47" s="27" t="s">
        <v>110</v>
      </c>
      <c r="C47" s="28">
        <v>22.0</v>
      </c>
      <c r="D47" s="29">
        <v>0.0</v>
      </c>
      <c r="E47" s="30">
        <v>1.0</v>
      </c>
      <c r="F47" s="31">
        <v>6.0</v>
      </c>
      <c r="G47" s="28">
        <v>0.0</v>
      </c>
      <c r="H47" s="31">
        <v>6.0</v>
      </c>
      <c r="I47" s="31">
        <v>3.0</v>
      </c>
      <c r="J47" s="31">
        <v>4.0</v>
      </c>
      <c r="K47" s="33">
        <v>13.0</v>
      </c>
      <c r="L47" s="31">
        <v>1.0</v>
      </c>
      <c r="M47" s="28">
        <f t="shared" ref="M47:N47" si="44">C47+K47</f>
        <v>35</v>
      </c>
      <c r="N47" s="29">
        <f t="shared" si="44"/>
        <v>1</v>
      </c>
      <c r="O47" s="35" t="s">
        <v>46</v>
      </c>
      <c r="P47" s="35" t="s">
        <v>46</v>
      </c>
      <c r="Q47" s="31">
        <f>if(G47=13,1,0)+VLOOKUP(B47,'011324'!B:Q,16,false)</f>
        <v>1</v>
      </c>
      <c r="R47" s="31"/>
      <c r="S47" s="31">
        <f>if(G47=9,1,0)+VLOOKUP(B47,'011324'!B:S,18,false)</f>
        <v>1</v>
      </c>
    </row>
    <row r="48">
      <c r="A48" s="26">
        <f t="shared" si="3"/>
        <v>44</v>
      </c>
      <c r="B48" s="54" t="s">
        <v>73</v>
      </c>
      <c r="C48" s="28">
        <v>21.0</v>
      </c>
      <c r="D48" s="29">
        <v>1.0</v>
      </c>
      <c r="E48" s="30">
        <v>1.0</v>
      </c>
      <c r="F48" s="31">
        <v>6.0</v>
      </c>
      <c r="G48" s="28">
        <v>0.0</v>
      </c>
      <c r="H48" s="31">
        <v>0.0</v>
      </c>
      <c r="I48" s="31">
        <v>6.0</v>
      </c>
      <c r="J48" s="31">
        <v>4.0</v>
      </c>
      <c r="K48" s="33">
        <v>10.0</v>
      </c>
      <c r="L48" s="31">
        <v>1.0</v>
      </c>
      <c r="M48" s="28">
        <f t="shared" ref="M48:N48" si="45">C48+K48</f>
        <v>31</v>
      </c>
      <c r="N48" s="29">
        <f t="shared" si="45"/>
        <v>2</v>
      </c>
      <c r="O48" s="35" t="s">
        <v>46</v>
      </c>
      <c r="P48" s="35" t="s">
        <v>46</v>
      </c>
      <c r="Q48" s="31">
        <f>if(G48=13,1,0)+VLOOKUP(B48,'011324'!B:Q,16,false)</f>
        <v>0</v>
      </c>
      <c r="R48" s="31"/>
      <c r="S48" s="31">
        <f>if(G48=9,1,0)+VLOOKUP(B48,'011324'!B:S,18,false)</f>
        <v>0</v>
      </c>
    </row>
    <row r="49">
      <c r="A49" s="26">
        <f t="shared" si="3"/>
        <v>45</v>
      </c>
      <c r="B49" s="27" t="s">
        <v>66</v>
      </c>
      <c r="C49" s="28">
        <v>21.0</v>
      </c>
      <c r="D49" s="29">
        <v>1.0</v>
      </c>
      <c r="E49" s="30">
        <v>1.0</v>
      </c>
      <c r="F49" s="31">
        <v>6.0</v>
      </c>
      <c r="G49" s="28">
        <v>0.0</v>
      </c>
      <c r="H49" s="31">
        <v>0.0</v>
      </c>
      <c r="I49" s="31">
        <v>3.0</v>
      </c>
      <c r="J49" s="31">
        <v>6.0</v>
      </c>
      <c r="K49" s="33">
        <v>9.0</v>
      </c>
      <c r="L49" s="31">
        <v>1.0</v>
      </c>
      <c r="M49" s="28">
        <f t="shared" ref="M49:N49" si="46">C49+K49</f>
        <v>30</v>
      </c>
      <c r="N49" s="29">
        <f t="shared" si="46"/>
        <v>2</v>
      </c>
      <c r="O49" s="35" t="s">
        <v>46</v>
      </c>
      <c r="P49" s="35" t="s">
        <v>46</v>
      </c>
      <c r="Q49" s="31">
        <f>if(G49=13,1,0)+VLOOKUP(B49,'011324'!B:Q,16,false)</f>
        <v>0</v>
      </c>
      <c r="R49" s="31"/>
      <c r="S49" s="31">
        <f>if(G49=9,1,0)+VLOOKUP(B49,'011324'!B:S,18,false)</f>
        <v>1</v>
      </c>
    </row>
    <row r="50">
      <c r="A50" s="26">
        <f t="shared" si="3"/>
        <v>46</v>
      </c>
      <c r="B50" s="27" t="s">
        <v>112</v>
      </c>
      <c r="C50" s="28">
        <v>21.0</v>
      </c>
      <c r="D50" s="29">
        <v>1.0</v>
      </c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f t="shared" ref="M50:N50" si="47">C50+K50</f>
        <v>30</v>
      </c>
      <c r="N50" s="29">
        <f t="shared" si="47"/>
        <v>1</v>
      </c>
      <c r="O50" s="35" t="s">
        <v>46</v>
      </c>
      <c r="P50" s="35" t="s">
        <v>46</v>
      </c>
      <c r="Q50" s="31">
        <f>if(G50=13,1,0)+VLOOKUP(B50,'011324'!B:Q,16,false)</f>
        <v>0</v>
      </c>
      <c r="R50" s="31"/>
      <c r="S50" s="31">
        <f>if(G50=9,1,0)+VLOOKUP(B50,'011324'!B:S,18,false)</f>
        <v>2</v>
      </c>
    </row>
    <row r="51">
      <c r="A51" s="26">
        <f t="shared" si="3"/>
        <v>47</v>
      </c>
      <c r="B51" s="54" t="s">
        <v>94</v>
      </c>
      <c r="C51" s="28">
        <v>21.0</v>
      </c>
      <c r="D51" s="29">
        <v>1.0</v>
      </c>
      <c r="E51" s="30">
        <v>1.0</v>
      </c>
      <c r="F51" s="31">
        <v>7.0</v>
      </c>
      <c r="G51" s="28">
        <v>0.0</v>
      </c>
      <c r="H51" s="31">
        <v>6.0</v>
      </c>
      <c r="I51" s="31">
        <v>0.0</v>
      </c>
      <c r="J51" s="31">
        <v>1.0</v>
      </c>
      <c r="K51" s="33">
        <v>7.0</v>
      </c>
      <c r="L51" s="31">
        <v>1.0</v>
      </c>
      <c r="M51" s="28">
        <f t="shared" ref="M51:N51" si="48">C51+K51</f>
        <v>28</v>
      </c>
      <c r="N51" s="29">
        <f t="shared" si="48"/>
        <v>2</v>
      </c>
      <c r="O51" s="35" t="s">
        <v>46</v>
      </c>
      <c r="P51" s="35" t="s">
        <v>46</v>
      </c>
      <c r="Q51" s="31">
        <f>if(G51=13,1,0)+VLOOKUP(B51,'011324'!B:Q,16,false)</f>
        <v>0</v>
      </c>
      <c r="R51" s="31"/>
      <c r="S51" s="31">
        <f>if(G51=9,1,0)+VLOOKUP(B51,'011324'!B:S,18,false)</f>
        <v>1</v>
      </c>
    </row>
    <row r="52">
      <c r="A52" s="26">
        <f t="shared" si="3"/>
        <v>48</v>
      </c>
      <c r="B52" s="76" t="s">
        <v>54</v>
      </c>
      <c r="C52" s="28">
        <v>19.0</v>
      </c>
      <c r="D52" s="29">
        <v>2.0</v>
      </c>
      <c r="E52" s="30">
        <v>5.0</v>
      </c>
      <c r="F52" s="31">
        <v>0.0</v>
      </c>
      <c r="G52" s="28">
        <v>13.0</v>
      </c>
      <c r="H52" s="31">
        <v>0.0</v>
      </c>
      <c r="I52" s="31">
        <v>0.0</v>
      </c>
      <c r="J52" s="31">
        <v>0.0</v>
      </c>
      <c r="K52" s="33">
        <v>13.0</v>
      </c>
      <c r="L52" s="31">
        <v>0.0</v>
      </c>
      <c r="M52" s="28">
        <f t="shared" ref="M52:N52" si="49">C52+K52</f>
        <v>32</v>
      </c>
      <c r="N52" s="29">
        <f t="shared" si="49"/>
        <v>2</v>
      </c>
      <c r="O52" s="35" t="s">
        <v>46</v>
      </c>
      <c r="P52" s="35" t="s">
        <v>46</v>
      </c>
      <c r="Q52" s="31">
        <f>if(G52=13,1,0)+VLOOKUP(B52,'011324'!B:Q,16,false)</f>
        <v>1</v>
      </c>
      <c r="R52" s="31"/>
      <c r="S52" s="31">
        <f>if(G52=9,1,0)+VLOOKUP(B52,'011324'!B:S,18,false)</f>
        <v>0</v>
      </c>
    </row>
    <row r="53">
      <c r="A53" s="26">
        <f t="shared" si="3"/>
        <v>49</v>
      </c>
      <c r="B53" s="39" t="s">
        <v>97</v>
      </c>
      <c r="C53" s="28">
        <v>19.0</v>
      </c>
      <c r="D53" s="29">
        <v>0.0</v>
      </c>
      <c r="E53" s="30">
        <v>1.0</v>
      </c>
      <c r="F53" s="31">
        <v>7.0</v>
      </c>
      <c r="G53" s="28">
        <v>0.0</v>
      </c>
      <c r="H53" s="31">
        <v>0.0</v>
      </c>
      <c r="I53" s="31">
        <v>0.0</v>
      </c>
      <c r="J53" s="31">
        <v>6.0</v>
      </c>
      <c r="K53" s="33">
        <v>6.0</v>
      </c>
      <c r="L53" s="31">
        <v>1.0</v>
      </c>
      <c r="M53" s="28">
        <f t="shared" ref="M53:N53" si="50">C53+K53</f>
        <v>25</v>
      </c>
      <c r="N53" s="29">
        <f t="shared" si="50"/>
        <v>1</v>
      </c>
      <c r="O53" s="35" t="s">
        <v>46</v>
      </c>
      <c r="P53" s="35" t="s">
        <v>46</v>
      </c>
      <c r="Q53" s="31">
        <f>if(G53=13,1,0)+VLOOKUP(B53,'011324'!B:Q,16,false)</f>
        <v>0</v>
      </c>
      <c r="R53" s="31"/>
      <c r="S53" s="31">
        <f>if(G53=9,1,0)+VLOOKUP(B53,'011324'!B:S,18,false)</f>
        <v>0</v>
      </c>
    </row>
    <row r="54">
      <c r="A54" s="26">
        <f t="shared" si="3"/>
        <v>50</v>
      </c>
      <c r="B54" s="27" t="s">
        <v>76</v>
      </c>
      <c r="C54" s="28">
        <v>18.0</v>
      </c>
      <c r="D54" s="29">
        <v>1.0</v>
      </c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f t="shared" ref="M54:N54" si="51">C54+K54</f>
        <v>27</v>
      </c>
      <c r="N54" s="29">
        <f t="shared" si="51"/>
        <v>1</v>
      </c>
      <c r="O54" s="35" t="s">
        <v>46</v>
      </c>
      <c r="P54" s="35" t="s">
        <v>46</v>
      </c>
      <c r="Q54" s="31">
        <f>if(G54=13,1,0)+VLOOKUP(B54,'011324'!B:Q,16,false)</f>
        <v>0</v>
      </c>
      <c r="R54" s="31"/>
      <c r="S54" s="31">
        <f>if(G54=9,1,0)+VLOOKUP(B54,'011324'!B:S,18,false)</f>
        <v>2</v>
      </c>
    </row>
    <row r="55">
      <c r="A55" s="26">
        <f t="shared" si="3"/>
        <v>51</v>
      </c>
      <c r="B55" s="54" t="s">
        <v>89</v>
      </c>
      <c r="C55" s="28">
        <v>18.0</v>
      </c>
      <c r="D55" s="29">
        <v>1.0</v>
      </c>
      <c r="E55" s="30">
        <v>1.0</v>
      </c>
      <c r="F55" s="31">
        <v>7.0</v>
      </c>
      <c r="G55" s="28">
        <v>0.0</v>
      </c>
      <c r="H55" s="31">
        <v>0.0</v>
      </c>
      <c r="I55" s="31">
        <v>6.0</v>
      </c>
      <c r="J55" s="31">
        <v>1.0</v>
      </c>
      <c r="K55" s="33">
        <v>7.0</v>
      </c>
      <c r="L55" s="31">
        <v>1.0</v>
      </c>
      <c r="M55" s="28">
        <f t="shared" ref="M55:N55" si="52">C55+K55</f>
        <v>25</v>
      </c>
      <c r="N55" s="29">
        <f t="shared" si="52"/>
        <v>2</v>
      </c>
      <c r="O55" s="35" t="s">
        <v>46</v>
      </c>
      <c r="P55" s="35" t="s">
        <v>46</v>
      </c>
      <c r="Q55" s="31">
        <f>if(G55=13,1,0)+VLOOKUP(B55,'011324'!B:Q,16,false)</f>
        <v>0</v>
      </c>
      <c r="R55" s="31"/>
      <c r="S55" s="31">
        <f>if(G55=9,1,0)+VLOOKUP(B55,'011324'!B:S,18,false)</f>
        <v>0</v>
      </c>
    </row>
    <row r="56">
      <c r="A56" s="26">
        <f t="shared" si="3"/>
        <v>52</v>
      </c>
      <c r="B56" s="27" t="s">
        <v>38</v>
      </c>
      <c r="C56" s="28">
        <v>18.0</v>
      </c>
      <c r="D56" s="29">
        <v>0.0</v>
      </c>
      <c r="E56" s="30">
        <v>1.0</v>
      </c>
      <c r="F56" s="31">
        <v>7.0</v>
      </c>
      <c r="G56" s="28">
        <v>0.0</v>
      </c>
      <c r="H56" s="31">
        <v>6.0</v>
      </c>
      <c r="I56" s="31">
        <v>6.0</v>
      </c>
      <c r="J56" s="31">
        <v>6.0</v>
      </c>
      <c r="K56" s="33">
        <v>18.0</v>
      </c>
      <c r="L56" s="31">
        <v>3.0</v>
      </c>
      <c r="M56" s="28">
        <f t="shared" ref="M56:N56" si="53">C56+K56</f>
        <v>36</v>
      </c>
      <c r="N56" s="29">
        <f t="shared" si="53"/>
        <v>3</v>
      </c>
      <c r="O56" s="35" t="s">
        <v>46</v>
      </c>
      <c r="P56" s="35" t="s">
        <v>46</v>
      </c>
      <c r="Q56" s="31">
        <f>if(G56=13,1,0)+VLOOKUP(B56,'011324'!B:Q,16,false)</f>
        <v>0</v>
      </c>
      <c r="R56" s="31"/>
      <c r="S56" s="31">
        <f>if(G56=9,1,0)+VLOOKUP(B56,'011324'!B:S,18,false)</f>
        <v>2</v>
      </c>
    </row>
    <row r="57">
      <c r="A57" s="26">
        <f t="shared" si="3"/>
        <v>53</v>
      </c>
      <c r="B57" s="27" t="s">
        <v>60</v>
      </c>
      <c r="C57" s="28">
        <v>18.0</v>
      </c>
      <c r="D57" s="29">
        <v>0.0</v>
      </c>
      <c r="E57" s="30">
        <v>2.0</v>
      </c>
      <c r="F57" s="31">
        <v>8.0</v>
      </c>
      <c r="G57" s="28">
        <v>0.0</v>
      </c>
      <c r="H57" s="31">
        <v>1.0</v>
      </c>
      <c r="I57" s="31">
        <v>6.0</v>
      </c>
      <c r="J57" s="31">
        <v>6.0</v>
      </c>
      <c r="K57" s="33">
        <v>13.0</v>
      </c>
      <c r="L57" s="31">
        <v>2.0</v>
      </c>
      <c r="M57" s="28">
        <f t="shared" ref="M57:N57" si="54">C57+K57</f>
        <v>31</v>
      </c>
      <c r="N57" s="29">
        <f t="shared" si="54"/>
        <v>2</v>
      </c>
      <c r="O57" s="35" t="s">
        <v>46</v>
      </c>
      <c r="P57" s="35" t="s">
        <v>46</v>
      </c>
      <c r="Q57" s="31">
        <f>if(G57=13,1,0)+VLOOKUP(B57,'011324'!B:Q,16,false)</f>
        <v>0</v>
      </c>
      <c r="R57" s="31"/>
      <c r="S57" s="31">
        <f>if(G57=9,1,0)+VLOOKUP(B57,'011324'!B:S,18,false)</f>
        <v>2</v>
      </c>
    </row>
    <row r="58">
      <c r="A58" s="26">
        <f t="shared" si="3"/>
        <v>54</v>
      </c>
      <c r="B58" s="27" t="s">
        <v>57</v>
      </c>
      <c r="C58" s="28">
        <v>18.0</v>
      </c>
      <c r="D58" s="29">
        <v>0.0</v>
      </c>
      <c r="E58" s="30">
        <v>1.0</v>
      </c>
      <c r="F58" s="31">
        <v>8.0</v>
      </c>
      <c r="G58" s="28">
        <v>0.0</v>
      </c>
      <c r="H58" s="31">
        <v>6.0</v>
      </c>
      <c r="I58" s="31">
        <v>6.0</v>
      </c>
      <c r="J58" s="31">
        <v>2.0</v>
      </c>
      <c r="K58" s="33">
        <v>14.0</v>
      </c>
      <c r="L58" s="31">
        <v>2.0</v>
      </c>
      <c r="M58" s="28">
        <f t="shared" ref="M58:N58" si="55">C58+K58</f>
        <v>32</v>
      </c>
      <c r="N58" s="29">
        <f t="shared" si="55"/>
        <v>2</v>
      </c>
      <c r="O58" s="35" t="s">
        <v>46</v>
      </c>
      <c r="P58" s="35" t="s">
        <v>46</v>
      </c>
      <c r="Q58" s="31">
        <f>if(G58=13,1,0)+VLOOKUP(B58,'011324'!B:Q,16,false)</f>
        <v>0</v>
      </c>
      <c r="R58" s="31"/>
      <c r="S58" s="31">
        <f>if(G58=9,1,0)+VLOOKUP(B58,'011324'!B:S,18,false)</f>
        <v>2</v>
      </c>
    </row>
    <row r="59">
      <c r="A59" s="26">
        <f t="shared" si="3"/>
        <v>55</v>
      </c>
      <c r="B59" s="39" t="s">
        <v>103</v>
      </c>
      <c r="C59" s="28">
        <v>18.0</v>
      </c>
      <c r="D59" s="29">
        <v>0.0</v>
      </c>
      <c r="E59" s="30">
        <v>1.0</v>
      </c>
      <c r="F59" s="31">
        <v>8.0</v>
      </c>
      <c r="G59" s="28">
        <v>0.0</v>
      </c>
      <c r="H59" s="31">
        <v>6.0</v>
      </c>
      <c r="I59" s="31">
        <v>1.0</v>
      </c>
      <c r="J59" s="31">
        <v>6.0</v>
      </c>
      <c r="K59" s="33">
        <v>13.0</v>
      </c>
      <c r="L59" s="31">
        <v>2.0</v>
      </c>
      <c r="M59" s="28">
        <f t="shared" ref="M59:N59" si="56">C59+K59</f>
        <v>31</v>
      </c>
      <c r="N59" s="29">
        <f t="shared" si="56"/>
        <v>2</v>
      </c>
      <c r="O59" s="35" t="s">
        <v>46</v>
      </c>
      <c r="P59" s="35" t="s">
        <v>46</v>
      </c>
      <c r="Q59" s="31">
        <f>if(G59=13,1,0)+VLOOKUP(B59,'011324'!B:Q,16,false)</f>
        <v>0</v>
      </c>
      <c r="R59" s="31"/>
      <c r="S59" s="31">
        <f>if(G59=9,1,0)+VLOOKUP(B59,'011324'!B:S,18,false)</f>
        <v>2</v>
      </c>
    </row>
    <row r="60">
      <c r="A60" s="26">
        <f t="shared" si="3"/>
        <v>56</v>
      </c>
      <c r="B60" s="27" t="s">
        <v>74</v>
      </c>
      <c r="C60" s="28">
        <v>18.0</v>
      </c>
      <c r="D60" s="29">
        <v>0.0</v>
      </c>
      <c r="E60" s="30">
        <v>3.0</v>
      </c>
      <c r="F60" s="31">
        <v>0.0</v>
      </c>
      <c r="G60" s="28">
        <v>9.0</v>
      </c>
      <c r="H60" s="31">
        <v>0.0</v>
      </c>
      <c r="I60" s="31">
        <v>0.0</v>
      </c>
      <c r="J60" s="31">
        <v>0.0</v>
      </c>
      <c r="K60" s="33">
        <v>9.0</v>
      </c>
      <c r="L60" s="31">
        <v>0.0</v>
      </c>
      <c r="M60" s="28">
        <f t="shared" ref="M60:N60" si="57">C60+K60</f>
        <v>27</v>
      </c>
      <c r="N60" s="29">
        <f t="shared" si="57"/>
        <v>0</v>
      </c>
      <c r="O60" s="35" t="s">
        <v>46</v>
      </c>
      <c r="P60" s="35" t="s">
        <v>46</v>
      </c>
      <c r="Q60" s="31">
        <f>if(G60=13,1,0)+VLOOKUP(B60,'011324'!B:Q,16,false)</f>
        <v>0</v>
      </c>
      <c r="R60" s="31"/>
      <c r="S60" s="31">
        <f>if(G60=9,1,0)+VLOOKUP(B60,'011324'!B:S,18,false)</f>
        <v>3</v>
      </c>
    </row>
    <row r="61">
      <c r="A61" s="26">
        <f t="shared" si="3"/>
        <v>57</v>
      </c>
      <c r="B61" s="27" t="s">
        <v>90</v>
      </c>
      <c r="C61" s="28">
        <v>18.0</v>
      </c>
      <c r="D61" s="29">
        <v>0.0</v>
      </c>
      <c r="E61" s="30">
        <v>3.0</v>
      </c>
      <c r="F61" s="31">
        <v>0.0</v>
      </c>
      <c r="G61" s="28">
        <v>9.0</v>
      </c>
      <c r="H61" s="31">
        <v>0.0</v>
      </c>
      <c r="I61" s="31">
        <v>0.0</v>
      </c>
      <c r="J61" s="31">
        <v>0.0</v>
      </c>
      <c r="K61" s="33">
        <v>9.0</v>
      </c>
      <c r="L61" s="31">
        <v>0.0</v>
      </c>
      <c r="M61" s="28">
        <f t="shared" ref="M61:N61" si="58">C61+K61</f>
        <v>27</v>
      </c>
      <c r="N61" s="29">
        <f t="shared" si="58"/>
        <v>0</v>
      </c>
      <c r="O61" s="35" t="s">
        <v>46</v>
      </c>
      <c r="P61" s="35" t="s">
        <v>46</v>
      </c>
      <c r="Q61" s="31">
        <f>if(G61=13,1,0)+VLOOKUP(B61,'011324'!B:Q,16,false)</f>
        <v>0</v>
      </c>
      <c r="R61" s="31"/>
      <c r="S61" s="31">
        <f>if(G61=9,1,0)+VLOOKUP(B61,'011324'!B:S,18,false)</f>
        <v>3</v>
      </c>
    </row>
    <row r="62">
      <c r="A62" s="26">
        <f t="shared" si="3"/>
        <v>58</v>
      </c>
      <c r="B62" s="27" t="s">
        <v>56</v>
      </c>
      <c r="C62" s="28">
        <v>18.0</v>
      </c>
      <c r="D62" s="29">
        <v>0.0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27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if(G62=13,1,0)+VLOOKUP(B62,'011324'!B:Q,16,false)</f>
        <v>0</v>
      </c>
      <c r="R62" s="31"/>
      <c r="S62" s="31">
        <f>if(G62=9,1,0)+VLOOKUP(B62,'011324'!B:S,18,false)</f>
        <v>3</v>
      </c>
    </row>
    <row r="63">
      <c r="A63" s="26">
        <f t="shared" si="3"/>
        <v>59</v>
      </c>
      <c r="B63" s="27" t="s">
        <v>114</v>
      </c>
      <c r="C63" s="28">
        <v>18.0</v>
      </c>
      <c r="D63" s="29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27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if(G63=13,1,0)+VLOOKUP(B63,'011324'!B:Q,16,false)</f>
        <v>0</v>
      </c>
      <c r="R63" s="31"/>
      <c r="S63" s="31">
        <f>if(G63=9,1,0)+VLOOKUP(B63,'011324'!B:S,18,false)</f>
        <v>3</v>
      </c>
    </row>
    <row r="64">
      <c r="A64" s="26">
        <f t="shared" si="3"/>
        <v>60</v>
      </c>
      <c r="B64" s="39" t="s">
        <v>55</v>
      </c>
      <c r="C64" s="28">
        <v>18.0</v>
      </c>
      <c r="D64" s="29">
        <v>0.0</v>
      </c>
      <c r="E64" s="30">
        <v>5.0</v>
      </c>
      <c r="F64" s="31">
        <v>0.0</v>
      </c>
      <c r="G64" s="28">
        <v>13.0</v>
      </c>
      <c r="H64" s="31">
        <v>0.0</v>
      </c>
      <c r="I64" s="31">
        <v>0.0</v>
      </c>
      <c r="J64" s="31">
        <v>0.0</v>
      </c>
      <c r="K64" s="33">
        <v>13.0</v>
      </c>
      <c r="L64" s="31">
        <v>0.0</v>
      </c>
      <c r="M64" s="28">
        <f t="shared" ref="M64:N64" si="61">C64+K64</f>
        <v>31</v>
      </c>
      <c r="N64" s="29">
        <f t="shared" si="61"/>
        <v>0</v>
      </c>
      <c r="O64" s="35" t="s">
        <v>46</v>
      </c>
      <c r="P64" s="35" t="s">
        <v>46</v>
      </c>
      <c r="Q64" s="31">
        <f>if(G64=13,1,0)+VLOOKUP(B64,'011324'!B:Q,16,false)</f>
        <v>1</v>
      </c>
      <c r="R64" s="31"/>
      <c r="S64" s="31">
        <f>if(G64=9,1,0)+VLOOKUP(B64,'011324'!B:S,18,false)</f>
        <v>2</v>
      </c>
    </row>
    <row r="65">
      <c r="A65" s="26">
        <f t="shared" si="3"/>
        <v>61</v>
      </c>
      <c r="B65" s="39" t="s">
        <v>124</v>
      </c>
      <c r="C65" s="28">
        <v>18.0</v>
      </c>
      <c r="D65" s="29">
        <v>0.0</v>
      </c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f t="shared" ref="M65:N65" si="62">C65+K65</f>
        <v>27</v>
      </c>
      <c r="N65" s="29">
        <f t="shared" si="62"/>
        <v>0</v>
      </c>
      <c r="O65" s="35" t="s">
        <v>46</v>
      </c>
      <c r="P65" s="35" t="s">
        <v>46</v>
      </c>
      <c r="Q65" s="31">
        <f>if(G65=13,1,0)+VLOOKUP(B65,'011324'!B:Q,16,false)</f>
        <v>0</v>
      </c>
      <c r="R65" s="31"/>
      <c r="S65" s="31">
        <f>if(G65=9,1,0)+VLOOKUP(B65,'011324'!B:S,18,false)</f>
        <v>3</v>
      </c>
    </row>
    <row r="66">
      <c r="A66" s="26">
        <f t="shared" si="3"/>
        <v>62</v>
      </c>
      <c r="B66" s="27" t="s">
        <v>115</v>
      </c>
      <c r="C66" s="28">
        <v>18.0</v>
      </c>
      <c r="D66" s="29">
        <v>0.0</v>
      </c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f t="shared" ref="M66:N66" si="63">C66+K66</f>
        <v>27</v>
      </c>
      <c r="N66" s="29">
        <f t="shared" si="63"/>
        <v>0</v>
      </c>
      <c r="O66" s="35" t="s">
        <v>46</v>
      </c>
      <c r="P66" s="35" t="s">
        <v>46</v>
      </c>
      <c r="Q66" s="31">
        <f>if(G66=13,1,0)+VLOOKUP(B66,'011324'!B:Q,16,false)</f>
        <v>0</v>
      </c>
      <c r="R66" s="31"/>
      <c r="S66" s="31">
        <f>if(G66=9,1,0)+VLOOKUP(B66,'011324'!B:S,18,false)</f>
        <v>3</v>
      </c>
    </row>
    <row r="67">
      <c r="A67" s="26">
        <f t="shared" si="3"/>
        <v>63</v>
      </c>
      <c r="B67" s="39" t="s">
        <v>125</v>
      </c>
      <c r="C67" s="28">
        <v>18.0</v>
      </c>
      <c r="D67" s="29">
        <v>0.0</v>
      </c>
      <c r="E67" s="30">
        <v>3.0</v>
      </c>
      <c r="F67" s="31">
        <v>0.0</v>
      </c>
      <c r="G67" s="28">
        <v>9.0</v>
      </c>
      <c r="H67" s="31">
        <v>0.0</v>
      </c>
      <c r="I67" s="31">
        <v>0.0</v>
      </c>
      <c r="J67" s="31">
        <v>0.0</v>
      </c>
      <c r="K67" s="33">
        <v>9.0</v>
      </c>
      <c r="L67" s="31">
        <v>0.0</v>
      </c>
      <c r="M67" s="28">
        <f t="shared" ref="M67:N67" si="64">C67+K67</f>
        <v>27</v>
      </c>
      <c r="N67" s="29">
        <f t="shared" si="64"/>
        <v>0</v>
      </c>
      <c r="O67" s="35" t="s">
        <v>46</v>
      </c>
      <c r="P67" s="35" t="s">
        <v>46</v>
      </c>
      <c r="Q67" s="31">
        <f>if(G67=13,1,0)+VLOOKUP(B67,'011324'!B:Q,16,false)</f>
        <v>0</v>
      </c>
      <c r="R67" s="31"/>
      <c r="S67" s="31">
        <f>if(G67=9,1,0)+VLOOKUP(B67,'011324'!B:S,18,false)</f>
        <v>2</v>
      </c>
    </row>
    <row r="68">
      <c r="A68" s="26">
        <f t="shared" si="3"/>
        <v>64</v>
      </c>
      <c r="B68" s="39" t="s">
        <v>126</v>
      </c>
      <c r="C68" s="28">
        <v>18.0</v>
      </c>
      <c r="D68" s="29">
        <v>0.0</v>
      </c>
      <c r="E68" s="30">
        <v>1.0</v>
      </c>
      <c r="F68" s="31">
        <v>8.0</v>
      </c>
      <c r="G68" s="28">
        <v>0.0</v>
      </c>
      <c r="H68" s="31">
        <v>1.0</v>
      </c>
      <c r="I68" s="31">
        <v>1.0</v>
      </c>
      <c r="J68" s="31">
        <v>2.0</v>
      </c>
      <c r="K68" s="33">
        <v>4.0</v>
      </c>
      <c r="L68" s="31">
        <v>0.0</v>
      </c>
      <c r="M68" s="28">
        <f t="shared" ref="M68:N68" si="65">C68+K68</f>
        <v>22</v>
      </c>
      <c r="N68" s="29">
        <f t="shared" si="65"/>
        <v>0</v>
      </c>
      <c r="O68" s="35" t="s">
        <v>46</v>
      </c>
      <c r="P68" s="35" t="s">
        <v>46</v>
      </c>
      <c r="Q68" s="31">
        <f>if(G68=13,1,0)+VLOOKUP(B68,'011324'!B:Q,16,false)</f>
        <v>0</v>
      </c>
      <c r="R68" s="31"/>
      <c r="S68" s="31">
        <f>if(G68=9,1,0)+VLOOKUP(B68,'011324'!B:S,18,false)</f>
        <v>2</v>
      </c>
    </row>
    <row r="69">
      <c r="A69" s="26">
        <f t="shared" si="3"/>
        <v>65</v>
      </c>
      <c r="B69" s="39" t="s">
        <v>127</v>
      </c>
      <c r="C69" s="28">
        <v>18.0</v>
      </c>
      <c r="D69" s="29">
        <v>0.0</v>
      </c>
      <c r="E69" s="30">
        <v>3.0</v>
      </c>
      <c r="F69" s="31">
        <v>0.0</v>
      </c>
      <c r="G69" s="28">
        <v>9.0</v>
      </c>
      <c r="H69" s="31">
        <v>0.0</v>
      </c>
      <c r="I69" s="31">
        <v>0.0</v>
      </c>
      <c r="J69" s="31">
        <v>0.0</v>
      </c>
      <c r="K69" s="33">
        <v>9.0</v>
      </c>
      <c r="L69" s="31">
        <v>0.0</v>
      </c>
      <c r="M69" s="28">
        <f t="shared" ref="M69:N69" si="66">C69+K69</f>
        <v>27</v>
      </c>
      <c r="N69" s="29">
        <f t="shared" si="66"/>
        <v>0</v>
      </c>
      <c r="O69" s="35" t="s">
        <v>46</v>
      </c>
      <c r="P69" s="35" t="s">
        <v>46</v>
      </c>
      <c r="Q69" s="31">
        <f>if(G69=13,1,0)+VLOOKUP(B69,'011324'!B:Q,16,false)</f>
        <v>0</v>
      </c>
      <c r="R69" s="31"/>
      <c r="S69" s="31">
        <f>if(G69=9,1,0)+VLOOKUP(B69,'011324'!B:S,18,false)</f>
        <v>3</v>
      </c>
    </row>
    <row r="70">
      <c r="A70" s="26">
        <f t="shared" si="3"/>
        <v>66</v>
      </c>
      <c r="B70" s="39" t="s">
        <v>106</v>
      </c>
      <c r="C70" s="28">
        <v>16.0</v>
      </c>
      <c r="D70" s="29">
        <v>1.0</v>
      </c>
      <c r="E70" s="30">
        <v>3.0</v>
      </c>
      <c r="F70" s="31">
        <v>0.0</v>
      </c>
      <c r="G70" s="28">
        <v>9.0</v>
      </c>
      <c r="H70" s="31">
        <v>0.0</v>
      </c>
      <c r="I70" s="31">
        <v>0.0</v>
      </c>
      <c r="J70" s="31">
        <v>0.0</v>
      </c>
      <c r="K70" s="33">
        <v>9.0</v>
      </c>
      <c r="L70" s="31">
        <v>0.0</v>
      </c>
      <c r="M70" s="28">
        <f t="shared" ref="M70:N70" si="67">C70+K70</f>
        <v>25</v>
      </c>
      <c r="N70" s="29">
        <f t="shared" si="67"/>
        <v>1</v>
      </c>
      <c r="O70" s="35" t="s">
        <v>46</v>
      </c>
      <c r="P70" s="35" t="s">
        <v>46</v>
      </c>
      <c r="Q70" s="31">
        <f>if(G70=13,1,0)+VLOOKUP(B70,'011324'!B:Q,16,false)</f>
        <v>0</v>
      </c>
      <c r="R70" s="31"/>
      <c r="S70" s="31">
        <f>if(G70=9,1,0)+VLOOKUP(B70,'011324'!B:S,18,false)</f>
        <v>2</v>
      </c>
    </row>
    <row r="71">
      <c r="A71" s="1"/>
      <c r="C71" s="1"/>
      <c r="D71" s="1"/>
      <c r="E71" s="1"/>
      <c r="P71" s="1"/>
    </row>
    <row r="72">
      <c r="A72" s="1"/>
      <c r="C72" s="1"/>
      <c r="D72" s="1"/>
      <c r="E72" s="1"/>
      <c r="P72" s="1"/>
    </row>
    <row r="73">
      <c r="A73" s="1"/>
      <c r="B73" s="56">
        <f>COUNTA(B5:B70)</f>
        <v>66</v>
      </c>
      <c r="C73" s="1"/>
      <c r="D73" s="1"/>
      <c r="E73" s="1"/>
      <c r="K73" s="56">
        <f>COUNTBLANK(K5:K70)</f>
        <v>0</v>
      </c>
      <c r="O73" s="13" t="s">
        <v>128</v>
      </c>
      <c r="P73" s="14">
        <f>COUNTA(P5:P70)</f>
        <v>66</v>
      </c>
    </row>
    <row r="74">
      <c r="A74" s="1"/>
      <c r="C74" s="1"/>
      <c r="D74" s="1"/>
      <c r="E74" s="1"/>
      <c r="O74" s="13" t="s">
        <v>129</v>
      </c>
      <c r="P74" s="14">
        <f>P75-P73</f>
        <v>0</v>
      </c>
    </row>
    <row r="75">
      <c r="A75" s="1"/>
      <c r="C75" s="1"/>
      <c r="D75" s="1"/>
      <c r="J75" s="41"/>
      <c r="K75" s="57"/>
      <c r="L75" s="58"/>
      <c r="O75" s="13" t="s">
        <v>53</v>
      </c>
      <c r="P75" s="14">
        <f>B73</f>
        <v>66</v>
      </c>
    </row>
    <row r="76">
      <c r="A76" s="1"/>
      <c r="C76" s="1"/>
      <c r="D76" s="1"/>
      <c r="E76" s="9" t="s">
        <v>130</v>
      </c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C78" s="1"/>
      <c r="D78" s="1"/>
      <c r="J78" s="41"/>
      <c r="K78" s="57"/>
      <c r="L78" s="58"/>
    </row>
    <row r="79">
      <c r="A79" s="1"/>
      <c r="B79" s="59" t="s">
        <v>131</v>
      </c>
      <c r="C79" s="59" t="s">
        <v>132</v>
      </c>
      <c r="D79" s="59" t="s">
        <v>133</v>
      </c>
      <c r="J79" s="41"/>
      <c r="K79" s="57"/>
      <c r="L79" s="58"/>
    </row>
    <row r="80">
      <c r="A80" s="1"/>
      <c r="B80" s="39" t="str">
        <f>IFERROR(__xludf.DUMMYFUNCTION("QUERY(B5:L70,""Select B, K, L where K &gt;= 18 order by K desc, L desc"",0)"),"Eric Pan")</f>
        <v>Eric Pan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  <c r="K80" s="57"/>
      <c r="L80" s="58"/>
    </row>
    <row r="81">
      <c r="A81" s="1"/>
      <c r="B81" s="39" t="str">
        <f>IFERROR(__xludf.DUMMYFUNCTION("""COMPUTED_VALUE"""),"Adrian Tay")</f>
        <v>Adrian Tay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  <c r="L81" s="61"/>
    </row>
    <row r="82">
      <c r="A82" s="1"/>
      <c r="B82" s="39"/>
      <c r="C82" s="39"/>
      <c r="D82" s="39"/>
      <c r="E82" s="1"/>
    </row>
    <row r="83">
      <c r="A83" s="1"/>
      <c r="B83" s="39"/>
      <c r="C83" s="39"/>
      <c r="D83" s="39"/>
      <c r="E83" s="1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  <c r="K87" s="9"/>
    </row>
    <row r="88">
      <c r="A88" s="1"/>
      <c r="B88" s="39"/>
      <c r="C88" s="60"/>
      <c r="D88" s="60"/>
      <c r="E88" s="1"/>
    </row>
    <row r="89">
      <c r="A89" s="1"/>
      <c r="B89" s="39"/>
      <c r="C89" s="60"/>
      <c r="D89" s="60"/>
      <c r="E89" s="1"/>
    </row>
    <row r="90">
      <c r="A90" s="1"/>
      <c r="C90" s="1"/>
      <c r="D90" s="1"/>
      <c r="E90" s="1"/>
    </row>
    <row r="91">
      <c r="A91" s="1"/>
      <c r="B91" s="9" t="s">
        <v>135</v>
      </c>
      <c r="C91" s="1"/>
      <c r="D91" s="1"/>
      <c r="E91" s="1"/>
    </row>
    <row r="92">
      <c r="A92" s="1"/>
      <c r="B92" s="85" t="s">
        <v>29</v>
      </c>
      <c r="C92" s="86" t="s">
        <v>5</v>
      </c>
      <c r="D92" s="86" t="s">
        <v>7</v>
      </c>
      <c r="E92" s="86" t="s">
        <v>30</v>
      </c>
      <c r="F92" s="86" t="s">
        <v>31</v>
      </c>
      <c r="G92" s="86" t="s">
        <v>32</v>
      </c>
      <c r="H92" s="86" t="s">
        <v>11</v>
      </c>
      <c r="I92" s="86" t="s">
        <v>13</v>
      </c>
      <c r="J92" s="86" t="s">
        <v>14</v>
      </c>
      <c r="K92" s="86" t="s">
        <v>5</v>
      </c>
      <c r="L92" s="86" t="s">
        <v>7</v>
      </c>
      <c r="M92" s="87" t="s">
        <v>5</v>
      </c>
      <c r="N92" s="87" t="s">
        <v>7</v>
      </c>
    </row>
    <row r="93">
      <c r="A93" s="1"/>
      <c r="B93" s="88" t="str">
        <f>IFERROR(__xludf.DUMMYFUNCTION("QUERY(B5:N70, ""Select B, C, D, E, F, G, H, I, J, K, L, M, N   where F &gt;= 1"")"),"Oscar Bonilla")</f>
        <v>Oscar Bonilla</v>
      </c>
      <c r="C93" s="89">
        <f>IFERROR(__xludf.DUMMYFUNCTION("""COMPUTED_VALUE"""),36.0)</f>
        <v>36</v>
      </c>
      <c r="D93" s="90">
        <f>IFERROR(__xludf.DUMMYFUNCTION("""COMPUTED_VALUE"""),5.0)</f>
        <v>5</v>
      </c>
      <c r="E93" s="89">
        <f>IFERROR(__xludf.DUMMYFUNCTION("""COMPUTED_VALUE"""),2.0)</f>
        <v>2</v>
      </c>
      <c r="F93" s="91">
        <f>IFERROR(__xludf.DUMMYFUNCTION("""COMPUTED_VALUE"""),1.0)</f>
        <v>1</v>
      </c>
      <c r="G93" s="91">
        <f>IFERROR(__xludf.DUMMYFUNCTION("""COMPUTED_VALUE"""),9.0)</f>
        <v>9</v>
      </c>
      <c r="H93" s="91"/>
      <c r="I93" s="91"/>
      <c r="J93" s="91"/>
      <c r="K93" s="91">
        <f>IFERROR(__xludf.DUMMYFUNCTION("""COMPUTED_VALUE"""),9.0)</f>
        <v>9</v>
      </c>
      <c r="L93" s="91"/>
      <c r="M93" s="91">
        <f>IFERROR(__xludf.DUMMYFUNCTION("""COMPUTED_VALUE"""),45.0)</f>
        <v>45</v>
      </c>
      <c r="N93" s="92">
        <f>IFERROR(__xludf.DUMMYFUNCTION("""COMPUTED_VALUE"""),5.0)</f>
        <v>5</v>
      </c>
    </row>
    <row r="94">
      <c r="A94" s="1"/>
      <c r="B94" s="88" t="str">
        <f>IFERROR(__xludf.DUMMYFUNCTION("""COMPUTED_VALUE"""),"Suleman Alidina")</f>
        <v>Suleman Alidina</v>
      </c>
      <c r="C94" s="89">
        <f>IFERROR(__xludf.DUMMYFUNCTION("""COMPUTED_VALUE"""),36.0)</f>
        <v>36</v>
      </c>
      <c r="D94" s="90">
        <f>IFERROR(__xludf.DUMMYFUNCTION("""COMPUTED_VALUE"""),5.0)</f>
        <v>5</v>
      </c>
      <c r="E94" s="89">
        <f>IFERROR(__xludf.DUMMYFUNCTION("""COMPUTED_VALUE"""),1.0)</f>
        <v>1</v>
      </c>
      <c r="F94" s="91">
        <f>IFERROR(__xludf.DUMMYFUNCTION("""COMPUTED_VALUE"""),1.0)</f>
        <v>1</v>
      </c>
      <c r="G94" s="91">
        <f>IFERROR(__xludf.DUMMYFUNCTION("""COMPUTED_VALUE"""),9.0)</f>
        <v>9</v>
      </c>
      <c r="H94" s="91"/>
      <c r="I94" s="91"/>
      <c r="J94" s="91"/>
      <c r="K94" s="91">
        <f>IFERROR(__xludf.DUMMYFUNCTION("""COMPUTED_VALUE"""),9.0)</f>
        <v>9</v>
      </c>
      <c r="L94" s="91"/>
      <c r="M94" s="91">
        <f>IFERROR(__xludf.DUMMYFUNCTION("""COMPUTED_VALUE"""),45.0)</f>
        <v>45</v>
      </c>
      <c r="N94" s="92">
        <f>IFERROR(__xludf.DUMMYFUNCTION("""COMPUTED_VALUE"""),5.0)</f>
        <v>5</v>
      </c>
    </row>
    <row r="95">
      <c r="A95" s="1"/>
      <c r="B95" s="88" t="str">
        <f>IFERROR(__xludf.DUMMYFUNCTION("""COMPUTED_VALUE"""),"Anish Kumar")</f>
        <v>Anish Kumar</v>
      </c>
      <c r="C95" s="89">
        <f>IFERROR(__xludf.DUMMYFUNCTION("""COMPUTED_VALUE"""),33.0)</f>
        <v>33</v>
      </c>
      <c r="D95" s="90">
        <f>IFERROR(__xludf.DUMMYFUNCTION("""COMPUTED_VALUE"""),3.0)</f>
        <v>3</v>
      </c>
      <c r="E95" s="89">
        <f>IFERROR(__xludf.DUMMYFUNCTION("""COMPUTED_VALUE"""),1.0)</f>
        <v>1</v>
      </c>
      <c r="F95" s="91">
        <f>IFERROR(__xludf.DUMMYFUNCTION("""COMPUTED_VALUE"""),1.0)</f>
        <v>1</v>
      </c>
      <c r="G95" s="91">
        <f>IFERROR(__xludf.DUMMYFUNCTION("""COMPUTED_VALUE"""),9.0)</f>
        <v>9</v>
      </c>
      <c r="H95" s="91"/>
      <c r="I95" s="91"/>
      <c r="J95" s="91"/>
      <c r="K95" s="91">
        <f>IFERROR(__xludf.DUMMYFUNCTION("""COMPUTED_VALUE"""),9.0)</f>
        <v>9</v>
      </c>
      <c r="L95" s="91"/>
      <c r="M95" s="91">
        <f>IFERROR(__xludf.DUMMYFUNCTION("""COMPUTED_VALUE"""),42.0)</f>
        <v>42</v>
      </c>
      <c r="N95" s="92">
        <f>IFERROR(__xludf.DUMMYFUNCTION("""COMPUTED_VALUE"""),3.0)</f>
        <v>3</v>
      </c>
    </row>
    <row r="96">
      <c r="A96" s="1"/>
      <c r="B96" s="88" t="str">
        <f>IFERROR(__xludf.DUMMYFUNCTION("""COMPUTED_VALUE"""),"Pavan Akkimsetty")</f>
        <v>Pavan Akkimsetty</v>
      </c>
      <c r="C96" s="89">
        <f>IFERROR(__xludf.DUMMYFUNCTION("""COMPUTED_VALUE"""),31.0)</f>
        <v>31</v>
      </c>
      <c r="D96" s="90">
        <f>IFERROR(__xludf.DUMMYFUNCTION("""COMPUTED_VALUE"""),4.0)</f>
        <v>4</v>
      </c>
      <c r="E96" s="89">
        <f>IFERROR(__xludf.DUMMYFUNCTION("""COMPUTED_VALUE"""),1.0)</f>
        <v>1</v>
      </c>
      <c r="F96" s="91">
        <f>IFERROR(__xludf.DUMMYFUNCTION("""COMPUTED_VALUE"""),1.0)</f>
        <v>1</v>
      </c>
      <c r="G96" s="91">
        <f>IFERROR(__xludf.DUMMYFUNCTION("""COMPUTED_VALUE"""),9.0)</f>
        <v>9</v>
      </c>
      <c r="H96" s="91"/>
      <c r="I96" s="91"/>
      <c r="J96" s="91"/>
      <c r="K96" s="91">
        <f>IFERROR(__xludf.DUMMYFUNCTION("""COMPUTED_VALUE"""),9.0)</f>
        <v>9</v>
      </c>
      <c r="L96" s="91"/>
      <c r="M96" s="91">
        <f>IFERROR(__xludf.DUMMYFUNCTION("""COMPUTED_VALUE"""),40.0)</f>
        <v>40</v>
      </c>
      <c r="N96" s="92">
        <f>IFERROR(__xludf.DUMMYFUNCTION("""COMPUTED_VALUE"""),4.0)</f>
        <v>4</v>
      </c>
    </row>
    <row r="97">
      <c r="A97" s="1"/>
      <c r="B97" s="93" t="str">
        <f>IFERROR(__xludf.DUMMYFUNCTION("""COMPUTED_VALUE"""),"Sean Chang")</f>
        <v>Sean Chang</v>
      </c>
      <c r="C97" s="94">
        <f>IFERROR(__xludf.DUMMYFUNCTION("""COMPUTED_VALUE"""),30.0)</f>
        <v>30</v>
      </c>
      <c r="D97" s="95">
        <f>IFERROR(__xludf.DUMMYFUNCTION("""COMPUTED_VALUE"""),2.0)</f>
        <v>2</v>
      </c>
      <c r="E97" s="94">
        <f>IFERROR(__xludf.DUMMYFUNCTION("""COMPUTED_VALUE"""),2.0)</f>
        <v>2</v>
      </c>
      <c r="F97" s="96">
        <f>IFERROR(__xludf.DUMMYFUNCTION("""COMPUTED_VALUE"""),2.0)</f>
        <v>2</v>
      </c>
      <c r="G97" s="96">
        <f>IFERROR(__xludf.DUMMYFUNCTION("""COMPUTED_VALUE"""),0.0)</f>
        <v>0</v>
      </c>
      <c r="H97" s="96">
        <f>IFERROR(__xludf.DUMMYFUNCTION("""COMPUTED_VALUE"""),6.0)</f>
        <v>6</v>
      </c>
      <c r="I97" s="96">
        <f>IFERROR(__xludf.DUMMYFUNCTION("""COMPUTED_VALUE"""),6.0)</f>
        <v>6</v>
      </c>
      <c r="J97" s="96">
        <f>IFERROR(__xludf.DUMMYFUNCTION("""COMPUTED_VALUE"""),4.0)</f>
        <v>4</v>
      </c>
      <c r="K97" s="96">
        <f>IFERROR(__xludf.DUMMYFUNCTION("""COMPUTED_VALUE"""),16.0)</f>
        <v>16</v>
      </c>
      <c r="L97" s="96">
        <f>IFERROR(__xludf.DUMMYFUNCTION("""COMPUTED_VALUE"""),2.0)</f>
        <v>2</v>
      </c>
      <c r="M97" s="96">
        <f>IFERROR(__xludf.DUMMYFUNCTION("""COMPUTED_VALUE"""),46.0)</f>
        <v>46</v>
      </c>
      <c r="N97" s="97">
        <f>IFERROR(__xludf.DUMMYFUNCTION("""COMPUTED_VALUE"""),4.0)</f>
        <v>4</v>
      </c>
    </row>
    <row r="98">
      <c r="A98" s="1"/>
      <c r="B98" s="93" t="str">
        <f>IFERROR(__xludf.DUMMYFUNCTION("""COMPUTED_VALUE"""),"Mauricio Palacios")</f>
        <v>Mauricio Palacios</v>
      </c>
      <c r="C98" s="94">
        <f>IFERROR(__xludf.DUMMYFUNCTION("""COMPUTED_VALUE"""),30.0)</f>
        <v>30</v>
      </c>
      <c r="D98" s="95">
        <f>IFERROR(__xludf.DUMMYFUNCTION("""COMPUTED_VALUE"""),2.0)</f>
        <v>2</v>
      </c>
      <c r="E98" s="94">
        <f>IFERROR(__xludf.DUMMYFUNCTION("""COMPUTED_VALUE"""),2.0)</f>
        <v>2</v>
      </c>
      <c r="F98" s="96">
        <f>IFERROR(__xludf.DUMMYFUNCTION("""COMPUTED_VALUE"""),2.0)</f>
        <v>2</v>
      </c>
      <c r="G98" s="96">
        <f>IFERROR(__xludf.DUMMYFUNCTION("""COMPUTED_VALUE"""),0.0)</f>
        <v>0</v>
      </c>
      <c r="H98" s="96">
        <f>IFERROR(__xludf.DUMMYFUNCTION("""COMPUTED_VALUE"""),0.0)</f>
        <v>0</v>
      </c>
      <c r="I98" s="96">
        <f>IFERROR(__xludf.DUMMYFUNCTION("""COMPUTED_VALUE"""),6.0)</f>
        <v>6</v>
      </c>
      <c r="J98" s="96">
        <f>IFERROR(__xludf.DUMMYFUNCTION("""COMPUTED_VALUE"""),6.0)</f>
        <v>6</v>
      </c>
      <c r="K98" s="96">
        <f>IFERROR(__xludf.DUMMYFUNCTION("""COMPUTED_VALUE"""),12.0)</f>
        <v>12</v>
      </c>
      <c r="L98" s="96">
        <f>IFERROR(__xludf.DUMMYFUNCTION("""COMPUTED_VALUE"""),2.0)</f>
        <v>2</v>
      </c>
      <c r="M98" s="96">
        <f>IFERROR(__xludf.DUMMYFUNCTION("""COMPUTED_VALUE"""),42.0)</f>
        <v>42</v>
      </c>
      <c r="N98" s="97">
        <f>IFERROR(__xludf.DUMMYFUNCTION("""COMPUTED_VALUE"""),4.0)</f>
        <v>4</v>
      </c>
    </row>
    <row r="99">
      <c r="A99" s="1"/>
      <c r="B99" s="93" t="str">
        <f>IFERROR(__xludf.DUMMYFUNCTION("""COMPUTED_VALUE"""),"Jimmy Awolesi")</f>
        <v>Jimmy Awolesi</v>
      </c>
      <c r="C99" s="94">
        <f>IFERROR(__xludf.DUMMYFUNCTION("""COMPUTED_VALUE"""),29.0)</f>
        <v>29</v>
      </c>
      <c r="D99" s="95">
        <f>IFERROR(__xludf.DUMMYFUNCTION("""COMPUTED_VALUE"""),3.0)</f>
        <v>3</v>
      </c>
      <c r="E99" s="94">
        <f>IFERROR(__xludf.DUMMYFUNCTION("""COMPUTED_VALUE"""),1.0)</f>
        <v>1</v>
      </c>
      <c r="F99" s="96">
        <f>IFERROR(__xludf.DUMMYFUNCTION("""COMPUTED_VALUE"""),2.0)</f>
        <v>2</v>
      </c>
      <c r="G99" s="96">
        <f>IFERROR(__xludf.DUMMYFUNCTION("""COMPUTED_VALUE"""),0.0)</f>
        <v>0</v>
      </c>
      <c r="H99" s="96">
        <f>IFERROR(__xludf.DUMMYFUNCTION("""COMPUTED_VALUE"""),0.0)</f>
        <v>0</v>
      </c>
      <c r="I99" s="96">
        <f>IFERROR(__xludf.DUMMYFUNCTION("""COMPUTED_VALUE"""),3.0)</f>
        <v>3</v>
      </c>
      <c r="J99" s="96">
        <f>IFERROR(__xludf.DUMMYFUNCTION("""COMPUTED_VALUE"""),4.0)</f>
        <v>4</v>
      </c>
      <c r="K99" s="96">
        <f>IFERROR(__xludf.DUMMYFUNCTION("""COMPUTED_VALUE"""),7.0)</f>
        <v>7</v>
      </c>
      <c r="L99" s="96">
        <f>IFERROR(__xludf.DUMMYFUNCTION("""COMPUTED_VALUE"""),0.0)</f>
        <v>0</v>
      </c>
      <c r="M99" s="96">
        <f>IFERROR(__xludf.DUMMYFUNCTION("""COMPUTED_VALUE"""),36.0)</f>
        <v>36</v>
      </c>
      <c r="N99" s="97">
        <f>IFERROR(__xludf.DUMMYFUNCTION("""COMPUTED_VALUE"""),3.0)</f>
        <v>3</v>
      </c>
    </row>
    <row r="100">
      <c r="A100" s="1"/>
      <c r="B100" s="93" t="str">
        <f>IFERROR(__xludf.DUMMYFUNCTION("""COMPUTED_VALUE"""),"Jonathan Phan")</f>
        <v>Jonathan Phan</v>
      </c>
      <c r="C100" s="94">
        <f>IFERROR(__xludf.DUMMYFUNCTION("""COMPUTED_VALUE"""),29.0)</f>
        <v>29</v>
      </c>
      <c r="D100" s="95">
        <f>IFERROR(__xludf.DUMMYFUNCTION("""COMPUTED_VALUE"""),3.0)</f>
        <v>3</v>
      </c>
      <c r="E100" s="94">
        <f>IFERROR(__xludf.DUMMYFUNCTION("""COMPUTED_VALUE"""),1.0)</f>
        <v>1</v>
      </c>
      <c r="F100" s="96">
        <f>IFERROR(__xludf.DUMMYFUNCTION("""COMPUTED_VALUE"""),2.0)</f>
        <v>2</v>
      </c>
      <c r="G100" s="96">
        <f>IFERROR(__xludf.DUMMYFUNCTION("""COMPUTED_VALUE"""),0.0)</f>
        <v>0</v>
      </c>
      <c r="H100" s="96">
        <f>IFERROR(__xludf.DUMMYFUNCTION("""COMPUTED_VALUE"""),6.0)</f>
        <v>6</v>
      </c>
      <c r="I100" s="96">
        <f>IFERROR(__xludf.DUMMYFUNCTION("""COMPUTED_VALUE"""),3.0)</f>
        <v>3</v>
      </c>
      <c r="J100" s="96">
        <f>IFERROR(__xludf.DUMMYFUNCTION("""COMPUTED_VALUE"""),6.0)</f>
        <v>6</v>
      </c>
      <c r="K100" s="96">
        <f>IFERROR(__xludf.DUMMYFUNCTION("""COMPUTED_VALUE"""),15.0)</f>
        <v>15</v>
      </c>
      <c r="L100" s="96">
        <f>IFERROR(__xludf.DUMMYFUNCTION("""COMPUTED_VALUE"""),2.0)</f>
        <v>2</v>
      </c>
      <c r="M100" s="96">
        <f>IFERROR(__xludf.DUMMYFUNCTION("""COMPUTED_VALUE"""),44.0)</f>
        <v>44</v>
      </c>
      <c r="N100" s="97">
        <f>IFERROR(__xludf.DUMMYFUNCTION("""COMPUTED_VALUE"""),5.0)</f>
        <v>5</v>
      </c>
    </row>
    <row r="101">
      <c r="A101" s="1"/>
      <c r="B101" s="88" t="str">
        <f>IFERROR(__xludf.DUMMYFUNCTION("""COMPUTED_VALUE"""),"Andrew Chin")</f>
        <v>Andrew Chin</v>
      </c>
      <c r="C101" s="89">
        <f>IFERROR(__xludf.DUMMYFUNCTION("""COMPUTED_VALUE"""),28.0)</f>
        <v>28</v>
      </c>
      <c r="D101" s="90">
        <f>IFERROR(__xludf.DUMMYFUNCTION("""COMPUTED_VALUE"""),3.0)</f>
        <v>3</v>
      </c>
      <c r="E101" s="89">
        <f>IFERROR(__xludf.DUMMYFUNCTION("""COMPUTED_VALUE"""),1.0)</f>
        <v>1</v>
      </c>
      <c r="F101" s="91">
        <f>IFERROR(__xludf.DUMMYFUNCTION("""COMPUTED_VALUE"""),3.0)</f>
        <v>3</v>
      </c>
      <c r="G101" s="91">
        <f>IFERROR(__xludf.DUMMYFUNCTION("""COMPUTED_VALUE"""),0.0)</f>
        <v>0</v>
      </c>
      <c r="H101" s="91">
        <f>IFERROR(__xludf.DUMMYFUNCTION("""COMPUTED_VALUE"""),6.0)</f>
        <v>6</v>
      </c>
      <c r="I101" s="91">
        <f>IFERROR(__xludf.DUMMYFUNCTION("""COMPUTED_VALUE"""),0.0)</f>
        <v>0</v>
      </c>
      <c r="J101" s="91">
        <f>IFERROR(__xludf.DUMMYFUNCTION("""COMPUTED_VALUE"""),6.0)</f>
        <v>6</v>
      </c>
      <c r="K101" s="91">
        <f>IFERROR(__xludf.DUMMYFUNCTION("""COMPUTED_VALUE"""),12.0)</f>
        <v>12</v>
      </c>
      <c r="L101" s="91">
        <f>IFERROR(__xludf.DUMMYFUNCTION("""COMPUTED_VALUE"""),2.0)</f>
        <v>2</v>
      </c>
      <c r="M101" s="91">
        <f>IFERROR(__xludf.DUMMYFUNCTION("""COMPUTED_VALUE"""),40.0)</f>
        <v>40</v>
      </c>
      <c r="N101" s="92">
        <f>IFERROR(__xludf.DUMMYFUNCTION("""COMPUTED_VALUE"""),5.0)</f>
        <v>5</v>
      </c>
    </row>
    <row r="102">
      <c r="A102" s="1"/>
      <c r="B102" s="88" t="str">
        <f>IFERROR(__xludf.DUMMYFUNCTION("""COMPUTED_VALUE"""),"Manuel Rivera")</f>
        <v>Manuel Rivera</v>
      </c>
      <c r="C102" s="89">
        <f>IFERROR(__xludf.DUMMYFUNCTION("""COMPUTED_VALUE"""),28.0)</f>
        <v>28</v>
      </c>
      <c r="D102" s="90">
        <f>IFERROR(__xludf.DUMMYFUNCTION("""COMPUTED_VALUE"""),1.0)</f>
        <v>1</v>
      </c>
      <c r="E102" s="89">
        <f>IFERROR(__xludf.DUMMYFUNCTION("""COMPUTED_VALUE"""),2.0)</f>
        <v>2</v>
      </c>
      <c r="F102" s="91">
        <f>IFERROR(__xludf.DUMMYFUNCTION("""COMPUTED_VALUE"""),3.0)</f>
        <v>3</v>
      </c>
      <c r="G102" s="91">
        <f>IFERROR(__xludf.DUMMYFUNCTION("""COMPUTED_VALUE"""),0.0)</f>
        <v>0</v>
      </c>
      <c r="H102" s="91">
        <f>IFERROR(__xludf.DUMMYFUNCTION("""COMPUTED_VALUE"""),3.0)</f>
        <v>3</v>
      </c>
      <c r="I102" s="91">
        <f>IFERROR(__xludf.DUMMYFUNCTION("""COMPUTED_VALUE"""),0.0)</f>
        <v>0</v>
      </c>
      <c r="J102" s="91">
        <f>IFERROR(__xludf.DUMMYFUNCTION("""COMPUTED_VALUE"""),1.0)</f>
        <v>1</v>
      </c>
      <c r="K102" s="91">
        <f>IFERROR(__xludf.DUMMYFUNCTION("""COMPUTED_VALUE"""),4.0)</f>
        <v>4</v>
      </c>
      <c r="L102" s="91">
        <f>IFERROR(__xludf.DUMMYFUNCTION("""COMPUTED_VALUE"""),0.0)</f>
        <v>0</v>
      </c>
      <c r="M102" s="91">
        <f>IFERROR(__xludf.DUMMYFUNCTION("""COMPUTED_VALUE"""),32.0)</f>
        <v>32</v>
      </c>
      <c r="N102" s="92">
        <f>IFERROR(__xludf.DUMMYFUNCTION("""COMPUTED_VALUE"""),1.0)</f>
        <v>1</v>
      </c>
    </row>
    <row r="103">
      <c r="A103" s="1"/>
      <c r="B103" s="88" t="str">
        <f>IFERROR(__xludf.DUMMYFUNCTION("""COMPUTED_VALUE"""),"Erik Hoeckmann")</f>
        <v>Erik Hoeckmann</v>
      </c>
      <c r="C103" s="89">
        <f>IFERROR(__xludf.DUMMYFUNCTION("""COMPUTED_VALUE"""),27.0)</f>
        <v>27</v>
      </c>
      <c r="D103" s="90">
        <f>IFERROR(__xludf.DUMMYFUNCTION("""COMPUTED_VALUE"""),4.0)</f>
        <v>4</v>
      </c>
      <c r="E103" s="89">
        <f>IFERROR(__xludf.DUMMYFUNCTION("""COMPUTED_VALUE"""),1.0)</f>
        <v>1</v>
      </c>
      <c r="F103" s="91">
        <f>IFERROR(__xludf.DUMMYFUNCTION("""COMPUTED_VALUE"""),3.0)</f>
        <v>3</v>
      </c>
      <c r="G103" s="91">
        <f>IFERROR(__xludf.DUMMYFUNCTION("""COMPUTED_VALUE"""),0.0)</f>
        <v>0</v>
      </c>
      <c r="H103" s="91">
        <f>IFERROR(__xludf.DUMMYFUNCTION("""COMPUTED_VALUE"""),6.0)</f>
        <v>6</v>
      </c>
      <c r="I103" s="91">
        <f>IFERROR(__xludf.DUMMYFUNCTION("""COMPUTED_VALUE"""),6.0)</f>
        <v>6</v>
      </c>
      <c r="J103" s="91">
        <f>IFERROR(__xludf.DUMMYFUNCTION("""COMPUTED_VALUE"""),1.0)</f>
        <v>1</v>
      </c>
      <c r="K103" s="91">
        <f>IFERROR(__xludf.DUMMYFUNCTION("""COMPUTED_VALUE"""),13.0)</f>
        <v>13</v>
      </c>
      <c r="L103" s="91">
        <f>IFERROR(__xludf.DUMMYFUNCTION("""COMPUTED_VALUE"""),2.0)</f>
        <v>2</v>
      </c>
      <c r="M103" s="91">
        <f>IFERROR(__xludf.DUMMYFUNCTION("""COMPUTED_VALUE"""),40.0)</f>
        <v>40</v>
      </c>
      <c r="N103" s="92">
        <f>IFERROR(__xludf.DUMMYFUNCTION("""COMPUTED_VALUE"""),6.0)</f>
        <v>6</v>
      </c>
    </row>
    <row r="104">
      <c r="A104" s="1"/>
      <c r="B104" s="88" t="str">
        <f>IFERROR(__xludf.DUMMYFUNCTION("""COMPUTED_VALUE"""),"Kingsley Kuo")</f>
        <v>Kingsley Kuo</v>
      </c>
      <c r="C104" s="89">
        <f>IFERROR(__xludf.DUMMYFUNCTION("""COMPUTED_VALUE"""),26.0)</f>
        <v>26</v>
      </c>
      <c r="D104" s="90">
        <f>IFERROR(__xludf.DUMMYFUNCTION("""COMPUTED_VALUE"""),3.0)</f>
        <v>3</v>
      </c>
      <c r="E104" s="89">
        <f>IFERROR(__xludf.DUMMYFUNCTION("""COMPUTED_VALUE"""),1.0)</f>
        <v>1</v>
      </c>
      <c r="F104" s="91">
        <f>IFERROR(__xludf.DUMMYFUNCTION("""COMPUTED_VALUE"""),3.0)</f>
        <v>3</v>
      </c>
      <c r="G104" s="91">
        <f>IFERROR(__xludf.DUMMYFUNCTION("""COMPUTED_VALUE"""),0.0)</f>
        <v>0</v>
      </c>
      <c r="H104" s="91">
        <f>IFERROR(__xludf.DUMMYFUNCTION("""COMPUTED_VALUE"""),3.0)</f>
        <v>3</v>
      </c>
      <c r="I104" s="91">
        <f>IFERROR(__xludf.DUMMYFUNCTION("""COMPUTED_VALUE"""),6.0)</f>
        <v>6</v>
      </c>
      <c r="J104" s="91">
        <f>IFERROR(__xludf.DUMMYFUNCTION("""COMPUTED_VALUE"""),6.0)</f>
        <v>6</v>
      </c>
      <c r="K104" s="91">
        <f>IFERROR(__xludf.DUMMYFUNCTION("""COMPUTED_VALUE"""),15.0)</f>
        <v>15</v>
      </c>
      <c r="L104" s="91">
        <f>IFERROR(__xludf.DUMMYFUNCTION("""COMPUTED_VALUE"""),2.0)</f>
        <v>2</v>
      </c>
      <c r="M104" s="91">
        <f>IFERROR(__xludf.DUMMYFUNCTION("""COMPUTED_VALUE"""),41.0)</f>
        <v>41</v>
      </c>
      <c r="N104" s="92">
        <f>IFERROR(__xludf.DUMMYFUNCTION("""COMPUTED_VALUE"""),5.0)</f>
        <v>5</v>
      </c>
    </row>
    <row r="105">
      <c r="A105" s="1"/>
      <c r="B105" s="93" t="str">
        <f>IFERROR(__xludf.DUMMYFUNCTION("""COMPUTED_VALUE"""),"Tony Wong")</f>
        <v>Tony Wong</v>
      </c>
      <c r="C105" s="94">
        <f>IFERROR(__xludf.DUMMYFUNCTION("""COMPUTED_VALUE"""),26.0)</f>
        <v>26</v>
      </c>
      <c r="D105" s="95">
        <f>IFERROR(__xludf.DUMMYFUNCTION("""COMPUTED_VALUE"""),2.0)</f>
        <v>2</v>
      </c>
      <c r="E105" s="94">
        <f>IFERROR(__xludf.DUMMYFUNCTION("""COMPUTED_VALUE"""),1.0)</f>
        <v>1</v>
      </c>
      <c r="F105" s="96">
        <f>IFERROR(__xludf.DUMMYFUNCTION("""COMPUTED_VALUE"""),4.0)</f>
        <v>4</v>
      </c>
      <c r="G105" s="96">
        <f>IFERROR(__xludf.DUMMYFUNCTION("""COMPUTED_VALUE"""),0.0)</f>
        <v>0</v>
      </c>
      <c r="H105" s="96">
        <f>IFERROR(__xludf.DUMMYFUNCTION("""COMPUTED_VALUE"""),6.0)</f>
        <v>6</v>
      </c>
      <c r="I105" s="96">
        <f>IFERROR(__xludf.DUMMYFUNCTION("""COMPUTED_VALUE"""),6.0)</f>
        <v>6</v>
      </c>
      <c r="J105" s="96">
        <f>IFERROR(__xludf.DUMMYFUNCTION("""COMPUTED_VALUE"""),3.0)</f>
        <v>3</v>
      </c>
      <c r="K105" s="96">
        <f>IFERROR(__xludf.DUMMYFUNCTION("""COMPUTED_VALUE"""),15.0)</f>
        <v>15</v>
      </c>
      <c r="L105" s="96">
        <f>IFERROR(__xludf.DUMMYFUNCTION("""COMPUTED_VALUE"""),2.0)</f>
        <v>2</v>
      </c>
      <c r="M105" s="96">
        <f>IFERROR(__xludf.DUMMYFUNCTION("""COMPUTED_VALUE"""),41.0)</f>
        <v>41</v>
      </c>
      <c r="N105" s="97">
        <f>IFERROR(__xludf.DUMMYFUNCTION("""COMPUTED_VALUE"""),4.0)</f>
        <v>4</v>
      </c>
    </row>
    <row r="106">
      <c r="A106" s="1"/>
      <c r="B106" s="93" t="str">
        <f>IFERROR(__xludf.DUMMYFUNCTION("""COMPUTED_VALUE"""),"Andrew Wen")</f>
        <v>Andrew Wen</v>
      </c>
      <c r="C106" s="94">
        <f>IFERROR(__xludf.DUMMYFUNCTION("""COMPUTED_VALUE"""),25.0)</f>
        <v>25</v>
      </c>
      <c r="D106" s="95">
        <f>IFERROR(__xludf.DUMMYFUNCTION("""COMPUTED_VALUE"""),3.0)</f>
        <v>3</v>
      </c>
      <c r="E106" s="94">
        <f>IFERROR(__xludf.DUMMYFUNCTION("""COMPUTED_VALUE"""),1.0)</f>
        <v>1</v>
      </c>
      <c r="F106" s="96">
        <f>IFERROR(__xludf.DUMMYFUNCTION("""COMPUTED_VALUE"""),4.0)</f>
        <v>4</v>
      </c>
      <c r="G106" s="96">
        <f>IFERROR(__xludf.DUMMYFUNCTION("""COMPUTED_VALUE"""),0.0)</f>
        <v>0</v>
      </c>
      <c r="H106" s="96">
        <f>IFERROR(__xludf.DUMMYFUNCTION("""COMPUTED_VALUE"""),6.0)</f>
        <v>6</v>
      </c>
      <c r="I106" s="96">
        <f>IFERROR(__xludf.DUMMYFUNCTION("""COMPUTED_VALUE"""),0.0)</f>
        <v>0</v>
      </c>
      <c r="J106" s="96">
        <f>IFERROR(__xludf.DUMMYFUNCTION("""COMPUTED_VALUE"""),6.0)</f>
        <v>6</v>
      </c>
      <c r="K106" s="96">
        <f>IFERROR(__xludf.DUMMYFUNCTION("""COMPUTED_VALUE"""),12.0)</f>
        <v>12</v>
      </c>
      <c r="L106" s="96">
        <f>IFERROR(__xludf.DUMMYFUNCTION("""COMPUTED_VALUE"""),2.0)</f>
        <v>2</v>
      </c>
      <c r="M106" s="96">
        <f>IFERROR(__xludf.DUMMYFUNCTION("""COMPUTED_VALUE"""),37.0)</f>
        <v>37</v>
      </c>
      <c r="N106" s="97">
        <f>IFERROR(__xludf.DUMMYFUNCTION("""COMPUTED_VALUE"""),5.0)</f>
        <v>5</v>
      </c>
    </row>
    <row r="107">
      <c r="A107" s="1"/>
      <c r="B107" s="93" t="str">
        <f>IFERROR(__xludf.DUMMYFUNCTION("""COMPUTED_VALUE"""),"David Tam")</f>
        <v>David Tam</v>
      </c>
      <c r="C107" s="94">
        <f>IFERROR(__xludf.DUMMYFUNCTION("""COMPUTED_VALUE"""),25.0)</f>
        <v>25</v>
      </c>
      <c r="D107" s="95">
        <f>IFERROR(__xludf.DUMMYFUNCTION("""COMPUTED_VALUE"""),3.0)</f>
        <v>3</v>
      </c>
      <c r="E107" s="94">
        <f>IFERROR(__xludf.DUMMYFUNCTION("""COMPUTED_VALUE"""),1.0)</f>
        <v>1</v>
      </c>
      <c r="F107" s="96">
        <f>IFERROR(__xludf.DUMMYFUNCTION("""COMPUTED_VALUE"""),4.0)</f>
        <v>4</v>
      </c>
      <c r="G107" s="96">
        <f>IFERROR(__xludf.DUMMYFUNCTION("""COMPUTED_VALUE"""),0.0)</f>
        <v>0</v>
      </c>
      <c r="H107" s="96">
        <f>IFERROR(__xludf.DUMMYFUNCTION("""COMPUTED_VALUE"""),2.0)</f>
        <v>2</v>
      </c>
      <c r="I107" s="96">
        <f>IFERROR(__xludf.DUMMYFUNCTION("""COMPUTED_VALUE"""),6.0)</f>
        <v>6</v>
      </c>
      <c r="J107" s="96">
        <f>IFERROR(__xludf.DUMMYFUNCTION("""COMPUTED_VALUE"""),6.0)</f>
        <v>6</v>
      </c>
      <c r="K107" s="96">
        <f>IFERROR(__xludf.DUMMYFUNCTION("""COMPUTED_VALUE"""),14.0)</f>
        <v>14</v>
      </c>
      <c r="L107" s="96">
        <f>IFERROR(__xludf.DUMMYFUNCTION("""COMPUTED_VALUE"""),2.0)</f>
        <v>2</v>
      </c>
      <c r="M107" s="96">
        <f>IFERROR(__xludf.DUMMYFUNCTION("""COMPUTED_VALUE"""),39.0)</f>
        <v>39</v>
      </c>
      <c r="N107" s="97">
        <f>IFERROR(__xludf.DUMMYFUNCTION("""COMPUTED_VALUE"""),5.0)</f>
        <v>5</v>
      </c>
    </row>
    <row r="108">
      <c r="A108" s="1"/>
      <c r="B108" s="93" t="str">
        <f>IFERROR(__xludf.DUMMYFUNCTION("""COMPUTED_VALUE"""),"Kumar Palakeel")</f>
        <v>Kumar Palakeel</v>
      </c>
      <c r="C108" s="94">
        <f>IFERROR(__xludf.DUMMYFUNCTION("""COMPUTED_VALUE"""),23.0)</f>
        <v>23</v>
      </c>
      <c r="D108" s="95">
        <f>IFERROR(__xludf.DUMMYFUNCTION("""COMPUTED_VALUE"""),2.0)</f>
        <v>2</v>
      </c>
      <c r="E108" s="94">
        <f>IFERROR(__xludf.DUMMYFUNCTION("""COMPUTED_VALUE"""),1.0)</f>
        <v>1</v>
      </c>
      <c r="F108" s="96">
        <f>IFERROR(__xludf.DUMMYFUNCTION("""COMPUTED_VALUE"""),4.0)</f>
        <v>4</v>
      </c>
      <c r="G108" s="96">
        <f>IFERROR(__xludf.DUMMYFUNCTION("""COMPUTED_VALUE"""),0.0)</f>
        <v>0</v>
      </c>
      <c r="H108" s="96">
        <f>IFERROR(__xludf.DUMMYFUNCTION("""COMPUTED_VALUE"""),2.0)</f>
        <v>2</v>
      </c>
      <c r="I108" s="96">
        <f>IFERROR(__xludf.DUMMYFUNCTION("""COMPUTED_VALUE"""),0.0)</f>
        <v>0</v>
      </c>
      <c r="J108" s="96">
        <f>IFERROR(__xludf.DUMMYFUNCTION("""COMPUTED_VALUE"""),3.0)</f>
        <v>3</v>
      </c>
      <c r="K108" s="96">
        <f>IFERROR(__xludf.DUMMYFUNCTION("""COMPUTED_VALUE"""),5.0)</f>
        <v>5</v>
      </c>
      <c r="L108" s="96">
        <f>IFERROR(__xludf.DUMMYFUNCTION("""COMPUTED_VALUE"""),0.0)</f>
        <v>0</v>
      </c>
      <c r="M108" s="96">
        <f>IFERROR(__xludf.DUMMYFUNCTION("""COMPUTED_VALUE"""),28.0)</f>
        <v>28</v>
      </c>
      <c r="N108" s="97">
        <f>IFERROR(__xludf.DUMMYFUNCTION("""COMPUTED_VALUE"""),2.0)</f>
        <v>2</v>
      </c>
    </row>
    <row r="109">
      <c r="A109" s="1"/>
      <c r="B109" s="88" t="str">
        <f>IFERROR(__xludf.DUMMYFUNCTION("""COMPUTED_VALUE"""),"Vinaya Kajla")</f>
        <v>Vinaya Kajla</v>
      </c>
      <c r="C109" s="89">
        <f>IFERROR(__xludf.DUMMYFUNCTION("""COMPUTED_VALUE"""),23.0)</f>
        <v>23</v>
      </c>
      <c r="D109" s="90">
        <f>IFERROR(__xludf.DUMMYFUNCTION("""COMPUTED_VALUE"""),1.0)</f>
        <v>1</v>
      </c>
      <c r="E109" s="89">
        <f>IFERROR(__xludf.DUMMYFUNCTION("""COMPUTED_VALUE"""),1.0)</f>
        <v>1</v>
      </c>
      <c r="F109" s="91">
        <f>IFERROR(__xludf.DUMMYFUNCTION("""COMPUTED_VALUE"""),5.0)</f>
        <v>5</v>
      </c>
      <c r="G109" s="91">
        <f>IFERROR(__xludf.DUMMYFUNCTION("""COMPUTED_VALUE"""),0.0)</f>
        <v>0</v>
      </c>
      <c r="H109" s="91">
        <f>IFERROR(__xludf.DUMMYFUNCTION("""COMPUTED_VALUE"""),0.0)</f>
        <v>0</v>
      </c>
      <c r="I109" s="91">
        <f>IFERROR(__xludf.DUMMYFUNCTION("""COMPUTED_VALUE"""),5.0)</f>
        <v>5</v>
      </c>
      <c r="J109" s="91">
        <f>IFERROR(__xludf.DUMMYFUNCTION("""COMPUTED_VALUE"""),4.0)</f>
        <v>4</v>
      </c>
      <c r="K109" s="91">
        <f>IFERROR(__xludf.DUMMYFUNCTION("""COMPUTED_VALUE"""),9.0)</f>
        <v>9</v>
      </c>
      <c r="L109" s="91">
        <f>IFERROR(__xludf.DUMMYFUNCTION("""COMPUTED_VALUE"""),0.0)</f>
        <v>0</v>
      </c>
      <c r="M109" s="91">
        <f>IFERROR(__xludf.DUMMYFUNCTION("""COMPUTED_VALUE"""),32.0)</f>
        <v>32</v>
      </c>
      <c r="N109" s="92">
        <f>IFERROR(__xludf.DUMMYFUNCTION("""COMPUTED_VALUE"""),1.0)</f>
        <v>1</v>
      </c>
    </row>
    <row r="110">
      <c r="A110" s="1"/>
      <c r="B110" s="88" t="str">
        <f>IFERROR(__xludf.DUMMYFUNCTION("""COMPUTED_VALUE"""),"Joe Luzzi")</f>
        <v>Joe Luzzi</v>
      </c>
      <c r="C110" s="89">
        <f>IFERROR(__xludf.DUMMYFUNCTION("""COMPUTED_VALUE"""),22.0)</f>
        <v>22</v>
      </c>
      <c r="D110" s="90">
        <f>IFERROR(__xludf.DUMMYFUNCTION("""COMPUTED_VALUE"""),1.0)</f>
        <v>1</v>
      </c>
      <c r="E110" s="89">
        <f>IFERROR(__xludf.DUMMYFUNCTION("""COMPUTED_VALUE"""),2.0)</f>
        <v>2</v>
      </c>
      <c r="F110" s="91">
        <f>IFERROR(__xludf.DUMMYFUNCTION("""COMPUTED_VALUE"""),5.0)</f>
        <v>5</v>
      </c>
      <c r="G110" s="91">
        <f>IFERROR(__xludf.DUMMYFUNCTION("""COMPUTED_VALUE"""),0.0)</f>
        <v>0</v>
      </c>
      <c r="H110" s="91">
        <f>IFERROR(__xludf.DUMMYFUNCTION("""COMPUTED_VALUE"""),6.0)</f>
        <v>6</v>
      </c>
      <c r="I110" s="91">
        <f>IFERROR(__xludf.DUMMYFUNCTION("""COMPUTED_VALUE"""),5.0)</f>
        <v>5</v>
      </c>
      <c r="J110" s="91">
        <f>IFERROR(__xludf.DUMMYFUNCTION("""COMPUTED_VALUE"""),6.0)</f>
        <v>6</v>
      </c>
      <c r="K110" s="91">
        <f>IFERROR(__xludf.DUMMYFUNCTION("""COMPUTED_VALUE"""),17.0)</f>
        <v>17</v>
      </c>
      <c r="L110" s="91">
        <f>IFERROR(__xludf.DUMMYFUNCTION("""COMPUTED_VALUE"""),2.0)</f>
        <v>2</v>
      </c>
      <c r="M110" s="91">
        <f>IFERROR(__xludf.DUMMYFUNCTION("""COMPUTED_VALUE"""),39.0)</f>
        <v>39</v>
      </c>
      <c r="N110" s="92">
        <f>IFERROR(__xludf.DUMMYFUNCTION("""COMPUTED_VALUE"""),3.0)</f>
        <v>3</v>
      </c>
    </row>
    <row r="111">
      <c r="A111" s="1"/>
      <c r="B111" s="88" t="str">
        <f>IFERROR(__xludf.DUMMYFUNCTION("""COMPUTED_VALUE"""),"David Shin")</f>
        <v>David Shin</v>
      </c>
      <c r="C111" s="89">
        <f>IFERROR(__xludf.DUMMYFUNCTION("""COMPUTED_VALUE"""),22.0)</f>
        <v>22</v>
      </c>
      <c r="D111" s="90">
        <f>IFERROR(__xludf.DUMMYFUNCTION("""COMPUTED_VALUE"""),0.0)</f>
        <v>0</v>
      </c>
      <c r="E111" s="89">
        <f>IFERROR(__xludf.DUMMYFUNCTION("""COMPUTED_VALUE"""),2.0)</f>
        <v>2</v>
      </c>
      <c r="F111" s="91">
        <f>IFERROR(__xludf.DUMMYFUNCTION("""COMPUTED_VALUE"""),5.0)</f>
        <v>5</v>
      </c>
      <c r="G111" s="91">
        <f>IFERROR(__xludf.DUMMYFUNCTION("""COMPUTED_VALUE"""),0.0)</f>
        <v>0</v>
      </c>
      <c r="H111" s="91">
        <f>IFERROR(__xludf.DUMMYFUNCTION("""COMPUTED_VALUE"""),6.0)</f>
        <v>6</v>
      </c>
      <c r="I111" s="91">
        <f>IFERROR(__xludf.DUMMYFUNCTION("""COMPUTED_VALUE"""),7.0)</f>
        <v>7</v>
      </c>
      <c r="J111" s="91">
        <f>IFERROR(__xludf.DUMMYFUNCTION("""COMPUTED_VALUE"""),4.0)</f>
        <v>4</v>
      </c>
      <c r="K111" s="91">
        <f>IFERROR(__xludf.DUMMYFUNCTION("""COMPUTED_VALUE"""),17.0)</f>
        <v>17</v>
      </c>
      <c r="L111" s="91">
        <f>IFERROR(__xludf.DUMMYFUNCTION("""COMPUTED_VALUE"""),2.0)</f>
        <v>2</v>
      </c>
      <c r="M111" s="91">
        <f>IFERROR(__xludf.DUMMYFUNCTION("""COMPUTED_VALUE"""),39.0)</f>
        <v>39</v>
      </c>
      <c r="N111" s="92">
        <f>IFERROR(__xludf.DUMMYFUNCTION("""COMPUTED_VALUE"""),2.0)</f>
        <v>2</v>
      </c>
    </row>
    <row r="112">
      <c r="A112" s="1"/>
      <c r="B112" s="88" t="str">
        <f>IFERROR(__xludf.DUMMYFUNCTION("""COMPUTED_VALUE"""),"Chinna Ponnaganti")</f>
        <v>Chinna Ponnaganti</v>
      </c>
      <c r="C112" s="89">
        <f>IFERROR(__xludf.DUMMYFUNCTION("""COMPUTED_VALUE"""),22.0)</f>
        <v>22</v>
      </c>
      <c r="D112" s="90">
        <f>IFERROR(__xludf.DUMMYFUNCTION("""COMPUTED_VALUE"""),0.0)</f>
        <v>0</v>
      </c>
      <c r="E112" s="89">
        <f>IFERROR(__xludf.DUMMYFUNCTION("""COMPUTED_VALUE"""),2.0)</f>
        <v>2</v>
      </c>
      <c r="F112" s="91">
        <f>IFERROR(__xludf.DUMMYFUNCTION("""COMPUTED_VALUE"""),5.0)</f>
        <v>5</v>
      </c>
      <c r="G112" s="91">
        <f>IFERROR(__xludf.DUMMYFUNCTION("""COMPUTED_VALUE"""),0.0)</f>
        <v>0</v>
      </c>
      <c r="H112" s="91">
        <f>IFERROR(__xludf.DUMMYFUNCTION("""COMPUTED_VALUE"""),0.0)</f>
        <v>0</v>
      </c>
      <c r="I112" s="91">
        <f>IFERROR(__xludf.DUMMYFUNCTION("""COMPUTED_VALUE"""),7.0)</f>
        <v>7</v>
      </c>
      <c r="J112" s="91">
        <f>IFERROR(__xludf.DUMMYFUNCTION("""COMPUTED_VALUE"""),6.0)</f>
        <v>6</v>
      </c>
      <c r="K112" s="91">
        <f>IFERROR(__xludf.DUMMYFUNCTION("""COMPUTED_VALUE"""),13.0)</f>
        <v>13</v>
      </c>
      <c r="L112" s="91">
        <f>IFERROR(__xludf.DUMMYFUNCTION("""COMPUTED_VALUE"""),2.0)</f>
        <v>2</v>
      </c>
      <c r="M112" s="91">
        <f>IFERROR(__xludf.DUMMYFUNCTION("""COMPUTED_VALUE"""),35.0)</f>
        <v>35</v>
      </c>
      <c r="N112" s="92">
        <f>IFERROR(__xludf.DUMMYFUNCTION("""COMPUTED_VALUE"""),2.0)</f>
        <v>2</v>
      </c>
    </row>
    <row r="113">
      <c r="A113" s="1"/>
      <c r="B113" s="93" t="str">
        <f>IFERROR(__xludf.DUMMYFUNCTION("""COMPUTED_VALUE"""),"Eric Pan")</f>
        <v>Eric Pan</v>
      </c>
      <c r="C113" s="94">
        <f>IFERROR(__xludf.DUMMYFUNCTION("""COMPUTED_VALUE"""),22.0)</f>
        <v>22</v>
      </c>
      <c r="D113" s="95">
        <f>IFERROR(__xludf.DUMMYFUNCTION("""COMPUTED_VALUE"""),0.0)</f>
        <v>0</v>
      </c>
      <c r="E113" s="94">
        <f>IFERROR(__xludf.DUMMYFUNCTION("""COMPUTED_VALUE"""),2.0)</f>
        <v>2</v>
      </c>
      <c r="F113" s="96">
        <f>IFERROR(__xludf.DUMMYFUNCTION("""COMPUTED_VALUE"""),6.0)</f>
        <v>6</v>
      </c>
      <c r="G113" s="96">
        <f>IFERROR(__xludf.DUMMYFUNCTION("""COMPUTED_VALUE"""),0.0)</f>
        <v>0</v>
      </c>
      <c r="H113" s="96">
        <f>IFERROR(__xludf.DUMMYFUNCTION("""COMPUTED_VALUE"""),6.0)</f>
        <v>6</v>
      </c>
      <c r="I113" s="96">
        <f>IFERROR(__xludf.DUMMYFUNCTION("""COMPUTED_VALUE"""),6.0)</f>
        <v>6</v>
      </c>
      <c r="J113" s="96">
        <f>IFERROR(__xludf.DUMMYFUNCTION("""COMPUTED_VALUE"""),6.0)</f>
        <v>6</v>
      </c>
      <c r="K113" s="96">
        <f>IFERROR(__xludf.DUMMYFUNCTION("""COMPUTED_VALUE"""),18.0)</f>
        <v>18</v>
      </c>
      <c r="L113" s="96">
        <f>IFERROR(__xludf.DUMMYFUNCTION("""COMPUTED_VALUE"""),3.0)</f>
        <v>3</v>
      </c>
      <c r="M113" s="96">
        <f>IFERROR(__xludf.DUMMYFUNCTION("""COMPUTED_VALUE"""),40.0)</f>
        <v>40</v>
      </c>
      <c r="N113" s="97">
        <f>IFERROR(__xludf.DUMMYFUNCTION("""COMPUTED_VALUE"""),3.0)</f>
        <v>3</v>
      </c>
    </row>
    <row r="114">
      <c r="A114" s="1"/>
      <c r="B114" s="93" t="str">
        <f>IFERROR(__xludf.DUMMYFUNCTION("""COMPUTED_VALUE"""),"Manish Anand")</f>
        <v>Manish Anand</v>
      </c>
      <c r="C114" s="94">
        <f>IFERROR(__xludf.DUMMYFUNCTION("""COMPUTED_VALUE"""),22.0)</f>
        <v>22</v>
      </c>
      <c r="D114" s="95">
        <f>IFERROR(__xludf.DUMMYFUNCTION("""COMPUTED_VALUE"""),0.0)</f>
        <v>0</v>
      </c>
      <c r="E114" s="94">
        <f>IFERROR(__xludf.DUMMYFUNCTION("""COMPUTED_VALUE"""),1.0)</f>
        <v>1</v>
      </c>
      <c r="F114" s="96">
        <f>IFERROR(__xludf.DUMMYFUNCTION("""COMPUTED_VALUE"""),6.0)</f>
        <v>6</v>
      </c>
      <c r="G114" s="96">
        <f>IFERROR(__xludf.DUMMYFUNCTION("""COMPUTED_VALUE"""),0.0)</f>
        <v>0</v>
      </c>
      <c r="H114" s="96">
        <f>IFERROR(__xludf.DUMMYFUNCTION("""COMPUTED_VALUE"""),6.0)</f>
        <v>6</v>
      </c>
      <c r="I114" s="96">
        <f>IFERROR(__xludf.DUMMYFUNCTION("""COMPUTED_VALUE"""),3.0)</f>
        <v>3</v>
      </c>
      <c r="J114" s="96">
        <f>IFERROR(__xludf.DUMMYFUNCTION("""COMPUTED_VALUE"""),4.0)</f>
        <v>4</v>
      </c>
      <c r="K114" s="96">
        <f>IFERROR(__xludf.DUMMYFUNCTION("""COMPUTED_VALUE"""),13.0)</f>
        <v>13</v>
      </c>
      <c r="L114" s="96">
        <f>IFERROR(__xludf.DUMMYFUNCTION("""COMPUTED_VALUE"""),1.0)</f>
        <v>1</v>
      </c>
      <c r="M114" s="96">
        <f>IFERROR(__xludf.DUMMYFUNCTION("""COMPUTED_VALUE"""),35.0)</f>
        <v>35</v>
      </c>
      <c r="N114" s="97">
        <f>IFERROR(__xludf.DUMMYFUNCTION("""COMPUTED_VALUE"""),1.0)</f>
        <v>1</v>
      </c>
    </row>
    <row r="115">
      <c r="A115" s="1"/>
      <c r="B115" s="93" t="str">
        <f>IFERROR(__xludf.DUMMYFUNCTION("""COMPUTED_VALUE"""),"Scott Li")</f>
        <v>Scott Li</v>
      </c>
      <c r="C115" s="94">
        <f>IFERROR(__xludf.DUMMYFUNCTION("""COMPUTED_VALUE"""),21.0)</f>
        <v>21</v>
      </c>
      <c r="D115" s="95">
        <f>IFERROR(__xludf.DUMMYFUNCTION("""COMPUTED_VALUE"""),1.0)</f>
        <v>1</v>
      </c>
      <c r="E115" s="94">
        <f>IFERROR(__xludf.DUMMYFUNCTION("""COMPUTED_VALUE"""),1.0)</f>
        <v>1</v>
      </c>
      <c r="F115" s="96">
        <f>IFERROR(__xludf.DUMMYFUNCTION("""COMPUTED_VALUE"""),6.0)</f>
        <v>6</v>
      </c>
      <c r="G115" s="96">
        <f>IFERROR(__xludf.DUMMYFUNCTION("""COMPUTED_VALUE"""),0.0)</f>
        <v>0</v>
      </c>
      <c r="H115" s="96">
        <f>IFERROR(__xludf.DUMMYFUNCTION("""COMPUTED_VALUE"""),0.0)</f>
        <v>0</v>
      </c>
      <c r="I115" s="96">
        <f>IFERROR(__xludf.DUMMYFUNCTION("""COMPUTED_VALUE"""),6.0)</f>
        <v>6</v>
      </c>
      <c r="J115" s="96">
        <f>IFERROR(__xludf.DUMMYFUNCTION("""COMPUTED_VALUE"""),4.0)</f>
        <v>4</v>
      </c>
      <c r="K115" s="96">
        <f>IFERROR(__xludf.DUMMYFUNCTION("""COMPUTED_VALUE"""),10.0)</f>
        <v>10</v>
      </c>
      <c r="L115" s="96">
        <f>IFERROR(__xludf.DUMMYFUNCTION("""COMPUTED_VALUE"""),1.0)</f>
        <v>1</v>
      </c>
      <c r="M115" s="96">
        <f>IFERROR(__xludf.DUMMYFUNCTION("""COMPUTED_VALUE"""),31.0)</f>
        <v>31</v>
      </c>
      <c r="N115" s="97">
        <f>IFERROR(__xludf.DUMMYFUNCTION("""COMPUTED_VALUE"""),2.0)</f>
        <v>2</v>
      </c>
    </row>
    <row r="116">
      <c r="A116" s="1"/>
      <c r="B116" s="93" t="str">
        <f>IFERROR(__xludf.DUMMYFUNCTION("""COMPUTED_VALUE"""),"Naveen Raj")</f>
        <v>Naveen Raj</v>
      </c>
      <c r="C116" s="94">
        <f>IFERROR(__xludf.DUMMYFUNCTION("""COMPUTED_VALUE"""),21.0)</f>
        <v>21</v>
      </c>
      <c r="D116" s="95">
        <f>IFERROR(__xludf.DUMMYFUNCTION("""COMPUTED_VALUE"""),1.0)</f>
        <v>1</v>
      </c>
      <c r="E116" s="94">
        <f>IFERROR(__xludf.DUMMYFUNCTION("""COMPUTED_VALUE"""),1.0)</f>
        <v>1</v>
      </c>
      <c r="F116" s="96">
        <f>IFERROR(__xludf.DUMMYFUNCTION("""COMPUTED_VALUE"""),6.0)</f>
        <v>6</v>
      </c>
      <c r="G116" s="96">
        <f>IFERROR(__xludf.DUMMYFUNCTION("""COMPUTED_VALUE"""),0.0)</f>
        <v>0</v>
      </c>
      <c r="H116" s="96">
        <f>IFERROR(__xludf.DUMMYFUNCTION("""COMPUTED_VALUE"""),0.0)</f>
        <v>0</v>
      </c>
      <c r="I116" s="96">
        <f>IFERROR(__xludf.DUMMYFUNCTION("""COMPUTED_VALUE"""),3.0)</f>
        <v>3</v>
      </c>
      <c r="J116" s="96">
        <f>IFERROR(__xludf.DUMMYFUNCTION("""COMPUTED_VALUE"""),6.0)</f>
        <v>6</v>
      </c>
      <c r="K116" s="96">
        <f>IFERROR(__xludf.DUMMYFUNCTION("""COMPUTED_VALUE"""),9.0)</f>
        <v>9</v>
      </c>
      <c r="L116" s="96">
        <f>IFERROR(__xludf.DUMMYFUNCTION("""COMPUTED_VALUE"""),1.0)</f>
        <v>1</v>
      </c>
      <c r="M116" s="96">
        <f>IFERROR(__xludf.DUMMYFUNCTION("""COMPUTED_VALUE"""),30.0)</f>
        <v>30</v>
      </c>
      <c r="N116" s="97">
        <f>IFERROR(__xludf.DUMMYFUNCTION("""COMPUTED_VALUE"""),2.0)</f>
        <v>2</v>
      </c>
    </row>
    <row r="117">
      <c r="A117" s="1"/>
      <c r="B117" s="88" t="str">
        <f>IFERROR(__xludf.DUMMYFUNCTION("""COMPUTED_VALUE"""),"Eric Tan")</f>
        <v>Eric Tan</v>
      </c>
      <c r="C117" s="89">
        <f>IFERROR(__xludf.DUMMYFUNCTION("""COMPUTED_VALUE"""),21.0)</f>
        <v>21</v>
      </c>
      <c r="D117" s="90">
        <f>IFERROR(__xludf.DUMMYFUNCTION("""COMPUTED_VALUE"""),1.0)</f>
        <v>1</v>
      </c>
      <c r="E117" s="89">
        <f>IFERROR(__xludf.DUMMYFUNCTION("""COMPUTED_VALUE"""),1.0)</f>
        <v>1</v>
      </c>
      <c r="F117" s="91">
        <f>IFERROR(__xludf.DUMMYFUNCTION("""COMPUTED_VALUE"""),7.0)</f>
        <v>7</v>
      </c>
      <c r="G117" s="91">
        <f>IFERROR(__xludf.DUMMYFUNCTION("""COMPUTED_VALUE"""),0.0)</f>
        <v>0</v>
      </c>
      <c r="H117" s="91">
        <f>IFERROR(__xludf.DUMMYFUNCTION("""COMPUTED_VALUE"""),6.0)</f>
        <v>6</v>
      </c>
      <c r="I117" s="91">
        <f>IFERROR(__xludf.DUMMYFUNCTION("""COMPUTED_VALUE"""),0.0)</f>
        <v>0</v>
      </c>
      <c r="J117" s="91">
        <f>IFERROR(__xludf.DUMMYFUNCTION("""COMPUTED_VALUE"""),1.0)</f>
        <v>1</v>
      </c>
      <c r="K117" s="91">
        <f>IFERROR(__xludf.DUMMYFUNCTION("""COMPUTED_VALUE"""),7.0)</f>
        <v>7</v>
      </c>
      <c r="L117" s="91">
        <f>IFERROR(__xludf.DUMMYFUNCTION("""COMPUTED_VALUE"""),1.0)</f>
        <v>1</v>
      </c>
      <c r="M117" s="91">
        <f>IFERROR(__xludf.DUMMYFUNCTION("""COMPUTED_VALUE"""),28.0)</f>
        <v>28</v>
      </c>
      <c r="N117" s="92">
        <f>IFERROR(__xludf.DUMMYFUNCTION("""COMPUTED_VALUE"""),2.0)</f>
        <v>2</v>
      </c>
    </row>
    <row r="118">
      <c r="A118" s="1"/>
      <c r="B118" s="88" t="str">
        <f>IFERROR(__xludf.DUMMYFUNCTION("""COMPUTED_VALUE"""),"Joyce Zhu")</f>
        <v>Joyce Zhu</v>
      </c>
      <c r="C118" s="89">
        <f>IFERROR(__xludf.DUMMYFUNCTION("""COMPUTED_VALUE"""),19.0)</f>
        <v>19</v>
      </c>
      <c r="D118" s="90">
        <f>IFERROR(__xludf.DUMMYFUNCTION("""COMPUTED_VALUE"""),0.0)</f>
        <v>0</v>
      </c>
      <c r="E118" s="89">
        <f>IFERROR(__xludf.DUMMYFUNCTION("""COMPUTED_VALUE"""),1.0)</f>
        <v>1</v>
      </c>
      <c r="F118" s="91">
        <f>IFERROR(__xludf.DUMMYFUNCTION("""COMPUTED_VALUE"""),7.0)</f>
        <v>7</v>
      </c>
      <c r="G118" s="91">
        <f>IFERROR(__xludf.DUMMYFUNCTION("""COMPUTED_VALUE"""),0.0)</f>
        <v>0</v>
      </c>
      <c r="H118" s="91">
        <f>IFERROR(__xludf.DUMMYFUNCTION("""COMPUTED_VALUE"""),0.0)</f>
        <v>0</v>
      </c>
      <c r="I118" s="91">
        <f>IFERROR(__xludf.DUMMYFUNCTION("""COMPUTED_VALUE"""),0.0)</f>
        <v>0</v>
      </c>
      <c r="J118" s="91">
        <f>IFERROR(__xludf.DUMMYFUNCTION("""COMPUTED_VALUE"""),6.0)</f>
        <v>6</v>
      </c>
      <c r="K118" s="91">
        <f>IFERROR(__xludf.DUMMYFUNCTION("""COMPUTED_VALUE"""),6.0)</f>
        <v>6</v>
      </c>
      <c r="L118" s="91">
        <f>IFERROR(__xludf.DUMMYFUNCTION("""COMPUTED_VALUE"""),1.0)</f>
        <v>1</v>
      </c>
      <c r="M118" s="91">
        <f>IFERROR(__xludf.DUMMYFUNCTION("""COMPUTED_VALUE"""),25.0)</f>
        <v>25</v>
      </c>
      <c r="N118" s="92">
        <f>IFERROR(__xludf.DUMMYFUNCTION("""COMPUTED_VALUE"""),1.0)</f>
        <v>1</v>
      </c>
    </row>
    <row r="119">
      <c r="A119" s="1"/>
      <c r="B119" s="88" t="str">
        <f>IFERROR(__xludf.DUMMYFUNCTION("""COMPUTED_VALUE"""),"Vishnu Amarnath")</f>
        <v>Vishnu Amarnath</v>
      </c>
      <c r="C119" s="89">
        <f>IFERROR(__xludf.DUMMYFUNCTION("""COMPUTED_VALUE"""),18.0)</f>
        <v>18</v>
      </c>
      <c r="D119" s="90">
        <f>IFERROR(__xludf.DUMMYFUNCTION("""COMPUTED_VALUE"""),1.0)</f>
        <v>1</v>
      </c>
      <c r="E119" s="89">
        <f>IFERROR(__xludf.DUMMYFUNCTION("""COMPUTED_VALUE"""),1.0)</f>
        <v>1</v>
      </c>
      <c r="F119" s="91">
        <f>IFERROR(__xludf.DUMMYFUNCTION("""COMPUTED_VALUE"""),7.0)</f>
        <v>7</v>
      </c>
      <c r="G119" s="91">
        <f>IFERROR(__xludf.DUMMYFUNCTION("""COMPUTED_VALUE"""),0.0)</f>
        <v>0</v>
      </c>
      <c r="H119" s="91">
        <f>IFERROR(__xludf.DUMMYFUNCTION("""COMPUTED_VALUE"""),0.0)</f>
        <v>0</v>
      </c>
      <c r="I119" s="91">
        <f>IFERROR(__xludf.DUMMYFUNCTION("""COMPUTED_VALUE"""),6.0)</f>
        <v>6</v>
      </c>
      <c r="J119" s="91">
        <f>IFERROR(__xludf.DUMMYFUNCTION("""COMPUTED_VALUE"""),1.0)</f>
        <v>1</v>
      </c>
      <c r="K119" s="91">
        <f>IFERROR(__xludf.DUMMYFUNCTION("""COMPUTED_VALUE"""),7.0)</f>
        <v>7</v>
      </c>
      <c r="L119" s="91">
        <f>IFERROR(__xludf.DUMMYFUNCTION("""COMPUTED_VALUE"""),1.0)</f>
        <v>1</v>
      </c>
      <c r="M119" s="91">
        <f>IFERROR(__xludf.DUMMYFUNCTION("""COMPUTED_VALUE"""),25.0)</f>
        <v>25</v>
      </c>
      <c r="N119" s="92">
        <f>IFERROR(__xludf.DUMMYFUNCTION("""COMPUTED_VALUE"""),2.0)</f>
        <v>2</v>
      </c>
    </row>
    <row r="120">
      <c r="A120" s="1"/>
      <c r="B120" s="88" t="str">
        <f>IFERROR(__xludf.DUMMYFUNCTION("""COMPUTED_VALUE"""),"Adrian Tay")</f>
        <v>Adrian Tay</v>
      </c>
      <c r="C120" s="89">
        <f>IFERROR(__xludf.DUMMYFUNCTION("""COMPUTED_VALUE"""),18.0)</f>
        <v>18</v>
      </c>
      <c r="D120" s="90">
        <f>IFERROR(__xludf.DUMMYFUNCTION("""COMPUTED_VALUE"""),0.0)</f>
        <v>0</v>
      </c>
      <c r="E120" s="89">
        <f>IFERROR(__xludf.DUMMYFUNCTION("""COMPUTED_VALUE"""),1.0)</f>
        <v>1</v>
      </c>
      <c r="F120" s="91">
        <f>IFERROR(__xludf.DUMMYFUNCTION("""COMPUTED_VALUE"""),7.0)</f>
        <v>7</v>
      </c>
      <c r="G120" s="91">
        <f>IFERROR(__xludf.DUMMYFUNCTION("""COMPUTED_VALUE"""),0.0)</f>
        <v>0</v>
      </c>
      <c r="H120" s="91">
        <f>IFERROR(__xludf.DUMMYFUNCTION("""COMPUTED_VALUE"""),6.0)</f>
        <v>6</v>
      </c>
      <c r="I120" s="91">
        <f>IFERROR(__xludf.DUMMYFUNCTION("""COMPUTED_VALUE"""),6.0)</f>
        <v>6</v>
      </c>
      <c r="J120" s="91">
        <f>IFERROR(__xludf.DUMMYFUNCTION("""COMPUTED_VALUE"""),6.0)</f>
        <v>6</v>
      </c>
      <c r="K120" s="91">
        <f>IFERROR(__xludf.DUMMYFUNCTION("""COMPUTED_VALUE"""),18.0)</f>
        <v>18</v>
      </c>
      <c r="L120" s="91">
        <f>IFERROR(__xludf.DUMMYFUNCTION("""COMPUTED_VALUE"""),3.0)</f>
        <v>3</v>
      </c>
      <c r="M120" s="91">
        <f>IFERROR(__xludf.DUMMYFUNCTION("""COMPUTED_VALUE"""),36.0)</f>
        <v>36</v>
      </c>
      <c r="N120" s="92">
        <f>IFERROR(__xludf.DUMMYFUNCTION("""COMPUTED_VALUE"""),3.0)</f>
        <v>3</v>
      </c>
    </row>
    <row r="121">
      <c r="A121" s="1"/>
      <c r="B121" s="93" t="str">
        <f>IFERROR(__xludf.DUMMYFUNCTION("""COMPUTED_VALUE"""),"Lam Bui")</f>
        <v>Lam Bui</v>
      </c>
      <c r="C121" s="94">
        <f>IFERROR(__xludf.DUMMYFUNCTION("""COMPUTED_VALUE"""),18.0)</f>
        <v>18</v>
      </c>
      <c r="D121" s="95">
        <f>IFERROR(__xludf.DUMMYFUNCTION("""COMPUTED_VALUE"""),0.0)</f>
        <v>0</v>
      </c>
      <c r="E121" s="94">
        <f>IFERROR(__xludf.DUMMYFUNCTION("""COMPUTED_VALUE"""),2.0)</f>
        <v>2</v>
      </c>
      <c r="F121" s="96">
        <f>IFERROR(__xludf.DUMMYFUNCTION("""COMPUTED_VALUE"""),8.0)</f>
        <v>8</v>
      </c>
      <c r="G121" s="96">
        <f>IFERROR(__xludf.DUMMYFUNCTION("""COMPUTED_VALUE"""),0.0)</f>
        <v>0</v>
      </c>
      <c r="H121" s="96">
        <f>IFERROR(__xludf.DUMMYFUNCTION("""COMPUTED_VALUE"""),1.0)</f>
        <v>1</v>
      </c>
      <c r="I121" s="96">
        <f>IFERROR(__xludf.DUMMYFUNCTION("""COMPUTED_VALUE"""),6.0)</f>
        <v>6</v>
      </c>
      <c r="J121" s="96">
        <f>IFERROR(__xludf.DUMMYFUNCTION("""COMPUTED_VALUE"""),6.0)</f>
        <v>6</v>
      </c>
      <c r="K121" s="96">
        <f>IFERROR(__xludf.DUMMYFUNCTION("""COMPUTED_VALUE"""),13.0)</f>
        <v>13</v>
      </c>
      <c r="L121" s="96">
        <f>IFERROR(__xludf.DUMMYFUNCTION("""COMPUTED_VALUE"""),2.0)</f>
        <v>2</v>
      </c>
      <c r="M121" s="96">
        <f>IFERROR(__xludf.DUMMYFUNCTION("""COMPUTED_VALUE"""),31.0)</f>
        <v>31</v>
      </c>
      <c r="N121" s="97">
        <f>IFERROR(__xludf.DUMMYFUNCTION("""COMPUTED_VALUE"""),2.0)</f>
        <v>2</v>
      </c>
    </row>
    <row r="122">
      <c r="A122" s="1"/>
      <c r="B122" s="93" t="str">
        <f>IFERROR(__xludf.DUMMYFUNCTION("""COMPUTED_VALUE"""),"Peter Homsey")</f>
        <v>Peter Homsey</v>
      </c>
      <c r="C122" s="94">
        <f>IFERROR(__xludf.DUMMYFUNCTION("""COMPUTED_VALUE"""),18.0)</f>
        <v>18</v>
      </c>
      <c r="D122" s="95">
        <f>IFERROR(__xludf.DUMMYFUNCTION("""COMPUTED_VALUE"""),0.0)</f>
        <v>0</v>
      </c>
      <c r="E122" s="94">
        <f>IFERROR(__xludf.DUMMYFUNCTION("""COMPUTED_VALUE"""),1.0)</f>
        <v>1</v>
      </c>
      <c r="F122" s="96">
        <f>IFERROR(__xludf.DUMMYFUNCTION("""COMPUTED_VALUE"""),8.0)</f>
        <v>8</v>
      </c>
      <c r="G122" s="96">
        <f>IFERROR(__xludf.DUMMYFUNCTION("""COMPUTED_VALUE"""),0.0)</f>
        <v>0</v>
      </c>
      <c r="H122" s="96">
        <f>IFERROR(__xludf.DUMMYFUNCTION("""COMPUTED_VALUE"""),6.0)</f>
        <v>6</v>
      </c>
      <c r="I122" s="96">
        <f>IFERROR(__xludf.DUMMYFUNCTION("""COMPUTED_VALUE"""),6.0)</f>
        <v>6</v>
      </c>
      <c r="J122" s="96">
        <f>IFERROR(__xludf.DUMMYFUNCTION("""COMPUTED_VALUE"""),2.0)</f>
        <v>2</v>
      </c>
      <c r="K122" s="96">
        <f>IFERROR(__xludf.DUMMYFUNCTION("""COMPUTED_VALUE"""),14.0)</f>
        <v>14</v>
      </c>
      <c r="L122" s="96">
        <f>IFERROR(__xludf.DUMMYFUNCTION("""COMPUTED_VALUE"""),2.0)</f>
        <v>2</v>
      </c>
      <c r="M122" s="96">
        <f>IFERROR(__xludf.DUMMYFUNCTION("""COMPUTED_VALUE"""),32.0)</f>
        <v>32</v>
      </c>
      <c r="N122" s="97">
        <f>IFERROR(__xludf.DUMMYFUNCTION("""COMPUTED_VALUE"""),2.0)</f>
        <v>2</v>
      </c>
    </row>
    <row r="123">
      <c r="A123" s="1"/>
      <c r="B123" s="93" t="str">
        <f>IFERROR(__xludf.DUMMYFUNCTION("""COMPUTED_VALUE"""),"Lloyd Sagar")</f>
        <v>Lloyd Sagar</v>
      </c>
      <c r="C123" s="94">
        <f>IFERROR(__xludf.DUMMYFUNCTION("""COMPUTED_VALUE"""),18.0)</f>
        <v>18</v>
      </c>
      <c r="D123" s="95">
        <f>IFERROR(__xludf.DUMMYFUNCTION("""COMPUTED_VALUE"""),0.0)</f>
        <v>0</v>
      </c>
      <c r="E123" s="94">
        <f>IFERROR(__xludf.DUMMYFUNCTION("""COMPUTED_VALUE"""),1.0)</f>
        <v>1</v>
      </c>
      <c r="F123" s="96">
        <f>IFERROR(__xludf.DUMMYFUNCTION("""COMPUTED_VALUE"""),8.0)</f>
        <v>8</v>
      </c>
      <c r="G123" s="96">
        <f>IFERROR(__xludf.DUMMYFUNCTION("""COMPUTED_VALUE"""),0.0)</f>
        <v>0</v>
      </c>
      <c r="H123" s="96">
        <f>IFERROR(__xludf.DUMMYFUNCTION("""COMPUTED_VALUE"""),6.0)</f>
        <v>6</v>
      </c>
      <c r="I123" s="96">
        <f>IFERROR(__xludf.DUMMYFUNCTION("""COMPUTED_VALUE"""),1.0)</f>
        <v>1</v>
      </c>
      <c r="J123" s="96">
        <f>IFERROR(__xludf.DUMMYFUNCTION("""COMPUTED_VALUE"""),6.0)</f>
        <v>6</v>
      </c>
      <c r="K123" s="96">
        <f>IFERROR(__xludf.DUMMYFUNCTION("""COMPUTED_VALUE"""),13.0)</f>
        <v>13</v>
      </c>
      <c r="L123" s="96">
        <f>IFERROR(__xludf.DUMMYFUNCTION("""COMPUTED_VALUE"""),2.0)</f>
        <v>2</v>
      </c>
      <c r="M123" s="96">
        <f>IFERROR(__xludf.DUMMYFUNCTION("""COMPUTED_VALUE"""),31.0)</f>
        <v>31</v>
      </c>
      <c r="N123" s="97">
        <f>IFERROR(__xludf.DUMMYFUNCTION("""COMPUTED_VALUE"""),2.0)</f>
        <v>2</v>
      </c>
    </row>
    <row r="124">
      <c r="A124" s="1"/>
      <c r="B124" s="93" t="str">
        <f>IFERROR(__xludf.DUMMYFUNCTION("""COMPUTED_VALUE"""),"Tiffany Yu")</f>
        <v>Tiffany Yu</v>
      </c>
      <c r="C124" s="94">
        <f>IFERROR(__xludf.DUMMYFUNCTION("""COMPUTED_VALUE"""),18.0)</f>
        <v>18</v>
      </c>
      <c r="D124" s="95">
        <f>IFERROR(__xludf.DUMMYFUNCTION("""COMPUTED_VALUE"""),0.0)</f>
        <v>0</v>
      </c>
      <c r="E124" s="94">
        <f>IFERROR(__xludf.DUMMYFUNCTION("""COMPUTED_VALUE"""),1.0)</f>
        <v>1</v>
      </c>
      <c r="F124" s="96">
        <f>IFERROR(__xludf.DUMMYFUNCTION("""COMPUTED_VALUE"""),8.0)</f>
        <v>8</v>
      </c>
      <c r="G124" s="96">
        <f>IFERROR(__xludf.DUMMYFUNCTION("""COMPUTED_VALUE"""),0.0)</f>
        <v>0</v>
      </c>
      <c r="H124" s="96">
        <f>IFERROR(__xludf.DUMMYFUNCTION("""COMPUTED_VALUE"""),1.0)</f>
        <v>1</v>
      </c>
      <c r="I124" s="96">
        <f>IFERROR(__xludf.DUMMYFUNCTION("""COMPUTED_VALUE"""),1.0)</f>
        <v>1</v>
      </c>
      <c r="J124" s="96">
        <f>IFERROR(__xludf.DUMMYFUNCTION("""COMPUTED_VALUE"""),2.0)</f>
        <v>2</v>
      </c>
      <c r="K124" s="96">
        <f>IFERROR(__xludf.DUMMYFUNCTION("""COMPUTED_VALUE"""),4.0)</f>
        <v>4</v>
      </c>
      <c r="L124" s="96">
        <f>IFERROR(__xludf.DUMMYFUNCTION("""COMPUTED_VALUE"""),0.0)</f>
        <v>0</v>
      </c>
      <c r="M124" s="96">
        <f>IFERROR(__xludf.DUMMYFUNCTION("""COMPUTED_VALUE"""),22.0)</f>
        <v>22</v>
      </c>
      <c r="N124" s="97">
        <f>IFERROR(__xludf.DUMMYFUNCTION("""COMPUTED_VALUE"""),0.0)</f>
        <v>0</v>
      </c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B135" s="9" t="s">
        <v>136</v>
      </c>
      <c r="C135" s="1"/>
      <c r="D135" s="1"/>
      <c r="E135" s="1"/>
    </row>
    <row r="136">
      <c r="A136" s="1"/>
      <c r="B136" s="23" t="s">
        <v>29</v>
      </c>
      <c r="C136" s="24" t="s">
        <v>5</v>
      </c>
      <c r="D136" s="24" t="s">
        <v>7</v>
      </c>
      <c r="E136" s="24" t="s">
        <v>30</v>
      </c>
      <c r="F136" s="24" t="s">
        <v>31</v>
      </c>
      <c r="G136" s="24" t="s">
        <v>32</v>
      </c>
      <c r="H136" s="24" t="s">
        <v>11</v>
      </c>
      <c r="I136" s="24" t="s">
        <v>13</v>
      </c>
      <c r="J136" s="24" t="s">
        <v>14</v>
      </c>
      <c r="K136" s="24" t="s">
        <v>5</v>
      </c>
      <c r="L136" s="24" t="s">
        <v>7</v>
      </c>
      <c r="M136" s="25" t="s">
        <v>5</v>
      </c>
      <c r="N136" s="25" t="s">
        <v>7</v>
      </c>
    </row>
    <row r="137">
      <c r="A137" s="1"/>
      <c r="B137" s="62" t="str">
        <f>IFERROR(__xludf.DUMMYFUNCTION("QUERY(B5:N70, ""Select B, C, D, E, F, G, H, I, J, K, L, M, N   where F = 0"")"),"Balaji Alahari")</f>
        <v>Balaji Alahari</v>
      </c>
      <c r="C137" s="63">
        <f>IFERROR(__xludf.DUMMYFUNCTION("""COMPUTED_VALUE"""),35.0)</f>
        <v>35</v>
      </c>
      <c r="D137" s="64">
        <f>IFERROR(__xludf.DUMMYFUNCTION("""COMPUTED_VALUE"""),5.0)</f>
        <v>5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/>
      <c r="I137" s="65"/>
      <c r="J137" s="65"/>
      <c r="K137" s="65">
        <f>IFERROR(__xludf.DUMMYFUNCTION("""COMPUTED_VALUE"""),9.0)</f>
        <v>9</v>
      </c>
      <c r="L137" s="65"/>
      <c r="M137" s="65">
        <f>IFERROR(__xludf.DUMMYFUNCTION("""COMPUTED_VALUE"""),44.0)</f>
        <v>44</v>
      </c>
      <c r="N137" s="66">
        <f>IFERROR(__xludf.DUMMYFUNCTION("""COMPUTED_VALUE"""),5.0)</f>
        <v>5</v>
      </c>
    </row>
    <row r="138">
      <c r="A138" s="1"/>
      <c r="B138" s="62" t="str">
        <f>IFERROR(__xludf.DUMMYFUNCTION("""COMPUTED_VALUE"""),"Alejandro Mejia")</f>
        <v>Alejandro Mejia</v>
      </c>
      <c r="C138" s="63">
        <f>IFERROR(__xludf.DUMMYFUNCTION("""COMPUTED_VALUE"""),34.0)</f>
        <v>34</v>
      </c>
      <c r="D138" s="64">
        <f>IFERROR(__xludf.DUMMYFUNCTION("""COMPUTED_VALUE"""),4.0)</f>
        <v>4</v>
      </c>
      <c r="E138" s="63">
        <f>IFERROR(__xludf.DUMMYFUNCTION("""COMPUTED_VALUE"""),3.0)</f>
        <v>3</v>
      </c>
      <c r="F138" s="65">
        <f>IFERROR(__xludf.DUMMYFUNCTION("""COMPUTED_VALUE"""),0.0)</f>
        <v>0</v>
      </c>
      <c r="G138" s="65">
        <f>IFERROR(__xludf.DUMMYFUNCTION("""COMPUTED_VALUE"""),9.0)</f>
        <v>9</v>
      </c>
      <c r="H138" s="65"/>
      <c r="I138" s="65"/>
      <c r="J138" s="65"/>
      <c r="K138" s="65">
        <f>IFERROR(__xludf.DUMMYFUNCTION("""COMPUTED_VALUE"""),9.0)</f>
        <v>9</v>
      </c>
      <c r="L138" s="65"/>
      <c r="M138" s="65">
        <f>IFERROR(__xludf.DUMMYFUNCTION("""COMPUTED_VALUE"""),43.0)</f>
        <v>43</v>
      </c>
      <c r="N138" s="66">
        <f>IFERROR(__xludf.DUMMYFUNCTION("""COMPUTED_VALUE"""),4.0)</f>
        <v>4</v>
      </c>
    </row>
    <row r="139">
      <c r="A139" s="1"/>
      <c r="B139" s="62" t="str">
        <f>IFERROR(__xludf.DUMMYFUNCTION("""COMPUTED_VALUE"""),"Santosh Sundaresan ")</f>
        <v>Santosh Sundaresan </v>
      </c>
      <c r="C139" s="63">
        <f>IFERROR(__xludf.DUMMYFUNCTION("""COMPUTED_VALUE"""),30.0)</f>
        <v>30</v>
      </c>
      <c r="D139" s="64">
        <f>IFERROR(__xludf.DUMMYFUNCTION("""COMPUTED_VALUE"""),2.0)</f>
        <v>2</v>
      </c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IFERROR(__xludf.DUMMYFUNCTION("""COMPUTED_VALUE"""),39.0)</f>
        <v>39</v>
      </c>
      <c r="N139" s="66">
        <f>IFERROR(__xludf.DUMMYFUNCTION("""COMPUTED_VALUE"""),2.0)</f>
        <v>2</v>
      </c>
    </row>
    <row r="140">
      <c r="A140" s="1"/>
      <c r="B140" s="62" t="str">
        <f>IFERROR(__xludf.DUMMYFUNCTION("""COMPUTED_VALUE"""),"Savay Lieu")</f>
        <v>Savay Lieu</v>
      </c>
      <c r="C140" s="63">
        <f>IFERROR(__xludf.DUMMYFUNCTION("""COMPUTED_VALUE"""),29.0)</f>
        <v>29</v>
      </c>
      <c r="D140" s="64">
        <f>IFERROR(__xludf.DUMMYFUNCTION("""COMPUTED_VALUE"""),3.0)</f>
        <v>3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IFERROR(__xludf.DUMMYFUNCTION("""COMPUTED_VALUE"""),38.0)</f>
        <v>38</v>
      </c>
      <c r="N140" s="66">
        <f>IFERROR(__xludf.DUMMYFUNCTION("""COMPUTED_VALUE"""),3.0)</f>
        <v>3</v>
      </c>
    </row>
    <row r="141">
      <c r="A141" s="1"/>
      <c r="B141" s="62" t="str">
        <f>IFERROR(__xludf.DUMMYFUNCTION("""COMPUTED_VALUE"""),"Pulkit Mathur")</f>
        <v>Pulkit Mathur</v>
      </c>
      <c r="C141" s="63">
        <f>IFERROR(__xludf.DUMMYFUNCTION("""COMPUTED_VALUE"""),27.0)</f>
        <v>27</v>
      </c>
      <c r="D141" s="64">
        <f>IFERROR(__xludf.DUMMYFUNCTION("""COMPUTED_VALUE"""),3.0)</f>
        <v>3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IFERROR(__xludf.DUMMYFUNCTION("""COMPUTED_VALUE"""),36.0)</f>
        <v>36</v>
      </c>
      <c r="N141" s="66">
        <f>IFERROR(__xludf.DUMMYFUNCTION("""COMPUTED_VALUE"""),3.0)</f>
        <v>3</v>
      </c>
    </row>
    <row r="142">
      <c r="A142" s="1"/>
      <c r="B142" s="62" t="str">
        <f>IFERROR(__xludf.DUMMYFUNCTION("""COMPUTED_VALUE"""),"Tony Lin")</f>
        <v>Tony Lin</v>
      </c>
      <c r="C142" s="63">
        <f>IFERROR(__xludf.DUMMYFUNCTION("""COMPUTED_VALUE"""),27.0)</f>
        <v>27</v>
      </c>
      <c r="D142" s="64">
        <f>IFERROR(__xludf.DUMMYFUNCTION("""COMPUTED_VALUE"""),3.0)</f>
        <v>3</v>
      </c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IFERROR(__xludf.DUMMYFUNCTION("""COMPUTED_VALUE"""),36.0)</f>
        <v>36</v>
      </c>
      <c r="N142" s="66">
        <f>IFERROR(__xludf.DUMMYFUNCTION("""COMPUTED_VALUE"""),3.0)</f>
        <v>3</v>
      </c>
    </row>
    <row r="143">
      <c r="A143" s="1"/>
      <c r="B143" s="62" t="str">
        <f>IFERROR(__xludf.DUMMYFUNCTION("""COMPUTED_VALUE"""),"Rajasekar Ramasamy")</f>
        <v>Rajasekar Ramasamy</v>
      </c>
      <c r="C143" s="63">
        <f>IFERROR(__xludf.DUMMYFUNCTION("""COMPUTED_VALUE"""),27.0)</f>
        <v>27</v>
      </c>
      <c r="D143" s="64">
        <f>IFERROR(__xludf.DUMMYFUNCTION("""COMPUTED_VALUE"""),2.0)</f>
        <v>2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IFERROR(__xludf.DUMMYFUNCTION("""COMPUTED_VALUE"""),36.0)</f>
        <v>36</v>
      </c>
      <c r="N143" s="66">
        <f>IFERROR(__xludf.DUMMYFUNCTION("""COMPUTED_VALUE"""),2.0)</f>
        <v>2</v>
      </c>
    </row>
    <row r="144">
      <c r="A144" s="1"/>
      <c r="B144" s="62" t="str">
        <f>IFERROR(__xludf.DUMMYFUNCTION("""COMPUTED_VALUE"""),"Peter Cheng")</f>
        <v>Peter Cheng</v>
      </c>
      <c r="C144" s="63">
        <f>IFERROR(__xludf.DUMMYFUNCTION("""COMPUTED_VALUE"""),26.0)</f>
        <v>26</v>
      </c>
      <c r="D144" s="64">
        <f>IFERROR(__xludf.DUMMYFUNCTION("""COMPUTED_VALUE"""),0.0)</f>
        <v>0</v>
      </c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IFERROR(__xludf.DUMMYFUNCTION("""COMPUTED_VALUE"""),35.0)</f>
        <v>35</v>
      </c>
      <c r="N144" s="66">
        <f>IFERROR(__xludf.DUMMYFUNCTION("""COMPUTED_VALUE"""),0.0)</f>
        <v>0</v>
      </c>
    </row>
    <row r="145">
      <c r="A145" s="1"/>
      <c r="B145" s="62" t="str">
        <f>IFERROR(__xludf.DUMMYFUNCTION("""COMPUTED_VALUE"""),"Matthew Huang")</f>
        <v>Matthew Huang</v>
      </c>
      <c r="C145" s="63">
        <f>IFERROR(__xludf.DUMMYFUNCTION("""COMPUTED_VALUE"""),26.0)</f>
        <v>26</v>
      </c>
      <c r="D145" s="64">
        <f>IFERROR(__xludf.DUMMYFUNCTION("""COMPUTED_VALUE"""),0.0)</f>
        <v>0</v>
      </c>
      <c r="E145" s="63">
        <f>IFERROR(__xludf.DUMMYFUNCTION("""COMPUTED_VALUE"""),3.0)</f>
        <v>3</v>
      </c>
      <c r="F145" s="65">
        <f>IFERROR(__xludf.DUMMYFUNCTION("""COMPUTED_VALUE"""),0.0)</f>
        <v>0</v>
      </c>
      <c r="G145" s="65">
        <f>IFERROR(__xludf.DUMMYFUNCTION("""COMPUTED_VALUE"""),9.0)</f>
        <v>9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IFERROR(__xludf.DUMMYFUNCTION("""COMPUTED_VALUE"""),9.0)</f>
        <v>9</v>
      </c>
      <c r="L145" s="65">
        <f>IFERROR(__xludf.DUMMYFUNCTION("""COMPUTED_VALUE"""),0.0)</f>
        <v>0</v>
      </c>
      <c r="M145" s="65">
        <f>IFERROR(__xludf.DUMMYFUNCTION("""COMPUTED_VALUE"""),35.0)</f>
        <v>35</v>
      </c>
      <c r="N145" s="66">
        <f>IFERROR(__xludf.DUMMYFUNCTION("""COMPUTED_VALUE"""),0.0)</f>
        <v>0</v>
      </c>
    </row>
    <row r="146">
      <c r="A146" s="1"/>
      <c r="B146" s="62" t="str">
        <f>IFERROR(__xludf.DUMMYFUNCTION("""COMPUTED_VALUE"""),"Trinath Goteti")</f>
        <v>Trinath Goteti</v>
      </c>
      <c r="C146" s="63">
        <f>IFERROR(__xludf.DUMMYFUNCTION("""COMPUTED_VALUE"""),26.0)</f>
        <v>26</v>
      </c>
      <c r="D146" s="64">
        <f>IFERROR(__xludf.DUMMYFUNCTION("""COMPUTED_VALUE"""),0.0)</f>
        <v>0</v>
      </c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IFERROR(__xludf.DUMMYFUNCTION("""COMPUTED_VALUE"""),35.0)</f>
        <v>35</v>
      </c>
      <c r="N146" s="66">
        <f>IFERROR(__xludf.DUMMYFUNCTION("""COMPUTED_VALUE"""),0.0)</f>
        <v>0</v>
      </c>
    </row>
    <row r="147">
      <c r="A147" s="1"/>
      <c r="B147" s="62" t="str">
        <f>IFERROR(__xludf.DUMMYFUNCTION("""COMPUTED_VALUE"""),"Rosie Bonilla")</f>
        <v>Rosie Bonilla</v>
      </c>
      <c r="C147" s="63">
        <f>IFERROR(__xludf.DUMMYFUNCTION("""COMPUTED_VALUE"""),26.0)</f>
        <v>26</v>
      </c>
      <c r="D147" s="64">
        <f>IFERROR(__xludf.DUMMYFUNCTION("""COMPUTED_VALUE"""),0.0)</f>
        <v>0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IFERROR(__xludf.DUMMYFUNCTION("""COMPUTED_VALUE"""),35.0)</f>
        <v>35</v>
      </c>
      <c r="N147" s="66">
        <f>IFERROR(__xludf.DUMMYFUNCTION("""COMPUTED_VALUE"""),0.0)</f>
        <v>0</v>
      </c>
    </row>
    <row r="148">
      <c r="A148" s="1"/>
      <c r="B148" s="62" t="str">
        <f>IFERROR(__xludf.DUMMYFUNCTION("""COMPUTED_VALUE"""),"Nohely Mejia")</f>
        <v>Nohely Mejia</v>
      </c>
      <c r="C148" s="63">
        <f>IFERROR(__xludf.DUMMYFUNCTION("""COMPUTED_VALUE"""),26.0)</f>
        <v>26</v>
      </c>
      <c r="D148" s="64">
        <f>IFERROR(__xludf.DUMMYFUNCTION("""COMPUTED_VALUE"""),0.0)</f>
        <v>0</v>
      </c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IFERROR(__xludf.DUMMYFUNCTION("""COMPUTED_VALUE"""),35.0)</f>
        <v>35</v>
      </c>
      <c r="N148" s="66">
        <f>IFERROR(__xludf.DUMMYFUNCTION("""COMPUTED_VALUE"""),0.0)</f>
        <v>0</v>
      </c>
    </row>
    <row r="149">
      <c r="A149" s="1"/>
      <c r="B149" s="62" t="str">
        <f>IFERROR(__xludf.DUMMYFUNCTION("""COMPUTED_VALUE"""),"Elayaraja Thangaraj ")</f>
        <v>Elayaraja Thangaraj </v>
      </c>
      <c r="C149" s="63">
        <f>IFERROR(__xludf.DUMMYFUNCTION("""COMPUTED_VALUE"""),25.0)</f>
        <v>25</v>
      </c>
      <c r="D149" s="64">
        <f>IFERROR(__xludf.DUMMYFUNCTION("""COMPUTED_VALUE"""),3.0)</f>
        <v>3</v>
      </c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IFERROR(__xludf.DUMMYFUNCTION("""COMPUTED_VALUE"""),34.0)</f>
        <v>34</v>
      </c>
      <c r="N149" s="66">
        <f>IFERROR(__xludf.DUMMYFUNCTION("""COMPUTED_VALUE"""),3.0)</f>
        <v>3</v>
      </c>
    </row>
    <row r="150">
      <c r="A150" s="1"/>
      <c r="B150" s="62" t="str">
        <f>IFERROR(__xludf.DUMMYFUNCTION("""COMPUTED_VALUE"""),"Sudhagar Subbaian")</f>
        <v>Sudhagar Subbaian</v>
      </c>
      <c r="C150" s="63">
        <f>IFERROR(__xludf.DUMMYFUNCTION("""COMPUTED_VALUE"""),25.0)</f>
        <v>25</v>
      </c>
      <c r="D150" s="64">
        <f>IFERROR(__xludf.DUMMYFUNCTION("""COMPUTED_VALUE"""),2.0)</f>
        <v>2</v>
      </c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IFERROR(__xludf.DUMMYFUNCTION("""COMPUTED_VALUE"""),34.0)</f>
        <v>34</v>
      </c>
      <c r="N150" s="66">
        <f>IFERROR(__xludf.DUMMYFUNCTION("""COMPUTED_VALUE"""),2.0)</f>
        <v>2</v>
      </c>
    </row>
    <row r="151">
      <c r="A151" s="1"/>
      <c r="B151" s="62" t="str">
        <f>IFERROR(__xludf.DUMMYFUNCTION("""COMPUTED_VALUE"""),"Ted Shen")</f>
        <v>Ted Shen</v>
      </c>
      <c r="C151" s="63">
        <f>IFERROR(__xludf.DUMMYFUNCTION("""COMPUTED_VALUE"""),25.0)</f>
        <v>25</v>
      </c>
      <c r="D151" s="64">
        <f>IFERROR(__xludf.DUMMYFUNCTION("""COMPUTED_VALUE"""),2.0)</f>
        <v>2</v>
      </c>
      <c r="E151" s="63">
        <f>IFERROR(__xludf.DUMMYFUNCTION("""COMPUTED_VALUE"""),5.0)</f>
        <v>5</v>
      </c>
      <c r="F151" s="65">
        <f>IFERROR(__xludf.DUMMYFUNCTION("""COMPUTED_VALUE"""),0.0)</f>
        <v>0</v>
      </c>
      <c r="G151" s="65">
        <f>IFERROR(__xludf.DUMMYFUNCTION("""COMPUTED_VALUE"""),13.0)</f>
        <v>13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IFERROR(__xludf.DUMMYFUNCTION("""COMPUTED_VALUE"""),13.0)</f>
        <v>13</v>
      </c>
      <c r="L151" s="65">
        <f>IFERROR(__xludf.DUMMYFUNCTION("""COMPUTED_VALUE"""),0.0)</f>
        <v>0</v>
      </c>
      <c r="M151" s="65">
        <f>IFERROR(__xludf.DUMMYFUNCTION("""COMPUTED_VALUE"""),38.0)</f>
        <v>38</v>
      </c>
      <c r="N151" s="66">
        <f>IFERROR(__xludf.DUMMYFUNCTION("""COMPUTED_VALUE"""),2.0)</f>
        <v>2</v>
      </c>
    </row>
    <row r="152">
      <c r="A152" s="1"/>
      <c r="B152" s="62" t="str">
        <f>IFERROR(__xludf.DUMMYFUNCTION("""COMPUTED_VALUE"""),"Chandrasekar Chinnathambi")</f>
        <v>Chandrasekar Chinnathambi</v>
      </c>
      <c r="C152" s="63">
        <f>IFERROR(__xludf.DUMMYFUNCTION("""COMPUTED_VALUE"""),25.0)</f>
        <v>25</v>
      </c>
      <c r="D152" s="64">
        <f>IFERROR(__xludf.DUMMYFUNCTION("""COMPUTED_VALUE"""),1.0)</f>
        <v>1</v>
      </c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IFERROR(__xludf.DUMMYFUNCTION("""COMPUTED_VALUE"""),34.0)</f>
        <v>34</v>
      </c>
      <c r="N152" s="66">
        <f>IFERROR(__xludf.DUMMYFUNCTION("""COMPUTED_VALUE"""),1.0)</f>
        <v>1</v>
      </c>
    </row>
    <row r="153">
      <c r="A153" s="1"/>
      <c r="B153" s="62" t="str">
        <f>IFERROR(__xludf.DUMMYFUNCTION("""COMPUTED_VALUE"""),"Troy Wong")</f>
        <v>Troy Wong</v>
      </c>
      <c r="C153" s="63">
        <f>IFERROR(__xludf.DUMMYFUNCTION("""COMPUTED_VALUE"""),24.0)</f>
        <v>24</v>
      </c>
      <c r="D153" s="64">
        <f>IFERROR(__xludf.DUMMYFUNCTION("""COMPUTED_VALUE"""),2.0)</f>
        <v>2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IFERROR(__xludf.DUMMYFUNCTION("""COMPUTED_VALUE"""),33.0)</f>
        <v>33</v>
      </c>
      <c r="N153" s="66">
        <f>IFERROR(__xludf.DUMMYFUNCTION("""COMPUTED_VALUE"""),2.0)</f>
        <v>2</v>
      </c>
    </row>
    <row r="154">
      <c r="A154" s="1"/>
      <c r="B154" s="62" t="str">
        <f>IFERROR(__xludf.DUMMYFUNCTION("""COMPUTED_VALUE"""),"Robert Chang")</f>
        <v>Robert Chang</v>
      </c>
      <c r="C154" s="63">
        <f>IFERROR(__xludf.DUMMYFUNCTION("""COMPUTED_VALUE"""),24.0)</f>
        <v>24</v>
      </c>
      <c r="D154" s="64">
        <f>IFERROR(__xludf.DUMMYFUNCTION("""COMPUTED_VALUE"""),2.0)</f>
        <v>2</v>
      </c>
      <c r="E154" s="63">
        <f>IFERROR(__xludf.DUMMYFUNCTION("""COMPUTED_VALUE"""),5.0)</f>
        <v>5</v>
      </c>
      <c r="F154" s="65">
        <f>IFERROR(__xludf.DUMMYFUNCTION("""COMPUTED_VALUE"""),0.0)</f>
        <v>0</v>
      </c>
      <c r="G154" s="65">
        <f>IFERROR(__xludf.DUMMYFUNCTION("""COMPUTED_VALUE"""),13.0)</f>
        <v>13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IFERROR(__xludf.DUMMYFUNCTION("""COMPUTED_VALUE"""),13.0)</f>
        <v>13</v>
      </c>
      <c r="L154" s="65">
        <f>IFERROR(__xludf.DUMMYFUNCTION("""COMPUTED_VALUE"""),0.0)</f>
        <v>0</v>
      </c>
      <c r="M154" s="65">
        <f>IFERROR(__xludf.DUMMYFUNCTION("""COMPUTED_VALUE"""),37.0)</f>
        <v>37</v>
      </c>
      <c r="N154" s="66">
        <f>IFERROR(__xludf.DUMMYFUNCTION("""COMPUTED_VALUE"""),2.0)</f>
        <v>2</v>
      </c>
    </row>
    <row r="155">
      <c r="A155" s="1"/>
      <c r="B155" s="62" t="str">
        <f>IFERROR(__xludf.DUMMYFUNCTION("""COMPUTED_VALUE"""),"Christopher Li")</f>
        <v>Christopher Li</v>
      </c>
      <c r="C155" s="63">
        <f>IFERROR(__xludf.DUMMYFUNCTION("""COMPUTED_VALUE"""),23.0)</f>
        <v>23</v>
      </c>
      <c r="D155" s="64">
        <f>IFERROR(__xludf.DUMMYFUNCTION("""COMPUTED_VALUE"""),2.0)</f>
        <v>2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IFERROR(__xludf.DUMMYFUNCTION("""COMPUTED_VALUE"""),32.0)</f>
        <v>32</v>
      </c>
      <c r="N155" s="66">
        <f>IFERROR(__xludf.DUMMYFUNCTION("""COMPUTED_VALUE"""),2.0)</f>
        <v>2</v>
      </c>
    </row>
    <row r="156">
      <c r="A156" s="1"/>
      <c r="B156" s="62" t="str">
        <f>IFERROR(__xludf.DUMMYFUNCTION("""COMPUTED_VALUE"""),"Ramesh Bandaru")</f>
        <v>Ramesh Bandaru</v>
      </c>
      <c r="C156" s="63">
        <f>IFERROR(__xludf.DUMMYFUNCTION("""COMPUTED_VALUE"""),23.0)</f>
        <v>23</v>
      </c>
      <c r="D156" s="64">
        <f>IFERROR(__xludf.DUMMYFUNCTION("""COMPUTED_VALUE"""),1.0)</f>
        <v>1</v>
      </c>
      <c r="E156" s="63">
        <f>IFERROR(__xludf.DUMMYFUNCTION("""COMPUTED_VALUE"""),5.0)</f>
        <v>5</v>
      </c>
      <c r="F156" s="65">
        <f>IFERROR(__xludf.DUMMYFUNCTION("""COMPUTED_VALUE"""),0.0)</f>
        <v>0</v>
      </c>
      <c r="G156" s="65">
        <f>IFERROR(__xludf.DUMMYFUNCTION("""COMPUTED_VALUE"""),13.0)</f>
        <v>13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IFERROR(__xludf.DUMMYFUNCTION("""COMPUTED_VALUE"""),13.0)</f>
        <v>13</v>
      </c>
      <c r="L156" s="65">
        <f>IFERROR(__xludf.DUMMYFUNCTION("""COMPUTED_VALUE"""),0.0)</f>
        <v>0</v>
      </c>
      <c r="M156" s="65">
        <f>IFERROR(__xludf.DUMMYFUNCTION("""COMPUTED_VALUE"""),36.0)</f>
        <v>36</v>
      </c>
      <c r="N156" s="66">
        <f>IFERROR(__xludf.DUMMYFUNCTION("""COMPUTED_VALUE"""),1.0)</f>
        <v>1</v>
      </c>
    </row>
    <row r="157">
      <c r="A157" s="1"/>
      <c r="B157" s="62" t="str">
        <f>IFERROR(__xludf.DUMMYFUNCTION("""COMPUTED_VALUE"""),"Marcus Yovas")</f>
        <v>Marcus Yovas</v>
      </c>
      <c r="C157" s="63">
        <f>IFERROR(__xludf.DUMMYFUNCTION("""COMPUTED_VALUE"""),22.0)</f>
        <v>22</v>
      </c>
      <c r="D157" s="64">
        <f>IFERROR(__xludf.DUMMYFUNCTION("""COMPUTED_VALUE"""),0.0)</f>
        <v>0</v>
      </c>
      <c r="E157" s="63">
        <f>IFERROR(__xludf.DUMMYFUNCTION("""COMPUTED_VALUE"""),3.0)</f>
        <v>3</v>
      </c>
      <c r="F157" s="65">
        <f>IFERROR(__xludf.DUMMYFUNCTION("""COMPUTED_VALUE"""),0.0)</f>
        <v>0</v>
      </c>
      <c r="G157" s="65">
        <f>IFERROR(__xludf.DUMMYFUNCTION("""COMPUTED_VALUE"""),9.0)</f>
        <v>9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IFERROR(__xludf.DUMMYFUNCTION("""COMPUTED_VALUE"""),9.0)</f>
        <v>9</v>
      </c>
      <c r="L157" s="65">
        <f>IFERROR(__xludf.DUMMYFUNCTION("""COMPUTED_VALUE"""),0.0)</f>
        <v>0</v>
      </c>
      <c r="M157" s="65">
        <f>IFERROR(__xludf.DUMMYFUNCTION("""COMPUTED_VALUE"""),31.0)</f>
        <v>31</v>
      </c>
      <c r="N157" s="66">
        <f>IFERROR(__xludf.DUMMYFUNCTION("""COMPUTED_VALUE"""),0.0)</f>
        <v>0</v>
      </c>
    </row>
    <row r="158">
      <c r="A158" s="1"/>
      <c r="B158" s="62" t="str">
        <f>IFERROR(__xludf.DUMMYFUNCTION("""COMPUTED_VALUE"""),"Vinot Kumar Nagappan")</f>
        <v>Vinot Kumar Nagappan</v>
      </c>
      <c r="C158" s="63">
        <f>IFERROR(__xludf.DUMMYFUNCTION("""COMPUTED_VALUE"""),21.0)</f>
        <v>21</v>
      </c>
      <c r="D158" s="64">
        <f>IFERROR(__xludf.DUMMYFUNCTION("""COMPUTED_VALUE"""),1.0)</f>
        <v>1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IFERROR(__xludf.DUMMYFUNCTION("""COMPUTED_VALUE"""),30.0)</f>
        <v>30</v>
      </c>
      <c r="N158" s="66">
        <f>IFERROR(__xludf.DUMMYFUNCTION("""COMPUTED_VALUE"""),1.0)</f>
        <v>1</v>
      </c>
    </row>
    <row r="159">
      <c r="A159" s="1"/>
      <c r="B159" s="62" t="str">
        <f>IFERROR(__xludf.DUMMYFUNCTION("""COMPUTED_VALUE"""),"Ash Nikravan")</f>
        <v>Ash Nikravan</v>
      </c>
      <c r="C159" s="63">
        <f>IFERROR(__xludf.DUMMYFUNCTION("""COMPUTED_VALUE"""),19.0)</f>
        <v>19</v>
      </c>
      <c r="D159" s="64">
        <f>IFERROR(__xludf.DUMMYFUNCTION("""COMPUTED_VALUE"""),2.0)</f>
        <v>2</v>
      </c>
      <c r="E159" s="63">
        <f>IFERROR(__xludf.DUMMYFUNCTION("""COMPUTED_VALUE"""),5.0)</f>
        <v>5</v>
      </c>
      <c r="F159" s="65">
        <f>IFERROR(__xludf.DUMMYFUNCTION("""COMPUTED_VALUE"""),0.0)</f>
        <v>0</v>
      </c>
      <c r="G159" s="65">
        <f>IFERROR(__xludf.DUMMYFUNCTION("""COMPUTED_VALUE"""),13.0)</f>
        <v>13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IFERROR(__xludf.DUMMYFUNCTION("""COMPUTED_VALUE"""),13.0)</f>
        <v>13</v>
      </c>
      <c r="L159" s="65">
        <f>IFERROR(__xludf.DUMMYFUNCTION("""COMPUTED_VALUE"""),0.0)</f>
        <v>0</v>
      </c>
      <c r="M159" s="65">
        <f>IFERROR(__xludf.DUMMYFUNCTION("""COMPUTED_VALUE"""),32.0)</f>
        <v>32</v>
      </c>
      <c r="N159" s="66">
        <f>IFERROR(__xludf.DUMMYFUNCTION("""COMPUTED_VALUE"""),2.0)</f>
        <v>2</v>
      </c>
    </row>
    <row r="160">
      <c r="A160" s="1"/>
      <c r="B160" s="62" t="str">
        <f>IFERROR(__xludf.DUMMYFUNCTION("""COMPUTED_VALUE"""),"Vamsi Lolla ")</f>
        <v>Vamsi Lolla </v>
      </c>
      <c r="C160" s="63">
        <f>IFERROR(__xludf.DUMMYFUNCTION("""COMPUTED_VALUE"""),18.0)</f>
        <v>18</v>
      </c>
      <c r="D160" s="64">
        <f>IFERROR(__xludf.DUMMYFUNCTION("""COMPUTED_VALUE"""),1.0)</f>
        <v>1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IFERROR(__xludf.DUMMYFUNCTION("""COMPUTED_VALUE"""),27.0)</f>
        <v>27</v>
      </c>
      <c r="N160" s="66">
        <f>IFERROR(__xludf.DUMMYFUNCTION("""COMPUTED_VALUE"""),1.0)</f>
        <v>1</v>
      </c>
    </row>
    <row r="161">
      <c r="A161" s="1"/>
      <c r="B161" s="62" t="str">
        <f>IFERROR(__xludf.DUMMYFUNCTION("""COMPUTED_VALUE"""),"Sai Dilip Ponnaganti")</f>
        <v>Sai Dilip Ponnaganti</v>
      </c>
      <c r="C161" s="63">
        <f>IFERROR(__xludf.DUMMYFUNCTION("""COMPUTED_VALUE"""),18.0)</f>
        <v>18</v>
      </c>
      <c r="D161" s="64">
        <f>IFERROR(__xludf.DUMMYFUNCTION("""COMPUTED_VALUE"""),0.0)</f>
        <v>0</v>
      </c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IFERROR(__xludf.DUMMYFUNCTION("""COMPUTED_VALUE"""),27.0)</f>
        <v>27</v>
      </c>
      <c r="N161" s="66">
        <f>IFERROR(__xludf.DUMMYFUNCTION("""COMPUTED_VALUE"""),0.0)</f>
        <v>0</v>
      </c>
    </row>
    <row r="162">
      <c r="A162" s="1"/>
      <c r="B162" s="62" t="str">
        <f>IFERROR(__xludf.DUMMYFUNCTION("""COMPUTED_VALUE"""),"Tom Le")</f>
        <v>Tom Le</v>
      </c>
      <c r="C162" s="63">
        <f>IFERROR(__xludf.DUMMYFUNCTION("""COMPUTED_VALUE"""),18.0)</f>
        <v>18</v>
      </c>
      <c r="D162" s="64">
        <f>IFERROR(__xludf.DUMMYFUNCTION("""COMPUTED_VALUE"""),0.0)</f>
        <v>0</v>
      </c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IFERROR(__xludf.DUMMYFUNCTION("""COMPUTED_VALUE"""),27.0)</f>
        <v>27</v>
      </c>
      <c r="N162" s="66">
        <f>IFERROR(__xludf.DUMMYFUNCTION("""COMPUTED_VALUE"""),0.0)</f>
        <v>0</v>
      </c>
    </row>
    <row r="163">
      <c r="A163" s="1"/>
      <c r="B163" s="62" t="str">
        <f>IFERROR(__xludf.DUMMYFUNCTION("""COMPUTED_VALUE"""),"Susanta Mishra")</f>
        <v>Susanta Mishra</v>
      </c>
      <c r="C163" s="63">
        <f>IFERROR(__xludf.DUMMYFUNCTION("""COMPUTED_VALUE"""),18.0)</f>
        <v>18</v>
      </c>
      <c r="D163" s="64">
        <f>IFERROR(__xludf.DUMMYFUNCTION("""COMPUTED_VALUE"""),0.0)</f>
        <v>0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IFERROR(__xludf.DUMMYFUNCTION("""COMPUTED_VALUE"""),27.0)</f>
        <v>27</v>
      </c>
      <c r="N163" s="66">
        <f>IFERROR(__xludf.DUMMYFUNCTION("""COMPUTED_VALUE"""),0.0)</f>
        <v>0</v>
      </c>
    </row>
    <row r="164">
      <c r="A164" s="1"/>
      <c r="B164" s="62" t="str">
        <f>IFERROR(__xludf.DUMMYFUNCTION("""COMPUTED_VALUE"""),"Sanjaye Elayattu")</f>
        <v>Sanjaye Elayattu</v>
      </c>
      <c r="C164" s="63">
        <f>IFERROR(__xludf.DUMMYFUNCTION("""COMPUTED_VALUE"""),18.0)</f>
        <v>18</v>
      </c>
      <c r="D164" s="64">
        <f>IFERROR(__xludf.DUMMYFUNCTION("""COMPUTED_VALUE"""),0.0)</f>
        <v>0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IFERROR(__xludf.DUMMYFUNCTION("""COMPUTED_VALUE"""),27.0)</f>
        <v>27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IFERROR(__xludf.DUMMYFUNCTION("""COMPUTED_VALUE"""),"Luis Hsu")</f>
        <v>Luis Hsu</v>
      </c>
      <c r="C165" s="63">
        <f>IFERROR(__xludf.DUMMYFUNCTION("""COMPUTED_VALUE"""),18.0)</f>
        <v>18</v>
      </c>
      <c r="D165" s="64">
        <f>IFERROR(__xludf.DUMMYFUNCTION("""COMPUTED_VALUE"""),0.0)</f>
        <v>0</v>
      </c>
      <c r="E165" s="63">
        <f>IFERROR(__xludf.DUMMYFUNCTION("""COMPUTED_VALUE"""),5.0)</f>
        <v>5</v>
      </c>
      <c r="F165" s="65">
        <f>IFERROR(__xludf.DUMMYFUNCTION("""COMPUTED_VALUE"""),0.0)</f>
        <v>0</v>
      </c>
      <c r="G165" s="65">
        <f>IFERROR(__xludf.DUMMYFUNCTION("""COMPUTED_VALUE"""),13.0)</f>
        <v>13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IFERROR(__xludf.DUMMYFUNCTION("""COMPUTED_VALUE"""),13.0)</f>
        <v>13</v>
      </c>
      <c r="L165" s="65">
        <f>IFERROR(__xludf.DUMMYFUNCTION("""COMPUTED_VALUE"""),0.0)</f>
        <v>0</v>
      </c>
      <c r="M165" s="65">
        <f>IFERROR(__xludf.DUMMYFUNCTION("""COMPUTED_VALUE"""),31.0)</f>
        <v>31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IFERROR(__xludf.DUMMYFUNCTION("""COMPUTED_VALUE"""),"Vilas Janardhanan")</f>
        <v>Vilas Janardhanan</v>
      </c>
      <c r="C166" s="63">
        <f>IFERROR(__xludf.DUMMYFUNCTION("""COMPUTED_VALUE"""),18.0)</f>
        <v>18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IFERROR(__xludf.DUMMYFUNCTION("""COMPUTED_VALUE"""),27.0)</f>
        <v>27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IFERROR(__xludf.DUMMYFUNCTION("""COMPUTED_VALUE"""),"Amit Patel")</f>
        <v>Amit Patel</v>
      </c>
      <c r="C167" s="63">
        <f>IFERROR(__xludf.DUMMYFUNCTION("""COMPUTED_VALUE"""),18.0)</f>
        <v>18</v>
      </c>
      <c r="D167" s="64">
        <f>IFERROR(__xludf.DUMMYFUNCTION("""COMPUTED_VALUE"""),0.0)</f>
        <v>0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IFERROR(__xludf.DUMMYFUNCTION("""COMPUTED_VALUE"""),27.0)</f>
        <v>27</v>
      </c>
      <c r="N167" s="66">
        <f>IFERROR(__xludf.DUMMYFUNCTION("""COMPUTED_VALUE"""),0.0)</f>
        <v>0</v>
      </c>
    </row>
    <row r="168">
      <c r="A168" s="1"/>
      <c r="B168" s="62" t="str">
        <f>IFERROR(__xludf.DUMMYFUNCTION("""COMPUTED_VALUE"""),"Coco Yan")</f>
        <v>Coco Yan</v>
      </c>
      <c r="C168" s="63">
        <f>IFERROR(__xludf.DUMMYFUNCTION("""COMPUTED_VALUE"""),18.0)</f>
        <v>18</v>
      </c>
      <c r="D168" s="64">
        <f>IFERROR(__xludf.DUMMYFUNCTION("""COMPUTED_VALUE"""),0.0)</f>
        <v>0</v>
      </c>
      <c r="E168" s="63">
        <f>IFERROR(__xludf.DUMMYFUNCTION("""COMPUTED_VALUE"""),3.0)</f>
        <v>3</v>
      </c>
      <c r="F168" s="65">
        <f>IFERROR(__xludf.DUMMYFUNCTION("""COMPUTED_VALUE"""),0.0)</f>
        <v>0</v>
      </c>
      <c r="G168" s="65">
        <f>IFERROR(__xludf.DUMMYFUNCTION("""COMPUTED_VALUE"""),9.0)</f>
        <v>9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IFERROR(__xludf.DUMMYFUNCTION("""COMPUTED_VALUE"""),9.0)</f>
        <v>9</v>
      </c>
      <c r="L168" s="65">
        <f>IFERROR(__xludf.DUMMYFUNCTION("""COMPUTED_VALUE"""),0.0)</f>
        <v>0</v>
      </c>
      <c r="M168" s="65">
        <f>IFERROR(__xludf.DUMMYFUNCTION("""COMPUTED_VALUE"""),27.0)</f>
        <v>27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IFERROR(__xludf.DUMMYFUNCTION("""COMPUTED_VALUE"""),"Jose Ortiz")</f>
        <v>Jose Ortiz</v>
      </c>
      <c r="C169" s="63">
        <f>IFERROR(__xludf.DUMMYFUNCTION("""COMPUTED_VALUE"""),18.0)</f>
        <v>18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IFERROR(__xludf.DUMMYFUNCTION("""COMPUTED_VALUE"""),27.0)</f>
        <v>27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IFERROR(__xludf.DUMMYFUNCTION("""COMPUTED_VALUE"""),"Sandy Weyant")</f>
        <v>Sandy Weyant</v>
      </c>
      <c r="C170" s="63">
        <f>IFERROR(__xludf.DUMMYFUNCTION("""COMPUTED_VALUE"""),16.0)</f>
        <v>16</v>
      </c>
      <c r="D170" s="64">
        <f>IFERROR(__xludf.DUMMYFUNCTION("""COMPUTED_VALUE"""),1.0)</f>
        <v>1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IFERROR(__xludf.DUMMYFUNCTION("""COMPUTED_VALUE"""),25.0)</f>
        <v>25</v>
      </c>
      <c r="N170" s="66">
        <f>IFERROR(__xludf.DUMMYFUNCTION("""COMPUTED_VALUE"""),1.0)</f>
        <v>1</v>
      </c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B201" s="62"/>
      <c r="C201" s="63"/>
      <c r="D201" s="64"/>
      <c r="E201" s="63"/>
      <c r="F201" s="65"/>
      <c r="G201" s="65"/>
      <c r="H201" s="65"/>
      <c r="I201" s="65"/>
      <c r="J201" s="65"/>
      <c r="K201" s="65"/>
      <c r="L201" s="65"/>
      <c r="M201" s="65"/>
      <c r="N201" s="66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  <row r="1029">
      <c r="A1029" s="1"/>
      <c r="C1029" s="1"/>
      <c r="D1029" s="1"/>
      <c r="E1029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0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0" priority="7" operator="containsText" text="Good">
      <formula>NOT(ISERROR(SEARCH(("Good"),(L81))))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45304.0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2.0</v>
      </c>
      <c r="E2" s="1"/>
    </row>
    <row r="3" ht="27.75" customHeight="1">
      <c r="A3" s="1"/>
      <c r="C3" s="15" t="s">
        <v>23</v>
      </c>
      <c r="D3" s="16"/>
      <c r="E3" s="17" t="s">
        <v>24</v>
      </c>
      <c r="F3" s="18"/>
      <c r="G3" s="18"/>
      <c r="H3" s="18"/>
      <c r="I3" s="18"/>
      <c r="J3" s="18"/>
      <c r="K3" s="18"/>
      <c r="L3" s="16"/>
      <c r="M3" s="19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102</v>
      </c>
      <c r="C5" s="77">
        <v>19.0</v>
      </c>
      <c r="D5" s="78">
        <v>3.0</v>
      </c>
      <c r="E5" s="30">
        <v>1.0</v>
      </c>
      <c r="F5" s="31">
        <v>1.0</v>
      </c>
      <c r="G5" s="28">
        <v>0.0</v>
      </c>
      <c r="H5" s="31">
        <v>6.0</v>
      </c>
      <c r="I5" s="31">
        <v>7.0</v>
      </c>
      <c r="J5" s="31">
        <v>4.0</v>
      </c>
      <c r="K5" s="33">
        <v>17.0</v>
      </c>
      <c r="L5" s="31">
        <v>2.0</v>
      </c>
      <c r="M5" s="28">
        <f t="shared" ref="M5:N5" si="1">C5+K5</f>
        <v>36</v>
      </c>
      <c r="N5" s="29">
        <f t="shared" si="1"/>
        <v>5</v>
      </c>
      <c r="O5" s="35" t="s">
        <v>46</v>
      </c>
      <c r="P5" s="35" t="s">
        <v>46</v>
      </c>
      <c r="Q5" s="31">
        <f>if(G5=13,1,0)+VLOOKUP(B5,'010624'!B:Q,16,false)</f>
        <v>0</v>
      </c>
      <c r="R5" s="31"/>
      <c r="S5" s="31">
        <f>if(G5=9,1,0)+VLOOKUP(B5,'010624'!B:S,18,false)</f>
        <v>0</v>
      </c>
    </row>
    <row r="6">
      <c r="A6" s="26">
        <f t="shared" ref="A6:A70" si="3">A5+1</f>
        <v>2</v>
      </c>
      <c r="B6" s="39" t="s">
        <v>80</v>
      </c>
      <c r="C6" s="77">
        <v>19.0</v>
      </c>
      <c r="D6" s="78">
        <v>3.0</v>
      </c>
      <c r="E6" s="30">
        <v>1.0</v>
      </c>
      <c r="F6" s="31">
        <v>1.0</v>
      </c>
      <c r="G6" s="28">
        <v>0.0</v>
      </c>
      <c r="H6" s="31">
        <v>4.0</v>
      </c>
      <c r="I6" s="31">
        <v>6.0</v>
      </c>
      <c r="J6" s="31">
        <v>4.0</v>
      </c>
      <c r="K6" s="33">
        <v>14.0</v>
      </c>
      <c r="L6" s="31">
        <v>0.0</v>
      </c>
      <c r="M6" s="28">
        <f t="shared" ref="M6:N6" si="2">C6+K6</f>
        <v>33</v>
      </c>
      <c r="N6" s="29">
        <f t="shared" si="2"/>
        <v>3</v>
      </c>
      <c r="O6" s="35" t="s">
        <v>46</v>
      </c>
      <c r="P6" s="35" t="s">
        <v>46</v>
      </c>
      <c r="Q6" s="31">
        <f>if(G6=13,1,0)+VLOOKUP(B6,'010624'!B:Q,16,false)</f>
        <v>0</v>
      </c>
      <c r="R6" s="31"/>
      <c r="S6" s="31">
        <f>if(G6=9,1,0)+VLOOKUP(B6,'010624'!B:S,18,false)</f>
        <v>0</v>
      </c>
    </row>
    <row r="7">
      <c r="A7" s="26">
        <f t="shared" si="3"/>
        <v>3</v>
      </c>
      <c r="B7" s="27" t="s">
        <v>65</v>
      </c>
      <c r="C7" s="77">
        <v>18.0</v>
      </c>
      <c r="D7" s="78">
        <v>3.0</v>
      </c>
      <c r="E7" s="30">
        <v>3.0</v>
      </c>
      <c r="F7" s="31">
        <v>0.0</v>
      </c>
      <c r="G7" s="28">
        <v>9.0</v>
      </c>
      <c r="H7" s="31">
        <v>0.0</v>
      </c>
      <c r="I7" s="31">
        <v>0.0</v>
      </c>
      <c r="J7" s="31">
        <v>0.0</v>
      </c>
      <c r="K7" s="33">
        <v>9.0</v>
      </c>
      <c r="L7" s="31">
        <v>0.0</v>
      </c>
      <c r="M7" s="28">
        <f t="shared" ref="M7:N7" si="4">C7+K7</f>
        <v>27</v>
      </c>
      <c r="N7" s="29">
        <f t="shared" si="4"/>
        <v>3</v>
      </c>
      <c r="O7" s="35" t="s">
        <v>46</v>
      </c>
      <c r="P7" s="35" t="s">
        <v>46</v>
      </c>
      <c r="Q7" s="31">
        <f>if(G7=13,1,0)+VLOOKUP(B7,'010624'!B:Q,16,false)</f>
        <v>0</v>
      </c>
      <c r="R7" s="31"/>
      <c r="S7" s="31">
        <f>if(G7=9,1,0)+VLOOKUP(B7,'010624'!B:S,18,false)</f>
        <v>1</v>
      </c>
    </row>
    <row r="8">
      <c r="A8" s="26">
        <f t="shared" si="3"/>
        <v>4</v>
      </c>
      <c r="B8" s="39" t="s">
        <v>52</v>
      </c>
      <c r="C8" s="77">
        <v>18.0</v>
      </c>
      <c r="D8" s="78">
        <v>3.0</v>
      </c>
      <c r="E8" s="30">
        <v>1.0</v>
      </c>
      <c r="F8" s="31">
        <v>1.0</v>
      </c>
      <c r="G8" s="28">
        <v>0.0</v>
      </c>
      <c r="H8" s="31">
        <v>6.0</v>
      </c>
      <c r="I8" s="31">
        <v>6.0</v>
      </c>
      <c r="J8" s="31">
        <v>6.0</v>
      </c>
      <c r="K8" s="33">
        <v>18.0</v>
      </c>
      <c r="L8" s="31">
        <v>2.0</v>
      </c>
      <c r="M8" s="28">
        <f t="shared" ref="M8:N8" si="5">C8+K8</f>
        <v>36</v>
      </c>
      <c r="N8" s="29">
        <f t="shared" si="5"/>
        <v>5</v>
      </c>
      <c r="O8" s="35" t="s">
        <v>46</v>
      </c>
      <c r="P8" s="35" t="s">
        <v>46</v>
      </c>
      <c r="Q8" s="31">
        <f>if(G8=13,1,0)+VLOOKUP(B8,'010624'!B:Q,16,false)</f>
        <v>0</v>
      </c>
      <c r="R8" s="31"/>
      <c r="S8" s="31">
        <f>if(G8=9,1,0)+VLOOKUP(B8,'010624'!B:S,18,false)</f>
        <v>0</v>
      </c>
    </row>
    <row r="9">
      <c r="A9" s="26">
        <f t="shared" si="3"/>
        <v>5</v>
      </c>
      <c r="B9" s="27" t="s">
        <v>39</v>
      </c>
      <c r="C9" s="77">
        <v>17.0</v>
      </c>
      <c r="D9" s="78">
        <v>2.0</v>
      </c>
      <c r="E9" s="30">
        <v>1.0</v>
      </c>
      <c r="F9" s="31">
        <v>1.0</v>
      </c>
      <c r="G9" s="28">
        <v>0.0</v>
      </c>
      <c r="H9" s="31">
        <v>4.0</v>
      </c>
      <c r="I9" s="31">
        <v>7.0</v>
      </c>
      <c r="J9" s="31">
        <v>6.0</v>
      </c>
      <c r="K9" s="33">
        <v>17.0</v>
      </c>
      <c r="L9" s="31">
        <v>2.0</v>
      </c>
      <c r="M9" s="28">
        <f t="shared" ref="M9:N9" si="6">C9+K9</f>
        <v>34</v>
      </c>
      <c r="N9" s="29">
        <f t="shared" si="6"/>
        <v>4</v>
      </c>
      <c r="O9" s="35" t="s">
        <v>46</v>
      </c>
      <c r="P9" s="35" t="s">
        <v>46</v>
      </c>
      <c r="Q9" s="31">
        <f>if(G9=13,1,0)+VLOOKUP(B9,'010624'!B:Q,16,false)</f>
        <v>0</v>
      </c>
      <c r="R9" s="31"/>
      <c r="S9" s="31">
        <f>if(G9=9,1,0)+VLOOKUP(B9,'010624'!B:S,18,false)</f>
        <v>0</v>
      </c>
    </row>
    <row r="10">
      <c r="A10" s="26">
        <f t="shared" si="3"/>
        <v>6</v>
      </c>
      <c r="B10" s="27" t="s">
        <v>77</v>
      </c>
      <c r="C10" s="77">
        <v>17.0</v>
      </c>
      <c r="D10" s="78">
        <v>2.0</v>
      </c>
      <c r="E10" s="30">
        <v>5.0</v>
      </c>
      <c r="F10" s="31">
        <v>0.0</v>
      </c>
      <c r="G10" s="28">
        <v>13.0</v>
      </c>
      <c r="H10" s="31">
        <v>0.0</v>
      </c>
      <c r="I10" s="31">
        <v>0.0</v>
      </c>
      <c r="J10" s="31">
        <v>0.0</v>
      </c>
      <c r="K10" s="33">
        <v>13.0</v>
      </c>
      <c r="L10" s="31">
        <v>0.0</v>
      </c>
      <c r="M10" s="28">
        <f t="shared" ref="M10:N10" si="7">C10+K10</f>
        <v>30</v>
      </c>
      <c r="N10" s="29">
        <f t="shared" si="7"/>
        <v>2</v>
      </c>
      <c r="O10" s="35" t="s">
        <v>46</v>
      </c>
      <c r="P10" s="35" t="s">
        <v>46</v>
      </c>
      <c r="Q10" s="31">
        <f>if(G10=13,1,0)+VLOOKUP(B10,'010624'!B:Q,16,false)</f>
        <v>1</v>
      </c>
      <c r="R10" s="31"/>
      <c r="S10" s="31">
        <f>if(G10=9,1,0)+VLOOKUP(B10,'010624'!B:S,18,false)</f>
        <v>0</v>
      </c>
    </row>
    <row r="11">
      <c r="A11" s="26">
        <f t="shared" si="3"/>
        <v>7</v>
      </c>
      <c r="B11" s="27" t="s">
        <v>96</v>
      </c>
      <c r="C11" s="77">
        <v>17.0</v>
      </c>
      <c r="D11" s="78">
        <v>2.0</v>
      </c>
      <c r="E11" s="30">
        <v>5.0</v>
      </c>
      <c r="F11" s="31">
        <v>0.0</v>
      </c>
      <c r="G11" s="28">
        <v>13.0</v>
      </c>
      <c r="H11" s="31">
        <v>0.0</v>
      </c>
      <c r="I11" s="31">
        <v>0.0</v>
      </c>
      <c r="J11" s="31">
        <v>0.0</v>
      </c>
      <c r="K11" s="33">
        <v>13.0</v>
      </c>
      <c r="L11" s="31">
        <v>0.0</v>
      </c>
      <c r="M11" s="28">
        <f t="shared" ref="M11:N11" si="8">C11+K11</f>
        <v>30</v>
      </c>
      <c r="N11" s="29">
        <f t="shared" si="8"/>
        <v>2</v>
      </c>
      <c r="O11" s="35" t="s">
        <v>46</v>
      </c>
      <c r="P11" s="35" t="s">
        <v>46</v>
      </c>
      <c r="Q11" s="31">
        <f>if(G11=13,1,0)+VLOOKUP(B11,'010624'!B:Q,16,false)</f>
        <v>1</v>
      </c>
      <c r="R11" s="31"/>
      <c r="S11" s="31">
        <f>if(G11=9,1,0)+VLOOKUP(B11,'010624'!B:S,18,false)</f>
        <v>0</v>
      </c>
    </row>
    <row r="12">
      <c r="A12" s="26">
        <f t="shared" si="3"/>
        <v>8</v>
      </c>
      <c r="B12" s="27" t="s">
        <v>42</v>
      </c>
      <c r="C12" s="77">
        <v>17.0</v>
      </c>
      <c r="D12" s="78">
        <v>2.0</v>
      </c>
      <c r="E12" s="30">
        <v>1.0</v>
      </c>
      <c r="F12" s="31">
        <v>2.0</v>
      </c>
      <c r="G12" s="28">
        <v>0.0</v>
      </c>
      <c r="H12" s="31">
        <v>2.0</v>
      </c>
      <c r="I12" s="31">
        <v>6.0</v>
      </c>
      <c r="J12" s="31">
        <v>4.0</v>
      </c>
      <c r="K12" s="33">
        <v>12.0</v>
      </c>
      <c r="L12" s="31">
        <v>1.0</v>
      </c>
      <c r="M12" s="28">
        <f t="shared" ref="M12:N12" si="9">C12+K12</f>
        <v>29</v>
      </c>
      <c r="N12" s="29">
        <f t="shared" si="9"/>
        <v>3</v>
      </c>
      <c r="O12" s="35" t="s">
        <v>46</v>
      </c>
      <c r="P12" s="35" t="s">
        <v>46</v>
      </c>
      <c r="Q12" s="31">
        <f>if(G12=13,1,0)+VLOOKUP(B12,'010624'!B:Q,16,false)</f>
        <v>0</v>
      </c>
      <c r="R12" s="31"/>
      <c r="S12" s="31">
        <f>if(G12=9,1,0)+VLOOKUP(B12,'010624'!B:S,18,false)</f>
        <v>0</v>
      </c>
    </row>
    <row r="13">
      <c r="A13" s="26">
        <f t="shared" si="3"/>
        <v>9</v>
      </c>
      <c r="B13" s="27" t="s">
        <v>98</v>
      </c>
      <c r="C13" s="77">
        <v>17.0</v>
      </c>
      <c r="D13" s="78">
        <v>2.0</v>
      </c>
      <c r="E13" s="30">
        <v>1.0</v>
      </c>
      <c r="F13" s="31">
        <v>2.0</v>
      </c>
      <c r="G13" s="28">
        <v>0.0</v>
      </c>
      <c r="H13" s="31">
        <v>6.0</v>
      </c>
      <c r="I13" s="31">
        <v>6.0</v>
      </c>
      <c r="J13" s="31">
        <v>6.0</v>
      </c>
      <c r="K13" s="33">
        <v>18.0</v>
      </c>
      <c r="L13" s="31">
        <v>3.0</v>
      </c>
      <c r="M13" s="28">
        <f t="shared" ref="M13:N13" si="10">C13+K13</f>
        <v>35</v>
      </c>
      <c r="N13" s="29">
        <f t="shared" si="10"/>
        <v>5</v>
      </c>
      <c r="O13" s="35" t="s">
        <v>46</v>
      </c>
      <c r="P13" s="35" t="s">
        <v>46</v>
      </c>
      <c r="Q13" s="31">
        <f>if(G13=13,1,0)+VLOOKUP(B13,'010624'!B:Q,16,false)</f>
        <v>0</v>
      </c>
      <c r="R13" s="31"/>
      <c r="S13" s="31">
        <f>if(G13=9,1,0)+VLOOKUP(B13,'010624'!B:S,18,false)</f>
        <v>0</v>
      </c>
    </row>
    <row r="14">
      <c r="A14" s="26">
        <f t="shared" si="3"/>
        <v>10</v>
      </c>
      <c r="B14" s="54" t="s">
        <v>116</v>
      </c>
      <c r="C14" s="77">
        <v>16.0</v>
      </c>
      <c r="D14" s="29">
        <v>2.0</v>
      </c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f t="shared" ref="M14:N14" si="11">C14+K14</f>
        <v>25</v>
      </c>
      <c r="N14" s="29">
        <f t="shared" si="11"/>
        <v>2</v>
      </c>
      <c r="O14" s="35" t="s">
        <v>46</v>
      </c>
      <c r="P14" s="35" t="s">
        <v>46</v>
      </c>
      <c r="Q14" s="31">
        <f>if(G14=13,1,0)+VLOOKUP(B14,'010624'!B:Q,16,false)</f>
        <v>0</v>
      </c>
      <c r="R14" s="31"/>
      <c r="S14" s="31">
        <f>if(G14=9,1,0)+VLOOKUP(B14,'010624'!B:S,18,false)</f>
        <v>1</v>
      </c>
    </row>
    <row r="15">
      <c r="A15" s="26">
        <f t="shared" si="3"/>
        <v>11</v>
      </c>
      <c r="B15" s="39" t="s">
        <v>119</v>
      </c>
      <c r="C15" s="77">
        <v>15.0</v>
      </c>
      <c r="D15" s="78">
        <v>2.0</v>
      </c>
      <c r="E15" s="30">
        <v>3.0</v>
      </c>
      <c r="F15" s="31">
        <v>0.0</v>
      </c>
      <c r="G15" s="28">
        <v>9.0</v>
      </c>
      <c r="H15" s="31">
        <v>0.0</v>
      </c>
      <c r="I15" s="31">
        <v>0.0</v>
      </c>
      <c r="J15" s="31">
        <v>0.0</v>
      </c>
      <c r="K15" s="33">
        <v>9.0</v>
      </c>
      <c r="L15" s="31">
        <v>0.0</v>
      </c>
      <c r="M15" s="28">
        <f t="shared" ref="M15:N15" si="12">C15+K15</f>
        <v>24</v>
      </c>
      <c r="N15" s="29">
        <f t="shared" si="12"/>
        <v>2</v>
      </c>
      <c r="O15" s="35" t="s">
        <v>46</v>
      </c>
      <c r="P15" s="35" t="s">
        <v>46</v>
      </c>
      <c r="Q15" s="31">
        <f>if(G15=13,1,0)+VLOOKUP(B15,'010624'!B:Q,16,false)</f>
        <v>0</v>
      </c>
      <c r="R15" s="31"/>
      <c r="S15" s="31">
        <f>if(G15=9,1,0)+VLOOKUP(B15,'010624'!B:S,18,false)</f>
        <v>1</v>
      </c>
    </row>
    <row r="16">
      <c r="A16" s="26">
        <f t="shared" si="3"/>
        <v>12</v>
      </c>
      <c r="B16" s="27" t="s">
        <v>63</v>
      </c>
      <c r="C16" s="77">
        <v>15.0</v>
      </c>
      <c r="D16" s="78">
        <v>1.0</v>
      </c>
      <c r="E16" s="30">
        <v>1.0</v>
      </c>
      <c r="F16" s="31">
        <v>2.0</v>
      </c>
      <c r="G16" s="28">
        <v>0.0</v>
      </c>
      <c r="H16" s="31">
        <v>2.0</v>
      </c>
      <c r="I16" s="31">
        <v>2.0</v>
      </c>
      <c r="J16" s="31">
        <v>6.0</v>
      </c>
      <c r="K16" s="33">
        <v>10.0</v>
      </c>
      <c r="L16" s="31">
        <v>1.0</v>
      </c>
      <c r="M16" s="28">
        <f t="shared" ref="M16:N16" si="13">C16+K16</f>
        <v>25</v>
      </c>
      <c r="N16" s="29">
        <f t="shared" si="13"/>
        <v>2</v>
      </c>
      <c r="O16" s="35" t="s">
        <v>46</v>
      </c>
      <c r="P16" s="35" t="s">
        <v>46</v>
      </c>
      <c r="Q16" s="31">
        <f>if(G16=13,1,0)+VLOOKUP(B16,'010624'!B:Q,16,false)</f>
        <v>0</v>
      </c>
      <c r="R16" s="31"/>
      <c r="S16" s="31">
        <f>if(G16=9,1,0)+VLOOKUP(B16,'010624'!B:S,18,false)</f>
        <v>0</v>
      </c>
    </row>
    <row r="17">
      <c r="A17" s="26">
        <f t="shared" si="3"/>
        <v>13</v>
      </c>
      <c r="B17" s="27" t="s">
        <v>79</v>
      </c>
      <c r="C17" s="77">
        <v>15.0</v>
      </c>
      <c r="D17" s="78">
        <v>1.0</v>
      </c>
      <c r="E17" s="30">
        <v>1.0</v>
      </c>
      <c r="F17" s="31">
        <v>2.0</v>
      </c>
      <c r="G17" s="28">
        <v>0.0</v>
      </c>
      <c r="H17" s="31">
        <v>6.0</v>
      </c>
      <c r="I17" s="31">
        <v>2.0</v>
      </c>
      <c r="J17" s="31">
        <v>4.0</v>
      </c>
      <c r="K17" s="33">
        <v>12.0</v>
      </c>
      <c r="L17" s="31">
        <v>1.0</v>
      </c>
      <c r="M17" s="28">
        <f t="shared" ref="M17:N17" si="14">C17+K17</f>
        <v>27</v>
      </c>
      <c r="N17" s="29">
        <f t="shared" si="14"/>
        <v>2</v>
      </c>
      <c r="O17" s="35" t="s">
        <v>46</v>
      </c>
      <c r="P17" s="35" t="s">
        <v>46</v>
      </c>
      <c r="Q17" s="31">
        <f>if(G17=13,1,0)+VLOOKUP(B17,'010624'!B:Q,16,false)</f>
        <v>0</v>
      </c>
      <c r="R17" s="31"/>
      <c r="S17" s="31">
        <f>if(G17=9,1,0)+VLOOKUP(B17,'010624'!B:S,18,false)</f>
        <v>0</v>
      </c>
    </row>
    <row r="18">
      <c r="A18" s="26">
        <f t="shared" si="3"/>
        <v>14</v>
      </c>
      <c r="B18" s="27" t="s">
        <v>83</v>
      </c>
      <c r="C18" s="77">
        <v>15.0</v>
      </c>
      <c r="D18" s="78">
        <v>1.0</v>
      </c>
      <c r="E18" s="30">
        <v>5.0</v>
      </c>
      <c r="F18" s="31">
        <v>0.0</v>
      </c>
      <c r="G18" s="28">
        <v>13.0</v>
      </c>
      <c r="H18" s="31">
        <v>0.0</v>
      </c>
      <c r="I18" s="31">
        <v>0.0</v>
      </c>
      <c r="J18" s="31">
        <v>0.0</v>
      </c>
      <c r="K18" s="33">
        <v>13.0</v>
      </c>
      <c r="L18" s="31">
        <v>0.0</v>
      </c>
      <c r="M18" s="28">
        <f t="shared" ref="M18:N18" si="15">C18+K18</f>
        <v>28</v>
      </c>
      <c r="N18" s="29">
        <f t="shared" si="15"/>
        <v>1</v>
      </c>
      <c r="O18" s="35" t="s">
        <v>46</v>
      </c>
      <c r="P18" s="35" t="s">
        <v>46</v>
      </c>
      <c r="Q18" s="31">
        <f>if(G18=13,1,0)+VLOOKUP(B18,'010624'!B:Q,16,false)</f>
        <v>1</v>
      </c>
      <c r="R18" s="31"/>
      <c r="S18" s="31">
        <f>if(G18=9,1,0)+VLOOKUP(B18,'010624'!B:S,18,false)</f>
        <v>0</v>
      </c>
    </row>
    <row r="19">
      <c r="A19" s="26">
        <f t="shared" si="3"/>
        <v>15</v>
      </c>
      <c r="B19" s="39" t="s">
        <v>50</v>
      </c>
      <c r="C19" s="77">
        <v>14.0</v>
      </c>
      <c r="D19" s="78">
        <v>2.0</v>
      </c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f t="shared" ref="M19:N19" si="16">C19+K19</f>
        <v>23</v>
      </c>
      <c r="N19" s="29">
        <f t="shared" si="16"/>
        <v>2</v>
      </c>
      <c r="O19" s="35" t="s">
        <v>46</v>
      </c>
      <c r="P19" s="35" t="s">
        <v>46</v>
      </c>
      <c r="Q19" s="31">
        <f>if(G19=13,1,0)+VLOOKUP(B19,'010624'!B:Q,16,false)</f>
        <v>0</v>
      </c>
      <c r="R19" s="31"/>
      <c r="S19" s="31">
        <f>if(G19=9,1,0)+VLOOKUP(B19,'010624'!B:S,18,false)</f>
        <v>1</v>
      </c>
    </row>
    <row r="20">
      <c r="A20" s="26">
        <f t="shared" si="3"/>
        <v>16</v>
      </c>
      <c r="B20" s="27" t="s">
        <v>75</v>
      </c>
      <c r="C20" s="77">
        <v>14.0</v>
      </c>
      <c r="D20" s="78">
        <v>1.0</v>
      </c>
      <c r="E20" s="30">
        <v>1.0</v>
      </c>
      <c r="F20" s="31">
        <v>3.0</v>
      </c>
      <c r="G20" s="28">
        <v>0.0</v>
      </c>
      <c r="H20" s="31">
        <v>7.0</v>
      </c>
      <c r="I20" s="31">
        <v>6.0</v>
      </c>
      <c r="J20" s="31">
        <v>2.0</v>
      </c>
      <c r="K20" s="33">
        <v>15.0</v>
      </c>
      <c r="L20" s="31">
        <v>2.0</v>
      </c>
      <c r="M20" s="28">
        <f t="shared" ref="M20:N20" si="17">C20+K20</f>
        <v>29</v>
      </c>
      <c r="N20" s="29">
        <f t="shared" si="17"/>
        <v>3</v>
      </c>
      <c r="O20" s="35" t="s">
        <v>46</v>
      </c>
      <c r="P20" s="35" t="s">
        <v>46</v>
      </c>
      <c r="Q20" s="31">
        <f>if(G20=13,1,0)+VLOOKUP(B20,'010624'!B:Q,16,false)</f>
        <v>0</v>
      </c>
      <c r="R20" s="31"/>
      <c r="S20" s="31">
        <f>if(G20=9,1,0)+VLOOKUP(B20,'010624'!B:S,18,false)</f>
        <v>0</v>
      </c>
    </row>
    <row r="21">
      <c r="A21" s="26">
        <f t="shared" si="3"/>
        <v>17</v>
      </c>
      <c r="B21" s="54" t="s">
        <v>108</v>
      </c>
      <c r="C21" s="77">
        <v>14.0</v>
      </c>
      <c r="D21" s="29">
        <v>2.0</v>
      </c>
      <c r="E21" s="30">
        <v>1.0</v>
      </c>
      <c r="F21" s="31">
        <v>3.0</v>
      </c>
      <c r="G21" s="28">
        <v>0.0</v>
      </c>
      <c r="H21" s="31">
        <v>6.0</v>
      </c>
      <c r="I21" s="31">
        <v>1.0</v>
      </c>
      <c r="J21" s="31">
        <v>2.0</v>
      </c>
      <c r="K21" s="33">
        <v>9.0</v>
      </c>
      <c r="L21" s="31">
        <v>0.0</v>
      </c>
      <c r="M21" s="28">
        <f t="shared" ref="M21:N21" si="18">C21+K21</f>
        <v>23</v>
      </c>
      <c r="N21" s="29">
        <f t="shared" si="18"/>
        <v>2</v>
      </c>
      <c r="O21" s="35" t="s">
        <v>46</v>
      </c>
      <c r="P21" s="35" t="s">
        <v>46</v>
      </c>
      <c r="Q21" s="31">
        <f>if(G21=13,1,0)+VLOOKUP(B21,'010624'!B:Q,16,false)</f>
        <v>0</v>
      </c>
      <c r="R21" s="31"/>
      <c r="S21" s="31">
        <f>if(G21=9,1,0)+VLOOKUP(B21,'010624'!B:S,18,false)</f>
        <v>0</v>
      </c>
    </row>
    <row r="22">
      <c r="A22" s="26">
        <f t="shared" si="3"/>
        <v>18</v>
      </c>
      <c r="B22" s="27" t="s">
        <v>81</v>
      </c>
      <c r="C22" s="77">
        <v>13.0</v>
      </c>
      <c r="D22" s="78">
        <v>2.0</v>
      </c>
      <c r="E22" s="30">
        <v>1.0</v>
      </c>
      <c r="F22" s="31">
        <v>3.0</v>
      </c>
      <c r="G22" s="28">
        <v>0.0</v>
      </c>
      <c r="H22" s="31">
        <v>6.0</v>
      </c>
      <c r="I22" s="31">
        <v>6.0</v>
      </c>
      <c r="J22" s="31">
        <v>6.0</v>
      </c>
      <c r="K22" s="33">
        <v>18.0</v>
      </c>
      <c r="L22" s="31">
        <v>2.0</v>
      </c>
      <c r="M22" s="28">
        <f t="shared" ref="M22:N22" si="19">C22+K22</f>
        <v>31</v>
      </c>
      <c r="N22" s="29">
        <f t="shared" si="19"/>
        <v>4</v>
      </c>
      <c r="O22" s="35" t="s">
        <v>46</v>
      </c>
      <c r="P22" s="35" t="s">
        <v>46</v>
      </c>
      <c r="Q22" s="31">
        <f>if(G22=13,1,0)+VLOOKUP(B22,'010624'!B:Q,16,false)</f>
        <v>0</v>
      </c>
      <c r="R22" s="31"/>
      <c r="S22" s="31">
        <f>if(G22=9,1,0)+VLOOKUP(B22,'010624'!B:S,18,false)</f>
        <v>0</v>
      </c>
    </row>
    <row r="23">
      <c r="A23" s="26">
        <f t="shared" si="3"/>
        <v>19</v>
      </c>
      <c r="B23" s="27" t="s">
        <v>78</v>
      </c>
      <c r="C23" s="77">
        <v>13.0</v>
      </c>
      <c r="D23" s="78">
        <v>2.0</v>
      </c>
      <c r="E23" s="30">
        <v>1.0</v>
      </c>
      <c r="F23" s="31">
        <v>3.0</v>
      </c>
      <c r="G23" s="28">
        <v>0.0</v>
      </c>
      <c r="H23" s="31">
        <v>7.0</v>
      </c>
      <c r="I23" s="31">
        <v>1.0</v>
      </c>
      <c r="J23" s="31">
        <v>6.0</v>
      </c>
      <c r="K23" s="33">
        <v>14.0</v>
      </c>
      <c r="L23" s="31">
        <v>2.0</v>
      </c>
      <c r="M23" s="28">
        <f t="shared" ref="M23:N23" si="20">C23+K23</f>
        <v>27</v>
      </c>
      <c r="N23" s="29">
        <f t="shared" si="20"/>
        <v>4</v>
      </c>
      <c r="O23" s="35" t="s">
        <v>46</v>
      </c>
      <c r="P23" s="35" t="s">
        <v>46</v>
      </c>
      <c r="Q23" s="31">
        <f>if(G23=13,1,0)+VLOOKUP(B23,'010624'!B:Q,16,false)</f>
        <v>0</v>
      </c>
      <c r="R23" s="31"/>
      <c r="S23" s="31">
        <f>if(G23=9,1,0)+VLOOKUP(B23,'010624'!B:S,18,false)</f>
        <v>0</v>
      </c>
    </row>
    <row r="24">
      <c r="A24" s="26">
        <f t="shared" si="3"/>
        <v>20</v>
      </c>
      <c r="B24" s="39" t="s">
        <v>45</v>
      </c>
      <c r="C24" s="77">
        <v>13.0</v>
      </c>
      <c r="D24" s="78">
        <v>2.0</v>
      </c>
      <c r="E24" s="30">
        <v>5.0</v>
      </c>
      <c r="F24" s="31">
        <v>0.0</v>
      </c>
      <c r="G24" s="28">
        <v>13.0</v>
      </c>
      <c r="H24" s="31">
        <v>0.0</v>
      </c>
      <c r="I24" s="31">
        <v>0.0</v>
      </c>
      <c r="J24" s="31">
        <v>0.0</v>
      </c>
      <c r="K24" s="33">
        <v>13.0</v>
      </c>
      <c r="L24" s="31">
        <v>0.0</v>
      </c>
      <c r="M24" s="28">
        <f t="shared" ref="M24:N24" si="21">C24+K24</f>
        <v>26</v>
      </c>
      <c r="N24" s="29">
        <f t="shared" si="21"/>
        <v>2</v>
      </c>
      <c r="O24" s="35" t="s">
        <v>46</v>
      </c>
      <c r="P24" s="35" t="s">
        <v>46</v>
      </c>
      <c r="Q24" s="31">
        <f>if(G24=13,1,0)+VLOOKUP(B24,'010624'!B:Q,16,false)</f>
        <v>1</v>
      </c>
      <c r="R24" s="31"/>
      <c r="S24" s="31">
        <f>if(G24=9,1,0)+VLOOKUP(B24,'010624'!B:S,18,false)</f>
        <v>0</v>
      </c>
    </row>
    <row r="25">
      <c r="A25" s="26">
        <f t="shared" si="3"/>
        <v>21</v>
      </c>
      <c r="B25" s="27" t="s">
        <v>48</v>
      </c>
      <c r="C25" s="77">
        <v>13.0</v>
      </c>
      <c r="D25" s="78">
        <v>0.0</v>
      </c>
      <c r="E25" s="30">
        <v>5.0</v>
      </c>
      <c r="F25" s="31">
        <v>0.0</v>
      </c>
      <c r="G25" s="28">
        <v>13.0</v>
      </c>
      <c r="H25" s="31">
        <v>0.0</v>
      </c>
      <c r="I25" s="31">
        <v>0.0</v>
      </c>
      <c r="J25" s="31">
        <v>0.0</v>
      </c>
      <c r="K25" s="33">
        <v>13.0</v>
      </c>
      <c r="L25" s="31">
        <v>0.0</v>
      </c>
      <c r="M25" s="28">
        <f t="shared" ref="M25:N25" si="22">C25+K25</f>
        <v>26</v>
      </c>
      <c r="N25" s="29">
        <f t="shared" si="22"/>
        <v>0</v>
      </c>
      <c r="O25" s="35" t="s">
        <v>46</v>
      </c>
      <c r="P25" s="35" t="s">
        <v>46</v>
      </c>
      <c r="Q25" s="31">
        <f>if(G25=13,1,0)+VLOOKUP(B25,'010624'!B:Q,16,false)</f>
        <v>2</v>
      </c>
      <c r="R25" s="31"/>
      <c r="S25" s="31">
        <f>if(G25=9,1,0)+VLOOKUP(B25,'010624'!B:S,18,false)</f>
        <v>0</v>
      </c>
    </row>
    <row r="26">
      <c r="A26" s="26">
        <f t="shared" si="3"/>
        <v>22</v>
      </c>
      <c r="B26" s="27" t="s">
        <v>107</v>
      </c>
      <c r="C26" s="77">
        <v>13.0</v>
      </c>
      <c r="D26" s="78">
        <v>0.0</v>
      </c>
      <c r="E26" s="30">
        <v>5.0</v>
      </c>
      <c r="F26" s="31">
        <v>0.0</v>
      </c>
      <c r="G26" s="28">
        <v>13.0</v>
      </c>
      <c r="H26" s="31">
        <v>0.0</v>
      </c>
      <c r="I26" s="31">
        <v>0.0</v>
      </c>
      <c r="J26" s="31">
        <v>0.0</v>
      </c>
      <c r="K26" s="33">
        <v>13.0</v>
      </c>
      <c r="L26" s="31">
        <v>0.0</v>
      </c>
      <c r="M26" s="28">
        <f t="shared" ref="M26:N26" si="23">C26+K26</f>
        <v>26</v>
      </c>
      <c r="N26" s="29">
        <f t="shared" si="23"/>
        <v>0</v>
      </c>
      <c r="O26" s="35" t="s">
        <v>46</v>
      </c>
      <c r="P26" s="35" t="s">
        <v>46</v>
      </c>
      <c r="Q26" s="31">
        <f>if(G26=13,1,0)+VLOOKUP(B26,'010624'!B:Q,16,false)</f>
        <v>2</v>
      </c>
      <c r="R26" s="31"/>
      <c r="S26" s="31">
        <f>if(G26=9,1,0)+VLOOKUP(B26,'010624'!B:S,18,false)</f>
        <v>0</v>
      </c>
    </row>
    <row r="27">
      <c r="A27" s="26">
        <f t="shared" si="3"/>
        <v>23</v>
      </c>
      <c r="B27" s="27" t="s">
        <v>61</v>
      </c>
      <c r="C27" s="77">
        <v>13.0</v>
      </c>
      <c r="D27" s="78">
        <v>0.0</v>
      </c>
      <c r="E27" s="30">
        <v>3.0</v>
      </c>
      <c r="F27" s="31">
        <v>0.0</v>
      </c>
      <c r="G27" s="28">
        <v>9.0</v>
      </c>
      <c r="H27" s="31">
        <v>0.0</v>
      </c>
      <c r="I27" s="31">
        <v>0.0</v>
      </c>
      <c r="J27" s="31">
        <v>0.0</v>
      </c>
      <c r="K27" s="33">
        <v>9.0</v>
      </c>
      <c r="L27" s="31">
        <v>0.0</v>
      </c>
      <c r="M27" s="28">
        <f t="shared" ref="M27:N27" si="24">C27+K27</f>
        <v>22</v>
      </c>
      <c r="N27" s="29">
        <f t="shared" si="24"/>
        <v>0</v>
      </c>
      <c r="O27" s="35" t="s">
        <v>46</v>
      </c>
      <c r="P27" s="35" t="s">
        <v>46</v>
      </c>
      <c r="Q27" s="31">
        <f>if(G27=13,1,0)+VLOOKUP(B27,'010624'!B:Q,16,false)</f>
        <v>1</v>
      </c>
      <c r="R27" s="31"/>
      <c r="S27" s="31">
        <f>if(G27=9,1,0)+VLOOKUP(B27,'010624'!B:S,18,false)</f>
        <v>1</v>
      </c>
    </row>
    <row r="28">
      <c r="A28" s="26">
        <f t="shared" si="3"/>
        <v>24</v>
      </c>
      <c r="B28" s="27" t="s">
        <v>68</v>
      </c>
      <c r="C28" s="77">
        <v>13.0</v>
      </c>
      <c r="D28" s="78">
        <v>0.0</v>
      </c>
      <c r="E28" s="30">
        <v>5.0</v>
      </c>
      <c r="F28" s="31">
        <v>0.0</v>
      </c>
      <c r="G28" s="28">
        <v>13.0</v>
      </c>
      <c r="H28" s="31">
        <v>0.0</v>
      </c>
      <c r="I28" s="31">
        <v>0.0</v>
      </c>
      <c r="J28" s="31">
        <v>0.0</v>
      </c>
      <c r="K28" s="33">
        <v>13.0</v>
      </c>
      <c r="L28" s="31">
        <v>0.0</v>
      </c>
      <c r="M28" s="28">
        <f t="shared" ref="M28:N28" si="25">C28+K28</f>
        <v>26</v>
      </c>
      <c r="N28" s="29">
        <f t="shared" si="25"/>
        <v>0</v>
      </c>
      <c r="O28" s="35" t="s">
        <v>46</v>
      </c>
      <c r="P28" s="35" t="s">
        <v>46</v>
      </c>
      <c r="Q28" s="31">
        <f>if(G28=13,1,0)+VLOOKUP(B28,'010624'!B:Q,16,false)</f>
        <v>2</v>
      </c>
      <c r="R28" s="31"/>
      <c r="S28" s="31">
        <f>if(G28=9,1,0)+VLOOKUP(B28,'010624'!B:S,18,false)</f>
        <v>0</v>
      </c>
    </row>
    <row r="29">
      <c r="A29" s="26">
        <f t="shared" si="3"/>
        <v>25</v>
      </c>
      <c r="B29" s="27" t="s">
        <v>118</v>
      </c>
      <c r="C29" s="77">
        <v>13.0</v>
      </c>
      <c r="D29" s="78">
        <v>0.0</v>
      </c>
      <c r="E29" s="30">
        <v>5.0</v>
      </c>
      <c r="F29" s="31">
        <v>0.0</v>
      </c>
      <c r="G29" s="28">
        <v>13.0</v>
      </c>
      <c r="H29" s="31">
        <v>0.0</v>
      </c>
      <c r="I29" s="31">
        <v>0.0</v>
      </c>
      <c r="J29" s="31">
        <v>0.0</v>
      </c>
      <c r="K29" s="33">
        <v>13.0</v>
      </c>
      <c r="L29" s="31">
        <v>0.0</v>
      </c>
      <c r="M29" s="28">
        <f t="shared" ref="M29:N29" si="26">C29+K29</f>
        <v>26</v>
      </c>
      <c r="N29" s="29">
        <f t="shared" si="26"/>
        <v>0</v>
      </c>
      <c r="O29" s="35" t="s">
        <v>46</v>
      </c>
      <c r="P29" s="35" t="s">
        <v>46</v>
      </c>
      <c r="Q29" s="31">
        <f>if(G29=13,1,0)+VLOOKUP(B29,'010624'!B:Q,16,false)</f>
        <v>2</v>
      </c>
      <c r="R29" s="31"/>
      <c r="S29" s="31">
        <f>if(G29=9,1,0)+VLOOKUP(B29,'010624'!B:S,18,false)</f>
        <v>0</v>
      </c>
    </row>
    <row r="30">
      <c r="A30" s="26">
        <f t="shared" si="3"/>
        <v>26</v>
      </c>
      <c r="B30" s="27" t="s">
        <v>109</v>
      </c>
      <c r="C30" s="77">
        <v>13.0</v>
      </c>
      <c r="D30" s="78">
        <v>0.0</v>
      </c>
      <c r="E30" s="30">
        <v>5.0</v>
      </c>
      <c r="F30" s="31">
        <v>0.0</v>
      </c>
      <c r="G30" s="28">
        <v>13.0</v>
      </c>
      <c r="H30" s="31">
        <v>0.0</v>
      </c>
      <c r="I30" s="31">
        <v>0.0</v>
      </c>
      <c r="J30" s="31">
        <v>0.0</v>
      </c>
      <c r="K30" s="33">
        <v>13.0</v>
      </c>
      <c r="L30" s="31">
        <v>0.0</v>
      </c>
      <c r="M30" s="28">
        <f t="shared" ref="M30:N30" si="27">C30+K30</f>
        <v>26</v>
      </c>
      <c r="N30" s="29">
        <f t="shared" si="27"/>
        <v>0</v>
      </c>
      <c r="O30" s="35" t="s">
        <v>46</v>
      </c>
      <c r="P30" s="35" t="s">
        <v>46</v>
      </c>
      <c r="Q30" s="31">
        <f>if(G30=13,1,0)+VLOOKUP(B30,'010624'!B:Q,16,false)</f>
        <v>2</v>
      </c>
      <c r="R30" s="31"/>
      <c r="S30" s="31">
        <f>if(G30=9,1,0)+VLOOKUP(B30,'010624'!B:S,18,false)</f>
        <v>0</v>
      </c>
    </row>
    <row r="31">
      <c r="A31" s="26">
        <f t="shared" si="3"/>
        <v>27</v>
      </c>
      <c r="B31" s="27" t="s">
        <v>120</v>
      </c>
      <c r="C31" s="77">
        <v>13.0</v>
      </c>
      <c r="D31" s="78">
        <v>0.0</v>
      </c>
      <c r="E31" s="30">
        <v>1.0</v>
      </c>
      <c r="F31" s="31">
        <v>4.0</v>
      </c>
      <c r="G31" s="28">
        <v>0.0</v>
      </c>
      <c r="H31" s="31">
        <v>5.0</v>
      </c>
      <c r="I31" s="31">
        <v>6.0</v>
      </c>
      <c r="J31" s="31">
        <v>6.0</v>
      </c>
      <c r="K31" s="33">
        <v>17.0</v>
      </c>
      <c r="L31" s="31">
        <v>2.0</v>
      </c>
      <c r="M31" s="28">
        <f t="shared" ref="M31:N31" si="28">C31+K31</f>
        <v>30</v>
      </c>
      <c r="N31" s="29">
        <f t="shared" si="28"/>
        <v>2</v>
      </c>
      <c r="O31" s="35" t="s">
        <v>46</v>
      </c>
      <c r="P31" s="35" t="s">
        <v>46</v>
      </c>
      <c r="Q31" s="31">
        <f>if(G31=13,1,0)+VLOOKUP(B31,'010624'!B:Q,16,false)</f>
        <v>1</v>
      </c>
      <c r="R31" s="31"/>
      <c r="S31" s="31">
        <f>if(G31=9,1,0)+VLOOKUP(B31,'010624'!B:S,18,false)</f>
        <v>0</v>
      </c>
    </row>
    <row r="32">
      <c r="A32" s="26">
        <f t="shared" si="3"/>
        <v>28</v>
      </c>
      <c r="B32" s="39" t="s">
        <v>97</v>
      </c>
      <c r="C32" s="77">
        <v>13.0</v>
      </c>
      <c r="D32" s="78">
        <v>0.0</v>
      </c>
      <c r="E32" s="30">
        <v>1.0</v>
      </c>
      <c r="F32" s="31">
        <v>4.0</v>
      </c>
      <c r="G32" s="28">
        <v>0.0</v>
      </c>
      <c r="H32" s="31">
        <v>5.0</v>
      </c>
      <c r="I32" s="31">
        <v>1.0</v>
      </c>
      <c r="J32" s="31">
        <v>0.0</v>
      </c>
      <c r="K32" s="33">
        <v>6.0</v>
      </c>
      <c r="L32" s="31">
        <v>0.0</v>
      </c>
      <c r="M32" s="28">
        <f t="shared" ref="M32:N32" si="29">C32+K32</f>
        <v>19</v>
      </c>
      <c r="N32" s="29">
        <f t="shared" si="29"/>
        <v>0</v>
      </c>
      <c r="O32" s="35" t="s">
        <v>46</v>
      </c>
      <c r="P32" s="35" t="s">
        <v>46</v>
      </c>
      <c r="Q32" s="31">
        <f>if(G32=13,1,0)+VLOOKUP(B32,'010624'!B:Q,16,false)</f>
        <v>0</v>
      </c>
      <c r="R32" s="31"/>
      <c r="S32" s="31">
        <f>if(G32=9,1,0)+VLOOKUP(B32,'010624'!B:S,18,false)</f>
        <v>0</v>
      </c>
    </row>
    <row r="33">
      <c r="A33" s="26">
        <f t="shared" si="3"/>
        <v>29</v>
      </c>
      <c r="B33" s="54" t="s">
        <v>123</v>
      </c>
      <c r="C33" s="77">
        <v>13.0</v>
      </c>
      <c r="D33" s="78">
        <v>0.0</v>
      </c>
      <c r="E33" s="30">
        <v>3.0</v>
      </c>
      <c r="F33" s="31">
        <v>0.0</v>
      </c>
      <c r="G33" s="28">
        <v>9.0</v>
      </c>
      <c r="H33" s="31">
        <v>0.0</v>
      </c>
      <c r="I33" s="31">
        <v>0.0</v>
      </c>
      <c r="J33" s="31">
        <v>0.0</v>
      </c>
      <c r="K33" s="33">
        <v>9.0</v>
      </c>
      <c r="L33" s="31">
        <v>0.0</v>
      </c>
      <c r="M33" s="28">
        <f t="shared" ref="M33:N33" si="30">C33+K33</f>
        <v>22</v>
      </c>
      <c r="N33" s="29">
        <f t="shared" si="30"/>
        <v>0</v>
      </c>
      <c r="O33" s="35" t="s">
        <v>46</v>
      </c>
      <c r="P33" s="35" t="s">
        <v>46</v>
      </c>
      <c r="Q33" s="31">
        <f>if(G33=13,1,0)+VLOOKUP(B33,'010624'!B:Q,16,false)</f>
        <v>1</v>
      </c>
      <c r="R33" s="31"/>
      <c r="S33" s="31">
        <f>if(G33=9,1,0)+VLOOKUP(B33,'010624'!B:S,18,false)</f>
        <v>1</v>
      </c>
    </row>
    <row r="34">
      <c r="A34" s="26">
        <f t="shared" si="3"/>
        <v>30</v>
      </c>
      <c r="B34" s="54" t="s">
        <v>95</v>
      </c>
      <c r="C34" s="77">
        <v>12.0</v>
      </c>
      <c r="D34" s="29">
        <v>1.0</v>
      </c>
      <c r="E34" s="30">
        <v>1.0</v>
      </c>
      <c r="F34" s="31">
        <v>4.0</v>
      </c>
      <c r="G34" s="28">
        <v>0.0</v>
      </c>
      <c r="H34" s="31">
        <v>7.0</v>
      </c>
      <c r="I34" s="31">
        <v>6.0</v>
      </c>
      <c r="J34" s="31">
        <v>0.0</v>
      </c>
      <c r="K34" s="33">
        <v>13.0</v>
      </c>
      <c r="L34" s="31">
        <v>2.0</v>
      </c>
      <c r="M34" s="28">
        <f t="shared" ref="M34:N34" si="31">C34+K34</f>
        <v>25</v>
      </c>
      <c r="N34" s="29">
        <f t="shared" si="31"/>
        <v>3</v>
      </c>
      <c r="O34" s="35" t="s">
        <v>46</v>
      </c>
      <c r="P34" s="35" t="s">
        <v>46</v>
      </c>
      <c r="Q34" s="31">
        <f>if(G34=13,1,0)+VLOOKUP(B34,'010624'!B:Q,16,false)</f>
        <v>0</v>
      </c>
      <c r="R34" s="31"/>
      <c r="S34" s="31">
        <f>if(G34=9,1,0)+VLOOKUP(B34,'010624'!B:S,18,false)</f>
        <v>0</v>
      </c>
    </row>
    <row r="35">
      <c r="A35" s="26">
        <f t="shared" si="3"/>
        <v>31</v>
      </c>
      <c r="B35" s="39" t="s">
        <v>105</v>
      </c>
      <c r="C35" s="77">
        <v>11.0</v>
      </c>
      <c r="D35" s="78">
        <v>1.0</v>
      </c>
      <c r="E35" s="30">
        <v>1.0</v>
      </c>
      <c r="F35" s="31">
        <v>4.0</v>
      </c>
      <c r="G35" s="28">
        <v>0.0</v>
      </c>
      <c r="H35" s="31">
        <v>7.0</v>
      </c>
      <c r="I35" s="31">
        <v>1.0</v>
      </c>
      <c r="J35" s="31">
        <v>6.0</v>
      </c>
      <c r="K35" s="33">
        <v>14.0</v>
      </c>
      <c r="L35" s="31">
        <v>2.0</v>
      </c>
      <c r="M35" s="28">
        <f t="shared" ref="M35:N35" si="32">C35+K35</f>
        <v>25</v>
      </c>
      <c r="N35" s="29">
        <f t="shared" si="32"/>
        <v>3</v>
      </c>
      <c r="O35" s="35" t="s">
        <v>46</v>
      </c>
      <c r="P35" s="35" t="s">
        <v>46</v>
      </c>
      <c r="Q35" s="31">
        <f>if(G35=13,1,0)+VLOOKUP(B35,'010624'!B:Q,16,false)</f>
        <v>0</v>
      </c>
      <c r="R35" s="31"/>
      <c r="S35" s="31">
        <f>if(G35=9,1,0)+VLOOKUP(B35,'010624'!B:S,18,false)</f>
        <v>0</v>
      </c>
    </row>
    <row r="36">
      <c r="A36" s="26">
        <f t="shared" si="3"/>
        <v>32</v>
      </c>
      <c r="B36" s="54" t="s">
        <v>73</v>
      </c>
      <c r="C36" s="77">
        <v>11.0</v>
      </c>
      <c r="D36" s="29">
        <v>1.0</v>
      </c>
      <c r="E36" s="30">
        <v>1.0</v>
      </c>
      <c r="F36" s="31">
        <v>5.0</v>
      </c>
      <c r="G36" s="28">
        <v>0.0</v>
      </c>
      <c r="H36" s="31">
        <v>4.0</v>
      </c>
      <c r="I36" s="31">
        <v>3.0</v>
      </c>
      <c r="J36" s="31">
        <v>3.0</v>
      </c>
      <c r="K36" s="33">
        <v>10.0</v>
      </c>
      <c r="L36" s="31">
        <v>0.0</v>
      </c>
      <c r="M36" s="28">
        <f t="shared" ref="M36:N36" si="33">C36+K36</f>
        <v>21</v>
      </c>
      <c r="N36" s="29">
        <f t="shared" si="33"/>
        <v>1</v>
      </c>
      <c r="O36" s="35" t="s">
        <v>46</v>
      </c>
      <c r="P36" s="35" t="s">
        <v>46</v>
      </c>
      <c r="Q36" s="31">
        <f>if(G36=13,1,0)+VLOOKUP(B36,'010624'!B:Q,16,false)</f>
        <v>0</v>
      </c>
      <c r="R36" s="31"/>
      <c r="S36" s="31">
        <f>if(G36=9,1,0)+VLOOKUP(B36,'010624'!B:S,18,false)</f>
        <v>0</v>
      </c>
    </row>
    <row r="37">
      <c r="A37" s="26">
        <f t="shared" si="3"/>
        <v>33</v>
      </c>
      <c r="B37" s="39" t="s">
        <v>71</v>
      </c>
      <c r="C37" s="77">
        <v>10.0</v>
      </c>
      <c r="D37" s="78">
        <v>1.0</v>
      </c>
      <c r="E37" s="30">
        <v>1.0</v>
      </c>
      <c r="F37" s="31">
        <v>5.0</v>
      </c>
      <c r="G37" s="28">
        <v>0.0</v>
      </c>
      <c r="H37" s="31">
        <v>4.0</v>
      </c>
      <c r="I37" s="31">
        <v>6.0</v>
      </c>
      <c r="J37" s="31">
        <v>6.0</v>
      </c>
      <c r="K37" s="33">
        <v>16.0</v>
      </c>
      <c r="L37" s="31">
        <v>2.0</v>
      </c>
      <c r="M37" s="28">
        <f t="shared" ref="M37:N37" si="34">C37+K37</f>
        <v>26</v>
      </c>
      <c r="N37" s="29">
        <f t="shared" si="34"/>
        <v>3</v>
      </c>
      <c r="O37" s="35" t="s">
        <v>46</v>
      </c>
      <c r="P37" s="35" t="s">
        <v>46</v>
      </c>
      <c r="Q37" s="31">
        <f>if(G37=13,1,0)+VLOOKUP(B37,'010624'!B:Q,16,false)</f>
        <v>0</v>
      </c>
      <c r="R37" s="31"/>
      <c r="S37" s="31">
        <f>if(G37=9,1,0)+VLOOKUP(B37,'010624'!B:S,18,false)</f>
        <v>0</v>
      </c>
    </row>
    <row r="38">
      <c r="A38" s="26">
        <f t="shared" si="3"/>
        <v>34</v>
      </c>
      <c r="B38" s="54" t="s">
        <v>59</v>
      </c>
      <c r="C38" s="77">
        <v>10.0</v>
      </c>
      <c r="D38" s="29">
        <v>1.0</v>
      </c>
      <c r="E38" s="30">
        <v>1.0</v>
      </c>
      <c r="F38" s="31">
        <v>5.0</v>
      </c>
      <c r="G38" s="28">
        <v>0.0</v>
      </c>
      <c r="H38" s="31">
        <v>6.0</v>
      </c>
      <c r="I38" s="31">
        <v>6.0</v>
      </c>
      <c r="J38" s="31">
        <v>3.0</v>
      </c>
      <c r="K38" s="33">
        <v>15.0</v>
      </c>
      <c r="L38" s="31">
        <v>2.0</v>
      </c>
      <c r="M38" s="28">
        <f t="shared" ref="M38:N38" si="35">C38+K38</f>
        <v>25</v>
      </c>
      <c r="N38" s="29">
        <f t="shared" si="35"/>
        <v>3</v>
      </c>
      <c r="O38" s="35" t="s">
        <v>46</v>
      </c>
      <c r="P38" s="35" t="s">
        <v>46</v>
      </c>
      <c r="Q38" s="31">
        <f>if(G38=13,1,0)+VLOOKUP(B38,'010624'!B:Q,16,false)</f>
        <v>0</v>
      </c>
      <c r="R38" s="31"/>
      <c r="S38" s="31">
        <f>if(G38=9,1,0)+VLOOKUP(B38,'010624'!B:S,18,false)</f>
        <v>0</v>
      </c>
    </row>
    <row r="39">
      <c r="A39" s="26">
        <f t="shared" si="3"/>
        <v>35</v>
      </c>
      <c r="B39" s="27" t="s">
        <v>84</v>
      </c>
      <c r="C39" s="77">
        <v>9.0</v>
      </c>
      <c r="D39" s="78">
        <v>1.0</v>
      </c>
      <c r="E39" s="30">
        <v>5.0</v>
      </c>
      <c r="F39" s="31">
        <v>0.0</v>
      </c>
      <c r="G39" s="28">
        <v>13.0</v>
      </c>
      <c r="H39" s="31">
        <v>0.0</v>
      </c>
      <c r="I39" s="31">
        <v>0.0</v>
      </c>
      <c r="J39" s="31">
        <v>0.0</v>
      </c>
      <c r="K39" s="33">
        <v>13.0</v>
      </c>
      <c r="L39" s="31">
        <v>0.0</v>
      </c>
      <c r="M39" s="28">
        <f t="shared" ref="M39:N39" si="36">C39+K39</f>
        <v>22</v>
      </c>
      <c r="N39" s="29">
        <f t="shared" si="36"/>
        <v>1</v>
      </c>
      <c r="O39" s="35" t="s">
        <v>46</v>
      </c>
      <c r="P39" s="35" t="s">
        <v>46</v>
      </c>
      <c r="Q39" s="31">
        <f>if(G39=13,1,0)+VLOOKUP(B39,'010624'!B:Q,16,false)</f>
        <v>1</v>
      </c>
      <c r="R39" s="31"/>
      <c r="S39" s="31">
        <f>if(G39=9,1,0)+VLOOKUP(B39,'010624'!B:S,18,false)</f>
        <v>0</v>
      </c>
    </row>
    <row r="40">
      <c r="A40" s="26">
        <f t="shared" si="3"/>
        <v>36</v>
      </c>
      <c r="B40" s="27" t="s">
        <v>76</v>
      </c>
      <c r="C40" s="77">
        <v>9.0</v>
      </c>
      <c r="D40" s="78">
        <v>1.0</v>
      </c>
      <c r="E40" s="30">
        <v>3.0</v>
      </c>
      <c r="F40" s="31">
        <v>0.0</v>
      </c>
      <c r="G40" s="28">
        <v>9.0</v>
      </c>
      <c r="H40" s="31">
        <v>0.0</v>
      </c>
      <c r="I40" s="31">
        <v>0.0</v>
      </c>
      <c r="J40" s="31">
        <v>0.0</v>
      </c>
      <c r="K40" s="33">
        <v>9.0</v>
      </c>
      <c r="L40" s="31">
        <v>0.0</v>
      </c>
      <c r="M40" s="28">
        <f t="shared" ref="M40:N40" si="37">C40+K40</f>
        <v>18</v>
      </c>
      <c r="N40" s="29">
        <f t="shared" si="37"/>
        <v>1</v>
      </c>
      <c r="O40" s="35" t="s">
        <v>46</v>
      </c>
      <c r="P40" s="35" t="s">
        <v>46</v>
      </c>
      <c r="Q40" s="31">
        <f>if(G40=13,1,0)+VLOOKUP(B40,'010624'!B:Q,16,false)</f>
        <v>0</v>
      </c>
      <c r="R40" s="31"/>
      <c r="S40" s="31">
        <f>if(G40=9,1,0)+VLOOKUP(B40,'010624'!B:S,18,false)</f>
        <v>1</v>
      </c>
    </row>
    <row r="41">
      <c r="A41" s="26">
        <f t="shared" si="3"/>
        <v>37</v>
      </c>
      <c r="B41" s="27" t="s">
        <v>38</v>
      </c>
      <c r="C41" s="77">
        <v>9.0</v>
      </c>
      <c r="D41" s="78">
        <v>0.0</v>
      </c>
      <c r="E41" s="30">
        <v>3.0</v>
      </c>
      <c r="F41" s="31">
        <v>0.0</v>
      </c>
      <c r="G41" s="28">
        <v>9.0</v>
      </c>
      <c r="H41" s="31">
        <v>0.0</v>
      </c>
      <c r="I41" s="31">
        <v>0.0</v>
      </c>
      <c r="J41" s="31">
        <v>0.0</v>
      </c>
      <c r="K41" s="33">
        <v>9.0</v>
      </c>
      <c r="L41" s="31">
        <v>0.0</v>
      </c>
      <c r="M41" s="28">
        <f t="shared" ref="M41:N41" si="38">C41+K41</f>
        <v>18</v>
      </c>
      <c r="N41" s="29">
        <f t="shared" si="38"/>
        <v>0</v>
      </c>
      <c r="O41" s="35" t="s">
        <v>46</v>
      </c>
      <c r="P41" s="35" t="s">
        <v>46</v>
      </c>
      <c r="Q41" s="31">
        <f>if(G41=13,1,0)+VLOOKUP(B41,'010624'!B:Q,16,false)</f>
        <v>0</v>
      </c>
      <c r="R41" s="31"/>
      <c r="S41" s="31">
        <f>if(G41=9,1,0)+VLOOKUP(B41,'010624'!B:S,18,false)</f>
        <v>2</v>
      </c>
    </row>
    <row r="42">
      <c r="A42" s="26">
        <f t="shared" si="3"/>
        <v>38</v>
      </c>
      <c r="B42" s="27" t="s">
        <v>117</v>
      </c>
      <c r="C42" s="77">
        <v>9.0</v>
      </c>
      <c r="D42" s="78">
        <v>0.0</v>
      </c>
      <c r="E42" s="30">
        <v>1.0</v>
      </c>
      <c r="F42" s="31">
        <v>5.0</v>
      </c>
      <c r="G42" s="28">
        <v>0.0</v>
      </c>
      <c r="H42" s="31">
        <v>6.0</v>
      </c>
      <c r="I42" s="31">
        <v>3.0</v>
      </c>
      <c r="J42" s="31">
        <v>6.0</v>
      </c>
      <c r="K42" s="33">
        <v>15.0</v>
      </c>
      <c r="L42" s="31">
        <v>2.0</v>
      </c>
      <c r="M42" s="28">
        <f t="shared" ref="M42:N42" si="39">C42+K42</f>
        <v>24</v>
      </c>
      <c r="N42" s="29">
        <f t="shared" si="39"/>
        <v>2</v>
      </c>
      <c r="O42" s="35" t="s">
        <v>46</v>
      </c>
      <c r="P42" s="35" t="s">
        <v>46</v>
      </c>
      <c r="Q42" s="31">
        <f>if(G42=13,1,0)+VLOOKUP(B42,'010624'!B:Q,16,false)</f>
        <v>0</v>
      </c>
      <c r="R42" s="31"/>
      <c r="S42" s="31">
        <f>if(G42=9,1,0)+VLOOKUP(B42,'010624'!B:S,18,false)</f>
        <v>1</v>
      </c>
    </row>
    <row r="43">
      <c r="A43" s="26">
        <f t="shared" si="3"/>
        <v>39</v>
      </c>
      <c r="B43" s="27" t="s">
        <v>60</v>
      </c>
      <c r="C43" s="77">
        <v>9.0</v>
      </c>
      <c r="D43" s="78">
        <v>0.0</v>
      </c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f t="shared" ref="M43:N43" si="40">C43+K43</f>
        <v>18</v>
      </c>
      <c r="N43" s="29">
        <f t="shared" si="40"/>
        <v>0</v>
      </c>
      <c r="O43" s="35" t="s">
        <v>46</v>
      </c>
      <c r="P43" s="35" t="s">
        <v>46</v>
      </c>
      <c r="Q43" s="31">
        <f>if(G43=13,1,0)+VLOOKUP(B43,'010624'!B:Q,16,false)</f>
        <v>0</v>
      </c>
      <c r="R43" s="31"/>
      <c r="S43" s="31">
        <f>if(G43=9,1,0)+VLOOKUP(B43,'010624'!B:S,18,false)</f>
        <v>2</v>
      </c>
    </row>
    <row r="44">
      <c r="A44" s="26">
        <f t="shared" si="3"/>
        <v>40</v>
      </c>
      <c r="B44" s="27" t="s">
        <v>57</v>
      </c>
      <c r="C44" s="77">
        <v>9.0</v>
      </c>
      <c r="D44" s="78">
        <v>0.0</v>
      </c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f t="shared" ref="M44:N44" si="41">C44+K44</f>
        <v>18</v>
      </c>
      <c r="N44" s="29">
        <f t="shared" si="41"/>
        <v>0</v>
      </c>
      <c r="O44" s="35" t="s">
        <v>46</v>
      </c>
      <c r="P44" s="35" t="s">
        <v>46</v>
      </c>
      <c r="Q44" s="31">
        <f>if(G44=13,1,0)+VLOOKUP(B44,'010624'!B:Q,16,false)</f>
        <v>0</v>
      </c>
      <c r="R44" s="31"/>
      <c r="S44" s="31">
        <f>if(G44=9,1,0)+VLOOKUP(B44,'010624'!B:S,18,false)</f>
        <v>2</v>
      </c>
    </row>
    <row r="45">
      <c r="A45" s="26">
        <f t="shared" si="3"/>
        <v>41</v>
      </c>
      <c r="B45" s="39" t="s">
        <v>86</v>
      </c>
      <c r="C45" s="77">
        <v>9.0</v>
      </c>
      <c r="D45" s="78">
        <v>0.0</v>
      </c>
      <c r="E45" s="30">
        <v>5.0</v>
      </c>
      <c r="F45" s="31">
        <v>0.0</v>
      </c>
      <c r="G45" s="28">
        <v>13.0</v>
      </c>
      <c r="H45" s="31">
        <v>0.0</v>
      </c>
      <c r="I45" s="31">
        <v>0.0</v>
      </c>
      <c r="J45" s="31">
        <v>0.0</v>
      </c>
      <c r="K45" s="33">
        <v>13.0</v>
      </c>
      <c r="L45" s="31">
        <v>0.0</v>
      </c>
      <c r="M45" s="28">
        <f t="shared" ref="M45:N45" si="42">C45+K45</f>
        <v>22</v>
      </c>
      <c r="N45" s="29">
        <f t="shared" si="42"/>
        <v>0</v>
      </c>
      <c r="O45" s="35" t="s">
        <v>46</v>
      </c>
      <c r="P45" s="35" t="s">
        <v>46</v>
      </c>
      <c r="Q45" s="31">
        <f>if(G45=13,1,0)+VLOOKUP(B45,'010624'!B:Q,16,false)</f>
        <v>1</v>
      </c>
      <c r="R45" s="31"/>
      <c r="S45" s="31">
        <f>if(G45=9,1,0)+VLOOKUP(B45,'010624'!B:S,18,false)</f>
        <v>1</v>
      </c>
    </row>
    <row r="46">
      <c r="A46" s="26">
        <f t="shared" si="3"/>
        <v>42</v>
      </c>
      <c r="B46" s="39" t="s">
        <v>103</v>
      </c>
      <c r="C46" s="77">
        <v>9.0</v>
      </c>
      <c r="D46" s="78">
        <v>0.0</v>
      </c>
      <c r="E46" s="30">
        <v>3.0</v>
      </c>
      <c r="F46" s="31">
        <v>0.0</v>
      </c>
      <c r="G46" s="28">
        <v>9.0</v>
      </c>
      <c r="H46" s="31">
        <v>0.0</v>
      </c>
      <c r="I46" s="31">
        <v>0.0</v>
      </c>
      <c r="J46" s="31">
        <v>0.0</v>
      </c>
      <c r="K46" s="33">
        <v>9.0</v>
      </c>
      <c r="L46" s="31">
        <v>0.0</v>
      </c>
      <c r="M46" s="28">
        <f t="shared" ref="M46:N46" si="43">C46+K46</f>
        <v>18</v>
      </c>
      <c r="N46" s="29">
        <f t="shared" si="43"/>
        <v>0</v>
      </c>
      <c r="O46" s="35" t="s">
        <v>46</v>
      </c>
      <c r="P46" s="35" t="s">
        <v>46</v>
      </c>
      <c r="Q46" s="31">
        <f>if(G46=13,1,0)+VLOOKUP(B46,'010624'!B:Q,16,false)</f>
        <v>0</v>
      </c>
      <c r="R46" s="31"/>
      <c r="S46" s="31">
        <f>if(G46=9,1,0)+VLOOKUP(B46,'010624'!B:S,18,false)</f>
        <v>2</v>
      </c>
    </row>
    <row r="47">
      <c r="A47" s="26">
        <f t="shared" si="3"/>
        <v>43</v>
      </c>
      <c r="B47" s="27" t="s">
        <v>74</v>
      </c>
      <c r="C47" s="77">
        <v>9.0</v>
      </c>
      <c r="D47" s="78">
        <v>0.0</v>
      </c>
      <c r="E47" s="30">
        <v>3.0</v>
      </c>
      <c r="F47" s="31">
        <v>0.0</v>
      </c>
      <c r="G47" s="28">
        <v>9.0</v>
      </c>
      <c r="H47" s="31">
        <v>0.0</v>
      </c>
      <c r="I47" s="31">
        <v>0.0</v>
      </c>
      <c r="J47" s="31">
        <v>0.0</v>
      </c>
      <c r="K47" s="33">
        <v>9.0</v>
      </c>
      <c r="L47" s="31">
        <v>0.0</v>
      </c>
      <c r="M47" s="28">
        <f t="shared" ref="M47:N47" si="44">C47+K47</f>
        <v>18</v>
      </c>
      <c r="N47" s="29">
        <f t="shared" si="44"/>
        <v>0</v>
      </c>
      <c r="O47" s="35" t="s">
        <v>46</v>
      </c>
      <c r="P47" s="35" t="s">
        <v>46</v>
      </c>
      <c r="Q47" s="31">
        <f>if(G47=13,1,0)+VLOOKUP(B47,'010624'!B:Q,16,false)</f>
        <v>0</v>
      </c>
      <c r="R47" s="31"/>
      <c r="S47" s="31">
        <f>if(G47=9,1,0)+VLOOKUP(B47,'010624'!B:S,18,false)</f>
        <v>2</v>
      </c>
    </row>
    <row r="48">
      <c r="A48" s="26">
        <f t="shared" si="3"/>
        <v>44</v>
      </c>
      <c r="B48" s="27" t="s">
        <v>90</v>
      </c>
      <c r="C48" s="77">
        <v>9.0</v>
      </c>
      <c r="D48" s="78">
        <v>0.0</v>
      </c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f t="shared" ref="M48:N48" si="45">C48+K48</f>
        <v>18</v>
      </c>
      <c r="N48" s="29">
        <f t="shared" si="45"/>
        <v>0</v>
      </c>
      <c r="O48" s="35" t="s">
        <v>46</v>
      </c>
      <c r="P48" s="35" t="s">
        <v>46</v>
      </c>
      <c r="Q48" s="31">
        <f>if(G48=13,1,0)+VLOOKUP(B48,'010624'!B:Q,16,false)</f>
        <v>0</v>
      </c>
      <c r="R48" s="31"/>
      <c r="S48" s="31">
        <f>if(G48=9,1,0)+VLOOKUP(B48,'010624'!B:S,18,false)</f>
        <v>2</v>
      </c>
    </row>
    <row r="49">
      <c r="A49" s="26">
        <f t="shared" si="3"/>
        <v>45</v>
      </c>
      <c r="B49" s="27" t="s">
        <v>56</v>
      </c>
      <c r="C49" s="77">
        <v>9.0</v>
      </c>
      <c r="D49" s="78">
        <v>0.0</v>
      </c>
      <c r="E49" s="30">
        <v>4.0</v>
      </c>
      <c r="F49" s="31">
        <v>0.0</v>
      </c>
      <c r="G49" s="28">
        <v>9.0</v>
      </c>
      <c r="H49" s="31">
        <v>0.0</v>
      </c>
      <c r="I49" s="31">
        <v>0.0</v>
      </c>
      <c r="J49" s="31">
        <v>0.0</v>
      </c>
      <c r="K49" s="33">
        <v>9.0</v>
      </c>
      <c r="L49" s="31">
        <v>0.0</v>
      </c>
      <c r="M49" s="28">
        <f t="shared" ref="M49:N49" si="46">C49+K49</f>
        <v>18</v>
      </c>
      <c r="N49" s="29">
        <f t="shared" si="46"/>
        <v>0</v>
      </c>
      <c r="O49" s="35" t="s">
        <v>46</v>
      </c>
      <c r="P49" s="35" t="s">
        <v>46</v>
      </c>
      <c r="Q49" s="31">
        <f>if(G49=13,1,0)+VLOOKUP(B49,'010624'!B:Q,16,false)</f>
        <v>0</v>
      </c>
      <c r="R49" s="31"/>
      <c r="S49" s="31">
        <f>if(G49=9,1,0)+VLOOKUP(B49,'010624'!B:S,18,false)</f>
        <v>2</v>
      </c>
    </row>
    <row r="50">
      <c r="A50" s="26">
        <f t="shared" si="3"/>
        <v>46</v>
      </c>
      <c r="B50" s="27" t="s">
        <v>82</v>
      </c>
      <c r="C50" s="77">
        <v>9.0</v>
      </c>
      <c r="D50" s="78">
        <v>0.0</v>
      </c>
      <c r="E50" s="30">
        <v>5.0</v>
      </c>
      <c r="F50" s="31">
        <v>0.0</v>
      </c>
      <c r="G50" s="28">
        <v>13.0</v>
      </c>
      <c r="H50" s="31">
        <v>0.0</v>
      </c>
      <c r="I50" s="31">
        <v>0.0</v>
      </c>
      <c r="J50" s="31">
        <v>0.0</v>
      </c>
      <c r="K50" s="33">
        <v>13.0</v>
      </c>
      <c r="L50" s="31">
        <v>0.0</v>
      </c>
      <c r="M50" s="28">
        <f t="shared" ref="M50:N50" si="47">C50+K50</f>
        <v>22</v>
      </c>
      <c r="N50" s="29">
        <f t="shared" si="47"/>
        <v>0</v>
      </c>
      <c r="O50" s="35" t="s">
        <v>46</v>
      </c>
      <c r="P50" s="35" t="s">
        <v>46</v>
      </c>
      <c r="Q50" s="31">
        <f>if(G50=13,1,0)+VLOOKUP(B50,'010624'!B:Q,16,false)</f>
        <v>1</v>
      </c>
      <c r="R50" s="31"/>
      <c r="S50" s="31">
        <f>if(G50=9,1,0)+VLOOKUP(B50,'010624'!B:S,18,false)</f>
        <v>1</v>
      </c>
    </row>
    <row r="51">
      <c r="A51" s="26">
        <f t="shared" si="3"/>
        <v>47</v>
      </c>
      <c r="B51" s="27" t="s">
        <v>114</v>
      </c>
      <c r="C51" s="77">
        <v>9.0</v>
      </c>
      <c r="D51" s="78">
        <v>0.0</v>
      </c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f t="shared" ref="M51:N51" si="48">C51+K51</f>
        <v>18</v>
      </c>
      <c r="N51" s="29">
        <f t="shared" si="48"/>
        <v>0</v>
      </c>
      <c r="O51" s="35" t="s">
        <v>46</v>
      </c>
      <c r="P51" s="35" t="s">
        <v>46</v>
      </c>
      <c r="Q51" s="31">
        <f>if(G51=13,1,0)+VLOOKUP(B51,'010624'!B:Q,16,false)</f>
        <v>0</v>
      </c>
      <c r="R51" s="31"/>
      <c r="S51" s="31">
        <f>if(G51=9,1,0)+VLOOKUP(B51,'010624'!B:S,18,false)</f>
        <v>2</v>
      </c>
    </row>
    <row r="52">
      <c r="A52" s="26">
        <f t="shared" si="3"/>
        <v>48</v>
      </c>
      <c r="B52" s="55" t="s">
        <v>66</v>
      </c>
      <c r="C52" s="77">
        <v>9.0</v>
      </c>
      <c r="D52" s="78">
        <v>0.0</v>
      </c>
      <c r="E52" s="30">
        <v>1.0</v>
      </c>
      <c r="F52" s="31">
        <v>6.0</v>
      </c>
      <c r="G52" s="28">
        <v>0.0</v>
      </c>
      <c r="H52" s="31">
        <v>6.0</v>
      </c>
      <c r="I52" s="31">
        <v>6.0</v>
      </c>
      <c r="J52" s="31">
        <v>0.0</v>
      </c>
      <c r="K52" s="33">
        <v>12.0</v>
      </c>
      <c r="L52" s="31">
        <v>1.0</v>
      </c>
      <c r="M52" s="28">
        <f t="shared" ref="M52:N52" si="49">C52+K52</f>
        <v>21</v>
      </c>
      <c r="N52" s="29">
        <f t="shared" si="49"/>
        <v>1</v>
      </c>
      <c r="O52" s="35" t="s">
        <v>46</v>
      </c>
      <c r="P52" s="35" t="s">
        <v>46</v>
      </c>
      <c r="Q52" s="31">
        <f>if(G52=13,1,0)+VLOOKUP(B52,'010624'!B:Q,16,false)</f>
        <v>0</v>
      </c>
      <c r="R52" s="31"/>
      <c r="S52" s="31">
        <f>if(G52=9,1,0)+VLOOKUP(B52,'010624'!B:S,18,false)</f>
        <v>1</v>
      </c>
    </row>
    <row r="53">
      <c r="A53" s="26">
        <f t="shared" si="3"/>
        <v>49</v>
      </c>
      <c r="B53" s="39" t="s">
        <v>106</v>
      </c>
      <c r="C53" s="77">
        <v>9.0</v>
      </c>
      <c r="D53" s="78">
        <v>0.0</v>
      </c>
      <c r="E53" s="30">
        <v>1.0</v>
      </c>
      <c r="F53" s="31">
        <v>6.0</v>
      </c>
      <c r="G53" s="28">
        <v>0.0</v>
      </c>
      <c r="H53" s="31">
        <v>7.0</v>
      </c>
      <c r="I53" s="31">
        <v>0.0</v>
      </c>
      <c r="J53" s="31">
        <v>0.0</v>
      </c>
      <c r="K53" s="33">
        <v>7.0</v>
      </c>
      <c r="L53" s="31">
        <v>1.0</v>
      </c>
      <c r="M53" s="28">
        <f t="shared" ref="M53:N53" si="50">C53+K53</f>
        <v>16</v>
      </c>
      <c r="N53" s="29">
        <f t="shared" si="50"/>
        <v>1</v>
      </c>
      <c r="O53" s="35" t="s">
        <v>46</v>
      </c>
      <c r="P53" s="35" t="s">
        <v>46</v>
      </c>
      <c r="Q53" s="31">
        <f>if(G53=13,1,0)+VLOOKUP(B53,'010624'!B:Q,16,false)</f>
        <v>0</v>
      </c>
      <c r="R53" s="31"/>
      <c r="S53" s="31">
        <f>if(G53=9,1,0)+VLOOKUP(B53,'010624'!B:S,18,false)</f>
        <v>1</v>
      </c>
    </row>
    <row r="54">
      <c r="A54" s="26">
        <f t="shared" si="3"/>
        <v>50</v>
      </c>
      <c r="B54" s="39" t="s">
        <v>111</v>
      </c>
      <c r="C54" s="77">
        <v>9.0</v>
      </c>
      <c r="D54" s="78">
        <v>0.0</v>
      </c>
      <c r="E54" s="30">
        <v>1.0</v>
      </c>
      <c r="F54" s="31">
        <v>6.0</v>
      </c>
      <c r="G54" s="28">
        <v>0.0</v>
      </c>
      <c r="H54" s="31">
        <v>7.0</v>
      </c>
      <c r="I54" s="31">
        <v>6.0</v>
      </c>
      <c r="J54" s="31">
        <v>6.0</v>
      </c>
      <c r="K54" s="33">
        <v>19.0</v>
      </c>
      <c r="L54" s="31">
        <v>3.0</v>
      </c>
      <c r="M54" s="28">
        <f t="shared" ref="M54:N54" si="51">C54+K54</f>
        <v>28</v>
      </c>
      <c r="N54" s="29">
        <f t="shared" si="51"/>
        <v>3</v>
      </c>
      <c r="O54" s="35" t="s">
        <v>46</v>
      </c>
      <c r="P54" s="35" t="s">
        <v>46</v>
      </c>
      <c r="Q54" s="31">
        <f>if(G54=13,1,0)+VLOOKUP(B54,'010624'!B:Q,16,false)</f>
        <v>0</v>
      </c>
      <c r="R54" s="31"/>
      <c r="S54" s="31">
        <f>if(G54=9,1,0)+VLOOKUP(B54,'010624'!B:S,18,false)</f>
        <v>1</v>
      </c>
    </row>
    <row r="55">
      <c r="A55" s="26">
        <f t="shared" si="3"/>
        <v>51</v>
      </c>
      <c r="B55" s="27" t="s">
        <v>112</v>
      </c>
      <c r="C55" s="77">
        <v>9.0</v>
      </c>
      <c r="D55" s="78">
        <v>0.0</v>
      </c>
      <c r="E55" s="30">
        <v>1.0</v>
      </c>
      <c r="F55" s="31">
        <v>6.0</v>
      </c>
      <c r="G55" s="28">
        <v>0.0</v>
      </c>
      <c r="H55" s="31">
        <v>6.0</v>
      </c>
      <c r="I55" s="31">
        <v>0.0</v>
      </c>
      <c r="J55" s="31">
        <v>6.0</v>
      </c>
      <c r="K55" s="33">
        <v>12.0</v>
      </c>
      <c r="L55" s="31">
        <v>1.0</v>
      </c>
      <c r="M55" s="28">
        <f t="shared" ref="M55:N55" si="52">C55+K55</f>
        <v>21</v>
      </c>
      <c r="N55" s="29">
        <f t="shared" si="52"/>
        <v>1</v>
      </c>
      <c r="O55" s="35" t="s">
        <v>46</v>
      </c>
      <c r="P55" s="35" t="s">
        <v>46</v>
      </c>
      <c r="Q55" s="31">
        <f>if(G55=13,1,0)+VLOOKUP(B55,'010624'!B:Q,16,false)</f>
        <v>0</v>
      </c>
      <c r="R55" s="31"/>
      <c r="S55" s="31">
        <f>if(G55=9,1,0)+VLOOKUP(B55,'010624'!B:S,18,false)</f>
        <v>1</v>
      </c>
    </row>
    <row r="56">
      <c r="A56" s="26">
        <f t="shared" si="3"/>
        <v>52</v>
      </c>
      <c r="B56" s="39" t="s">
        <v>55</v>
      </c>
      <c r="C56" s="77">
        <v>9.0</v>
      </c>
      <c r="D56" s="78">
        <v>0.0</v>
      </c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f t="shared" ref="M56:N56" si="53">C56+K56</f>
        <v>18</v>
      </c>
      <c r="N56" s="29">
        <f t="shared" si="53"/>
        <v>0</v>
      </c>
      <c r="O56" s="35" t="s">
        <v>46</v>
      </c>
      <c r="P56" s="35" t="s">
        <v>46</v>
      </c>
      <c r="Q56" s="31">
        <f>if(G56=13,1,0)+VLOOKUP(B56,'010624'!B:Q,16,false)</f>
        <v>0</v>
      </c>
      <c r="R56" s="31"/>
      <c r="S56" s="31">
        <f>if(G56=9,1,0)+VLOOKUP(B56,'010624'!B:S,18,false)</f>
        <v>2</v>
      </c>
    </row>
    <row r="57">
      <c r="A57" s="26">
        <f t="shared" si="3"/>
        <v>53</v>
      </c>
      <c r="B57" s="39" t="s">
        <v>124</v>
      </c>
      <c r="C57" s="77">
        <v>9.0</v>
      </c>
      <c r="D57" s="78">
        <v>0.0</v>
      </c>
      <c r="E57" s="30">
        <v>3.0</v>
      </c>
      <c r="F57" s="31">
        <v>0.0</v>
      </c>
      <c r="G57" s="28">
        <v>9.0</v>
      </c>
      <c r="H57" s="31">
        <v>0.0</v>
      </c>
      <c r="I57" s="31">
        <v>0.0</v>
      </c>
      <c r="J57" s="31">
        <v>0.0</v>
      </c>
      <c r="K57" s="33">
        <v>9.0</v>
      </c>
      <c r="L57" s="31">
        <v>0.0</v>
      </c>
      <c r="M57" s="28">
        <f t="shared" ref="M57:N57" si="54">C57+K57</f>
        <v>18</v>
      </c>
      <c r="N57" s="29">
        <f t="shared" si="54"/>
        <v>0</v>
      </c>
      <c r="O57" s="35" t="s">
        <v>46</v>
      </c>
      <c r="P57" s="35" t="s">
        <v>46</v>
      </c>
      <c r="Q57" s="31">
        <f>if(G57=13,1,0)+VLOOKUP(B57,'010624'!B:Q,16,false)</f>
        <v>0</v>
      </c>
      <c r="R57" s="31"/>
      <c r="S57" s="31">
        <f>if(G57=9,1,0)+VLOOKUP(B57,'010624'!B:S,18,false)</f>
        <v>2</v>
      </c>
    </row>
    <row r="58">
      <c r="A58" s="26">
        <f t="shared" si="3"/>
        <v>54</v>
      </c>
      <c r="B58" s="27" t="s">
        <v>115</v>
      </c>
      <c r="C58" s="77">
        <v>9.0</v>
      </c>
      <c r="D58" s="78">
        <v>0.0</v>
      </c>
      <c r="E58" s="30">
        <v>3.0</v>
      </c>
      <c r="F58" s="31">
        <v>0.0</v>
      </c>
      <c r="G58" s="28">
        <v>9.0</v>
      </c>
      <c r="H58" s="31">
        <v>0.0</v>
      </c>
      <c r="I58" s="31">
        <v>0.0</v>
      </c>
      <c r="J58" s="31">
        <v>0.0</v>
      </c>
      <c r="K58" s="33">
        <v>9.0</v>
      </c>
      <c r="L58" s="31">
        <v>0.0</v>
      </c>
      <c r="M58" s="28">
        <f t="shared" ref="M58:N58" si="55">C58+K58</f>
        <v>18</v>
      </c>
      <c r="N58" s="29">
        <f t="shared" si="55"/>
        <v>0</v>
      </c>
      <c r="O58" s="35" t="s">
        <v>46</v>
      </c>
      <c r="P58" s="35" t="s">
        <v>46</v>
      </c>
      <c r="Q58" s="31">
        <f>if(G58=13,1,0)+VLOOKUP(B58,'010624'!B:Q,16,false)</f>
        <v>0</v>
      </c>
      <c r="R58" s="31"/>
      <c r="S58" s="31">
        <f>if(G58=9,1,0)+VLOOKUP(B58,'010624'!B:S,18,false)</f>
        <v>2</v>
      </c>
    </row>
    <row r="59">
      <c r="A59" s="26">
        <f t="shared" si="3"/>
        <v>55</v>
      </c>
      <c r="B59" s="39" t="s">
        <v>125</v>
      </c>
      <c r="C59" s="77">
        <v>9.0</v>
      </c>
      <c r="D59" s="78">
        <v>0.0</v>
      </c>
      <c r="E59" s="30">
        <v>3.0</v>
      </c>
      <c r="F59" s="31">
        <v>0.0</v>
      </c>
      <c r="G59" s="28">
        <v>9.0</v>
      </c>
      <c r="H59" s="31">
        <v>0.0</v>
      </c>
      <c r="I59" s="31">
        <v>0.0</v>
      </c>
      <c r="J59" s="31">
        <v>0.0</v>
      </c>
      <c r="K59" s="33">
        <v>9.0</v>
      </c>
      <c r="L59" s="31">
        <v>0.0</v>
      </c>
      <c r="M59" s="28">
        <f t="shared" ref="M59:N59" si="56">C59+K59</f>
        <v>18</v>
      </c>
      <c r="N59" s="29">
        <f t="shared" si="56"/>
        <v>0</v>
      </c>
      <c r="O59" s="35" t="s">
        <v>46</v>
      </c>
      <c r="P59" s="35" t="s">
        <v>46</v>
      </c>
      <c r="Q59" s="31">
        <f>if(G59=13,1,0)+VLOOKUP(B59,'010624'!B:Q,16,false)</f>
        <v>0</v>
      </c>
      <c r="R59" s="31"/>
      <c r="S59" s="31">
        <f>if(G59=9,1,0)+VLOOKUP(B59,'010624'!B:S,18,false)</f>
        <v>1</v>
      </c>
    </row>
    <row r="60">
      <c r="A60" s="26">
        <f t="shared" si="3"/>
        <v>56</v>
      </c>
      <c r="B60" s="27" t="s">
        <v>113</v>
      </c>
      <c r="C60" s="77">
        <v>9.0</v>
      </c>
      <c r="D60" s="78">
        <v>0.0</v>
      </c>
      <c r="E60" s="30">
        <v>1.0</v>
      </c>
      <c r="F60" s="31">
        <v>7.0</v>
      </c>
      <c r="G60" s="28">
        <v>0.0</v>
      </c>
      <c r="H60" s="31">
        <v>6.0</v>
      </c>
      <c r="I60" s="31">
        <v>7.0</v>
      </c>
      <c r="J60" s="31">
        <v>7.0</v>
      </c>
      <c r="K60" s="33">
        <v>20.0</v>
      </c>
      <c r="L60" s="31">
        <v>3.0</v>
      </c>
      <c r="M60" s="28">
        <f t="shared" ref="M60:N60" si="57">C60+K60</f>
        <v>29</v>
      </c>
      <c r="N60" s="29">
        <f t="shared" si="57"/>
        <v>3</v>
      </c>
      <c r="O60" s="35" t="s">
        <v>46</v>
      </c>
      <c r="P60" s="35" t="s">
        <v>46</v>
      </c>
      <c r="Q60" s="31">
        <f>if(G60=13,1,0)+VLOOKUP(B60,'010624'!B:Q,16,false)</f>
        <v>0</v>
      </c>
      <c r="R60" s="31"/>
      <c r="S60" s="31">
        <f>if(G60=9,1,0)+VLOOKUP(B60,'010624'!B:S,18,false)</f>
        <v>1</v>
      </c>
    </row>
    <row r="61">
      <c r="A61" s="26">
        <f t="shared" si="3"/>
        <v>57</v>
      </c>
      <c r="B61" s="27" t="s">
        <v>110</v>
      </c>
      <c r="C61" s="77">
        <v>9.0</v>
      </c>
      <c r="D61" s="78">
        <v>0.0</v>
      </c>
      <c r="E61" s="30">
        <v>5.0</v>
      </c>
      <c r="F61" s="31">
        <v>0.0</v>
      </c>
      <c r="G61" s="28">
        <v>13.0</v>
      </c>
      <c r="H61" s="31">
        <v>0.0</v>
      </c>
      <c r="I61" s="31">
        <v>0.0</v>
      </c>
      <c r="J61" s="31">
        <v>0.0</v>
      </c>
      <c r="K61" s="33">
        <v>13.0</v>
      </c>
      <c r="L61" s="31">
        <v>0.0</v>
      </c>
      <c r="M61" s="28">
        <f t="shared" ref="M61:N61" si="58">C61+K61</f>
        <v>22</v>
      </c>
      <c r="N61" s="29">
        <f t="shared" si="58"/>
        <v>0</v>
      </c>
      <c r="O61" s="35" t="s">
        <v>46</v>
      </c>
      <c r="P61" s="35" t="s">
        <v>46</v>
      </c>
      <c r="Q61" s="31">
        <f>if(G61=13,1,0)+VLOOKUP(B61,'010624'!B:Q,16,false)</f>
        <v>1</v>
      </c>
      <c r="R61" s="31"/>
      <c r="S61" s="31">
        <f>if(G61=9,1,0)+VLOOKUP(B61,'010624'!B:S,18,false)</f>
        <v>1</v>
      </c>
    </row>
    <row r="62">
      <c r="A62" s="26">
        <f t="shared" si="3"/>
        <v>58</v>
      </c>
      <c r="B62" s="39" t="s">
        <v>126</v>
      </c>
      <c r="C62" s="77">
        <v>9.0</v>
      </c>
      <c r="D62" s="78">
        <v>0.0</v>
      </c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f t="shared" ref="M62:N62" si="59">C62+K62</f>
        <v>18</v>
      </c>
      <c r="N62" s="29">
        <f t="shared" si="59"/>
        <v>0</v>
      </c>
      <c r="O62" s="35" t="s">
        <v>46</v>
      </c>
      <c r="P62" s="35" t="s">
        <v>46</v>
      </c>
      <c r="Q62" s="31">
        <f>if(G62=13,1,0)+VLOOKUP(B62,'010624'!B:Q,16,false)</f>
        <v>0</v>
      </c>
      <c r="R62" s="31"/>
      <c r="S62" s="31">
        <f>if(G62=9,1,0)+VLOOKUP(B62,'010624'!B:S,18,false)</f>
        <v>2</v>
      </c>
    </row>
    <row r="63">
      <c r="A63" s="26">
        <f t="shared" si="3"/>
        <v>59</v>
      </c>
      <c r="B63" s="39" t="s">
        <v>127</v>
      </c>
      <c r="C63" s="77">
        <v>9.0</v>
      </c>
      <c r="D63" s="78">
        <v>0.0</v>
      </c>
      <c r="E63" s="30">
        <v>3.0</v>
      </c>
      <c r="F63" s="31">
        <v>0.0</v>
      </c>
      <c r="G63" s="28">
        <v>9.0</v>
      </c>
      <c r="H63" s="31">
        <v>0.0</v>
      </c>
      <c r="I63" s="31">
        <v>0.0</v>
      </c>
      <c r="J63" s="31">
        <v>0.0</v>
      </c>
      <c r="K63" s="33">
        <v>9.0</v>
      </c>
      <c r="L63" s="31">
        <v>0.0</v>
      </c>
      <c r="M63" s="28">
        <f t="shared" ref="M63:N63" si="60">C63+K63</f>
        <v>18</v>
      </c>
      <c r="N63" s="29">
        <f t="shared" si="60"/>
        <v>0</v>
      </c>
      <c r="O63" s="35" t="s">
        <v>46</v>
      </c>
      <c r="P63" s="35" t="s">
        <v>46</v>
      </c>
      <c r="Q63" s="31">
        <f>if(G63=13,1,0)+VLOOKUP(B63,'010624'!B:Q,16,false)</f>
        <v>0</v>
      </c>
      <c r="R63" s="31"/>
      <c r="S63" s="31">
        <f>if(G63=9,1,0)+VLOOKUP(B63,'010624'!B:S,18,false)</f>
        <v>2</v>
      </c>
    </row>
    <row r="64">
      <c r="A64" s="26">
        <f t="shared" si="3"/>
        <v>60</v>
      </c>
      <c r="B64" s="54" t="s">
        <v>47</v>
      </c>
      <c r="C64" s="77">
        <v>9.0</v>
      </c>
      <c r="D64" s="78">
        <v>0.0</v>
      </c>
      <c r="E64" s="30">
        <v>1.0</v>
      </c>
      <c r="F64" s="31">
        <v>7.0</v>
      </c>
      <c r="G64" s="28">
        <v>0.0</v>
      </c>
      <c r="H64" s="31">
        <v>2.0</v>
      </c>
      <c r="I64" s="31">
        <v>5.0</v>
      </c>
      <c r="J64" s="31">
        <v>7.0</v>
      </c>
      <c r="K64" s="33">
        <v>14.0</v>
      </c>
      <c r="L64" s="31">
        <v>1.0</v>
      </c>
      <c r="M64" s="28">
        <f t="shared" ref="M64:N64" si="61">C64+K64</f>
        <v>23</v>
      </c>
      <c r="N64" s="29">
        <f t="shared" si="61"/>
        <v>1</v>
      </c>
      <c r="O64" s="35" t="s">
        <v>46</v>
      </c>
      <c r="P64" s="35" t="s">
        <v>46</v>
      </c>
      <c r="Q64" s="31">
        <f>if(G64=13,1,0)+VLOOKUP(B64,'010624'!B:Q,16,false)</f>
        <v>0</v>
      </c>
      <c r="R64" s="31"/>
      <c r="S64" s="31">
        <f>if(G64=9,1,0)+VLOOKUP(B64,'010624'!B:S,18,false)</f>
        <v>0</v>
      </c>
    </row>
    <row r="65">
      <c r="A65" s="26">
        <f t="shared" si="3"/>
        <v>61</v>
      </c>
      <c r="B65" s="54" t="s">
        <v>100</v>
      </c>
      <c r="C65" s="77">
        <v>9.0</v>
      </c>
      <c r="D65" s="78">
        <v>0.0</v>
      </c>
      <c r="E65" s="30">
        <v>1.0</v>
      </c>
      <c r="F65" s="31">
        <v>7.0</v>
      </c>
      <c r="G65" s="28">
        <v>0.0</v>
      </c>
      <c r="H65" s="31">
        <v>2.0</v>
      </c>
      <c r="I65" s="31">
        <v>7.0</v>
      </c>
      <c r="J65" s="31">
        <v>5.0</v>
      </c>
      <c r="K65" s="33">
        <v>14.0</v>
      </c>
      <c r="L65" s="31">
        <v>1.0</v>
      </c>
      <c r="M65" s="28">
        <f t="shared" ref="M65:N65" si="62">C65+K65</f>
        <v>23</v>
      </c>
      <c r="N65" s="29">
        <f t="shared" si="62"/>
        <v>1</v>
      </c>
      <c r="O65" s="35" t="s">
        <v>46</v>
      </c>
      <c r="P65" s="35" t="s">
        <v>46</v>
      </c>
      <c r="Q65" s="31">
        <f>if(G65=13,1,0)+VLOOKUP(B65,'010624'!B:Q,16,false)</f>
        <v>0</v>
      </c>
      <c r="R65" s="31"/>
      <c r="S65" s="31">
        <f>if(G65=9,1,0)+VLOOKUP(B65,'010624'!B:S,18,false)</f>
        <v>1</v>
      </c>
    </row>
    <row r="66">
      <c r="A66" s="26">
        <f t="shared" si="3"/>
        <v>62</v>
      </c>
      <c r="B66" s="54" t="s">
        <v>122</v>
      </c>
      <c r="C66" s="77">
        <v>9.0</v>
      </c>
      <c r="D66" s="78">
        <v>0.0</v>
      </c>
      <c r="E66" s="30">
        <v>1.0</v>
      </c>
      <c r="F66" s="31">
        <v>7.0</v>
      </c>
      <c r="G66" s="28">
        <v>0.0</v>
      </c>
      <c r="H66" s="31">
        <v>6.0</v>
      </c>
      <c r="I66" s="31">
        <v>5.0</v>
      </c>
      <c r="J66" s="31">
        <v>5.0</v>
      </c>
      <c r="K66" s="33">
        <v>16.0</v>
      </c>
      <c r="L66" s="31">
        <v>1.0</v>
      </c>
      <c r="M66" s="28">
        <f t="shared" ref="M66:N66" si="63">C66+K66</f>
        <v>25</v>
      </c>
      <c r="N66" s="29">
        <f t="shared" si="63"/>
        <v>1</v>
      </c>
      <c r="O66" s="35" t="s">
        <v>46</v>
      </c>
      <c r="P66" s="35" t="s">
        <v>46</v>
      </c>
      <c r="Q66" s="31">
        <f>if(G66=13,1,0)+VLOOKUP(B66,'010624'!B:Q,16,false)</f>
        <v>0</v>
      </c>
      <c r="R66" s="31"/>
      <c r="S66" s="31">
        <f>if(G66=9,1,0)+VLOOKUP(B66,'010624'!B:S,18,false)</f>
        <v>1</v>
      </c>
    </row>
    <row r="67">
      <c r="A67" s="26">
        <f t="shared" si="3"/>
        <v>63</v>
      </c>
      <c r="B67" s="54" t="s">
        <v>94</v>
      </c>
      <c r="C67" s="77">
        <v>9.0</v>
      </c>
      <c r="D67" s="78">
        <v>0.0</v>
      </c>
      <c r="E67" s="30">
        <v>1.0</v>
      </c>
      <c r="F67" s="31">
        <v>8.0</v>
      </c>
      <c r="G67" s="28">
        <v>0.0</v>
      </c>
      <c r="H67" s="31">
        <v>4.0</v>
      </c>
      <c r="I67" s="31">
        <v>6.0</v>
      </c>
      <c r="J67" s="31">
        <v>2.0</v>
      </c>
      <c r="K67" s="33">
        <v>12.0</v>
      </c>
      <c r="L67" s="31">
        <v>1.0</v>
      </c>
      <c r="M67" s="28">
        <f t="shared" ref="M67:N67" si="64">C67+K67</f>
        <v>21</v>
      </c>
      <c r="N67" s="29">
        <f t="shared" si="64"/>
        <v>1</v>
      </c>
      <c r="O67" s="35" t="s">
        <v>46</v>
      </c>
      <c r="P67" s="35" t="s">
        <v>46</v>
      </c>
      <c r="Q67" s="31">
        <f>if(G67=13,1,0)+VLOOKUP(B67,'010624'!B:Q,16,false)</f>
        <v>0</v>
      </c>
      <c r="R67" s="31"/>
      <c r="S67" s="31">
        <f>if(G67=9,1,0)+VLOOKUP(B67,'010624'!B:S,18,false)</f>
        <v>1</v>
      </c>
    </row>
    <row r="68">
      <c r="A68" s="26">
        <f t="shared" si="3"/>
        <v>64</v>
      </c>
      <c r="B68" s="39" t="s">
        <v>121</v>
      </c>
      <c r="C68" s="77">
        <v>9.0</v>
      </c>
      <c r="D68" s="78">
        <v>0.0</v>
      </c>
      <c r="E68" s="30">
        <v>2.0</v>
      </c>
      <c r="F68" s="31">
        <v>8.0</v>
      </c>
      <c r="G68" s="28">
        <v>0.0</v>
      </c>
      <c r="H68" s="31">
        <v>6.0</v>
      </c>
      <c r="I68" s="31">
        <v>6.0</v>
      </c>
      <c r="J68" s="31">
        <v>6.0</v>
      </c>
      <c r="K68" s="33">
        <v>18.0</v>
      </c>
      <c r="L68" s="31">
        <v>3.0</v>
      </c>
      <c r="M68" s="28">
        <f t="shared" ref="M68:N68" si="65">C68+K68</f>
        <v>27</v>
      </c>
      <c r="N68" s="29">
        <f t="shared" si="65"/>
        <v>3</v>
      </c>
      <c r="O68" s="35" t="s">
        <v>46</v>
      </c>
      <c r="P68" s="35" t="s">
        <v>46</v>
      </c>
      <c r="Q68" s="31"/>
      <c r="R68" s="31"/>
      <c r="S68" s="31"/>
    </row>
    <row r="69">
      <c r="A69" s="26">
        <f t="shared" si="3"/>
        <v>65</v>
      </c>
      <c r="B69" s="54" t="s">
        <v>54</v>
      </c>
      <c r="C69" s="77">
        <v>7.0</v>
      </c>
      <c r="D69" s="29">
        <v>1.0</v>
      </c>
      <c r="E69" s="30">
        <v>1.0</v>
      </c>
      <c r="F69" s="31">
        <v>8.0</v>
      </c>
      <c r="G69" s="28">
        <v>0.0</v>
      </c>
      <c r="H69" s="31">
        <v>6.0</v>
      </c>
      <c r="I69" s="31">
        <v>4.0</v>
      </c>
      <c r="J69" s="31">
        <v>2.0</v>
      </c>
      <c r="K69" s="33">
        <v>12.0</v>
      </c>
      <c r="L69" s="31">
        <v>1.0</v>
      </c>
      <c r="M69" s="28">
        <f t="shared" ref="M69:N69" si="66">C69+K69</f>
        <v>19</v>
      </c>
      <c r="N69" s="29">
        <f t="shared" si="66"/>
        <v>2</v>
      </c>
      <c r="O69" s="35" t="s">
        <v>46</v>
      </c>
      <c r="P69" s="35" t="s">
        <v>46</v>
      </c>
      <c r="Q69" s="31">
        <f>if(G69=13,1,0)+VLOOKUP(B69,'010624'!B:Q,16,false)</f>
        <v>0</v>
      </c>
      <c r="R69" s="31"/>
      <c r="S69" s="31">
        <f>if(G69=9,1,0)+VLOOKUP(B69,'010624'!B:S,18,false)</f>
        <v>0</v>
      </c>
    </row>
    <row r="70">
      <c r="A70" s="26">
        <f t="shared" si="3"/>
        <v>66</v>
      </c>
      <c r="B70" s="54" t="s">
        <v>89</v>
      </c>
      <c r="C70" s="77">
        <v>4.0</v>
      </c>
      <c r="D70" s="78">
        <v>0.0</v>
      </c>
      <c r="E70" s="30">
        <v>1.0</v>
      </c>
      <c r="F70" s="31">
        <v>8.0</v>
      </c>
      <c r="G70" s="28">
        <v>0.0</v>
      </c>
      <c r="H70" s="31">
        <v>4.0</v>
      </c>
      <c r="I70" s="31">
        <v>4.0</v>
      </c>
      <c r="J70" s="31">
        <v>6.0</v>
      </c>
      <c r="K70" s="33">
        <v>14.0</v>
      </c>
      <c r="L70" s="31">
        <v>1.0</v>
      </c>
      <c r="M70" s="28">
        <f t="shared" ref="M70:N70" si="67">C70+K70</f>
        <v>18</v>
      </c>
      <c r="N70" s="29">
        <f t="shared" si="67"/>
        <v>1</v>
      </c>
      <c r="O70" s="35" t="s">
        <v>46</v>
      </c>
      <c r="P70" s="35" t="s">
        <v>46</v>
      </c>
      <c r="Q70" s="31">
        <f>if(G70=13,1,0)+VLOOKUP(B70,'010624'!B:Q,16,false)</f>
        <v>0</v>
      </c>
      <c r="R70" s="31"/>
      <c r="S70" s="31">
        <f>if(G70=9,1,0)+VLOOKUP(B70,'010624'!B:S,18,false)</f>
        <v>0</v>
      </c>
    </row>
    <row r="71">
      <c r="A71" s="1"/>
      <c r="C71" s="1"/>
      <c r="D71" s="1"/>
      <c r="E71" s="1"/>
      <c r="P71" s="1"/>
    </row>
    <row r="72">
      <c r="A72" s="1"/>
      <c r="C72" s="1"/>
      <c r="D72" s="1"/>
      <c r="E72" s="1"/>
      <c r="P72" s="1"/>
    </row>
    <row r="73">
      <c r="A73" s="1"/>
      <c r="B73" s="56">
        <f>COUNTA(B5:B70)</f>
        <v>66</v>
      </c>
      <c r="C73" s="1"/>
      <c r="D73" s="1"/>
      <c r="E73" s="1"/>
      <c r="O73" s="13" t="s">
        <v>128</v>
      </c>
      <c r="P73" s="14">
        <f>COUNTA(P5:P70)</f>
        <v>66</v>
      </c>
    </row>
    <row r="74">
      <c r="A74" s="1"/>
      <c r="C74" s="1"/>
      <c r="D74" s="1"/>
      <c r="E74" s="1"/>
      <c r="O74" s="13" t="s">
        <v>129</v>
      </c>
      <c r="P74" s="14">
        <f>P75-P73</f>
        <v>0</v>
      </c>
    </row>
    <row r="75">
      <c r="A75" s="1"/>
      <c r="C75" s="1"/>
      <c r="D75" s="1"/>
      <c r="J75" s="41"/>
      <c r="K75" s="57"/>
      <c r="L75" s="58"/>
      <c r="O75" s="13" t="s">
        <v>53</v>
      </c>
      <c r="P75" s="14">
        <f>B73</f>
        <v>66</v>
      </c>
    </row>
    <row r="76">
      <c r="A76" s="1"/>
      <c r="C76" s="1"/>
      <c r="D76" s="1"/>
      <c r="E76" s="9" t="s">
        <v>130</v>
      </c>
      <c r="J76" s="41"/>
      <c r="K76" s="57"/>
      <c r="L76" s="58"/>
    </row>
    <row r="77">
      <c r="A77" s="1"/>
      <c r="C77" s="1"/>
      <c r="D77" s="1"/>
      <c r="J77" s="41"/>
      <c r="K77" s="57"/>
      <c r="L77" s="58"/>
    </row>
    <row r="78">
      <c r="A78" s="1"/>
      <c r="C78" s="1"/>
      <c r="D78" s="1"/>
      <c r="J78" s="41"/>
      <c r="K78" s="57"/>
      <c r="L78" s="58"/>
    </row>
    <row r="79">
      <c r="A79" s="1"/>
      <c r="B79" s="59" t="s">
        <v>131</v>
      </c>
      <c r="C79" s="59" t="s">
        <v>132</v>
      </c>
      <c r="D79" s="59" t="s">
        <v>133</v>
      </c>
      <c r="J79" s="41"/>
      <c r="K79" s="57"/>
      <c r="L79" s="58"/>
    </row>
    <row r="80">
      <c r="A80" s="1"/>
      <c r="B80" s="39" t="str">
        <f>IFERROR(__xludf.DUMMYFUNCTION("QUERY(B5:L70,""Select B, K, L where K &gt;= 18 order by K desc, L desc"",0)"),"Savay Lieu")</f>
        <v>Savay Lieu</v>
      </c>
      <c r="C80" s="60">
        <f>IFERROR(__xludf.DUMMYFUNCTION("""COMPUTED_VALUE"""),20.0)</f>
        <v>20</v>
      </c>
      <c r="D80" s="60">
        <f>IFERROR(__xludf.DUMMYFUNCTION("""COMPUTED_VALUE"""),3.0)</f>
        <v>3</v>
      </c>
      <c r="E80" s="1"/>
      <c r="K80" s="57"/>
      <c r="L80" s="58"/>
    </row>
    <row r="81">
      <c r="A81" s="1"/>
      <c r="B81" s="39" t="str">
        <f>IFERROR(__xludf.DUMMYFUNCTION("""COMPUTED_VALUE"""),"Andrew Chin")</f>
        <v>Andrew Chin</v>
      </c>
      <c r="C81" s="60">
        <f>IFERROR(__xludf.DUMMYFUNCTION("""COMPUTED_VALUE"""),19.0)</f>
        <v>19</v>
      </c>
      <c r="D81" s="60">
        <f>IFERROR(__xludf.DUMMYFUNCTION("""COMPUTED_VALUE"""),3.0)</f>
        <v>3</v>
      </c>
      <c r="E81" s="1"/>
      <c r="L81" s="61"/>
    </row>
    <row r="82">
      <c r="A82" s="1"/>
      <c r="B82" s="39" t="str">
        <f>IFERROR(__xludf.DUMMYFUNCTION("""COMPUTED_VALUE"""),"Balaji Alahari")</f>
        <v>Balaji Alahari</v>
      </c>
      <c r="C82" s="60">
        <f>IFERROR(__xludf.DUMMYFUNCTION("""COMPUTED_VALUE"""),18.0)</f>
        <v>18</v>
      </c>
      <c r="D82" s="60">
        <f>IFERROR(__xludf.DUMMYFUNCTION("""COMPUTED_VALUE"""),3.0)</f>
        <v>3</v>
      </c>
      <c r="E82" s="1"/>
    </row>
    <row r="83">
      <c r="A83" s="1"/>
      <c r="B83" s="39" t="str">
        <f>IFERROR(__xludf.DUMMYFUNCTION("""COMPUTED_VALUE"""),"Tony Lin")</f>
        <v>Tony Lin</v>
      </c>
      <c r="C83" s="60">
        <f>IFERROR(__xludf.DUMMYFUNCTION("""COMPUTED_VALUE"""),18.0)</f>
        <v>18</v>
      </c>
      <c r="D83" s="60">
        <f>IFERROR(__xludf.DUMMYFUNCTION("""COMPUTED_VALUE"""),3.0)</f>
        <v>3</v>
      </c>
      <c r="E83" s="1"/>
    </row>
    <row r="84">
      <c r="A84" s="1"/>
      <c r="B84" s="39" t="str">
        <f>IFERROR(__xludf.DUMMYFUNCTION("""COMPUTED_VALUE"""),"Suleman Alidina")</f>
        <v>Suleman Alidina</v>
      </c>
      <c r="C84" s="60">
        <f>IFERROR(__xludf.DUMMYFUNCTION("""COMPUTED_VALUE"""),18.0)</f>
        <v>18</v>
      </c>
      <c r="D84" s="60">
        <f>IFERROR(__xludf.DUMMYFUNCTION("""COMPUTED_VALUE"""),2.0)</f>
        <v>2</v>
      </c>
      <c r="E84" s="1"/>
      <c r="K84" s="9"/>
    </row>
    <row r="85">
      <c r="A85" s="1"/>
      <c r="B85" s="39" t="str">
        <f>IFERROR(__xludf.DUMMYFUNCTION("""COMPUTED_VALUE"""),"Pavan Akkimsetty")</f>
        <v>Pavan Akkimsetty</v>
      </c>
      <c r="C85" s="60">
        <f>IFERROR(__xludf.DUMMYFUNCTION("""COMPUTED_VALUE"""),18.0)</f>
        <v>18</v>
      </c>
      <c r="D85" s="60">
        <f>IFERROR(__xludf.DUMMYFUNCTION("""COMPUTED_VALUE"""),2.0)</f>
        <v>2</v>
      </c>
      <c r="E85" s="1"/>
      <c r="K85" s="9"/>
    </row>
    <row r="86">
      <c r="A86" s="1"/>
      <c r="B86" s="39"/>
      <c r="C86" s="60"/>
      <c r="D86" s="60"/>
      <c r="E86" s="1"/>
      <c r="K86" s="9"/>
    </row>
    <row r="87">
      <c r="A87" s="1"/>
      <c r="B87" s="39"/>
      <c r="C87" s="60"/>
      <c r="D87" s="60"/>
      <c r="E87" s="1"/>
      <c r="K87" s="9"/>
    </row>
    <row r="88">
      <c r="A88" s="1"/>
      <c r="B88" s="39"/>
      <c r="C88" s="60"/>
      <c r="D88" s="60"/>
      <c r="E88" s="1"/>
    </row>
    <row r="89">
      <c r="A89" s="1"/>
      <c r="B89" s="39"/>
      <c r="C89" s="60"/>
      <c r="D89" s="60"/>
      <c r="E89" s="1"/>
    </row>
    <row r="90">
      <c r="A90" s="1"/>
      <c r="C90" s="1"/>
      <c r="D90" s="1"/>
      <c r="E90" s="1"/>
    </row>
    <row r="91">
      <c r="A91" s="1"/>
      <c r="B91" s="9" t="s">
        <v>135</v>
      </c>
      <c r="C91" s="1"/>
      <c r="D91" s="1"/>
      <c r="E91" s="1"/>
    </row>
    <row r="92">
      <c r="A92" s="1"/>
      <c r="B92" s="23" t="s">
        <v>29</v>
      </c>
      <c r="C92" s="24" t="s">
        <v>5</v>
      </c>
      <c r="D92" s="24" t="s">
        <v>7</v>
      </c>
      <c r="E92" s="24" t="s">
        <v>30</v>
      </c>
      <c r="F92" s="24" t="s">
        <v>31</v>
      </c>
      <c r="G92" s="24" t="s">
        <v>32</v>
      </c>
      <c r="H92" s="24" t="s">
        <v>11</v>
      </c>
      <c r="I92" s="24" t="s">
        <v>13</v>
      </c>
      <c r="J92" s="24" t="s">
        <v>14</v>
      </c>
      <c r="K92" s="24" t="s">
        <v>5</v>
      </c>
      <c r="L92" s="24" t="s">
        <v>7</v>
      </c>
      <c r="M92" s="25" t="s">
        <v>5</v>
      </c>
      <c r="N92" s="25" t="s">
        <v>7</v>
      </c>
    </row>
    <row r="93">
      <c r="A93" s="1"/>
      <c r="B93" s="62" t="str">
        <f>IFERROR(__xludf.DUMMYFUNCTION("QUERY(B5:N70, ""Select B, C, D, E, F, G, H, I, J, K, L, M, N   where F &gt;= 1"")"),"Oscar Bonilla")</f>
        <v>Oscar Bonilla</v>
      </c>
      <c r="C93" s="63">
        <f>IFERROR(__xludf.DUMMYFUNCTION("""COMPUTED_VALUE"""),19.0)</f>
        <v>19</v>
      </c>
      <c r="D93" s="64">
        <f>IFERROR(__xludf.DUMMYFUNCTION("""COMPUTED_VALUE"""),3.0)</f>
        <v>3</v>
      </c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IFERROR(__xludf.DUMMYFUNCTION("""COMPUTED_VALUE"""),6.0)</f>
        <v>6</v>
      </c>
      <c r="I93" s="65">
        <f>IFERROR(__xludf.DUMMYFUNCTION("""COMPUTED_VALUE"""),7.0)</f>
        <v>7</v>
      </c>
      <c r="J93" s="65">
        <f>IFERROR(__xludf.DUMMYFUNCTION("""COMPUTED_VALUE"""),4.0)</f>
        <v>4</v>
      </c>
      <c r="K93" s="65">
        <f>IFERROR(__xludf.DUMMYFUNCTION("""COMPUTED_VALUE"""),17.0)</f>
        <v>17</v>
      </c>
      <c r="L93" s="65">
        <f>IFERROR(__xludf.DUMMYFUNCTION("""COMPUTED_VALUE"""),2.0)</f>
        <v>2</v>
      </c>
      <c r="M93" s="65">
        <f>IFERROR(__xludf.DUMMYFUNCTION("""COMPUTED_VALUE"""),36.0)</f>
        <v>36</v>
      </c>
      <c r="N93" s="66">
        <f>IFERROR(__xludf.DUMMYFUNCTION("""COMPUTED_VALUE"""),5.0)</f>
        <v>5</v>
      </c>
    </row>
    <row r="94">
      <c r="A94" s="1"/>
      <c r="B94" s="62" t="str">
        <f>IFERROR(__xludf.DUMMYFUNCTION("""COMPUTED_VALUE"""),"Anish Kumar")</f>
        <v>Anish Kumar</v>
      </c>
      <c r="C94" s="63">
        <f>IFERROR(__xludf.DUMMYFUNCTION("""COMPUTED_VALUE"""),19.0)</f>
        <v>19</v>
      </c>
      <c r="D94" s="64">
        <f>IFERROR(__xludf.DUMMYFUNCTION("""COMPUTED_VALUE"""),3.0)</f>
        <v>3</v>
      </c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IFERROR(__xludf.DUMMYFUNCTION("""COMPUTED_VALUE"""),4.0)</f>
        <v>4</v>
      </c>
      <c r="I94" s="65">
        <f>IFERROR(__xludf.DUMMYFUNCTION("""COMPUTED_VALUE"""),6.0)</f>
        <v>6</v>
      </c>
      <c r="J94" s="65">
        <f>IFERROR(__xludf.DUMMYFUNCTION("""COMPUTED_VALUE"""),4.0)</f>
        <v>4</v>
      </c>
      <c r="K94" s="65">
        <f>IFERROR(__xludf.DUMMYFUNCTION("""COMPUTED_VALUE"""),14.0)</f>
        <v>14</v>
      </c>
      <c r="L94" s="65">
        <f>IFERROR(__xludf.DUMMYFUNCTION("""COMPUTED_VALUE"""),0.0)</f>
        <v>0</v>
      </c>
      <c r="M94" s="65">
        <f>IFERROR(__xludf.DUMMYFUNCTION("""COMPUTED_VALUE"""),33.0)</f>
        <v>33</v>
      </c>
      <c r="N94" s="66">
        <f>IFERROR(__xludf.DUMMYFUNCTION("""COMPUTED_VALUE"""),3.0)</f>
        <v>3</v>
      </c>
    </row>
    <row r="95">
      <c r="A95" s="1"/>
      <c r="B95" s="62" t="str">
        <f>IFERROR(__xludf.DUMMYFUNCTION("""COMPUTED_VALUE"""),"Suleman Alidina")</f>
        <v>Suleman Alidina</v>
      </c>
      <c r="C95" s="63">
        <f>IFERROR(__xludf.DUMMYFUNCTION("""COMPUTED_VALUE"""),18.0)</f>
        <v>18</v>
      </c>
      <c r="D95" s="64">
        <f>IFERROR(__xludf.DUMMYFUNCTION("""COMPUTED_VALUE"""),3.0)</f>
        <v>3</v>
      </c>
      <c r="E95" s="63">
        <f>IFERROR(__xludf.DUMMYFUNCTION("""COMPUTED_VALUE"""),1.0)</f>
        <v>1</v>
      </c>
      <c r="F95" s="65">
        <f>IFERROR(__xludf.DUMMYFUNCTION("""COMPUTED_VALUE"""),1.0)</f>
        <v>1</v>
      </c>
      <c r="G95" s="65">
        <f>IFERROR(__xludf.DUMMYFUNCTION("""COMPUTED_VALUE"""),0.0)</f>
        <v>0</v>
      </c>
      <c r="H95" s="65">
        <f>IFERROR(__xludf.DUMMYFUNCTION("""COMPUTED_VALUE"""),6.0)</f>
        <v>6</v>
      </c>
      <c r="I95" s="65">
        <f>IFERROR(__xludf.DUMMYFUNCTION("""COMPUTED_VALUE"""),6.0)</f>
        <v>6</v>
      </c>
      <c r="J95" s="65">
        <f>IFERROR(__xludf.DUMMYFUNCTION("""COMPUTED_VALUE"""),6.0)</f>
        <v>6</v>
      </c>
      <c r="K95" s="65">
        <f>IFERROR(__xludf.DUMMYFUNCTION("""COMPUTED_VALUE"""),18.0)</f>
        <v>18</v>
      </c>
      <c r="L95" s="65">
        <f>IFERROR(__xludf.DUMMYFUNCTION("""COMPUTED_VALUE"""),2.0)</f>
        <v>2</v>
      </c>
      <c r="M95" s="65">
        <f>IFERROR(__xludf.DUMMYFUNCTION("""COMPUTED_VALUE"""),36.0)</f>
        <v>36</v>
      </c>
      <c r="N95" s="66">
        <f>IFERROR(__xludf.DUMMYFUNCTION("""COMPUTED_VALUE"""),5.0)</f>
        <v>5</v>
      </c>
    </row>
    <row r="96">
      <c r="A96" s="1"/>
      <c r="B96" s="62" t="str">
        <f>IFERROR(__xludf.DUMMYFUNCTION("""COMPUTED_VALUE"""),"Alejandro Mejia")</f>
        <v>Alejandro Mejia</v>
      </c>
      <c r="C96" s="63">
        <f>IFERROR(__xludf.DUMMYFUNCTION("""COMPUTED_VALUE"""),17.0)</f>
        <v>17</v>
      </c>
      <c r="D96" s="64">
        <f>IFERROR(__xludf.DUMMYFUNCTION("""COMPUTED_VALUE"""),2.0)</f>
        <v>2</v>
      </c>
      <c r="E96" s="63">
        <f>IFERROR(__xludf.DUMMYFUNCTION("""COMPUTED_VALUE"""),1.0)</f>
        <v>1</v>
      </c>
      <c r="F96" s="65">
        <f>IFERROR(__xludf.DUMMYFUNCTION("""COMPUTED_VALUE"""),1.0)</f>
        <v>1</v>
      </c>
      <c r="G96" s="65">
        <f>IFERROR(__xludf.DUMMYFUNCTION("""COMPUTED_VALUE"""),0.0)</f>
        <v>0</v>
      </c>
      <c r="H96" s="65">
        <f>IFERROR(__xludf.DUMMYFUNCTION("""COMPUTED_VALUE"""),4.0)</f>
        <v>4</v>
      </c>
      <c r="I96" s="65">
        <f>IFERROR(__xludf.DUMMYFUNCTION("""COMPUTED_VALUE"""),7.0)</f>
        <v>7</v>
      </c>
      <c r="J96" s="65">
        <f>IFERROR(__xludf.DUMMYFUNCTION("""COMPUTED_VALUE"""),6.0)</f>
        <v>6</v>
      </c>
      <c r="K96" s="65">
        <f>IFERROR(__xludf.DUMMYFUNCTION("""COMPUTED_VALUE"""),17.0)</f>
        <v>17</v>
      </c>
      <c r="L96" s="65">
        <f>IFERROR(__xludf.DUMMYFUNCTION("""COMPUTED_VALUE"""),2.0)</f>
        <v>2</v>
      </c>
      <c r="M96" s="65">
        <f>IFERROR(__xludf.DUMMYFUNCTION("""COMPUTED_VALUE"""),34.0)</f>
        <v>34</v>
      </c>
      <c r="N96" s="66">
        <f>IFERROR(__xludf.DUMMYFUNCTION("""COMPUTED_VALUE"""),4.0)</f>
        <v>4</v>
      </c>
    </row>
    <row r="97">
      <c r="A97" s="1"/>
      <c r="B97" s="67" t="str">
        <f>IFERROR(__xludf.DUMMYFUNCTION("""COMPUTED_VALUE"""),"Jimmy Awolesi")</f>
        <v>Jimmy Awolesi</v>
      </c>
      <c r="C97" s="68">
        <f>IFERROR(__xludf.DUMMYFUNCTION("""COMPUTED_VALUE"""),17.0)</f>
        <v>17</v>
      </c>
      <c r="D97" s="69">
        <f>IFERROR(__xludf.DUMMYFUNCTION("""COMPUTED_VALUE"""),2.0)</f>
        <v>2</v>
      </c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IFERROR(__xludf.DUMMYFUNCTION("""COMPUTED_VALUE"""),2.0)</f>
        <v>2</v>
      </c>
      <c r="I97" s="70">
        <f>IFERROR(__xludf.DUMMYFUNCTION("""COMPUTED_VALUE"""),6.0)</f>
        <v>6</v>
      </c>
      <c r="J97" s="70">
        <f>IFERROR(__xludf.DUMMYFUNCTION("""COMPUTED_VALUE"""),4.0)</f>
        <v>4</v>
      </c>
      <c r="K97" s="70">
        <f>IFERROR(__xludf.DUMMYFUNCTION("""COMPUTED_VALUE"""),12.0)</f>
        <v>12</v>
      </c>
      <c r="L97" s="70">
        <f>IFERROR(__xludf.DUMMYFUNCTION("""COMPUTED_VALUE"""),1.0)</f>
        <v>1</v>
      </c>
      <c r="M97" s="70">
        <f>IFERROR(__xludf.DUMMYFUNCTION("""COMPUTED_VALUE"""),29.0)</f>
        <v>29</v>
      </c>
      <c r="N97" s="71">
        <f>IFERROR(__xludf.DUMMYFUNCTION("""COMPUTED_VALUE"""),3.0)</f>
        <v>3</v>
      </c>
    </row>
    <row r="98">
      <c r="A98" s="1"/>
      <c r="B98" s="67" t="str">
        <f>IFERROR(__xludf.DUMMYFUNCTION("""COMPUTED_VALUE"""),"Balaji Alahari")</f>
        <v>Balaji Alahari</v>
      </c>
      <c r="C98" s="68">
        <f>IFERROR(__xludf.DUMMYFUNCTION("""COMPUTED_VALUE"""),17.0)</f>
        <v>17</v>
      </c>
      <c r="D98" s="69">
        <f>IFERROR(__xludf.DUMMYFUNCTION("""COMPUTED_VALUE"""),2.0)</f>
        <v>2</v>
      </c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IFERROR(__xludf.DUMMYFUNCTION("""COMPUTED_VALUE"""),6.0)</f>
        <v>6</v>
      </c>
      <c r="I98" s="70">
        <f>IFERROR(__xludf.DUMMYFUNCTION("""COMPUTED_VALUE"""),6.0)</f>
        <v>6</v>
      </c>
      <c r="J98" s="70">
        <f>IFERROR(__xludf.DUMMYFUNCTION("""COMPUTED_VALUE"""),6.0)</f>
        <v>6</v>
      </c>
      <c r="K98" s="70">
        <f>IFERROR(__xludf.DUMMYFUNCTION("""COMPUTED_VALUE"""),18.0)</f>
        <v>18</v>
      </c>
      <c r="L98" s="70">
        <f>IFERROR(__xludf.DUMMYFUNCTION("""COMPUTED_VALUE"""),3.0)</f>
        <v>3</v>
      </c>
      <c r="M98" s="70">
        <f>IFERROR(__xludf.DUMMYFUNCTION("""COMPUTED_VALUE"""),35.0)</f>
        <v>35</v>
      </c>
      <c r="N98" s="71">
        <f>IFERROR(__xludf.DUMMYFUNCTION("""COMPUTED_VALUE"""),5.0)</f>
        <v>5</v>
      </c>
    </row>
    <row r="99">
      <c r="A99" s="1"/>
      <c r="B99" s="67" t="str">
        <f>IFERROR(__xludf.DUMMYFUNCTION("""COMPUTED_VALUE"""),"Ted Shen")</f>
        <v>Ted Shen</v>
      </c>
      <c r="C99" s="68">
        <f>IFERROR(__xludf.DUMMYFUNCTION("""COMPUTED_VALUE"""),15.0)</f>
        <v>15</v>
      </c>
      <c r="D99" s="69">
        <f>IFERROR(__xludf.DUMMYFUNCTION("""COMPUTED_VALUE"""),1.0)</f>
        <v>1</v>
      </c>
      <c r="E99" s="68">
        <f>IFERROR(__xludf.DUMMYFUNCTION("""COMPUTED_VALUE"""),1.0)</f>
        <v>1</v>
      </c>
      <c r="F99" s="70">
        <f>IFERROR(__xludf.DUMMYFUNCTION("""COMPUTED_VALUE"""),2.0)</f>
        <v>2</v>
      </c>
      <c r="G99" s="70">
        <f>IFERROR(__xludf.DUMMYFUNCTION("""COMPUTED_VALUE"""),0.0)</f>
        <v>0</v>
      </c>
      <c r="H99" s="70">
        <f>IFERROR(__xludf.DUMMYFUNCTION("""COMPUTED_VALUE"""),2.0)</f>
        <v>2</v>
      </c>
      <c r="I99" s="70">
        <f>IFERROR(__xludf.DUMMYFUNCTION("""COMPUTED_VALUE"""),2.0)</f>
        <v>2</v>
      </c>
      <c r="J99" s="70">
        <f>IFERROR(__xludf.DUMMYFUNCTION("""COMPUTED_VALUE"""),6.0)</f>
        <v>6</v>
      </c>
      <c r="K99" s="70">
        <f>IFERROR(__xludf.DUMMYFUNCTION("""COMPUTED_VALUE"""),10.0)</f>
        <v>10</v>
      </c>
      <c r="L99" s="70">
        <f>IFERROR(__xludf.DUMMYFUNCTION("""COMPUTED_VALUE"""),1.0)</f>
        <v>1</v>
      </c>
      <c r="M99" s="70">
        <f>IFERROR(__xludf.DUMMYFUNCTION("""COMPUTED_VALUE"""),25.0)</f>
        <v>25</v>
      </c>
      <c r="N99" s="71">
        <f>IFERROR(__xludf.DUMMYFUNCTION("""COMPUTED_VALUE"""),2.0)</f>
        <v>2</v>
      </c>
    </row>
    <row r="100">
      <c r="A100" s="1"/>
      <c r="B100" s="67" t="str">
        <f>IFERROR(__xludf.DUMMYFUNCTION("""COMPUTED_VALUE"""),"Rajasekar Ramasamy")</f>
        <v>Rajasekar Ramasamy</v>
      </c>
      <c r="C100" s="68">
        <f>IFERROR(__xludf.DUMMYFUNCTION("""COMPUTED_VALUE"""),15.0)</f>
        <v>15</v>
      </c>
      <c r="D100" s="69">
        <f>IFERROR(__xludf.DUMMYFUNCTION("""COMPUTED_VALUE"""),1.0)</f>
        <v>1</v>
      </c>
      <c r="E100" s="68">
        <f>IFERROR(__xludf.DUMMYFUNCTION("""COMPUTED_VALUE"""),1.0)</f>
        <v>1</v>
      </c>
      <c r="F100" s="70">
        <f>IFERROR(__xludf.DUMMYFUNCTION("""COMPUTED_VALUE"""),2.0)</f>
        <v>2</v>
      </c>
      <c r="G100" s="70">
        <f>IFERROR(__xludf.DUMMYFUNCTION("""COMPUTED_VALUE"""),0.0)</f>
        <v>0</v>
      </c>
      <c r="H100" s="70">
        <f>IFERROR(__xludf.DUMMYFUNCTION("""COMPUTED_VALUE"""),6.0)</f>
        <v>6</v>
      </c>
      <c r="I100" s="70">
        <f>IFERROR(__xludf.DUMMYFUNCTION("""COMPUTED_VALUE"""),2.0)</f>
        <v>2</v>
      </c>
      <c r="J100" s="70">
        <f>IFERROR(__xludf.DUMMYFUNCTION("""COMPUTED_VALUE"""),4.0)</f>
        <v>4</v>
      </c>
      <c r="K100" s="70">
        <f>IFERROR(__xludf.DUMMYFUNCTION("""COMPUTED_VALUE"""),12.0)</f>
        <v>12</v>
      </c>
      <c r="L100" s="70">
        <f>IFERROR(__xludf.DUMMYFUNCTION("""COMPUTED_VALUE"""),1.0)</f>
        <v>1</v>
      </c>
      <c r="M100" s="70">
        <f>IFERROR(__xludf.DUMMYFUNCTION("""COMPUTED_VALUE"""),27.0)</f>
        <v>27</v>
      </c>
      <c r="N100" s="71">
        <f>IFERROR(__xludf.DUMMYFUNCTION("""COMPUTED_VALUE"""),2.0)</f>
        <v>2</v>
      </c>
    </row>
    <row r="101">
      <c r="A101" s="1"/>
      <c r="B101" s="62" t="str">
        <f>IFERROR(__xludf.DUMMYFUNCTION("""COMPUTED_VALUE"""),"Jonathan Phan")</f>
        <v>Jonathan Phan</v>
      </c>
      <c r="C101" s="63">
        <f>IFERROR(__xludf.DUMMYFUNCTION("""COMPUTED_VALUE"""),14.0)</f>
        <v>14</v>
      </c>
      <c r="D101" s="64">
        <f>IFERROR(__xludf.DUMMYFUNCTION("""COMPUTED_VALUE"""),1.0)</f>
        <v>1</v>
      </c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IFERROR(__xludf.DUMMYFUNCTION("""COMPUTED_VALUE"""),7.0)</f>
        <v>7</v>
      </c>
      <c r="I101" s="65">
        <f>IFERROR(__xludf.DUMMYFUNCTION("""COMPUTED_VALUE"""),6.0)</f>
        <v>6</v>
      </c>
      <c r="J101" s="65">
        <f>IFERROR(__xludf.DUMMYFUNCTION("""COMPUTED_VALUE"""),2.0)</f>
        <v>2</v>
      </c>
      <c r="K101" s="65">
        <f>IFERROR(__xludf.DUMMYFUNCTION("""COMPUTED_VALUE"""),15.0)</f>
        <v>15</v>
      </c>
      <c r="L101" s="65">
        <f>IFERROR(__xludf.DUMMYFUNCTION("""COMPUTED_VALUE"""),2.0)</f>
        <v>2</v>
      </c>
      <c r="M101" s="65">
        <f>IFERROR(__xludf.DUMMYFUNCTION("""COMPUTED_VALUE"""),29.0)</f>
        <v>29</v>
      </c>
      <c r="N101" s="66">
        <f>IFERROR(__xludf.DUMMYFUNCTION("""COMPUTED_VALUE"""),3.0)</f>
        <v>3</v>
      </c>
    </row>
    <row r="102">
      <c r="A102" s="1"/>
      <c r="B102" s="62" t="str">
        <f>IFERROR(__xludf.DUMMYFUNCTION("""COMPUTED_VALUE"""),"Kumar Palakeel")</f>
        <v>Kumar Palakeel</v>
      </c>
      <c r="C102" s="63">
        <f>IFERROR(__xludf.DUMMYFUNCTION("""COMPUTED_VALUE"""),14.0)</f>
        <v>14</v>
      </c>
      <c r="D102" s="64">
        <f>IFERROR(__xludf.DUMMYFUNCTION("""COMPUTED_VALUE"""),2.0)</f>
        <v>2</v>
      </c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IFERROR(__xludf.DUMMYFUNCTION("""COMPUTED_VALUE"""),1.0)</f>
        <v>1</v>
      </c>
      <c r="J102" s="65">
        <f>IFERROR(__xludf.DUMMYFUNCTION("""COMPUTED_VALUE"""),2.0)</f>
        <v>2</v>
      </c>
      <c r="K102" s="65">
        <f>IFERROR(__xludf.DUMMYFUNCTION("""COMPUTED_VALUE"""),9.0)</f>
        <v>9</v>
      </c>
      <c r="L102" s="65">
        <f>IFERROR(__xludf.DUMMYFUNCTION("""COMPUTED_VALUE"""),0.0)</f>
        <v>0</v>
      </c>
      <c r="M102" s="65">
        <f>IFERROR(__xludf.DUMMYFUNCTION("""COMPUTED_VALUE"""),23.0)</f>
        <v>23</v>
      </c>
      <c r="N102" s="66">
        <f>IFERROR(__xludf.DUMMYFUNCTION("""COMPUTED_VALUE"""),2.0)</f>
        <v>2</v>
      </c>
    </row>
    <row r="103">
      <c r="A103" s="1"/>
      <c r="B103" s="62" t="str">
        <f>IFERROR(__xludf.DUMMYFUNCTION("""COMPUTED_VALUE"""),"Pavan Akkimsetty")</f>
        <v>Pavan Akkimsetty</v>
      </c>
      <c r="C103" s="63">
        <f>IFERROR(__xludf.DUMMYFUNCTION("""COMPUTED_VALUE"""),13.0)</f>
        <v>13</v>
      </c>
      <c r="D103" s="64">
        <f>IFERROR(__xludf.DUMMYFUNCTION("""COMPUTED_VALUE"""),2.0)</f>
        <v>2</v>
      </c>
      <c r="E103" s="63">
        <f>IFERROR(__xludf.DUMMYFUNCTION("""COMPUTED_VALUE"""),1.0)</f>
        <v>1</v>
      </c>
      <c r="F103" s="65">
        <f>IFERROR(__xludf.DUMMYFUNCTION("""COMPUTED_VALUE"""),3.0)</f>
        <v>3</v>
      </c>
      <c r="G103" s="65">
        <f>IFERROR(__xludf.DUMMYFUNCTION("""COMPUTED_VALUE"""),0.0)</f>
        <v>0</v>
      </c>
      <c r="H103" s="65">
        <f>IFERROR(__xludf.DUMMYFUNCTION("""COMPUTED_VALUE"""),6.0)</f>
        <v>6</v>
      </c>
      <c r="I103" s="65">
        <f>IFERROR(__xludf.DUMMYFUNCTION("""COMPUTED_VALUE"""),6.0)</f>
        <v>6</v>
      </c>
      <c r="J103" s="65">
        <f>IFERROR(__xludf.DUMMYFUNCTION("""COMPUTED_VALUE"""),6.0)</f>
        <v>6</v>
      </c>
      <c r="K103" s="65">
        <f>IFERROR(__xludf.DUMMYFUNCTION("""COMPUTED_VALUE"""),18.0)</f>
        <v>18</v>
      </c>
      <c r="L103" s="65">
        <f>IFERROR(__xludf.DUMMYFUNCTION("""COMPUTED_VALUE"""),2.0)</f>
        <v>2</v>
      </c>
      <c r="M103" s="65">
        <f>IFERROR(__xludf.DUMMYFUNCTION("""COMPUTED_VALUE"""),31.0)</f>
        <v>31</v>
      </c>
      <c r="N103" s="66">
        <f>IFERROR(__xludf.DUMMYFUNCTION("""COMPUTED_VALUE"""),4.0)</f>
        <v>4</v>
      </c>
    </row>
    <row r="104">
      <c r="A104" s="1"/>
      <c r="B104" s="62" t="str">
        <f>IFERROR(__xludf.DUMMYFUNCTION("""COMPUTED_VALUE"""),"Erik Hoeckmann")</f>
        <v>Erik Hoeckmann</v>
      </c>
      <c r="C104" s="63">
        <f>IFERROR(__xludf.DUMMYFUNCTION("""COMPUTED_VALUE"""),13.0)</f>
        <v>13</v>
      </c>
      <c r="D104" s="64">
        <f>IFERROR(__xludf.DUMMYFUNCTION("""COMPUTED_VALUE"""),2.0)</f>
        <v>2</v>
      </c>
      <c r="E104" s="63">
        <f>IFERROR(__xludf.DUMMYFUNCTION("""COMPUTED_VALUE"""),1.0)</f>
        <v>1</v>
      </c>
      <c r="F104" s="65">
        <f>IFERROR(__xludf.DUMMYFUNCTION("""COMPUTED_VALUE"""),3.0)</f>
        <v>3</v>
      </c>
      <c r="G104" s="65">
        <f>IFERROR(__xludf.DUMMYFUNCTION("""COMPUTED_VALUE"""),0.0)</f>
        <v>0</v>
      </c>
      <c r="H104" s="65">
        <f>IFERROR(__xludf.DUMMYFUNCTION("""COMPUTED_VALUE"""),7.0)</f>
        <v>7</v>
      </c>
      <c r="I104" s="65">
        <f>IFERROR(__xludf.DUMMYFUNCTION("""COMPUTED_VALUE"""),1.0)</f>
        <v>1</v>
      </c>
      <c r="J104" s="65">
        <f>IFERROR(__xludf.DUMMYFUNCTION("""COMPUTED_VALUE"""),6.0)</f>
        <v>6</v>
      </c>
      <c r="K104" s="65">
        <f>IFERROR(__xludf.DUMMYFUNCTION("""COMPUTED_VALUE"""),14.0)</f>
        <v>14</v>
      </c>
      <c r="L104" s="65">
        <f>IFERROR(__xludf.DUMMYFUNCTION("""COMPUTED_VALUE"""),2.0)</f>
        <v>2</v>
      </c>
      <c r="M104" s="65">
        <f>IFERROR(__xludf.DUMMYFUNCTION("""COMPUTED_VALUE"""),27.0)</f>
        <v>27</v>
      </c>
      <c r="N104" s="66">
        <f>IFERROR(__xludf.DUMMYFUNCTION("""COMPUTED_VALUE"""),4.0)</f>
        <v>4</v>
      </c>
    </row>
    <row r="105">
      <c r="A105" s="1"/>
      <c r="B105" s="67" t="str">
        <f>IFERROR(__xludf.DUMMYFUNCTION("""COMPUTED_VALUE"""),"Santosh Sundaresan ")</f>
        <v>Santosh Sundaresan </v>
      </c>
      <c r="C105" s="68">
        <f>IFERROR(__xludf.DUMMYFUNCTION("""COMPUTED_VALUE"""),13.0)</f>
        <v>13</v>
      </c>
      <c r="D105" s="69">
        <f>IFERROR(__xludf.DUMMYFUNCTION("""COMPUTED_VALUE"""),0.0)</f>
        <v>0</v>
      </c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IFERROR(__xludf.DUMMYFUNCTION("""COMPUTED_VALUE"""),5.0)</f>
        <v>5</v>
      </c>
      <c r="I105" s="70">
        <f>IFERROR(__xludf.DUMMYFUNCTION("""COMPUTED_VALUE"""),6.0)</f>
        <v>6</v>
      </c>
      <c r="J105" s="70">
        <f>IFERROR(__xludf.DUMMYFUNCTION("""COMPUTED_VALUE"""),6.0)</f>
        <v>6</v>
      </c>
      <c r="K105" s="70">
        <f>IFERROR(__xludf.DUMMYFUNCTION("""COMPUTED_VALUE"""),17.0)</f>
        <v>17</v>
      </c>
      <c r="L105" s="70">
        <f>IFERROR(__xludf.DUMMYFUNCTION("""COMPUTED_VALUE"""),2.0)</f>
        <v>2</v>
      </c>
      <c r="M105" s="70">
        <f>IFERROR(__xludf.DUMMYFUNCTION("""COMPUTED_VALUE"""),30.0)</f>
        <v>30</v>
      </c>
      <c r="N105" s="71">
        <f>IFERROR(__xludf.DUMMYFUNCTION("""COMPUTED_VALUE"""),2.0)</f>
        <v>2</v>
      </c>
    </row>
    <row r="106">
      <c r="A106" s="1"/>
      <c r="B106" s="67" t="str">
        <f>IFERROR(__xludf.DUMMYFUNCTION("""COMPUTED_VALUE"""),"Joyce Zhu")</f>
        <v>Joyce Zhu</v>
      </c>
      <c r="C106" s="68">
        <f>IFERROR(__xludf.DUMMYFUNCTION("""COMPUTED_VALUE"""),13.0)</f>
        <v>13</v>
      </c>
      <c r="D106" s="69">
        <f>IFERROR(__xludf.DUMMYFUNCTION("""COMPUTED_VALUE"""),0.0)</f>
        <v>0</v>
      </c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IFERROR(__xludf.DUMMYFUNCTION("""COMPUTED_VALUE"""),5.0)</f>
        <v>5</v>
      </c>
      <c r="I106" s="70">
        <f>IFERROR(__xludf.DUMMYFUNCTION("""COMPUTED_VALUE"""),1.0)</f>
        <v>1</v>
      </c>
      <c r="J106" s="70">
        <f>IFERROR(__xludf.DUMMYFUNCTION("""COMPUTED_VALUE"""),0.0)</f>
        <v>0</v>
      </c>
      <c r="K106" s="70">
        <f>IFERROR(__xludf.DUMMYFUNCTION("""COMPUTED_VALUE"""),6.0)</f>
        <v>6</v>
      </c>
      <c r="L106" s="70">
        <f>IFERROR(__xludf.DUMMYFUNCTION("""COMPUTED_VALUE"""),0.0)</f>
        <v>0</v>
      </c>
      <c r="M106" s="70">
        <f>IFERROR(__xludf.DUMMYFUNCTION("""COMPUTED_VALUE"""),19.0)</f>
        <v>19</v>
      </c>
      <c r="N106" s="71">
        <f>IFERROR(__xludf.DUMMYFUNCTION("""COMPUTED_VALUE"""),0.0)</f>
        <v>0</v>
      </c>
    </row>
    <row r="107">
      <c r="A107" s="1"/>
      <c r="B107" s="67" t="str">
        <f>IFERROR(__xludf.DUMMYFUNCTION("""COMPUTED_VALUE"""),"Andrew Wen")</f>
        <v>Andrew Wen</v>
      </c>
      <c r="C107" s="68">
        <f>IFERROR(__xludf.DUMMYFUNCTION("""COMPUTED_VALUE"""),12.0)</f>
        <v>12</v>
      </c>
      <c r="D107" s="69">
        <f>IFERROR(__xludf.DUMMYFUNCTION("""COMPUTED_VALUE"""),1.0)</f>
        <v>1</v>
      </c>
      <c r="E107" s="68">
        <f>IFERROR(__xludf.DUMMYFUNCTION("""COMPUTED_VALUE"""),1.0)</f>
        <v>1</v>
      </c>
      <c r="F107" s="70">
        <f>IFERROR(__xludf.DUMMYFUNCTION("""COMPUTED_VALUE"""),4.0)</f>
        <v>4</v>
      </c>
      <c r="G107" s="70">
        <f>IFERROR(__xludf.DUMMYFUNCTION("""COMPUTED_VALUE"""),0.0)</f>
        <v>0</v>
      </c>
      <c r="H107" s="70">
        <f>IFERROR(__xludf.DUMMYFUNCTION("""COMPUTED_VALUE"""),7.0)</f>
        <v>7</v>
      </c>
      <c r="I107" s="70">
        <f>IFERROR(__xludf.DUMMYFUNCTION("""COMPUTED_VALUE"""),6.0)</f>
        <v>6</v>
      </c>
      <c r="J107" s="70">
        <f>IFERROR(__xludf.DUMMYFUNCTION("""COMPUTED_VALUE"""),0.0)</f>
        <v>0</v>
      </c>
      <c r="K107" s="70">
        <f>IFERROR(__xludf.DUMMYFUNCTION("""COMPUTED_VALUE"""),13.0)</f>
        <v>13</v>
      </c>
      <c r="L107" s="70">
        <f>IFERROR(__xludf.DUMMYFUNCTION("""COMPUTED_VALUE"""),2.0)</f>
        <v>2</v>
      </c>
      <c r="M107" s="70">
        <f>IFERROR(__xludf.DUMMYFUNCTION("""COMPUTED_VALUE"""),25.0)</f>
        <v>25</v>
      </c>
      <c r="N107" s="71">
        <f>IFERROR(__xludf.DUMMYFUNCTION("""COMPUTED_VALUE"""),3.0)</f>
        <v>3</v>
      </c>
    </row>
    <row r="108">
      <c r="A108" s="1"/>
      <c r="B108" s="67" t="str">
        <f>IFERROR(__xludf.DUMMYFUNCTION("""COMPUTED_VALUE"""),"Elayaraja Thangaraj ")</f>
        <v>Elayaraja Thangaraj </v>
      </c>
      <c r="C108" s="68">
        <f>IFERROR(__xludf.DUMMYFUNCTION("""COMPUTED_VALUE"""),11.0)</f>
        <v>11</v>
      </c>
      <c r="D108" s="69">
        <f>IFERROR(__xludf.DUMMYFUNCTION("""COMPUTED_VALUE"""),1.0)</f>
        <v>1</v>
      </c>
      <c r="E108" s="68">
        <f>IFERROR(__xludf.DUMMYFUNCTION("""COMPUTED_VALUE"""),1.0)</f>
        <v>1</v>
      </c>
      <c r="F108" s="70">
        <f>IFERROR(__xludf.DUMMYFUNCTION("""COMPUTED_VALUE"""),4.0)</f>
        <v>4</v>
      </c>
      <c r="G108" s="70">
        <f>IFERROR(__xludf.DUMMYFUNCTION("""COMPUTED_VALUE"""),0.0)</f>
        <v>0</v>
      </c>
      <c r="H108" s="70">
        <f>IFERROR(__xludf.DUMMYFUNCTION("""COMPUTED_VALUE"""),7.0)</f>
        <v>7</v>
      </c>
      <c r="I108" s="70">
        <f>IFERROR(__xludf.DUMMYFUNCTION("""COMPUTED_VALUE"""),1.0)</f>
        <v>1</v>
      </c>
      <c r="J108" s="70">
        <f>IFERROR(__xludf.DUMMYFUNCTION("""COMPUTED_VALUE"""),6.0)</f>
        <v>6</v>
      </c>
      <c r="K108" s="70">
        <f>IFERROR(__xludf.DUMMYFUNCTION("""COMPUTED_VALUE"""),14.0)</f>
        <v>14</v>
      </c>
      <c r="L108" s="70">
        <f>IFERROR(__xludf.DUMMYFUNCTION("""COMPUTED_VALUE"""),2.0)</f>
        <v>2</v>
      </c>
      <c r="M108" s="70">
        <f>IFERROR(__xludf.DUMMYFUNCTION("""COMPUTED_VALUE"""),25.0)</f>
        <v>25</v>
      </c>
      <c r="N108" s="71">
        <f>IFERROR(__xludf.DUMMYFUNCTION("""COMPUTED_VALUE"""),3.0)</f>
        <v>3</v>
      </c>
    </row>
    <row r="109">
      <c r="A109" s="1"/>
      <c r="B109" s="62" t="str">
        <f>IFERROR(__xludf.DUMMYFUNCTION("""COMPUTED_VALUE"""),"Scott Li")</f>
        <v>Scott Li</v>
      </c>
      <c r="C109" s="63">
        <f>IFERROR(__xludf.DUMMYFUNCTION("""COMPUTED_VALUE"""),11.0)</f>
        <v>11</v>
      </c>
      <c r="D109" s="64">
        <f>IFERROR(__xludf.DUMMYFUNCTION("""COMPUTED_VALUE"""),1.0)</f>
        <v>1</v>
      </c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IFERROR(__xludf.DUMMYFUNCTION("""COMPUTED_VALUE"""),4.0)</f>
        <v>4</v>
      </c>
      <c r="I109" s="65">
        <f>IFERROR(__xludf.DUMMYFUNCTION("""COMPUTED_VALUE"""),3.0)</f>
        <v>3</v>
      </c>
      <c r="J109" s="65">
        <f>IFERROR(__xludf.DUMMYFUNCTION("""COMPUTED_VALUE"""),3.0)</f>
        <v>3</v>
      </c>
      <c r="K109" s="65">
        <f>IFERROR(__xludf.DUMMYFUNCTION("""COMPUTED_VALUE"""),10.0)</f>
        <v>10</v>
      </c>
      <c r="L109" s="65">
        <f>IFERROR(__xludf.DUMMYFUNCTION("""COMPUTED_VALUE"""),0.0)</f>
        <v>0</v>
      </c>
      <c r="M109" s="65">
        <f>IFERROR(__xludf.DUMMYFUNCTION("""COMPUTED_VALUE"""),21.0)</f>
        <v>21</v>
      </c>
      <c r="N109" s="66">
        <f>IFERROR(__xludf.DUMMYFUNCTION("""COMPUTED_VALUE"""),1.0)</f>
        <v>1</v>
      </c>
    </row>
    <row r="110">
      <c r="A110" s="1"/>
      <c r="B110" s="62" t="str">
        <f>IFERROR(__xludf.DUMMYFUNCTION("""COMPUTED_VALUE"""),"Kingsley Kuo")</f>
        <v>Kingsley Kuo</v>
      </c>
      <c r="C110" s="63">
        <f>IFERROR(__xludf.DUMMYFUNCTION("""COMPUTED_VALUE"""),10.0)</f>
        <v>10</v>
      </c>
      <c r="D110" s="64">
        <f>IFERROR(__xludf.DUMMYFUNCTION("""COMPUTED_VALUE"""),1.0)</f>
        <v>1</v>
      </c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IFERROR(__xludf.DUMMYFUNCTION("""COMPUTED_VALUE"""),4.0)</f>
        <v>4</v>
      </c>
      <c r="I110" s="65">
        <f>IFERROR(__xludf.DUMMYFUNCTION("""COMPUTED_VALUE"""),6.0)</f>
        <v>6</v>
      </c>
      <c r="J110" s="65">
        <f>IFERROR(__xludf.DUMMYFUNCTION("""COMPUTED_VALUE"""),6.0)</f>
        <v>6</v>
      </c>
      <c r="K110" s="65">
        <f>IFERROR(__xludf.DUMMYFUNCTION("""COMPUTED_VALUE"""),16.0)</f>
        <v>16</v>
      </c>
      <c r="L110" s="65">
        <f>IFERROR(__xludf.DUMMYFUNCTION("""COMPUTED_VALUE"""),2.0)</f>
        <v>2</v>
      </c>
      <c r="M110" s="65">
        <f>IFERROR(__xludf.DUMMYFUNCTION("""COMPUTED_VALUE"""),26.0)</f>
        <v>26</v>
      </c>
      <c r="N110" s="66">
        <f>IFERROR(__xludf.DUMMYFUNCTION("""COMPUTED_VALUE"""),3.0)</f>
        <v>3</v>
      </c>
    </row>
    <row r="111">
      <c r="A111" s="1"/>
      <c r="B111" s="62" t="str">
        <f>IFERROR(__xludf.DUMMYFUNCTION("""COMPUTED_VALUE"""),"David Tam")</f>
        <v>David Tam</v>
      </c>
      <c r="C111" s="63">
        <f>IFERROR(__xludf.DUMMYFUNCTION("""COMPUTED_VALUE"""),10.0)</f>
        <v>10</v>
      </c>
      <c r="D111" s="64">
        <f>IFERROR(__xludf.DUMMYFUNCTION("""COMPUTED_VALUE"""),1.0)</f>
        <v>1</v>
      </c>
      <c r="E111" s="63">
        <f>IFERROR(__xludf.DUMMYFUNCTION("""COMPUTED_VALUE"""),1.0)</f>
        <v>1</v>
      </c>
      <c r="F111" s="65">
        <f>IFERROR(__xludf.DUMMYFUNCTION("""COMPUTED_VALUE"""),5.0)</f>
        <v>5</v>
      </c>
      <c r="G111" s="65">
        <f>IFERROR(__xludf.DUMMYFUNCTION("""COMPUTED_VALUE"""),0.0)</f>
        <v>0</v>
      </c>
      <c r="H111" s="65">
        <f>IFERROR(__xludf.DUMMYFUNCTION("""COMPUTED_VALUE"""),6.0)</f>
        <v>6</v>
      </c>
      <c r="I111" s="65">
        <f>IFERROR(__xludf.DUMMYFUNCTION("""COMPUTED_VALUE"""),6.0)</f>
        <v>6</v>
      </c>
      <c r="J111" s="65">
        <f>IFERROR(__xludf.DUMMYFUNCTION("""COMPUTED_VALUE"""),3.0)</f>
        <v>3</v>
      </c>
      <c r="K111" s="65">
        <f>IFERROR(__xludf.DUMMYFUNCTION("""COMPUTED_VALUE"""),15.0)</f>
        <v>15</v>
      </c>
      <c r="L111" s="65">
        <f>IFERROR(__xludf.DUMMYFUNCTION("""COMPUTED_VALUE"""),2.0)</f>
        <v>2</v>
      </c>
      <c r="M111" s="65">
        <f>IFERROR(__xludf.DUMMYFUNCTION("""COMPUTED_VALUE"""),25.0)</f>
        <v>25</v>
      </c>
      <c r="N111" s="66">
        <f>IFERROR(__xludf.DUMMYFUNCTION("""COMPUTED_VALUE"""),3.0)</f>
        <v>3</v>
      </c>
    </row>
    <row r="112">
      <c r="A112" s="1"/>
      <c r="B112" s="62" t="str">
        <f>IFERROR(__xludf.DUMMYFUNCTION("""COMPUTED_VALUE"""),"Robert Chang")</f>
        <v>Robert Chang</v>
      </c>
      <c r="C112" s="63">
        <f>IFERROR(__xludf.DUMMYFUNCTION("""COMPUTED_VALUE"""),9.0)</f>
        <v>9</v>
      </c>
      <c r="D112" s="64">
        <f>IFERROR(__xludf.DUMMYFUNCTION("""COMPUTED_VALUE"""),0.0)</f>
        <v>0</v>
      </c>
      <c r="E112" s="63">
        <f>IFERROR(__xludf.DUMMYFUNCTION("""COMPUTED_VALUE"""),1.0)</f>
        <v>1</v>
      </c>
      <c r="F112" s="65">
        <f>IFERROR(__xludf.DUMMYFUNCTION("""COMPUTED_VALUE"""),5.0)</f>
        <v>5</v>
      </c>
      <c r="G112" s="65">
        <f>IFERROR(__xludf.DUMMYFUNCTION("""COMPUTED_VALUE"""),0.0)</f>
        <v>0</v>
      </c>
      <c r="H112" s="65">
        <f>IFERROR(__xludf.DUMMYFUNCTION("""COMPUTED_VALUE"""),6.0)</f>
        <v>6</v>
      </c>
      <c r="I112" s="65">
        <f>IFERROR(__xludf.DUMMYFUNCTION("""COMPUTED_VALUE"""),3.0)</f>
        <v>3</v>
      </c>
      <c r="J112" s="65">
        <f>IFERROR(__xludf.DUMMYFUNCTION("""COMPUTED_VALUE"""),6.0)</f>
        <v>6</v>
      </c>
      <c r="K112" s="65">
        <f>IFERROR(__xludf.DUMMYFUNCTION("""COMPUTED_VALUE"""),15.0)</f>
        <v>15</v>
      </c>
      <c r="L112" s="65">
        <f>IFERROR(__xludf.DUMMYFUNCTION("""COMPUTED_VALUE"""),2.0)</f>
        <v>2</v>
      </c>
      <c r="M112" s="65">
        <f>IFERROR(__xludf.DUMMYFUNCTION("""COMPUTED_VALUE"""),24.0)</f>
        <v>24</v>
      </c>
      <c r="N112" s="66">
        <f>IFERROR(__xludf.DUMMYFUNCTION("""COMPUTED_VALUE"""),2.0)</f>
        <v>2</v>
      </c>
    </row>
    <row r="113">
      <c r="A113" s="1"/>
      <c r="B113" s="67" t="str">
        <f>IFERROR(__xludf.DUMMYFUNCTION("""COMPUTED_VALUE"""),"Naveen Raj")</f>
        <v>Naveen Raj</v>
      </c>
      <c r="C113" s="68">
        <f>IFERROR(__xludf.DUMMYFUNCTION("""COMPUTED_VALUE"""),9.0)</f>
        <v>9</v>
      </c>
      <c r="D113" s="69">
        <f>IFERROR(__xludf.DUMMYFUNCTION("""COMPUTED_VALUE"""),0.0)</f>
        <v>0</v>
      </c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IFERROR(__xludf.DUMMYFUNCTION("""COMPUTED_VALUE"""),6.0)</f>
        <v>6</v>
      </c>
      <c r="J113" s="70">
        <f>IFERROR(__xludf.DUMMYFUNCTION("""COMPUTED_VALUE"""),0.0)</f>
        <v>0</v>
      </c>
      <c r="K113" s="70">
        <f>IFERROR(__xludf.DUMMYFUNCTION("""COMPUTED_VALUE"""),12.0)</f>
        <v>12</v>
      </c>
      <c r="L113" s="70">
        <f>IFERROR(__xludf.DUMMYFUNCTION("""COMPUTED_VALUE"""),1.0)</f>
        <v>1</v>
      </c>
      <c r="M113" s="70">
        <f>IFERROR(__xludf.DUMMYFUNCTION("""COMPUTED_VALUE"""),21.0)</f>
        <v>21</v>
      </c>
      <c r="N113" s="71">
        <f>IFERROR(__xludf.DUMMYFUNCTION("""COMPUTED_VALUE"""),1.0)</f>
        <v>1</v>
      </c>
    </row>
    <row r="114">
      <c r="A114" s="1"/>
      <c r="B114" s="67" t="str">
        <f>IFERROR(__xludf.DUMMYFUNCTION("""COMPUTED_VALUE"""),"Sandy Weyant")</f>
        <v>Sandy Weyant</v>
      </c>
      <c r="C114" s="68">
        <f>IFERROR(__xludf.DUMMYFUNCTION("""COMPUTED_VALUE"""),9.0)</f>
        <v>9</v>
      </c>
      <c r="D114" s="69">
        <f>IFERROR(__xludf.DUMMYFUNCTION("""COMPUTED_VALUE"""),0.0)</f>
        <v>0</v>
      </c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IFERROR(__xludf.DUMMYFUNCTION("""COMPUTED_VALUE"""),7.0)</f>
        <v>7</v>
      </c>
      <c r="I114" s="70">
        <f>IFERROR(__xludf.DUMMYFUNCTION("""COMPUTED_VALUE"""),0.0)</f>
        <v>0</v>
      </c>
      <c r="J114" s="70">
        <f>IFERROR(__xludf.DUMMYFUNCTION("""COMPUTED_VALUE"""),0.0)</f>
        <v>0</v>
      </c>
      <c r="K114" s="70">
        <f>IFERROR(__xludf.DUMMYFUNCTION("""COMPUTED_VALUE"""),7.0)</f>
        <v>7</v>
      </c>
      <c r="L114" s="70">
        <f>IFERROR(__xludf.DUMMYFUNCTION("""COMPUTED_VALUE"""),1.0)</f>
        <v>1</v>
      </c>
      <c r="M114" s="70">
        <f>IFERROR(__xludf.DUMMYFUNCTION("""COMPUTED_VALUE"""),16.0)</f>
        <v>16</v>
      </c>
      <c r="N114" s="71">
        <f>IFERROR(__xludf.DUMMYFUNCTION("""COMPUTED_VALUE"""),1.0)</f>
        <v>1</v>
      </c>
    </row>
    <row r="115">
      <c r="A115" s="1"/>
      <c r="B115" s="67" t="str">
        <f>IFERROR(__xludf.DUMMYFUNCTION("""COMPUTED_VALUE"""),"Andrew Chin")</f>
        <v>Andrew Chin</v>
      </c>
      <c r="C115" s="68">
        <f>IFERROR(__xludf.DUMMYFUNCTION("""COMPUTED_VALUE"""),9.0)</f>
        <v>9</v>
      </c>
      <c r="D115" s="69">
        <f>IFERROR(__xludf.DUMMYFUNCTION("""COMPUTED_VALUE"""),0.0)</f>
        <v>0</v>
      </c>
      <c r="E115" s="68">
        <f>IFERROR(__xludf.DUMMYFUNCTION("""COMPUTED_VALUE"""),1.0)</f>
        <v>1</v>
      </c>
      <c r="F115" s="70">
        <f>IFERROR(__xludf.DUMMYFUNCTION("""COMPUTED_VALUE"""),6.0)</f>
        <v>6</v>
      </c>
      <c r="G115" s="70">
        <f>IFERROR(__xludf.DUMMYFUNCTION("""COMPUTED_VALUE"""),0.0)</f>
        <v>0</v>
      </c>
      <c r="H115" s="70">
        <f>IFERROR(__xludf.DUMMYFUNCTION("""COMPUTED_VALUE"""),7.0)</f>
        <v>7</v>
      </c>
      <c r="I115" s="70">
        <f>IFERROR(__xludf.DUMMYFUNCTION("""COMPUTED_VALUE"""),6.0)</f>
        <v>6</v>
      </c>
      <c r="J115" s="70">
        <f>IFERROR(__xludf.DUMMYFUNCTION("""COMPUTED_VALUE"""),6.0)</f>
        <v>6</v>
      </c>
      <c r="K115" s="70">
        <f>IFERROR(__xludf.DUMMYFUNCTION("""COMPUTED_VALUE"""),19.0)</f>
        <v>19</v>
      </c>
      <c r="L115" s="70">
        <f>IFERROR(__xludf.DUMMYFUNCTION("""COMPUTED_VALUE"""),3.0)</f>
        <v>3</v>
      </c>
      <c r="M115" s="70">
        <f>IFERROR(__xludf.DUMMYFUNCTION("""COMPUTED_VALUE"""),28.0)</f>
        <v>28</v>
      </c>
      <c r="N115" s="71">
        <f>IFERROR(__xludf.DUMMYFUNCTION("""COMPUTED_VALUE"""),3.0)</f>
        <v>3</v>
      </c>
    </row>
    <row r="116">
      <c r="A116" s="1"/>
      <c r="B116" s="67" t="str">
        <f>IFERROR(__xludf.DUMMYFUNCTION("""COMPUTED_VALUE"""),"Vinot Kumar Nagappan")</f>
        <v>Vinot Kumar Nagappan</v>
      </c>
      <c r="C116" s="68">
        <f>IFERROR(__xludf.DUMMYFUNCTION("""COMPUTED_VALUE"""),9.0)</f>
        <v>9</v>
      </c>
      <c r="D116" s="69">
        <f>IFERROR(__xludf.DUMMYFUNCTION("""COMPUTED_VALUE"""),0.0)</f>
        <v>0</v>
      </c>
      <c r="E116" s="68">
        <f>IFERROR(__xludf.DUMMYFUNCTION("""COMPUTED_VALUE"""),1.0)</f>
        <v>1</v>
      </c>
      <c r="F116" s="70">
        <f>IFERROR(__xludf.DUMMYFUNCTION("""COMPUTED_VALUE"""),6.0)</f>
        <v>6</v>
      </c>
      <c r="G116" s="70">
        <f>IFERROR(__xludf.DUMMYFUNCTION("""COMPUTED_VALUE"""),0.0)</f>
        <v>0</v>
      </c>
      <c r="H116" s="70">
        <f>IFERROR(__xludf.DUMMYFUNCTION("""COMPUTED_VALUE"""),6.0)</f>
        <v>6</v>
      </c>
      <c r="I116" s="70">
        <f>IFERROR(__xludf.DUMMYFUNCTION("""COMPUTED_VALUE"""),0.0)</f>
        <v>0</v>
      </c>
      <c r="J116" s="70">
        <f>IFERROR(__xludf.DUMMYFUNCTION("""COMPUTED_VALUE"""),6.0)</f>
        <v>6</v>
      </c>
      <c r="K116" s="70">
        <f>IFERROR(__xludf.DUMMYFUNCTION("""COMPUTED_VALUE"""),12.0)</f>
        <v>12</v>
      </c>
      <c r="L116" s="70">
        <f>IFERROR(__xludf.DUMMYFUNCTION("""COMPUTED_VALUE"""),1.0)</f>
        <v>1</v>
      </c>
      <c r="M116" s="70">
        <f>IFERROR(__xludf.DUMMYFUNCTION("""COMPUTED_VALUE"""),21.0)</f>
        <v>21</v>
      </c>
      <c r="N116" s="71">
        <f>IFERROR(__xludf.DUMMYFUNCTION("""COMPUTED_VALUE"""),1.0)</f>
        <v>1</v>
      </c>
    </row>
    <row r="117">
      <c r="A117" s="1"/>
      <c r="B117" s="62" t="str">
        <f>IFERROR(__xludf.DUMMYFUNCTION("""COMPUTED_VALUE"""),"Savay Lieu")</f>
        <v>Savay Lieu</v>
      </c>
      <c r="C117" s="63">
        <f>IFERROR(__xludf.DUMMYFUNCTION("""COMPUTED_VALUE"""),9.0)</f>
        <v>9</v>
      </c>
      <c r="D117" s="64">
        <f>IFERROR(__xludf.DUMMYFUNCTION("""COMPUTED_VALUE"""),0.0)</f>
        <v>0</v>
      </c>
      <c r="E117" s="63">
        <f>IFERROR(__xludf.DUMMYFUNCTION("""COMPUTED_VALUE"""),1.0)</f>
        <v>1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IFERROR(__xludf.DUMMYFUNCTION("""COMPUTED_VALUE"""),6.0)</f>
        <v>6</v>
      </c>
      <c r="I117" s="65">
        <f>IFERROR(__xludf.DUMMYFUNCTION("""COMPUTED_VALUE"""),7.0)</f>
        <v>7</v>
      </c>
      <c r="J117" s="65">
        <f>IFERROR(__xludf.DUMMYFUNCTION("""COMPUTED_VALUE"""),7.0)</f>
        <v>7</v>
      </c>
      <c r="K117" s="65">
        <f>IFERROR(__xludf.DUMMYFUNCTION("""COMPUTED_VALUE"""),20.0)</f>
        <v>20</v>
      </c>
      <c r="L117" s="65">
        <f>IFERROR(__xludf.DUMMYFUNCTION("""COMPUTED_VALUE"""),3.0)</f>
        <v>3</v>
      </c>
      <c r="M117" s="65">
        <f>IFERROR(__xludf.DUMMYFUNCTION("""COMPUTED_VALUE"""),29.0)</f>
        <v>29</v>
      </c>
      <c r="N117" s="66">
        <f>IFERROR(__xludf.DUMMYFUNCTION("""COMPUTED_VALUE"""),3.0)</f>
        <v>3</v>
      </c>
    </row>
    <row r="118">
      <c r="A118" s="1"/>
      <c r="B118" s="62" t="str">
        <f>IFERROR(__xludf.DUMMYFUNCTION("""COMPUTED_VALUE"""),"Vinaya Kajla")</f>
        <v>Vinaya Kajla</v>
      </c>
      <c r="C118" s="63">
        <f>IFERROR(__xludf.DUMMYFUNCTION("""COMPUTED_VALUE"""),9.0)</f>
        <v>9</v>
      </c>
      <c r="D118" s="64">
        <f>IFERROR(__xludf.DUMMYFUNCTION("""COMPUTED_VALUE"""),0.0)</f>
        <v>0</v>
      </c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IFERROR(__xludf.DUMMYFUNCTION("""COMPUTED_VALUE"""),2.0)</f>
        <v>2</v>
      </c>
      <c r="I118" s="65">
        <f>IFERROR(__xludf.DUMMYFUNCTION("""COMPUTED_VALUE"""),5.0)</f>
        <v>5</v>
      </c>
      <c r="J118" s="65">
        <f>IFERROR(__xludf.DUMMYFUNCTION("""COMPUTED_VALUE"""),7.0)</f>
        <v>7</v>
      </c>
      <c r="K118" s="65">
        <f>IFERROR(__xludf.DUMMYFUNCTION("""COMPUTED_VALUE"""),14.0)</f>
        <v>14</v>
      </c>
      <c r="L118" s="65">
        <f>IFERROR(__xludf.DUMMYFUNCTION("""COMPUTED_VALUE"""),1.0)</f>
        <v>1</v>
      </c>
      <c r="M118" s="65">
        <f>IFERROR(__xludf.DUMMYFUNCTION("""COMPUTED_VALUE"""),23.0)</f>
        <v>23</v>
      </c>
      <c r="N118" s="66">
        <f>IFERROR(__xludf.DUMMYFUNCTION("""COMPUTED_VALUE"""),1.0)</f>
        <v>1</v>
      </c>
    </row>
    <row r="119">
      <c r="A119" s="1"/>
      <c r="B119" s="62" t="str">
        <f>IFERROR(__xludf.DUMMYFUNCTION("""COMPUTED_VALUE"""),"Ramesh Bandaru")</f>
        <v>Ramesh Bandaru</v>
      </c>
      <c r="C119" s="63">
        <f>IFERROR(__xludf.DUMMYFUNCTION("""COMPUTED_VALUE"""),9.0)</f>
        <v>9</v>
      </c>
      <c r="D119" s="64">
        <f>IFERROR(__xludf.DUMMYFUNCTION("""COMPUTED_VALUE"""),0.0)</f>
        <v>0</v>
      </c>
      <c r="E119" s="63">
        <f>IFERROR(__xludf.DUMMYFUNCTION("""COMPUTED_VALUE"""),1.0)</f>
        <v>1</v>
      </c>
      <c r="F119" s="65">
        <f>IFERROR(__xludf.DUMMYFUNCTION("""COMPUTED_VALUE"""),7.0)</f>
        <v>7</v>
      </c>
      <c r="G119" s="65">
        <f>IFERROR(__xludf.DUMMYFUNCTION("""COMPUTED_VALUE"""),0.0)</f>
        <v>0</v>
      </c>
      <c r="H119" s="65">
        <f>IFERROR(__xludf.DUMMYFUNCTION("""COMPUTED_VALUE"""),2.0)</f>
        <v>2</v>
      </c>
      <c r="I119" s="65">
        <f>IFERROR(__xludf.DUMMYFUNCTION("""COMPUTED_VALUE"""),7.0)</f>
        <v>7</v>
      </c>
      <c r="J119" s="65">
        <f>IFERROR(__xludf.DUMMYFUNCTION("""COMPUTED_VALUE"""),5.0)</f>
        <v>5</v>
      </c>
      <c r="K119" s="65">
        <f>IFERROR(__xludf.DUMMYFUNCTION("""COMPUTED_VALUE"""),14.0)</f>
        <v>14</v>
      </c>
      <c r="L119" s="65">
        <f>IFERROR(__xludf.DUMMYFUNCTION("""COMPUTED_VALUE"""),1.0)</f>
        <v>1</v>
      </c>
      <c r="M119" s="65">
        <f>IFERROR(__xludf.DUMMYFUNCTION("""COMPUTED_VALUE"""),23.0)</f>
        <v>23</v>
      </c>
      <c r="N119" s="66">
        <f>IFERROR(__xludf.DUMMYFUNCTION("""COMPUTED_VALUE"""),1.0)</f>
        <v>1</v>
      </c>
    </row>
    <row r="120">
      <c r="A120" s="1"/>
      <c r="B120" s="62" t="str">
        <f>IFERROR(__xludf.DUMMYFUNCTION("""COMPUTED_VALUE"""),"Chandrasekar Chinnathambi")</f>
        <v>Chandrasekar Chinnathambi</v>
      </c>
      <c r="C120" s="63">
        <f>IFERROR(__xludf.DUMMYFUNCTION("""COMPUTED_VALUE"""),9.0)</f>
        <v>9</v>
      </c>
      <c r="D120" s="64">
        <f>IFERROR(__xludf.DUMMYFUNCTION("""COMPUTED_VALUE"""),0.0)</f>
        <v>0</v>
      </c>
      <c r="E120" s="63">
        <f>IFERROR(__xludf.DUMMYFUNCTION("""COMPUTED_VALUE"""),1.0)</f>
        <v>1</v>
      </c>
      <c r="F120" s="65">
        <f>IFERROR(__xludf.DUMMYFUNCTION("""COMPUTED_VALUE"""),7.0)</f>
        <v>7</v>
      </c>
      <c r="G120" s="65">
        <f>IFERROR(__xludf.DUMMYFUNCTION("""COMPUTED_VALUE"""),0.0)</f>
        <v>0</v>
      </c>
      <c r="H120" s="65">
        <f>IFERROR(__xludf.DUMMYFUNCTION("""COMPUTED_VALUE"""),6.0)</f>
        <v>6</v>
      </c>
      <c r="I120" s="65">
        <f>IFERROR(__xludf.DUMMYFUNCTION("""COMPUTED_VALUE"""),5.0)</f>
        <v>5</v>
      </c>
      <c r="J120" s="65">
        <f>IFERROR(__xludf.DUMMYFUNCTION("""COMPUTED_VALUE"""),5.0)</f>
        <v>5</v>
      </c>
      <c r="K120" s="65">
        <f>IFERROR(__xludf.DUMMYFUNCTION("""COMPUTED_VALUE"""),16.0)</f>
        <v>16</v>
      </c>
      <c r="L120" s="65">
        <f>IFERROR(__xludf.DUMMYFUNCTION("""COMPUTED_VALUE"""),1.0)</f>
        <v>1</v>
      </c>
      <c r="M120" s="65">
        <f>IFERROR(__xludf.DUMMYFUNCTION("""COMPUTED_VALUE"""),25.0)</f>
        <v>25</v>
      </c>
      <c r="N120" s="66">
        <f>IFERROR(__xludf.DUMMYFUNCTION("""COMPUTED_VALUE"""),1.0)</f>
        <v>1</v>
      </c>
    </row>
    <row r="121">
      <c r="A121" s="1"/>
      <c r="B121" s="67" t="str">
        <f>IFERROR(__xludf.DUMMYFUNCTION("""COMPUTED_VALUE"""),"Eric Tan")</f>
        <v>Eric Tan</v>
      </c>
      <c r="C121" s="68">
        <f>IFERROR(__xludf.DUMMYFUNCTION("""COMPUTED_VALUE"""),9.0)</f>
        <v>9</v>
      </c>
      <c r="D121" s="69">
        <f>IFERROR(__xludf.DUMMYFUNCTION("""COMPUTED_VALUE"""),0.0)</f>
        <v>0</v>
      </c>
      <c r="E121" s="68">
        <f>IFERROR(__xludf.DUMMYFUNCTION("""COMPUTED_VALUE"""),1.0)</f>
        <v>1</v>
      </c>
      <c r="F121" s="70">
        <f>IFERROR(__xludf.DUMMYFUNCTION("""COMPUTED_VALUE"""),8.0)</f>
        <v>8</v>
      </c>
      <c r="G121" s="70">
        <f>IFERROR(__xludf.DUMMYFUNCTION("""COMPUTED_VALUE"""),0.0)</f>
        <v>0</v>
      </c>
      <c r="H121" s="70">
        <f>IFERROR(__xludf.DUMMYFUNCTION("""COMPUTED_VALUE"""),4.0)</f>
        <v>4</v>
      </c>
      <c r="I121" s="70">
        <f>IFERROR(__xludf.DUMMYFUNCTION("""COMPUTED_VALUE"""),6.0)</f>
        <v>6</v>
      </c>
      <c r="J121" s="70">
        <f>IFERROR(__xludf.DUMMYFUNCTION("""COMPUTED_VALUE"""),2.0)</f>
        <v>2</v>
      </c>
      <c r="K121" s="70">
        <f>IFERROR(__xludf.DUMMYFUNCTION("""COMPUTED_VALUE"""),12.0)</f>
        <v>12</v>
      </c>
      <c r="L121" s="70">
        <f>IFERROR(__xludf.DUMMYFUNCTION("""COMPUTED_VALUE"""),1.0)</f>
        <v>1</v>
      </c>
      <c r="M121" s="70">
        <f>IFERROR(__xludf.DUMMYFUNCTION("""COMPUTED_VALUE"""),21.0)</f>
        <v>21</v>
      </c>
      <c r="N121" s="71">
        <f>IFERROR(__xludf.DUMMYFUNCTION("""COMPUTED_VALUE"""),1.0)</f>
        <v>1</v>
      </c>
    </row>
    <row r="122">
      <c r="A122" s="1"/>
      <c r="B122" s="67" t="str">
        <f>IFERROR(__xludf.DUMMYFUNCTION("""COMPUTED_VALUE"""),"Tony Lin")</f>
        <v>Tony Lin</v>
      </c>
      <c r="C122" s="68">
        <f>IFERROR(__xludf.DUMMYFUNCTION("""COMPUTED_VALUE"""),9.0)</f>
        <v>9</v>
      </c>
      <c r="D122" s="69">
        <f>IFERROR(__xludf.DUMMYFUNCTION("""COMPUTED_VALUE"""),0.0)</f>
        <v>0</v>
      </c>
      <c r="E122" s="68">
        <f>IFERROR(__xludf.DUMMYFUNCTION("""COMPUTED_VALUE"""),2.0)</f>
        <v>2</v>
      </c>
      <c r="F122" s="70">
        <f>IFERROR(__xludf.DUMMYFUNCTION("""COMPUTED_VALUE"""),8.0)</f>
        <v>8</v>
      </c>
      <c r="G122" s="70">
        <f>IFERROR(__xludf.DUMMYFUNCTION("""COMPUTED_VALUE"""),0.0)</f>
        <v>0</v>
      </c>
      <c r="H122" s="70">
        <f>IFERROR(__xludf.DUMMYFUNCTION("""COMPUTED_VALUE"""),6.0)</f>
        <v>6</v>
      </c>
      <c r="I122" s="70">
        <f>IFERROR(__xludf.DUMMYFUNCTION("""COMPUTED_VALUE"""),6.0)</f>
        <v>6</v>
      </c>
      <c r="J122" s="70">
        <f>IFERROR(__xludf.DUMMYFUNCTION("""COMPUTED_VALUE"""),6.0)</f>
        <v>6</v>
      </c>
      <c r="K122" s="70">
        <f>IFERROR(__xludf.DUMMYFUNCTION("""COMPUTED_VALUE"""),18.0)</f>
        <v>18</v>
      </c>
      <c r="L122" s="70">
        <f>IFERROR(__xludf.DUMMYFUNCTION("""COMPUTED_VALUE"""),3.0)</f>
        <v>3</v>
      </c>
      <c r="M122" s="70">
        <f>IFERROR(__xludf.DUMMYFUNCTION("""COMPUTED_VALUE"""),27.0)</f>
        <v>27</v>
      </c>
      <c r="N122" s="71">
        <f>IFERROR(__xludf.DUMMYFUNCTION("""COMPUTED_VALUE"""),3.0)</f>
        <v>3</v>
      </c>
    </row>
    <row r="123">
      <c r="A123" s="1"/>
      <c r="B123" s="67" t="str">
        <f>IFERROR(__xludf.DUMMYFUNCTION("""COMPUTED_VALUE"""),"Ash Nikravan")</f>
        <v>Ash Nikravan</v>
      </c>
      <c r="C123" s="68">
        <f>IFERROR(__xludf.DUMMYFUNCTION("""COMPUTED_VALUE"""),7.0)</f>
        <v>7</v>
      </c>
      <c r="D123" s="69">
        <f>IFERROR(__xludf.DUMMYFUNCTION("""COMPUTED_VALUE"""),1.0)</f>
        <v>1</v>
      </c>
      <c r="E123" s="68">
        <f>IFERROR(__xludf.DUMMYFUNCTION("""COMPUTED_VALUE"""),1.0)</f>
        <v>1</v>
      </c>
      <c r="F123" s="70">
        <f>IFERROR(__xludf.DUMMYFUNCTION("""COMPUTED_VALUE"""),8.0)</f>
        <v>8</v>
      </c>
      <c r="G123" s="70">
        <f>IFERROR(__xludf.DUMMYFUNCTION("""COMPUTED_VALUE"""),0.0)</f>
        <v>0</v>
      </c>
      <c r="H123" s="70">
        <f>IFERROR(__xludf.DUMMYFUNCTION("""COMPUTED_VALUE"""),6.0)</f>
        <v>6</v>
      </c>
      <c r="I123" s="70">
        <f>IFERROR(__xludf.DUMMYFUNCTION("""COMPUTED_VALUE"""),4.0)</f>
        <v>4</v>
      </c>
      <c r="J123" s="70">
        <f>IFERROR(__xludf.DUMMYFUNCTION("""COMPUTED_VALUE"""),2.0)</f>
        <v>2</v>
      </c>
      <c r="K123" s="70">
        <f>IFERROR(__xludf.DUMMYFUNCTION("""COMPUTED_VALUE"""),12.0)</f>
        <v>12</v>
      </c>
      <c r="L123" s="70">
        <f>IFERROR(__xludf.DUMMYFUNCTION("""COMPUTED_VALUE"""),1.0)</f>
        <v>1</v>
      </c>
      <c r="M123" s="70">
        <f>IFERROR(__xludf.DUMMYFUNCTION("""COMPUTED_VALUE"""),19.0)</f>
        <v>19</v>
      </c>
      <c r="N123" s="71">
        <f>IFERROR(__xludf.DUMMYFUNCTION("""COMPUTED_VALUE"""),2.0)</f>
        <v>2</v>
      </c>
    </row>
    <row r="124">
      <c r="A124" s="1"/>
      <c r="B124" s="67" t="str">
        <f>IFERROR(__xludf.DUMMYFUNCTION("""COMPUTED_VALUE"""),"Vishnu Amarnath")</f>
        <v>Vishnu Amarnath</v>
      </c>
      <c r="C124" s="68">
        <f>IFERROR(__xludf.DUMMYFUNCTION("""COMPUTED_VALUE"""),4.0)</f>
        <v>4</v>
      </c>
      <c r="D124" s="69">
        <f>IFERROR(__xludf.DUMMYFUNCTION("""COMPUTED_VALUE"""),0.0)</f>
        <v>0</v>
      </c>
      <c r="E124" s="68">
        <f>IFERROR(__xludf.DUMMYFUNCTION("""COMPUTED_VALUE"""),1.0)</f>
        <v>1</v>
      </c>
      <c r="F124" s="70">
        <f>IFERROR(__xludf.DUMMYFUNCTION("""COMPUTED_VALUE"""),8.0)</f>
        <v>8</v>
      </c>
      <c r="G124" s="70">
        <f>IFERROR(__xludf.DUMMYFUNCTION("""COMPUTED_VALUE"""),0.0)</f>
        <v>0</v>
      </c>
      <c r="H124" s="70">
        <f>IFERROR(__xludf.DUMMYFUNCTION("""COMPUTED_VALUE"""),4.0)</f>
        <v>4</v>
      </c>
      <c r="I124" s="70">
        <f>IFERROR(__xludf.DUMMYFUNCTION("""COMPUTED_VALUE"""),4.0)</f>
        <v>4</v>
      </c>
      <c r="J124" s="70">
        <f>IFERROR(__xludf.DUMMYFUNCTION("""COMPUTED_VALUE"""),6.0)</f>
        <v>6</v>
      </c>
      <c r="K124" s="70">
        <f>IFERROR(__xludf.DUMMYFUNCTION("""COMPUTED_VALUE"""),14.0)</f>
        <v>14</v>
      </c>
      <c r="L124" s="70">
        <f>IFERROR(__xludf.DUMMYFUNCTION("""COMPUTED_VALUE"""),1.0)</f>
        <v>1</v>
      </c>
      <c r="M124" s="70">
        <f>IFERROR(__xludf.DUMMYFUNCTION("""COMPUTED_VALUE"""),18.0)</f>
        <v>18</v>
      </c>
      <c r="N124" s="71">
        <f>IFERROR(__xludf.DUMMYFUNCTION("""COMPUTED_VALUE"""),1.0)</f>
        <v>1</v>
      </c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B135" s="9" t="s">
        <v>136</v>
      </c>
      <c r="C135" s="1"/>
      <c r="D135" s="1"/>
      <c r="E135" s="1"/>
    </row>
    <row r="136">
      <c r="A136" s="1"/>
      <c r="B136" s="23" t="s">
        <v>29</v>
      </c>
      <c r="C136" s="24" t="s">
        <v>5</v>
      </c>
      <c r="D136" s="24" t="s">
        <v>7</v>
      </c>
      <c r="E136" s="24" t="s">
        <v>30</v>
      </c>
      <c r="F136" s="24" t="s">
        <v>31</v>
      </c>
      <c r="G136" s="24" t="s">
        <v>32</v>
      </c>
      <c r="H136" s="24" t="s">
        <v>11</v>
      </c>
      <c r="I136" s="24" t="s">
        <v>13</v>
      </c>
      <c r="J136" s="24" t="s">
        <v>14</v>
      </c>
      <c r="K136" s="24" t="s">
        <v>5</v>
      </c>
      <c r="L136" s="24" t="s">
        <v>7</v>
      </c>
      <c r="M136" s="25" t="s">
        <v>5</v>
      </c>
      <c r="N136" s="25" t="s">
        <v>7</v>
      </c>
    </row>
    <row r="137">
      <c r="A137" s="1"/>
      <c r="B137" s="62" t="str">
        <f>IFERROR(__xludf.DUMMYFUNCTION("QUERY(B5:N70, ""Select B, C, D, E, F, G, H, I, J, K, L, M, N   where F = 0"")"),"Pulkit Mathur")</f>
        <v>Pulkit Mathur</v>
      </c>
      <c r="C137" s="63">
        <f>IFERROR(__xludf.DUMMYFUNCTION("""COMPUTED_VALUE"""),18.0)</f>
        <v>18</v>
      </c>
      <c r="D137" s="64">
        <f>IFERROR(__xludf.DUMMYFUNCTION("""COMPUTED_VALUE"""),3.0)</f>
        <v>3</v>
      </c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IFERROR(__xludf.DUMMYFUNCTION("""COMPUTED_VALUE"""),27.0)</f>
        <v>27</v>
      </c>
      <c r="N137" s="66">
        <f>IFERROR(__xludf.DUMMYFUNCTION("""COMPUTED_VALUE"""),3.0)</f>
        <v>3</v>
      </c>
    </row>
    <row r="138">
      <c r="A138" s="1"/>
      <c r="B138" s="62" t="str">
        <f>IFERROR(__xludf.DUMMYFUNCTION("""COMPUTED_VALUE"""),"Sean Chang")</f>
        <v>Sean Chang</v>
      </c>
      <c r="C138" s="63">
        <f>IFERROR(__xludf.DUMMYFUNCTION("""COMPUTED_VALUE"""),17.0)</f>
        <v>17</v>
      </c>
      <c r="D138" s="64">
        <f>IFERROR(__xludf.DUMMYFUNCTION("""COMPUTED_VALUE"""),2.0)</f>
        <v>2</v>
      </c>
      <c r="E138" s="63">
        <f>IFERROR(__xludf.DUMMYFUNCTION("""COMPUTED_VALUE"""),5.0)</f>
        <v>5</v>
      </c>
      <c r="F138" s="65">
        <f>IFERROR(__xludf.DUMMYFUNCTION("""COMPUTED_VALUE"""),0.0)</f>
        <v>0</v>
      </c>
      <c r="G138" s="65">
        <f>IFERROR(__xludf.DUMMYFUNCTION("""COMPUTED_VALUE"""),13.0)</f>
        <v>13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IFERROR(__xludf.DUMMYFUNCTION("""COMPUTED_VALUE"""),13.0)</f>
        <v>13</v>
      </c>
      <c r="L138" s="65">
        <f>IFERROR(__xludf.DUMMYFUNCTION("""COMPUTED_VALUE"""),0.0)</f>
        <v>0</v>
      </c>
      <c r="M138" s="65">
        <f>IFERROR(__xludf.DUMMYFUNCTION("""COMPUTED_VALUE"""),30.0)</f>
        <v>30</v>
      </c>
      <c r="N138" s="66">
        <f>IFERROR(__xludf.DUMMYFUNCTION("""COMPUTED_VALUE"""),2.0)</f>
        <v>2</v>
      </c>
    </row>
    <row r="139">
      <c r="A139" s="1"/>
      <c r="B139" s="62" t="str">
        <f>IFERROR(__xludf.DUMMYFUNCTION("""COMPUTED_VALUE"""),"Mauricio Palacios")</f>
        <v>Mauricio Palacios</v>
      </c>
      <c r="C139" s="63">
        <f>IFERROR(__xludf.DUMMYFUNCTION("""COMPUTED_VALUE"""),17.0)</f>
        <v>17</v>
      </c>
      <c r="D139" s="64">
        <f>IFERROR(__xludf.DUMMYFUNCTION("""COMPUTED_VALUE"""),2.0)</f>
        <v>2</v>
      </c>
      <c r="E139" s="63">
        <f>IFERROR(__xludf.DUMMYFUNCTION("""COMPUTED_VALUE"""),5.0)</f>
        <v>5</v>
      </c>
      <c r="F139" s="65">
        <f>IFERROR(__xludf.DUMMYFUNCTION("""COMPUTED_VALUE"""),0.0)</f>
        <v>0</v>
      </c>
      <c r="G139" s="65">
        <f>IFERROR(__xludf.DUMMYFUNCTION("""COMPUTED_VALUE"""),13.0)</f>
        <v>13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IFERROR(__xludf.DUMMYFUNCTION("""COMPUTED_VALUE"""),13.0)</f>
        <v>13</v>
      </c>
      <c r="L139" s="65">
        <f>IFERROR(__xludf.DUMMYFUNCTION("""COMPUTED_VALUE"""),0.0)</f>
        <v>0</v>
      </c>
      <c r="M139" s="65">
        <f>IFERROR(__xludf.DUMMYFUNCTION("""COMPUTED_VALUE"""),30.0)</f>
        <v>30</v>
      </c>
      <c r="N139" s="66">
        <f>IFERROR(__xludf.DUMMYFUNCTION("""COMPUTED_VALUE"""),2.0)</f>
        <v>2</v>
      </c>
    </row>
    <row r="140">
      <c r="A140" s="1"/>
      <c r="B140" s="62" t="str">
        <f>IFERROR(__xludf.DUMMYFUNCTION("""COMPUTED_VALUE"""),"Sudhagar Subbaian")</f>
        <v>Sudhagar Subbaian</v>
      </c>
      <c r="C140" s="63">
        <f>IFERROR(__xludf.DUMMYFUNCTION("""COMPUTED_VALUE"""),16.0)</f>
        <v>16</v>
      </c>
      <c r="D140" s="64">
        <f>IFERROR(__xludf.DUMMYFUNCTION("""COMPUTED_VALUE"""),2.0)</f>
        <v>2</v>
      </c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IFERROR(__xludf.DUMMYFUNCTION("""COMPUTED_VALUE"""),25.0)</f>
        <v>25</v>
      </c>
      <c r="N140" s="66">
        <f>IFERROR(__xludf.DUMMYFUNCTION("""COMPUTED_VALUE"""),2.0)</f>
        <v>2</v>
      </c>
    </row>
    <row r="141">
      <c r="A141" s="1"/>
      <c r="B141" s="62" t="str">
        <f>IFERROR(__xludf.DUMMYFUNCTION("""COMPUTED_VALUE"""),"Troy Wong")</f>
        <v>Troy Wong</v>
      </c>
      <c r="C141" s="63">
        <f>IFERROR(__xludf.DUMMYFUNCTION("""COMPUTED_VALUE"""),15.0)</f>
        <v>15</v>
      </c>
      <c r="D141" s="64">
        <f>IFERROR(__xludf.DUMMYFUNCTION("""COMPUTED_VALUE"""),2.0)</f>
        <v>2</v>
      </c>
      <c r="E141" s="63">
        <f>IFERROR(__xludf.DUMMYFUNCTION("""COMPUTED_VALUE"""),3.0)</f>
        <v>3</v>
      </c>
      <c r="F141" s="65">
        <f>IFERROR(__xludf.DUMMYFUNCTION("""COMPUTED_VALUE"""),0.0)</f>
        <v>0</v>
      </c>
      <c r="G141" s="65">
        <f>IFERROR(__xludf.DUMMYFUNCTION("""COMPUTED_VALUE"""),9.0)</f>
        <v>9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IFERROR(__xludf.DUMMYFUNCTION("""COMPUTED_VALUE"""),9.0)</f>
        <v>9</v>
      </c>
      <c r="L141" s="65">
        <f>IFERROR(__xludf.DUMMYFUNCTION("""COMPUTED_VALUE"""),0.0)</f>
        <v>0</v>
      </c>
      <c r="M141" s="65">
        <f>IFERROR(__xludf.DUMMYFUNCTION("""COMPUTED_VALUE"""),24.0)</f>
        <v>24</v>
      </c>
      <c r="N141" s="66">
        <f>IFERROR(__xludf.DUMMYFUNCTION("""COMPUTED_VALUE"""),2.0)</f>
        <v>2</v>
      </c>
    </row>
    <row r="142">
      <c r="A142" s="1"/>
      <c r="B142" s="62" t="str">
        <f>IFERROR(__xludf.DUMMYFUNCTION("""COMPUTED_VALUE"""),"Manuel Rivera")</f>
        <v>Manuel Rivera</v>
      </c>
      <c r="C142" s="63">
        <f>IFERROR(__xludf.DUMMYFUNCTION("""COMPUTED_VALUE"""),15.0)</f>
        <v>15</v>
      </c>
      <c r="D142" s="64">
        <f>IFERROR(__xludf.DUMMYFUNCTION("""COMPUTED_VALUE"""),1.0)</f>
        <v>1</v>
      </c>
      <c r="E142" s="63">
        <f>IFERROR(__xludf.DUMMYFUNCTION("""COMPUTED_VALUE"""),5.0)</f>
        <v>5</v>
      </c>
      <c r="F142" s="65">
        <f>IFERROR(__xludf.DUMMYFUNCTION("""COMPUTED_VALUE"""),0.0)</f>
        <v>0</v>
      </c>
      <c r="G142" s="65">
        <f>IFERROR(__xludf.DUMMYFUNCTION("""COMPUTED_VALUE"""),13.0)</f>
        <v>13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IFERROR(__xludf.DUMMYFUNCTION("""COMPUTED_VALUE"""),13.0)</f>
        <v>13</v>
      </c>
      <c r="L142" s="65">
        <f>IFERROR(__xludf.DUMMYFUNCTION("""COMPUTED_VALUE"""),0.0)</f>
        <v>0</v>
      </c>
      <c r="M142" s="65">
        <f>IFERROR(__xludf.DUMMYFUNCTION("""COMPUTED_VALUE"""),28.0)</f>
        <v>28</v>
      </c>
      <c r="N142" s="66">
        <f>IFERROR(__xludf.DUMMYFUNCTION("""COMPUTED_VALUE"""),1.0)</f>
        <v>1</v>
      </c>
    </row>
    <row r="143">
      <c r="A143" s="1"/>
      <c r="B143" s="62" t="str">
        <f>IFERROR(__xludf.DUMMYFUNCTION("""COMPUTED_VALUE"""),"Christopher Li")</f>
        <v>Christopher Li</v>
      </c>
      <c r="C143" s="63">
        <f>IFERROR(__xludf.DUMMYFUNCTION("""COMPUTED_VALUE"""),14.0)</f>
        <v>14</v>
      </c>
      <c r="D143" s="64">
        <f>IFERROR(__xludf.DUMMYFUNCTION("""COMPUTED_VALUE"""),2.0)</f>
        <v>2</v>
      </c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IFERROR(__xludf.DUMMYFUNCTION("""COMPUTED_VALUE"""),23.0)</f>
        <v>23</v>
      </c>
      <c r="N143" s="66">
        <f>IFERROR(__xludf.DUMMYFUNCTION("""COMPUTED_VALUE"""),2.0)</f>
        <v>2</v>
      </c>
    </row>
    <row r="144">
      <c r="A144" s="1"/>
      <c r="B144" s="62" t="str">
        <f>IFERROR(__xludf.DUMMYFUNCTION("""COMPUTED_VALUE"""),"Tony Wong")</f>
        <v>Tony Wong</v>
      </c>
      <c r="C144" s="63">
        <f>IFERROR(__xludf.DUMMYFUNCTION("""COMPUTED_VALUE"""),13.0)</f>
        <v>13</v>
      </c>
      <c r="D144" s="64">
        <f>IFERROR(__xludf.DUMMYFUNCTION("""COMPUTED_VALUE"""),2.0)</f>
        <v>2</v>
      </c>
      <c r="E144" s="63">
        <f>IFERROR(__xludf.DUMMYFUNCTION("""COMPUTED_VALUE"""),5.0)</f>
        <v>5</v>
      </c>
      <c r="F144" s="65">
        <f>IFERROR(__xludf.DUMMYFUNCTION("""COMPUTED_VALUE"""),0.0)</f>
        <v>0</v>
      </c>
      <c r="G144" s="65">
        <f>IFERROR(__xludf.DUMMYFUNCTION("""COMPUTED_VALUE"""),13.0)</f>
        <v>13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IFERROR(__xludf.DUMMYFUNCTION("""COMPUTED_VALUE"""),13.0)</f>
        <v>13</v>
      </c>
      <c r="L144" s="65">
        <f>IFERROR(__xludf.DUMMYFUNCTION("""COMPUTED_VALUE"""),0.0)</f>
        <v>0</v>
      </c>
      <c r="M144" s="65">
        <f>IFERROR(__xludf.DUMMYFUNCTION("""COMPUTED_VALUE"""),26.0)</f>
        <v>26</v>
      </c>
      <c r="N144" s="66">
        <f>IFERROR(__xludf.DUMMYFUNCTION("""COMPUTED_VALUE"""),2.0)</f>
        <v>2</v>
      </c>
    </row>
    <row r="145">
      <c r="A145" s="1"/>
      <c r="B145" s="62" t="str">
        <f>IFERROR(__xludf.DUMMYFUNCTION("""COMPUTED_VALUE"""),"Peter Cheng")</f>
        <v>Peter Cheng</v>
      </c>
      <c r="C145" s="63">
        <f>IFERROR(__xludf.DUMMYFUNCTION("""COMPUTED_VALUE"""),13.0)</f>
        <v>13</v>
      </c>
      <c r="D145" s="64">
        <f>IFERROR(__xludf.DUMMYFUNCTION("""COMPUTED_VALUE"""),0.0)</f>
        <v>0</v>
      </c>
      <c r="E145" s="63">
        <f>IFERROR(__xludf.DUMMYFUNCTION("""COMPUTED_VALUE"""),5.0)</f>
        <v>5</v>
      </c>
      <c r="F145" s="65">
        <f>IFERROR(__xludf.DUMMYFUNCTION("""COMPUTED_VALUE"""),0.0)</f>
        <v>0</v>
      </c>
      <c r="G145" s="65">
        <f>IFERROR(__xludf.DUMMYFUNCTION("""COMPUTED_VALUE"""),13.0)</f>
        <v>13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IFERROR(__xludf.DUMMYFUNCTION("""COMPUTED_VALUE"""),13.0)</f>
        <v>13</v>
      </c>
      <c r="L145" s="65">
        <f>IFERROR(__xludf.DUMMYFUNCTION("""COMPUTED_VALUE"""),0.0)</f>
        <v>0</v>
      </c>
      <c r="M145" s="65">
        <f>IFERROR(__xludf.DUMMYFUNCTION("""COMPUTED_VALUE"""),26.0)</f>
        <v>26</v>
      </c>
      <c r="N145" s="66">
        <f>IFERROR(__xludf.DUMMYFUNCTION("""COMPUTED_VALUE"""),0.0)</f>
        <v>0</v>
      </c>
    </row>
    <row r="146">
      <c r="A146" s="1"/>
      <c r="B146" s="62" t="str">
        <f>IFERROR(__xludf.DUMMYFUNCTION("""COMPUTED_VALUE"""),"Matthew Huang")</f>
        <v>Matthew Huang</v>
      </c>
      <c r="C146" s="63">
        <f>IFERROR(__xludf.DUMMYFUNCTION("""COMPUTED_VALUE"""),13.0)</f>
        <v>13</v>
      </c>
      <c r="D146" s="64">
        <f>IFERROR(__xludf.DUMMYFUNCTION("""COMPUTED_VALUE"""),0.0)</f>
        <v>0</v>
      </c>
      <c r="E146" s="63">
        <f>IFERROR(__xludf.DUMMYFUNCTION("""COMPUTED_VALUE"""),5.0)</f>
        <v>5</v>
      </c>
      <c r="F146" s="65">
        <f>IFERROR(__xludf.DUMMYFUNCTION("""COMPUTED_VALUE"""),0.0)</f>
        <v>0</v>
      </c>
      <c r="G146" s="65">
        <f>IFERROR(__xludf.DUMMYFUNCTION("""COMPUTED_VALUE"""),13.0)</f>
        <v>13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IFERROR(__xludf.DUMMYFUNCTION("""COMPUTED_VALUE"""),13.0)</f>
        <v>13</v>
      </c>
      <c r="L146" s="65">
        <f>IFERROR(__xludf.DUMMYFUNCTION("""COMPUTED_VALUE"""),0.0)</f>
        <v>0</v>
      </c>
      <c r="M146" s="65">
        <f>IFERROR(__xludf.DUMMYFUNCTION("""COMPUTED_VALUE"""),26.0)</f>
        <v>26</v>
      </c>
      <c r="N146" s="66">
        <f>IFERROR(__xludf.DUMMYFUNCTION("""COMPUTED_VALUE"""),0.0)</f>
        <v>0</v>
      </c>
    </row>
    <row r="147">
      <c r="A147" s="1"/>
      <c r="B147" s="62" t="str">
        <f>IFERROR(__xludf.DUMMYFUNCTION("""COMPUTED_VALUE"""),"David Shin")</f>
        <v>David Shin</v>
      </c>
      <c r="C147" s="63">
        <f>IFERROR(__xludf.DUMMYFUNCTION("""COMPUTED_VALUE"""),13.0)</f>
        <v>13</v>
      </c>
      <c r="D147" s="64">
        <f>IFERROR(__xludf.DUMMYFUNCTION("""COMPUTED_VALUE"""),0.0)</f>
        <v>0</v>
      </c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IFERROR(__xludf.DUMMYFUNCTION("""COMPUTED_VALUE"""),22.0)</f>
        <v>22</v>
      </c>
      <c r="N147" s="66">
        <f>IFERROR(__xludf.DUMMYFUNCTION("""COMPUTED_VALUE"""),0.0)</f>
        <v>0</v>
      </c>
    </row>
    <row r="148">
      <c r="A148" s="1"/>
      <c r="B148" s="62" t="str">
        <f>IFERROR(__xludf.DUMMYFUNCTION("""COMPUTED_VALUE"""),"Trinath Goteti")</f>
        <v>Trinath Goteti</v>
      </c>
      <c r="C148" s="63">
        <f>IFERROR(__xludf.DUMMYFUNCTION("""COMPUTED_VALUE"""),13.0)</f>
        <v>13</v>
      </c>
      <c r="D148" s="64">
        <f>IFERROR(__xludf.DUMMYFUNCTION("""COMPUTED_VALUE"""),0.0)</f>
        <v>0</v>
      </c>
      <c r="E148" s="63">
        <f>IFERROR(__xludf.DUMMYFUNCTION("""COMPUTED_VALUE"""),5.0)</f>
        <v>5</v>
      </c>
      <c r="F148" s="65">
        <f>IFERROR(__xludf.DUMMYFUNCTION("""COMPUTED_VALUE"""),0.0)</f>
        <v>0</v>
      </c>
      <c r="G148" s="65">
        <f>IFERROR(__xludf.DUMMYFUNCTION("""COMPUTED_VALUE"""),13.0)</f>
        <v>13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IFERROR(__xludf.DUMMYFUNCTION("""COMPUTED_VALUE"""),13.0)</f>
        <v>13</v>
      </c>
      <c r="L148" s="65">
        <f>IFERROR(__xludf.DUMMYFUNCTION("""COMPUTED_VALUE"""),0.0)</f>
        <v>0</v>
      </c>
      <c r="M148" s="65">
        <f>IFERROR(__xludf.DUMMYFUNCTION("""COMPUTED_VALUE"""),26.0)</f>
        <v>26</v>
      </c>
      <c r="N148" s="66">
        <f>IFERROR(__xludf.DUMMYFUNCTION("""COMPUTED_VALUE"""),0.0)</f>
        <v>0</v>
      </c>
    </row>
    <row r="149">
      <c r="A149" s="1"/>
      <c r="B149" s="62" t="str">
        <f>IFERROR(__xludf.DUMMYFUNCTION("""COMPUTED_VALUE"""),"Rosie Bonilla")</f>
        <v>Rosie Bonilla</v>
      </c>
      <c r="C149" s="63">
        <f>IFERROR(__xludf.DUMMYFUNCTION("""COMPUTED_VALUE"""),13.0)</f>
        <v>13</v>
      </c>
      <c r="D149" s="64">
        <f>IFERROR(__xludf.DUMMYFUNCTION("""COMPUTED_VALUE"""),0.0)</f>
        <v>0</v>
      </c>
      <c r="E149" s="63">
        <f>IFERROR(__xludf.DUMMYFUNCTION("""COMPUTED_VALUE"""),5.0)</f>
        <v>5</v>
      </c>
      <c r="F149" s="65">
        <f>IFERROR(__xludf.DUMMYFUNCTION("""COMPUTED_VALUE"""),0.0)</f>
        <v>0</v>
      </c>
      <c r="G149" s="65">
        <f>IFERROR(__xludf.DUMMYFUNCTION("""COMPUTED_VALUE"""),13.0)</f>
        <v>13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IFERROR(__xludf.DUMMYFUNCTION("""COMPUTED_VALUE"""),13.0)</f>
        <v>13</v>
      </c>
      <c r="L149" s="65">
        <f>IFERROR(__xludf.DUMMYFUNCTION("""COMPUTED_VALUE"""),0.0)</f>
        <v>0</v>
      </c>
      <c r="M149" s="65">
        <f>IFERROR(__xludf.DUMMYFUNCTION("""COMPUTED_VALUE"""),26.0)</f>
        <v>26</v>
      </c>
      <c r="N149" s="66">
        <f>IFERROR(__xludf.DUMMYFUNCTION("""COMPUTED_VALUE"""),0.0)</f>
        <v>0</v>
      </c>
    </row>
    <row r="150">
      <c r="A150" s="1"/>
      <c r="B150" s="62" t="str">
        <f>IFERROR(__xludf.DUMMYFUNCTION("""COMPUTED_VALUE"""),"Nohely Mejia")</f>
        <v>Nohely Mejia</v>
      </c>
      <c r="C150" s="63">
        <f>IFERROR(__xludf.DUMMYFUNCTION("""COMPUTED_VALUE"""),13.0)</f>
        <v>13</v>
      </c>
      <c r="D150" s="64">
        <f>IFERROR(__xludf.DUMMYFUNCTION("""COMPUTED_VALUE"""),0.0)</f>
        <v>0</v>
      </c>
      <c r="E150" s="63">
        <f>IFERROR(__xludf.DUMMYFUNCTION("""COMPUTED_VALUE"""),5.0)</f>
        <v>5</v>
      </c>
      <c r="F150" s="65">
        <f>IFERROR(__xludf.DUMMYFUNCTION("""COMPUTED_VALUE"""),0.0)</f>
        <v>0</v>
      </c>
      <c r="G150" s="65">
        <f>IFERROR(__xludf.DUMMYFUNCTION("""COMPUTED_VALUE"""),13.0)</f>
        <v>13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IFERROR(__xludf.DUMMYFUNCTION("""COMPUTED_VALUE"""),13.0)</f>
        <v>13</v>
      </c>
      <c r="L150" s="65">
        <f>IFERROR(__xludf.DUMMYFUNCTION("""COMPUTED_VALUE"""),0.0)</f>
        <v>0</v>
      </c>
      <c r="M150" s="65">
        <f>IFERROR(__xludf.DUMMYFUNCTION("""COMPUTED_VALUE"""),26.0)</f>
        <v>26</v>
      </c>
      <c r="N150" s="66">
        <f>IFERROR(__xludf.DUMMYFUNCTION("""COMPUTED_VALUE"""),0.0)</f>
        <v>0</v>
      </c>
    </row>
    <row r="151">
      <c r="A151" s="1"/>
      <c r="B151" s="62" t="str">
        <f>IFERROR(__xludf.DUMMYFUNCTION("""COMPUTED_VALUE"""),"Marcus Yovas")</f>
        <v>Marcus Yovas</v>
      </c>
      <c r="C151" s="63">
        <f>IFERROR(__xludf.DUMMYFUNCTION("""COMPUTED_VALUE"""),13.0)</f>
        <v>13</v>
      </c>
      <c r="D151" s="64">
        <f>IFERROR(__xludf.DUMMYFUNCTION("""COMPUTED_VALUE"""),0.0)</f>
        <v>0</v>
      </c>
      <c r="E151" s="63">
        <f>IFERROR(__xludf.DUMMYFUNCTION("""COMPUTED_VALUE"""),3.0)</f>
        <v>3</v>
      </c>
      <c r="F151" s="65">
        <f>IFERROR(__xludf.DUMMYFUNCTION("""COMPUTED_VALUE"""),0.0)</f>
        <v>0</v>
      </c>
      <c r="G151" s="65">
        <f>IFERROR(__xludf.DUMMYFUNCTION("""COMPUTED_VALUE"""),9.0)</f>
        <v>9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IFERROR(__xludf.DUMMYFUNCTION("""COMPUTED_VALUE"""),9.0)</f>
        <v>9</v>
      </c>
      <c r="L151" s="65">
        <f>IFERROR(__xludf.DUMMYFUNCTION("""COMPUTED_VALUE"""),0.0)</f>
        <v>0</v>
      </c>
      <c r="M151" s="65">
        <f>IFERROR(__xludf.DUMMYFUNCTION("""COMPUTED_VALUE"""),22.0)</f>
        <v>22</v>
      </c>
      <c r="N151" s="66">
        <f>IFERROR(__xludf.DUMMYFUNCTION("""COMPUTED_VALUE"""),0.0)</f>
        <v>0</v>
      </c>
    </row>
    <row r="152">
      <c r="A152" s="1"/>
      <c r="B152" s="62" t="str">
        <f>IFERROR(__xludf.DUMMYFUNCTION("""COMPUTED_VALUE"""),"Joe Luzzi")</f>
        <v>Joe Luzzi</v>
      </c>
      <c r="C152" s="63">
        <f>IFERROR(__xludf.DUMMYFUNCTION("""COMPUTED_VALUE"""),9.0)</f>
        <v>9</v>
      </c>
      <c r="D152" s="64">
        <f>IFERROR(__xludf.DUMMYFUNCTION("""COMPUTED_VALUE"""),1.0)</f>
        <v>1</v>
      </c>
      <c r="E152" s="63">
        <f>IFERROR(__xludf.DUMMYFUNCTION("""COMPUTED_VALUE"""),5.0)</f>
        <v>5</v>
      </c>
      <c r="F152" s="65">
        <f>IFERROR(__xludf.DUMMYFUNCTION("""COMPUTED_VALUE"""),0.0)</f>
        <v>0</v>
      </c>
      <c r="G152" s="65">
        <f>IFERROR(__xludf.DUMMYFUNCTION("""COMPUTED_VALUE"""),13.0)</f>
        <v>13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IFERROR(__xludf.DUMMYFUNCTION("""COMPUTED_VALUE"""),13.0)</f>
        <v>13</v>
      </c>
      <c r="L152" s="65">
        <f>IFERROR(__xludf.DUMMYFUNCTION("""COMPUTED_VALUE"""),0.0)</f>
        <v>0</v>
      </c>
      <c r="M152" s="65">
        <f>IFERROR(__xludf.DUMMYFUNCTION("""COMPUTED_VALUE"""),22.0)</f>
        <v>22</v>
      </c>
      <c r="N152" s="66">
        <f>IFERROR(__xludf.DUMMYFUNCTION("""COMPUTED_VALUE"""),1.0)</f>
        <v>1</v>
      </c>
    </row>
    <row r="153">
      <c r="A153" s="1"/>
      <c r="B153" s="62" t="str">
        <f>IFERROR(__xludf.DUMMYFUNCTION("""COMPUTED_VALUE"""),"Vamsi Lolla ")</f>
        <v>Vamsi Lolla </v>
      </c>
      <c r="C153" s="63">
        <f>IFERROR(__xludf.DUMMYFUNCTION("""COMPUTED_VALUE"""),9.0)</f>
        <v>9</v>
      </c>
      <c r="D153" s="64">
        <f>IFERROR(__xludf.DUMMYFUNCTION("""COMPUTED_VALUE"""),1.0)</f>
        <v>1</v>
      </c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IFERROR(__xludf.DUMMYFUNCTION("""COMPUTED_VALUE"""),18.0)</f>
        <v>18</v>
      </c>
      <c r="N153" s="66">
        <f>IFERROR(__xludf.DUMMYFUNCTION("""COMPUTED_VALUE"""),1.0)</f>
        <v>1</v>
      </c>
    </row>
    <row r="154">
      <c r="A154" s="1"/>
      <c r="B154" s="62" t="str">
        <f>IFERROR(__xludf.DUMMYFUNCTION("""COMPUTED_VALUE"""),"Adrian Tay")</f>
        <v>Adrian Tay</v>
      </c>
      <c r="C154" s="63">
        <f>IFERROR(__xludf.DUMMYFUNCTION("""COMPUTED_VALUE"""),9.0)</f>
        <v>9</v>
      </c>
      <c r="D154" s="64">
        <f>IFERROR(__xludf.DUMMYFUNCTION("""COMPUTED_VALUE"""),0.0)</f>
        <v>0</v>
      </c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IFERROR(__xludf.DUMMYFUNCTION("""COMPUTED_VALUE"""),18.0)</f>
        <v>18</v>
      </c>
      <c r="N154" s="66">
        <f>IFERROR(__xludf.DUMMYFUNCTION("""COMPUTED_VALUE"""),0.0)</f>
        <v>0</v>
      </c>
    </row>
    <row r="155">
      <c r="A155" s="1"/>
      <c r="B155" s="62" t="str">
        <f>IFERROR(__xludf.DUMMYFUNCTION("""COMPUTED_VALUE"""),"Lam Bui")</f>
        <v>Lam Bui</v>
      </c>
      <c r="C155" s="63">
        <f>IFERROR(__xludf.DUMMYFUNCTION("""COMPUTED_VALUE"""),9.0)</f>
        <v>9</v>
      </c>
      <c r="D155" s="64">
        <f>IFERROR(__xludf.DUMMYFUNCTION("""COMPUTED_VALUE"""),0.0)</f>
        <v>0</v>
      </c>
      <c r="E155" s="63">
        <f>IFERROR(__xludf.DUMMYFUNCTION("""COMPUTED_VALUE"""),3.0)</f>
        <v>3</v>
      </c>
      <c r="F155" s="65">
        <f>IFERROR(__xludf.DUMMYFUNCTION("""COMPUTED_VALUE"""),0.0)</f>
        <v>0</v>
      </c>
      <c r="G155" s="65">
        <f>IFERROR(__xludf.DUMMYFUNCTION("""COMPUTED_VALUE"""),9.0)</f>
        <v>9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IFERROR(__xludf.DUMMYFUNCTION("""COMPUTED_VALUE"""),9.0)</f>
        <v>9</v>
      </c>
      <c r="L155" s="65">
        <f>IFERROR(__xludf.DUMMYFUNCTION("""COMPUTED_VALUE"""),0.0)</f>
        <v>0</v>
      </c>
      <c r="M155" s="65">
        <f>IFERROR(__xludf.DUMMYFUNCTION("""COMPUTED_VALUE"""),18.0)</f>
        <v>18</v>
      </c>
      <c r="N155" s="66">
        <f>IFERROR(__xludf.DUMMYFUNCTION("""COMPUTED_VALUE"""),0.0)</f>
        <v>0</v>
      </c>
    </row>
    <row r="156">
      <c r="A156" s="1"/>
      <c r="B156" s="62" t="str">
        <f>IFERROR(__xludf.DUMMYFUNCTION("""COMPUTED_VALUE"""),"Peter Homsey")</f>
        <v>Peter Homsey</v>
      </c>
      <c r="C156" s="63">
        <f>IFERROR(__xludf.DUMMYFUNCTION("""COMPUTED_VALUE"""),9.0)</f>
        <v>9</v>
      </c>
      <c r="D156" s="64">
        <f>IFERROR(__xludf.DUMMYFUNCTION("""COMPUTED_VALUE"""),0.0)</f>
        <v>0</v>
      </c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IFERROR(__xludf.DUMMYFUNCTION("""COMPUTED_VALUE"""),18.0)</f>
        <v>18</v>
      </c>
      <c r="N156" s="66">
        <f>IFERROR(__xludf.DUMMYFUNCTION("""COMPUTED_VALUE"""),0.0)</f>
        <v>0</v>
      </c>
    </row>
    <row r="157">
      <c r="A157" s="1"/>
      <c r="B157" s="62" t="str">
        <f>IFERROR(__xludf.DUMMYFUNCTION("""COMPUTED_VALUE"""),"Chinna Ponnaganti")</f>
        <v>Chinna Ponnaganti</v>
      </c>
      <c r="C157" s="63">
        <f>IFERROR(__xludf.DUMMYFUNCTION("""COMPUTED_VALUE"""),9.0)</f>
        <v>9</v>
      </c>
      <c r="D157" s="64">
        <f>IFERROR(__xludf.DUMMYFUNCTION("""COMPUTED_VALUE"""),0.0)</f>
        <v>0</v>
      </c>
      <c r="E157" s="63">
        <f>IFERROR(__xludf.DUMMYFUNCTION("""COMPUTED_VALUE"""),5.0)</f>
        <v>5</v>
      </c>
      <c r="F157" s="65">
        <f>IFERROR(__xludf.DUMMYFUNCTION("""COMPUTED_VALUE"""),0.0)</f>
        <v>0</v>
      </c>
      <c r="G157" s="65">
        <f>IFERROR(__xludf.DUMMYFUNCTION("""COMPUTED_VALUE"""),13.0)</f>
        <v>13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IFERROR(__xludf.DUMMYFUNCTION("""COMPUTED_VALUE"""),13.0)</f>
        <v>13</v>
      </c>
      <c r="L157" s="65">
        <f>IFERROR(__xludf.DUMMYFUNCTION("""COMPUTED_VALUE"""),0.0)</f>
        <v>0</v>
      </c>
      <c r="M157" s="65">
        <f>IFERROR(__xludf.DUMMYFUNCTION("""COMPUTED_VALUE"""),22.0)</f>
        <v>22</v>
      </c>
      <c r="N157" s="66">
        <f>IFERROR(__xludf.DUMMYFUNCTION("""COMPUTED_VALUE"""),0.0)</f>
        <v>0</v>
      </c>
    </row>
    <row r="158">
      <c r="A158" s="1"/>
      <c r="B158" s="62" t="str">
        <f>IFERROR(__xludf.DUMMYFUNCTION("""COMPUTED_VALUE"""),"Lloyd Sagar")</f>
        <v>Lloyd Sagar</v>
      </c>
      <c r="C158" s="63">
        <f>IFERROR(__xludf.DUMMYFUNCTION("""COMPUTED_VALUE"""),9.0)</f>
        <v>9</v>
      </c>
      <c r="D158" s="64">
        <f>IFERROR(__xludf.DUMMYFUNCTION("""COMPUTED_VALUE"""),0.0)</f>
        <v>0</v>
      </c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IFERROR(__xludf.DUMMYFUNCTION("""COMPUTED_VALUE"""),18.0)</f>
        <v>18</v>
      </c>
      <c r="N158" s="66">
        <f>IFERROR(__xludf.DUMMYFUNCTION("""COMPUTED_VALUE"""),0.0)</f>
        <v>0</v>
      </c>
    </row>
    <row r="159">
      <c r="A159" s="1"/>
      <c r="B159" s="62" t="str">
        <f>IFERROR(__xludf.DUMMYFUNCTION("""COMPUTED_VALUE"""),"Sai Dilip Ponnaganti")</f>
        <v>Sai Dilip Ponnaganti</v>
      </c>
      <c r="C159" s="63">
        <f>IFERROR(__xludf.DUMMYFUNCTION("""COMPUTED_VALUE"""),9.0)</f>
        <v>9</v>
      </c>
      <c r="D159" s="64">
        <f>IFERROR(__xludf.DUMMYFUNCTION("""COMPUTED_VALUE"""),0.0)</f>
        <v>0</v>
      </c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IFERROR(__xludf.DUMMYFUNCTION("""COMPUTED_VALUE"""),18.0)</f>
        <v>18</v>
      </c>
      <c r="N159" s="66">
        <f>IFERROR(__xludf.DUMMYFUNCTION("""COMPUTED_VALUE"""),0.0)</f>
        <v>0</v>
      </c>
    </row>
    <row r="160">
      <c r="A160" s="1"/>
      <c r="B160" s="62" t="str">
        <f>IFERROR(__xludf.DUMMYFUNCTION("""COMPUTED_VALUE"""),"Tom Le")</f>
        <v>Tom Le</v>
      </c>
      <c r="C160" s="63">
        <f>IFERROR(__xludf.DUMMYFUNCTION("""COMPUTED_VALUE"""),9.0)</f>
        <v>9</v>
      </c>
      <c r="D160" s="64">
        <f>IFERROR(__xludf.DUMMYFUNCTION("""COMPUTED_VALUE"""),0.0)</f>
        <v>0</v>
      </c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IFERROR(__xludf.DUMMYFUNCTION("""COMPUTED_VALUE"""),18.0)</f>
        <v>18</v>
      </c>
      <c r="N160" s="66">
        <f>IFERROR(__xludf.DUMMYFUNCTION("""COMPUTED_VALUE"""),0.0)</f>
        <v>0</v>
      </c>
    </row>
    <row r="161">
      <c r="A161" s="1"/>
      <c r="B161" s="62" t="str">
        <f>IFERROR(__xludf.DUMMYFUNCTION("""COMPUTED_VALUE"""),"Susanta Mishra")</f>
        <v>Susanta Mishra</v>
      </c>
      <c r="C161" s="63">
        <f>IFERROR(__xludf.DUMMYFUNCTION("""COMPUTED_VALUE"""),9.0)</f>
        <v>9</v>
      </c>
      <c r="D161" s="64">
        <f>IFERROR(__xludf.DUMMYFUNCTION("""COMPUTED_VALUE"""),0.0)</f>
        <v>0</v>
      </c>
      <c r="E161" s="63">
        <f>IFERROR(__xludf.DUMMYFUNCTION("""COMPUTED_VALUE"""),4.0)</f>
        <v>4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IFERROR(__xludf.DUMMYFUNCTION("""COMPUTED_VALUE"""),18.0)</f>
        <v>18</v>
      </c>
      <c r="N161" s="66">
        <f>IFERROR(__xludf.DUMMYFUNCTION("""COMPUTED_VALUE"""),0.0)</f>
        <v>0</v>
      </c>
    </row>
    <row r="162">
      <c r="A162" s="1"/>
      <c r="B162" s="62" t="str">
        <f>IFERROR(__xludf.DUMMYFUNCTION("""COMPUTED_VALUE"""),"Eric Pan")</f>
        <v>Eric Pan</v>
      </c>
      <c r="C162" s="63">
        <f>IFERROR(__xludf.DUMMYFUNCTION("""COMPUTED_VALUE"""),9.0)</f>
        <v>9</v>
      </c>
      <c r="D162" s="64">
        <f>IFERROR(__xludf.DUMMYFUNCTION("""COMPUTED_VALUE"""),0.0)</f>
        <v>0</v>
      </c>
      <c r="E162" s="63">
        <f>IFERROR(__xludf.DUMMYFUNCTION("""COMPUTED_VALUE"""),5.0)</f>
        <v>5</v>
      </c>
      <c r="F162" s="65">
        <f>IFERROR(__xludf.DUMMYFUNCTION("""COMPUTED_VALUE"""),0.0)</f>
        <v>0</v>
      </c>
      <c r="G162" s="65">
        <f>IFERROR(__xludf.DUMMYFUNCTION("""COMPUTED_VALUE"""),13.0)</f>
        <v>13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IFERROR(__xludf.DUMMYFUNCTION("""COMPUTED_VALUE"""),13.0)</f>
        <v>13</v>
      </c>
      <c r="L162" s="65">
        <f>IFERROR(__xludf.DUMMYFUNCTION("""COMPUTED_VALUE"""),0.0)</f>
        <v>0</v>
      </c>
      <c r="M162" s="65">
        <f>IFERROR(__xludf.DUMMYFUNCTION("""COMPUTED_VALUE"""),22.0)</f>
        <v>22</v>
      </c>
      <c r="N162" s="66">
        <f>IFERROR(__xludf.DUMMYFUNCTION("""COMPUTED_VALUE"""),0.0)</f>
        <v>0</v>
      </c>
    </row>
    <row r="163">
      <c r="A163" s="1"/>
      <c r="B163" s="62" t="str">
        <f>IFERROR(__xludf.DUMMYFUNCTION("""COMPUTED_VALUE"""),"Sanjaye Elayattu")</f>
        <v>Sanjaye Elayattu</v>
      </c>
      <c r="C163" s="63">
        <f>IFERROR(__xludf.DUMMYFUNCTION("""COMPUTED_VALUE"""),9.0)</f>
        <v>9</v>
      </c>
      <c r="D163" s="64">
        <f>IFERROR(__xludf.DUMMYFUNCTION("""COMPUTED_VALUE"""),0.0)</f>
        <v>0</v>
      </c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IFERROR(__xludf.DUMMYFUNCTION("""COMPUTED_VALUE"""),18.0)</f>
        <v>18</v>
      </c>
      <c r="N163" s="66">
        <f>IFERROR(__xludf.DUMMYFUNCTION("""COMPUTED_VALUE"""),0.0)</f>
        <v>0</v>
      </c>
    </row>
    <row r="164">
      <c r="A164" s="1"/>
      <c r="B164" s="62" t="str">
        <f>IFERROR(__xludf.DUMMYFUNCTION("""COMPUTED_VALUE"""),"Luis Hsu")</f>
        <v>Luis Hsu</v>
      </c>
      <c r="C164" s="63">
        <f>IFERROR(__xludf.DUMMYFUNCTION("""COMPUTED_VALUE"""),9.0)</f>
        <v>9</v>
      </c>
      <c r="D164" s="64">
        <f>IFERROR(__xludf.DUMMYFUNCTION("""COMPUTED_VALUE"""),0.0)</f>
        <v>0</v>
      </c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IFERROR(__xludf.DUMMYFUNCTION("""COMPUTED_VALUE"""),18.0)</f>
        <v>18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IFERROR(__xludf.DUMMYFUNCTION("""COMPUTED_VALUE"""),"Vilas Janardhanan")</f>
        <v>Vilas Janardhanan</v>
      </c>
      <c r="C165" s="63">
        <f>IFERROR(__xludf.DUMMYFUNCTION("""COMPUTED_VALUE"""),9.0)</f>
        <v>9</v>
      </c>
      <c r="D165" s="64">
        <f>IFERROR(__xludf.DUMMYFUNCTION("""COMPUTED_VALUE"""),0.0)</f>
        <v>0</v>
      </c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IFERROR(__xludf.DUMMYFUNCTION("""COMPUTED_VALUE"""),18.0)</f>
        <v>18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IFERROR(__xludf.DUMMYFUNCTION("""COMPUTED_VALUE"""),"Amit Patel")</f>
        <v>Amit Patel</v>
      </c>
      <c r="C166" s="63">
        <f>IFERROR(__xludf.DUMMYFUNCTION("""COMPUTED_VALUE"""),9.0)</f>
        <v>9</v>
      </c>
      <c r="D166" s="64">
        <f>IFERROR(__xludf.DUMMYFUNCTION("""COMPUTED_VALUE"""),0.0)</f>
        <v>0</v>
      </c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IFERROR(__xludf.DUMMYFUNCTION("""COMPUTED_VALUE"""),18.0)</f>
        <v>18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IFERROR(__xludf.DUMMYFUNCTION("""COMPUTED_VALUE"""),"Coco Yan")</f>
        <v>Coco Yan</v>
      </c>
      <c r="C167" s="63">
        <f>IFERROR(__xludf.DUMMYFUNCTION("""COMPUTED_VALUE"""),9.0)</f>
        <v>9</v>
      </c>
      <c r="D167" s="64">
        <f>IFERROR(__xludf.DUMMYFUNCTION("""COMPUTED_VALUE"""),0.0)</f>
        <v>0</v>
      </c>
      <c r="E167" s="63">
        <f>IFERROR(__xludf.DUMMYFUNCTION("""COMPUTED_VALUE"""),3.0)</f>
        <v>3</v>
      </c>
      <c r="F167" s="65">
        <f>IFERROR(__xludf.DUMMYFUNCTION("""COMPUTED_VALUE"""),0.0)</f>
        <v>0</v>
      </c>
      <c r="G167" s="65">
        <f>IFERROR(__xludf.DUMMYFUNCTION("""COMPUTED_VALUE"""),9.0)</f>
        <v>9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IFERROR(__xludf.DUMMYFUNCTION("""COMPUTED_VALUE"""),9.0)</f>
        <v>9</v>
      </c>
      <c r="L167" s="65">
        <f>IFERROR(__xludf.DUMMYFUNCTION("""COMPUTED_VALUE"""),0.0)</f>
        <v>0</v>
      </c>
      <c r="M167" s="65">
        <f>IFERROR(__xludf.DUMMYFUNCTION("""COMPUTED_VALUE"""),18.0)</f>
        <v>18</v>
      </c>
      <c r="N167" s="66">
        <f>IFERROR(__xludf.DUMMYFUNCTION("""COMPUTED_VALUE"""),0.0)</f>
        <v>0</v>
      </c>
    </row>
    <row r="168">
      <c r="A168" s="1"/>
      <c r="B168" s="62" t="str">
        <f>IFERROR(__xludf.DUMMYFUNCTION("""COMPUTED_VALUE"""),"Manish Anand")</f>
        <v>Manish Anand</v>
      </c>
      <c r="C168" s="63">
        <f>IFERROR(__xludf.DUMMYFUNCTION("""COMPUTED_VALUE"""),9.0)</f>
        <v>9</v>
      </c>
      <c r="D168" s="64">
        <f>IFERROR(__xludf.DUMMYFUNCTION("""COMPUTED_VALUE"""),0.0)</f>
        <v>0</v>
      </c>
      <c r="E168" s="63">
        <f>IFERROR(__xludf.DUMMYFUNCTION("""COMPUTED_VALUE"""),5.0)</f>
        <v>5</v>
      </c>
      <c r="F168" s="65">
        <f>IFERROR(__xludf.DUMMYFUNCTION("""COMPUTED_VALUE"""),0.0)</f>
        <v>0</v>
      </c>
      <c r="G168" s="65">
        <f>IFERROR(__xludf.DUMMYFUNCTION("""COMPUTED_VALUE"""),13.0)</f>
        <v>13</v>
      </c>
      <c r="H168" s="65">
        <f>IFERROR(__xludf.DUMMYFUNCTION("""COMPUTED_VALUE"""),0.0)</f>
        <v>0</v>
      </c>
      <c r="I168" s="65">
        <f>IFERROR(__xludf.DUMMYFUNCTION("""COMPUTED_VALUE"""),0.0)</f>
        <v>0</v>
      </c>
      <c r="J168" s="65">
        <f>IFERROR(__xludf.DUMMYFUNCTION("""COMPUTED_VALUE"""),0.0)</f>
        <v>0</v>
      </c>
      <c r="K168" s="65">
        <f>IFERROR(__xludf.DUMMYFUNCTION("""COMPUTED_VALUE"""),13.0)</f>
        <v>13</v>
      </c>
      <c r="L168" s="65">
        <f>IFERROR(__xludf.DUMMYFUNCTION("""COMPUTED_VALUE"""),0.0)</f>
        <v>0</v>
      </c>
      <c r="M168" s="65">
        <f>IFERROR(__xludf.DUMMYFUNCTION("""COMPUTED_VALUE"""),22.0)</f>
        <v>22</v>
      </c>
      <c r="N168" s="66">
        <f>IFERROR(__xludf.DUMMYFUNCTION("""COMPUTED_VALUE"""),0.0)</f>
        <v>0</v>
      </c>
    </row>
    <row r="169">
      <c r="A169" s="1"/>
      <c r="B169" s="62" t="str">
        <f>IFERROR(__xludf.DUMMYFUNCTION("""COMPUTED_VALUE"""),"Tiffany Yu")</f>
        <v>Tiffany Yu</v>
      </c>
      <c r="C169" s="63">
        <f>IFERROR(__xludf.DUMMYFUNCTION("""COMPUTED_VALUE"""),9.0)</f>
        <v>9</v>
      </c>
      <c r="D169" s="64">
        <f>IFERROR(__xludf.DUMMYFUNCTION("""COMPUTED_VALUE"""),0.0)</f>
        <v>0</v>
      </c>
      <c r="E169" s="63">
        <f>IFERROR(__xludf.DUMMYFUNCTION("""COMPUTED_VALUE"""),3.0)</f>
        <v>3</v>
      </c>
      <c r="F169" s="65">
        <f>IFERROR(__xludf.DUMMYFUNCTION("""COMPUTED_VALUE"""),0.0)</f>
        <v>0</v>
      </c>
      <c r="G169" s="65">
        <f>IFERROR(__xludf.DUMMYFUNCTION("""COMPUTED_VALUE"""),9.0)</f>
        <v>9</v>
      </c>
      <c r="H169" s="65">
        <f>IFERROR(__xludf.DUMMYFUNCTION("""COMPUTED_VALUE"""),0.0)</f>
        <v>0</v>
      </c>
      <c r="I169" s="65">
        <f>IFERROR(__xludf.DUMMYFUNCTION("""COMPUTED_VALUE"""),0.0)</f>
        <v>0</v>
      </c>
      <c r="J169" s="65">
        <f>IFERROR(__xludf.DUMMYFUNCTION("""COMPUTED_VALUE"""),0.0)</f>
        <v>0</v>
      </c>
      <c r="K169" s="65">
        <f>IFERROR(__xludf.DUMMYFUNCTION("""COMPUTED_VALUE"""),9.0)</f>
        <v>9</v>
      </c>
      <c r="L169" s="65">
        <f>IFERROR(__xludf.DUMMYFUNCTION("""COMPUTED_VALUE"""),0.0)</f>
        <v>0</v>
      </c>
      <c r="M169" s="65">
        <f>IFERROR(__xludf.DUMMYFUNCTION("""COMPUTED_VALUE"""),18.0)</f>
        <v>18</v>
      </c>
      <c r="N169" s="66">
        <f>IFERROR(__xludf.DUMMYFUNCTION("""COMPUTED_VALUE"""),0.0)</f>
        <v>0</v>
      </c>
    </row>
    <row r="170">
      <c r="A170" s="1"/>
      <c r="B170" s="62" t="str">
        <f>IFERROR(__xludf.DUMMYFUNCTION("""COMPUTED_VALUE"""),"Jose Ortiz")</f>
        <v>Jose Ortiz</v>
      </c>
      <c r="C170" s="63">
        <f>IFERROR(__xludf.DUMMYFUNCTION("""COMPUTED_VALUE"""),9.0)</f>
        <v>9</v>
      </c>
      <c r="D170" s="64">
        <f>IFERROR(__xludf.DUMMYFUNCTION("""COMPUTED_VALUE"""),0.0)</f>
        <v>0</v>
      </c>
      <c r="E170" s="63">
        <f>IFERROR(__xludf.DUMMYFUNCTION("""COMPUTED_VALUE"""),3.0)</f>
        <v>3</v>
      </c>
      <c r="F170" s="65">
        <f>IFERROR(__xludf.DUMMYFUNCTION("""COMPUTED_VALUE"""),0.0)</f>
        <v>0</v>
      </c>
      <c r="G170" s="65">
        <f>IFERROR(__xludf.DUMMYFUNCTION("""COMPUTED_VALUE"""),9.0)</f>
        <v>9</v>
      </c>
      <c r="H170" s="65">
        <f>IFERROR(__xludf.DUMMYFUNCTION("""COMPUTED_VALUE"""),0.0)</f>
        <v>0</v>
      </c>
      <c r="I170" s="65">
        <f>IFERROR(__xludf.DUMMYFUNCTION("""COMPUTED_VALUE"""),0.0)</f>
        <v>0</v>
      </c>
      <c r="J170" s="65">
        <f>IFERROR(__xludf.DUMMYFUNCTION("""COMPUTED_VALUE"""),0.0)</f>
        <v>0</v>
      </c>
      <c r="K170" s="65">
        <f>IFERROR(__xludf.DUMMYFUNCTION("""COMPUTED_VALUE"""),9.0)</f>
        <v>9</v>
      </c>
      <c r="L170" s="65">
        <f>IFERROR(__xludf.DUMMYFUNCTION("""COMPUTED_VALUE"""),0.0)</f>
        <v>0</v>
      </c>
      <c r="M170" s="65">
        <f>IFERROR(__xludf.DUMMYFUNCTION("""COMPUTED_VALUE"""),18.0)</f>
        <v>18</v>
      </c>
      <c r="N170" s="66">
        <f>IFERROR(__xludf.DUMMYFUNCTION("""COMPUTED_VALUE"""),0.0)</f>
        <v>0</v>
      </c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B190" s="62"/>
      <c r="C190" s="63"/>
      <c r="D190" s="64"/>
      <c r="E190" s="63"/>
      <c r="F190" s="65"/>
      <c r="G190" s="65"/>
      <c r="H190" s="65"/>
      <c r="I190" s="65"/>
      <c r="J190" s="65"/>
      <c r="K190" s="65"/>
      <c r="L190" s="65"/>
      <c r="M190" s="65"/>
      <c r="N190" s="66"/>
    </row>
    <row r="191">
      <c r="A191" s="1"/>
      <c r="B191" s="62"/>
      <c r="C191" s="63"/>
      <c r="D191" s="64"/>
      <c r="E191" s="63"/>
      <c r="F191" s="65"/>
      <c r="G191" s="65"/>
      <c r="H191" s="65"/>
      <c r="I191" s="65"/>
      <c r="J191" s="65"/>
      <c r="K191" s="65"/>
      <c r="L191" s="65"/>
      <c r="M191" s="65"/>
      <c r="N191" s="66"/>
    </row>
    <row r="192">
      <c r="A192" s="1"/>
      <c r="B192" s="62"/>
      <c r="C192" s="63"/>
      <c r="D192" s="64"/>
      <c r="E192" s="63"/>
      <c r="F192" s="65"/>
      <c r="G192" s="65"/>
      <c r="H192" s="65"/>
      <c r="I192" s="65"/>
      <c r="J192" s="65"/>
      <c r="K192" s="65"/>
      <c r="L192" s="65"/>
      <c r="M192" s="65"/>
      <c r="N192" s="66"/>
    </row>
    <row r="193">
      <c r="A193" s="1"/>
      <c r="B193" s="62"/>
      <c r="C193" s="63"/>
      <c r="D193" s="64"/>
      <c r="E193" s="63"/>
      <c r="F193" s="65"/>
      <c r="G193" s="65"/>
      <c r="H193" s="65"/>
      <c r="I193" s="65"/>
      <c r="J193" s="65"/>
      <c r="K193" s="65"/>
      <c r="L193" s="65"/>
      <c r="M193" s="65"/>
      <c r="N193" s="66"/>
    </row>
    <row r="194">
      <c r="A194" s="1"/>
      <c r="B194" s="62"/>
      <c r="C194" s="63"/>
      <c r="D194" s="64"/>
      <c r="E194" s="63"/>
      <c r="F194" s="65"/>
      <c r="G194" s="65"/>
      <c r="H194" s="65"/>
      <c r="I194" s="65"/>
      <c r="J194" s="65"/>
      <c r="K194" s="65"/>
      <c r="L194" s="65"/>
      <c r="M194" s="65"/>
      <c r="N194" s="66"/>
    </row>
    <row r="195">
      <c r="A195" s="1"/>
      <c r="B195" s="62"/>
      <c r="C195" s="63"/>
      <c r="D195" s="64"/>
      <c r="E195" s="63"/>
      <c r="F195" s="65"/>
      <c r="G195" s="65"/>
      <c r="H195" s="65"/>
      <c r="I195" s="65"/>
      <c r="J195" s="65"/>
      <c r="K195" s="65"/>
      <c r="L195" s="65"/>
      <c r="M195" s="65"/>
      <c r="N195" s="66"/>
    </row>
    <row r="196">
      <c r="A196" s="1"/>
      <c r="B196" s="62"/>
      <c r="C196" s="63"/>
      <c r="D196" s="64"/>
      <c r="E196" s="63"/>
      <c r="F196" s="65"/>
      <c r="G196" s="65"/>
      <c r="H196" s="65"/>
      <c r="I196" s="65"/>
      <c r="J196" s="65"/>
      <c r="K196" s="65"/>
      <c r="L196" s="65"/>
      <c r="M196" s="65"/>
      <c r="N196" s="66"/>
    </row>
    <row r="197">
      <c r="A197" s="1"/>
      <c r="B197" s="62"/>
      <c r="C197" s="63"/>
      <c r="D197" s="64"/>
      <c r="E197" s="63"/>
      <c r="F197" s="65"/>
      <c r="G197" s="65"/>
      <c r="H197" s="65"/>
      <c r="I197" s="65"/>
      <c r="J197" s="65"/>
      <c r="K197" s="65"/>
      <c r="L197" s="65"/>
      <c r="M197" s="65"/>
      <c r="N197" s="66"/>
    </row>
    <row r="198">
      <c r="A198" s="1"/>
      <c r="B198" s="62"/>
      <c r="C198" s="63"/>
      <c r="D198" s="64"/>
      <c r="E198" s="63"/>
      <c r="F198" s="65"/>
      <c r="G198" s="65"/>
      <c r="H198" s="65"/>
      <c r="I198" s="65"/>
      <c r="J198" s="65"/>
      <c r="K198" s="65"/>
      <c r="L198" s="65"/>
      <c r="M198" s="65"/>
      <c r="N198" s="66"/>
    </row>
    <row r="199">
      <c r="A199" s="1"/>
      <c r="B199" s="62"/>
      <c r="C199" s="63"/>
      <c r="D199" s="64"/>
      <c r="E199" s="63"/>
      <c r="F199" s="65"/>
      <c r="G199" s="65"/>
      <c r="H199" s="65"/>
      <c r="I199" s="65"/>
      <c r="J199" s="65"/>
      <c r="K199" s="65"/>
      <c r="L199" s="65"/>
      <c r="M199" s="65"/>
      <c r="N199" s="66"/>
    </row>
    <row r="200">
      <c r="A200" s="1"/>
      <c r="B200" s="62"/>
      <c r="C200" s="63"/>
      <c r="D200" s="64"/>
      <c r="E200" s="63"/>
      <c r="F200" s="65"/>
      <c r="G200" s="65"/>
      <c r="H200" s="65"/>
      <c r="I200" s="65"/>
      <c r="J200" s="65"/>
      <c r="K200" s="65"/>
      <c r="L200" s="65"/>
      <c r="M200" s="65"/>
      <c r="N200" s="66"/>
    </row>
    <row r="201">
      <c r="A201" s="1"/>
      <c r="B201" s="62"/>
      <c r="C201" s="63"/>
      <c r="D201" s="64"/>
      <c r="E201" s="63"/>
      <c r="F201" s="65"/>
      <c r="G201" s="65"/>
      <c r="H201" s="65"/>
      <c r="I201" s="65"/>
      <c r="J201" s="65"/>
      <c r="K201" s="65"/>
      <c r="L201" s="65"/>
      <c r="M201" s="65"/>
      <c r="N201" s="66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  <row r="1028">
      <c r="A1028" s="1"/>
      <c r="C1028" s="1"/>
      <c r="D1028" s="1"/>
      <c r="E1028" s="1"/>
    </row>
    <row r="1029">
      <c r="A1029" s="1"/>
      <c r="C1029" s="1"/>
      <c r="D1029" s="1"/>
      <c r="E1029" s="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0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0" priority="7" operator="containsText" text="Good">
      <formula>NOT(ISERROR(SEARCH(("Good"),(L81))))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5">
        <v>45297.0</v>
      </c>
      <c r="F1" s="8"/>
      <c r="G1" s="8"/>
      <c r="H1" s="8"/>
      <c r="K1" s="8"/>
      <c r="M1" s="8"/>
    </row>
    <row r="2">
      <c r="A2" s="1"/>
      <c r="B2" s="10" t="s">
        <v>20</v>
      </c>
      <c r="D2" s="12">
        <v>1.0</v>
      </c>
      <c r="E2" s="1"/>
    </row>
    <row r="3" ht="27.75" customHeight="1">
      <c r="A3" s="1"/>
      <c r="C3" s="15" t="s">
        <v>23</v>
      </c>
      <c r="D3" s="16"/>
      <c r="E3" s="1"/>
      <c r="G3" s="82" t="s">
        <v>24</v>
      </c>
      <c r="H3" s="18"/>
      <c r="I3" s="18"/>
      <c r="J3" s="18"/>
      <c r="K3" s="18"/>
      <c r="L3" s="16"/>
      <c r="M3" s="83" t="s">
        <v>25</v>
      </c>
      <c r="N3" s="16"/>
      <c r="P3" s="20" t="s">
        <v>26</v>
      </c>
    </row>
    <row r="4">
      <c r="A4" s="22" t="s">
        <v>28</v>
      </c>
      <c r="B4" s="23" t="s">
        <v>29</v>
      </c>
      <c r="C4" s="24" t="s">
        <v>5</v>
      </c>
      <c r="D4" s="24" t="s">
        <v>7</v>
      </c>
      <c r="E4" s="24" t="s">
        <v>30</v>
      </c>
      <c r="F4" s="24" t="s">
        <v>31</v>
      </c>
      <c r="G4" s="24" t="s">
        <v>32</v>
      </c>
      <c r="H4" s="24" t="s">
        <v>11</v>
      </c>
      <c r="I4" s="24" t="s">
        <v>13</v>
      </c>
      <c r="J4" s="24" t="s">
        <v>14</v>
      </c>
      <c r="K4" s="24" t="s">
        <v>5</v>
      </c>
      <c r="L4" s="24" t="s">
        <v>7</v>
      </c>
      <c r="M4" s="25" t="s">
        <v>5</v>
      </c>
      <c r="N4" s="25" t="s">
        <v>7</v>
      </c>
      <c r="O4" s="24" t="s">
        <v>33</v>
      </c>
      <c r="P4" s="24" t="s">
        <v>34</v>
      </c>
      <c r="Q4" s="24" t="s">
        <v>35</v>
      </c>
      <c r="R4" s="24" t="s">
        <v>36</v>
      </c>
      <c r="S4" s="24" t="s">
        <v>37</v>
      </c>
    </row>
    <row r="5">
      <c r="A5" s="26">
        <v>1.0</v>
      </c>
      <c r="B5" s="27" t="s">
        <v>48</v>
      </c>
      <c r="C5" s="28"/>
      <c r="D5" s="29"/>
      <c r="E5" s="30">
        <v>5.0</v>
      </c>
      <c r="F5" s="31">
        <v>0.0</v>
      </c>
      <c r="G5" s="28">
        <v>13.0</v>
      </c>
      <c r="H5" s="31">
        <v>0.0</v>
      </c>
      <c r="I5" s="31">
        <v>0.0</v>
      </c>
      <c r="J5" s="31">
        <v>0.0</v>
      </c>
      <c r="K5" s="33">
        <v>13.0</v>
      </c>
      <c r="L5" s="31">
        <v>0.0</v>
      </c>
      <c r="M5" s="28">
        <v>13.0</v>
      </c>
      <c r="N5" s="29">
        <v>0.0</v>
      </c>
      <c r="O5" s="35" t="s">
        <v>46</v>
      </c>
      <c r="P5" s="35" t="s">
        <v>46</v>
      </c>
      <c r="Q5" s="31">
        <f t="shared" ref="Q5:Q69" si="1">if(G5=13,1,0)</f>
        <v>1</v>
      </c>
      <c r="R5" s="31"/>
      <c r="S5" s="31">
        <f t="shared" ref="S5:S69" si="2">if(G5=9,1,0)</f>
        <v>0</v>
      </c>
    </row>
    <row r="6">
      <c r="A6" s="26">
        <f t="shared" ref="A6:A69" si="3">A5+1</f>
        <v>2</v>
      </c>
      <c r="B6" s="27" t="s">
        <v>38</v>
      </c>
      <c r="C6" s="28"/>
      <c r="D6" s="29"/>
      <c r="E6" s="30">
        <v>3.0</v>
      </c>
      <c r="F6" s="31">
        <v>0.0</v>
      </c>
      <c r="G6" s="28">
        <v>9.0</v>
      </c>
      <c r="H6" s="31">
        <v>0.0</v>
      </c>
      <c r="I6" s="31">
        <v>0.0</v>
      </c>
      <c r="J6" s="31">
        <v>0.0</v>
      </c>
      <c r="K6" s="33">
        <v>9.0</v>
      </c>
      <c r="L6" s="31">
        <v>0.0</v>
      </c>
      <c r="M6" s="28">
        <v>9.0</v>
      </c>
      <c r="N6" s="29">
        <v>0.0</v>
      </c>
      <c r="O6" s="35" t="s">
        <v>46</v>
      </c>
      <c r="P6" s="35" t="s">
        <v>46</v>
      </c>
      <c r="Q6" s="31">
        <f t="shared" si="1"/>
        <v>0</v>
      </c>
      <c r="R6" s="31"/>
      <c r="S6" s="31">
        <f t="shared" si="2"/>
        <v>1</v>
      </c>
    </row>
    <row r="7">
      <c r="A7" s="26">
        <f t="shared" si="3"/>
        <v>3</v>
      </c>
      <c r="B7" s="27" t="s">
        <v>117</v>
      </c>
      <c r="C7" s="28"/>
      <c r="D7" s="29"/>
      <c r="E7" s="30">
        <v>3.0</v>
      </c>
      <c r="F7" s="31">
        <v>0.0</v>
      </c>
      <c r="G7" s="28">
        <v>9.0</v>
      </c>
      <c r="H7" s="31">
        <v>0.0</v>
      </c>
      <c r="I7" s="31">
        <v>0.0</v>
      </c>
      <c r="J7" s="31">
        <v>0.0</v>
      </c>
      <c r="K7" s="33">
        <v>9.0</v>
      </c>
      <c r="L7" s="31">
        <v>0.0</v>
      </c>
      <c r="M7" s="28">
        <v>9.0</v>
      </c>
      <c r="N7" s="29">
        <v>0.0</v>
      </c>
      <c r="O7" s="35" t="s">
        <v>46</v>
      </c>
      <c r="P7" s="35" t="s">
        <v>46</v>
      </c>
      <c r="Q7" s="31">
        <f t="shared" si="1"/>
        <v>0</v>
      </c>
      <c r="R7" s="31"/>
      <c r="S7" s="31">
        <f t="shared" si="2"/>
        <v>1</v>
      </c>
    </row>
    <row r="8">
      <c r="A8" s="26">
        <f t="shared" si="3"/>
        <v>4</v>
      </c>
      <c r="B8" s="27" t="s">
        <v>39</v>
      </c>
      <c r="C8" s="28"/>
      <c r="D8" s="29"/>
      <c r="E8" s="30">
        <v>1.0</v>
      </c>
      <c r="F8" s="31">
        <v>7.0</v>
      </c>
      <c r="G8" s="28">
        <v>0.0</v>
      </c>
      <c r="H8" s="31">
        <v>4.0</v>
      </c>
      <c r="I8" s="31">
        <v>6.0</v>
      </c>
      <c r="J8" s="31">
        <v>7.0</v>
      </c>
      <c r="K8" s="33">
        <v>17.0</v>
      </c>
      <c r="L8" s="31">
        <v>2.0</v>
      </c>
      <c r="M8" s="28">
        <v>17.0</v>
      </c>
      <c r="N8" s="29">
        <v>2.0</v>
      </c>
      <c r="O8" s="35" t="s">
        <v>46</v>
      </c>
      <c r="P8" s="35" t="s">
        <v>46</v>
      </c>
      <c r="Q8" s="31">
        <f t="shared" si="1"/>
        <v>0</v>
      </c>
      <c r="R8" s="31"/>
      <c r="S8" s="31">
        <f t="shared" si="2"/>
        <v>0</v>
      </c>
    </row>
    <row r="9">
      <c r="A9" s="26">
        <f t="shared" si="3"/>
        <v>5</v>
      </c>
      <c r="B9" s="27" t="s">
        <v>107</v>
      </c>
      <c r="C9" s="28"/>
      <c r="D9" s="29"/>
      <c r="E9" s="30">
        <v>5.0</v>
      </c>
      <c r="F9" s="31">
        <v>0.0</v>
      </c>
      <c r="G9" s="28">
        <v>13.0</v>
      </c>
      <c r="H9" s="31">
        <v>0.0</v>
      </c>
      <c r="I9" s="31">
        <v>0.0</v>
      </c>
      <c r="J9" s="31">
        <v>0.0</v>
      </c>
      <c r="K9" s="33">
        <v>13.0</v>
      </c>
      <c r="L9" s="31">
        <v>0.0</v>
      </c>
      <c r="M9" s="28">
        <v>13.0</v>
      </c>
      <c r="N9" s="29">
        <v>0.0</v>
      </c>
      <c r="O9" s="35" t="s">
        <v>46</v>
      </c>
      <c r="P9" s="35" t="s">
        <v>46</v>
      </c>
      <c r="Q9" s="31">
        <f t="shared" si="1"/>
        <v>1</v>
      </c>
      <c r="R9" s="31"/>
      <c r="S9" s="31">
        <f t="shared" si="2"/>
        <v>0</v>
      </c>
    </row>
    <row r="10">
      <c r="A10" s="26">
        <f t="shared" si="3"/>
        <v>6</v>
      </c>
      <c r="B10" s="27" t="s">
        <v>65</v>
      </c>
      <c r="C10" s="28"/>
      <c r="D10" s="29"/>
      <c r="E10" s="30">
        <v>1.0</v>
      </c>
      <c r="F10" s="31">
        <v>5.0</v>
      </c>
      <c r="G10" s="28">
        <v>0.0</v>
      </c>
      <c r="H10" s="31">
        <v>6.0</v>
      </c>
      <c r="I10" s="31">
        <v>6.0</v>
      </c>
      <c r="J10" s="31">
        <v>6.0</v>
      </c>
      <c r="K10" s="33">
        <v>18.0</v>
      </c>
      <c r="L10" s="31">
        <v>3.0</v>
      </c>
      <c r="M10" s="28">
        <v>18.0</v>
      </c>
      <c r="N10" s="29">
        <v>3.0</v>
      </c>
      <c r="O10" s="35" t="s">
        <v>46</v>
      </c>
      <c r="P10" s="35" t="s">
        <v>46</v>
      </c>
      <c r="Q10" s="31">
        <f t="shared" si="1"/>
        <v>0</v>
      </c>
      <c r="R10" s="31"/>
      <c r="S10" s="31">
        <f t="shared" si="2"/>
        <v>0</v>
      </c>
    </row>
    <row r="11">
      <c r="A11" s="26">
        <f t="shared" si="3"/>
        <v>7</v>
      </c>
      <c r="B11" s="27" t="s">
        <v>81</v>
      </c>
      <c r="C11" s="28"/>
      <c r="D11" s="29"/>
      <c r="E11" s="30">
        <v>1.0</v>
      </c>
      <c r="F11" s="31">
        <v>2.0</v>
      </c>
      <c r="G11" s="28">
        <v>0.0</v>
      </c>
      <c r="H11" s="31">
        <v>6.0</v>
      </c>
      <c r="I11" s="31">
        <v>6.0</v>
      </c>
      <c r="J11" s="31">
        <v>1.0</v>
      </c>
      <c r="K11" s="33">
        <v>13.0</v>
      </c>
      <c r="L11" s="31">
        <v>2.0</v>
      </c>
      <c r="M11" s="28">
        <v>13.0</v>
      </c>
      <c r="N11" s="29">
        <v>2.0</v>
      </c>
      <c r="O11" s="35" t="s">
        <v>46</v>
      </c>
      <c r="P11" s="35" t="s">
        <v>46</v>
      </c>
      <c r="Q11" s="31">
        <f t="shared" si="1"/>
        <v>0</v>
      </c>
      <c r="R11" s="31"/>
      <c r="S11" s="31">
        <f t="shared" si="2"/>
        <v>0</v>
      </c>
    </row>
    <row r="12">
      <c r="A12" s="26">
        <f t="shared" si="3"/>
        <v>8</v>
      </c>
      <c r="B12" s="27" t="s">
        <v>60</v>
      </c>
      <c r="C12" s="28"/>
      <c r="D12" s="29"/>
      <c r="E12" s="30">
        <v>3.0</v>
      </c>
      <c r="F12" s="31">
        <v>0.0</v>
      </c>
      <c r="G12" s="28">
        <v>9.0</v>
      </c>
      <c r="H12" s="31">
        <v>0.0</v>
      </c>
      <c r="I12" s="31">
        <v>0.0</v>
      </c>
      <c r="J12" s="31">
        <v>0.0</v>
      </c>
      <c r="K12" s="33">
        <v>9.0</v>
      </c>
      <c r="L12" s="31">
        <v>0.0</v>
      </c>
      <c r="M12" s="28">
        <v>9.0</v>
      </c>
      <c r="N12" s="29">
        <v>0.0</v>
      </c>
      <c r="O12" s="35" t="s">
        <v>46</v>
      </c>
      <c r="P12" s="35" t="s">
        <v>46</v>
      </c>
      <c r="Q12" s="31">
        <f t="shared" si="1"/>
        <v>0</v>
      </c>
      <c r="R12" s="31"/>
      <c r="S12" s="31">
        <f t="shared" si="2"/>
        <v>1</v>
      </c>
    </row>
    <row r="13">
      <c r="A13" s="26">
        <f t="shared" si="3"/>
        <v>9</v>
      </c>
      <c r="B13" s="27" t="s">
        <v>84</v>
      </c>
      <c r="C13" s="28"/>
      <c r="D13" s="29"/>
      <c r="E13" s="30">
        <v>1.0</v>
      </c>
      <c r="F13" s="31">
        <v>4.0</v>
      </c>
      <c r="G13" s="28">
        <v>0.0</v>
      </c>
      <c r="H13" s="31">
        <v>6.0</v>
      </c>
      <c r="I13" s="31">
        <v>3.0</v>
      </c>
      <c r="J13" s="31">
        <v>0.0</v>
      </c>
      <c r="K13" s="33">
        <v>9.0</v>
      </c>
      <c r="L13" s="31">
        <v>1.0</v>
      </c>
      <c r="M13" s="28">
        <v>9.0</v>
      </c>
      <c r="N13" s="29">
        <v>1.0</v>
      </c>
      <c r="O13" s="35" t="s">
        <v>46</v>
      </c>
      <c r="P13" s="35" t="s">
        <v>46</v>
      </c>
      <c r="Q13" s="31">
        <f t="shared" si="1"/>
        <v>0</v>
      </c>
      <c r="R13" s="31"/>
      <c r="S13" s="31">
        <f t="shared" si="2"/>
        <v>0</v>
      </c>
    </row>
    <row r="14">
      <c r="A14" s="26">
        <f t="shared" si="3"/>
        <v>10</v>
      </c>
      <c r="B14" s="27" t="s">
        <v>57</v>
      </c>
      <c r="C14" s="28"/>
      <c r="D14" s="29"/>
      <c r="E14" s="30">
        <v>3.0</v>
      </c>
      <c r="F14" s="31">
        <v>0.0</v>
      </c>
      <c r="G14" s="28">
        <v>9.0</v>
      </c>
      <c r="H14" s="31">
        <v>0.0</v>
      </c>
      <c r="I14" s="31">
        <v>0.0</v>
      </c>
      <c r="J14" s="31">
        <v>0.0</v>
      </c>
      <c r="K14" s="33">
        <v>9.0</v>
      </c>
      <c r="L14" s="31">
        <v>0.0</v>
      </c>
      <c r="M14" s="28">
        <v>9.0</v>
      </c>
      <c r="N14" s="29">
        <v>0.0</v>
      </c>
      <c r="O14" s="35" t="s">
        <v>46</v>
      </c>
      <c r="P14" s="35" t="s">
        <v>46</v>
      </c>
      <c r="Q14" s="31">
        <f t="shared" si="1"/>
        <v>0</v>
      </c>
      <c r="R14" s="31"/>
      <c r="S14" s="31">
        <f t="shared" si="2"/>
        <v>1</v>
      </c>
    </row>
    <row r="15">
      <c r="A15" s="26">
        <f t="shared" si="3"/>
        <v>11</v>
      </c>
      <c r="B15" s="27" t="s">
        <v>78</v>
      </c>
      <c r="C15" s="28"/>
      <c r="D15" s="29"/>
      <c r="E15" s="30">
        <v>1.0</v>
      </c>
      <c r="F15" s="31">
        <v>2.0</v>
      </c>
      <c r="G15" s="28">
        <v>0.0</v>
      </c>
      <c r="H15" s="31">
        <v>1.0</v>
      </c>
      <c r="I15" s="31">
        <v>6.0</v>
      </c>
      <c r="J15" s="31">
        <v>6.0</v>
      </c>
      <c r="K15" s="33">
        <v>13.0</v>
      </c>
      <c r="L15" s="31">
        <v>2.0</v>
      </c>
      <c r="M15" s="28">
        <v>13.0</v>
      </c>
      <c r="N15" s="29">
        <v>2.0</v>
      </c>
      <c r="O15" s="35" t="s">
        <v>46</v>
      </c>
      <c r="P15" s="35" t="s">
        <v>46</v>
      </c>
      <c r="Q15" s="31">
        <f t="shared" si="1"/>
        <v>0</v>
      </c>
      <c r="R15" s="31"/>
      <c r="S15" s="31">
        <f t="shared" si="2"/>
        <v>0</v>
      </c>
    </row>
    <row r="16">
      <c r="A16" s="26">
        <f t="shared" si="3"/>
        <v>12</v>
      </c>
      <c r="B16" s="27" t="s">
        <v>63</v>
      </c>
      <c r="C16" s="28"/>
      <c r="D16" s="29"/>
      <c r="E16" s="30">
        <v>1.0</v>
      </c>
      <c r="F16" s="31">
        <v>6.0</v>
      </c>
      <c r="G16" s="28">
        <v>0.0</v>
      </c>
      <c r="H16" s="31">
        <v>4.0</v>
      </c>
      <c r="I16" s="31">
        <v>7.0</v>
      </c>
      <c r="J16" s="31">
        <v>4.0</v>
      </c>
      <c r="K16" s="33">
        <v>15.0</v>
      </c>
      <c r="L16" s="31">
        <v>1.0</v>
      </c>
      <c r="M16" s="28">
        <v>15.0</v>
      </c>
      <c r="N16" s="29">
        <v>1.0</v>
      </c>
      <c r="O16" s="35" t="s">
        <v>46</v>
      </c>
      <c r="P16" s="35" t="s">
        <v>46</v>
      </c>
      <c r="Q16" s="31">
        <f t="shared" si="1"/>
        <v>0</v>
      </c>
      <c r="R16" s="31"/>
      <c r="S16" s="31">
        <f t="shared" si="2"/>
        <v>0</v>
      </c>
    </row>
    <row r="17">
      <c r="A17" s="26">
        <f t="shared" si="3"/>
        <v>13</v>
      </c>
      <c r="B17" s="27" t="s">
        <v>75</v>
      </c>
      <c r="C17" s="28"/>
      <c r="D17" s="29"/>
      <c r="E17" s="30">
        <v>1.0</v>
      </c>
      <c r="F17" s="31">
        <v>1.0</v>
      </c>
      <c r="G17" s="28">
        <v>0.0</v>
      </c>
      <c r="H17" s="31">
        <v>5.0</v>
      </c>
      <c r="I17" s="31">
        <v>3.0</v>
      </c>
      <c r="J17" s="31">
        <v>6.0</v>
      </c>
      <c r="K17" s="33">
        <v>14.0</v>
      </c>
      <c r="L17" s="31">
        <v>1.0</v>
      </c>
      <c r="M17" s="28">
        <v>14.0</v>
      </c>
      <c r="N17" s="29">
        <v>1.0</v>
      </c>
      <c r="O17" s="35" t="s">
        <v>46</v>
      </c>
      <c r="P17" s="35" t="s">
        <v>46</v>
      </c>
      <c r="Q17" s="31">
        <f t="shared" si="1"/>
        <v>0</v>
      </c>
      <c r="R17" s="31"/>
      <c r="S17" s="31">
        <f t="shared" si="2"/>
        <v>0</v>
      </c>
    </row>
    <row r="18">
      <c r="A18" s="26">
        <f t="shared" si="3"/>
        <v>14</v>
      </c>
      <c r="B18" s="27" t="s">
        <v>61</v>
      </c>
      <c r="C18" s="28"/>
      <c r="D18" s="29"/>
      <c r="E18" s="30">
        <v>5.0</v>
      </c>
      <c r="F18" s="31">
        <v>0.0</v>
      </c>
      <c r="G18" s="28">
        <v>13.0</v>
      </c>
      <c r="H18" s="31">
        <v>0.0</v>
      </c>
      <c r="I18" s="31">
        <v>0.0</v>
      </c>
      <c r="J18" s="31">
        <v>0.0</v>
      </c>
      <c r="K18" s="33">
        <v>13.0</v>
      </c>
      <c r="L18" s="31">
        <v>0.0</v>
      </c>
      <c r="M18" s="28">
        <v>13.0</v>
      </c>
      <c r="N18" s="29">
        <v>0.0</v>
      </c>
      <c r="O18" s="35" t="s">
        <v>46</v>
      </c>
      <c r="P18" s="35" t="s">
        <v>46</v>
      </c>
      <c r="Q18" s="31">
        <f t="shared" si="1"/>
        <v>1</v>
      </c>
      <c r="R18" s="31"/>
      <c r="S18" s="31">
        <f t="shared" si="2"/>
        <v>0</v>
      </c>
    </row>
    <row r="19">
      <c r="A19" s="26">
        <f t="shared" si="3"/>
        <v>15</v>
      </c>
      <c r="B19" s="39" t="s">
        <v>86</v>
      </c>
      <c r="C19" s="28"/>
      <c r="D19" s="29"/>
      <c r="E19" s="30">
        <v>3.0</v>
      </c>
      <c r="F19" s="31">
        <v>0.0</v>
      </c>
      <c r="G19" s="28">
        <v>9.0</v>
      </c>
      <c r="H19" s="31">
        <v>0.0</v>
      </c>
      <c r="I19" s="31">
        <v>0.0</v>
      </c>
      <c r="J19" s="31">
        <v>0.0</v>
      </c>
      <c r="K19" s="33">
        <v>9.0</v>
      </c>
      <c r="L19" s="31">
        <v>0.0</v>
      </c>
      <c r="M19" s="28">
        <v>9.0</v>
      </c>
      <c r="N19" s="29">
        <v>0.0</v>
      </c>
      <c r="O19" s="35" t="s">
        <v>46</v>
      </c>
      <c r="P19" s="35" t="s">
        <v>46</v>
      </c>
      <c r="Q19" s="31">
        <f t="shared" si="1"/>
        <v>0</v>
      </c>
      <c r="R19" s="31"/>
      <c r="S19" s="31">
        <f t="shared" si="2"/>
        <v>1</v>
      </c>
    </row>
    <row r="20">
      <c r="A20" s="26">
        <f t="shared" si="3"/>
        <v>16</v>
      </c>
      <c r="B20" s="27" t="s">
        <v>102</v>
      </c>
      <c r="C20" s="28"/>
      <c r="D20" s="29"/>
      <c r="E20" s="30">
        <v>1.0</v>
      </c>
      <c r="F20" s="31">
        <v>1.0</v>
      </c>
      <c r="G20" s="28">
        <v>0.0</v>
      </c>
      <c r="H20" s="31">
        <v>7.0</v>
      </c>
      <c r="I20" s="31">
        <v>6.0</v>
      </c>
      <c r="J20" s="31">
        <v>6.0</v>
      </c>
      <c r="K20" s="33">
        <v>19.0</v>
      </c>
      <c r="L20" s="31">
        <v>3.0</v>
      </c>
      <c r="M20" s="28">
        <v>19.0</v>
      </c>
      <c r="N20" s="29">
        <v>3.0</v>
      </c>
      <c r="O20" s="35" t="s">
        <v>46</v>
      </c>
      <c r="P20" s="35" t="s">
        <v>46</v>
      </c>
      <c r="Q20" s="31">
        <f t="shared" si="1"/>
        <v>0</v>
      </c>
      <c r="R20" s="31"/>
      <c r="S20" s="31">
        <f t="shared" si="2"/>
        <v>0</v>
      </c>
    </row>
    <row r="21">
      <c r="A21" s="26">
        <f t="shared" si="3"/>
        <v>17</v>
      </c>
      <c r="B21" s="39" t="s">
        <v>103</v>
      </c>
      <c r="C21" s="28"/>
      <c r="D21" s="29"/>
      <c r="E21" s="30">
        <v>3.0</v>
      </c>
      <c r="F21" s="31">
        <v>0.0</v>
      </c>
      <c r="G21" s="28">
        <v>9.0</v>
      </c>
      <c r="H21" s="31">
        <v>0.0</v>
      </c>
      <c r="I21" s="31">
        <v>0.0</v>
      </c>
      <c r="J21" s="31">
        <v>0.0</v>
      </c>
      <c r="K21" s="33">
        <v>9.0</v>
      </c>
      <c r="L21" s="31">
        <v>0.0</v>
      </c>
      <c r="M21" s="28">
        <v>9.0</v>
      </c>
      <c r="N21" s="29">
        <v>0.0</v>
      </c>
      <c r="O21" s="35" t="s">
        <v>46</v>
      </c>
      <c r="P21" s="35" t="s">
        <v>46</v>
      </c>
      <c r="Q21" s="31">
        <f t="shared" si="1"/>
        <v>0</v>
      </c>
      <c r="R21" s="31"/>
      <c r="S21" s="31">
        <f t="shared" si="2"/>
        <v>1</v>
      </c>
    </row>
    <row r="22">
      <c r="A22" s="26">
        <f t="shared" si="3"/>
        <v>18</v>
      </c>
      <c r="B22" s="39" t="s">
        <v>71</v>
      </c>
      <c r="C22" s="28"/>
      <c r="D22" s="29"/>
      <c r="E22" s="30">
        <v>1.0</v>
      </c>
      <c r="F22" s="31">
        <v>5.0</v>
      </c>
      <c r="G22" s="28">
        <v>0.0</v>
      </c>
      <c r="H22" s="31">
        <v>3.0</v>
      </c>
      <c r="I22" s="31">
        <v>6.0</v>
      </c>
      <c r="J22" s="31">
        <v>1.0</v>
      </c>
      <c r="K22" s="33">
        <v>10.0</v>
      </c>
      <c r="L22" s="31">
        <v>1.0</v>
      </c>
      <c r="M22" s="28">
        <v>10.0</v>
      </c>
      <c r="N22" s="29">
        <v>1.0</v>
      </c>
      <c r="O22" s="35" t="s">
        <v>46</v>
      </c>
      <c r="P22" s="35" t="s">
        <v>46</v>
      </c>
      <c r="Q22" s="31">
        <f t="shared" si="1"/>
        <v>0</v>
      </c>
      <c r="R22" s="31"/>
      <c r="S22" s="31">
        <f t="shared" si="2"/>
        <v>0</v>
      </c>
    </row>
    <row r="23">
      <c r="A23" s="26">
        <f t="shared" si="3"/>
        <v>19</v>
      </c>
      <c r="B23" s="27" t="s">
        <v>74</v>
      </c>
      <c r="C23" s="28"/>
      <c r="D23" s="29"/>
      <c r="E23" s="30">
        <v>3.0</v>
      </c>
      <c r="F23" s="31">
        <v>0.0</v>
      </c>
      <c r="G23" s="28">
        <v>9.0</v>
      </c>
      <c r="H23" s="31">
        <v>0.0</v>
      </c>
      <c r="I23" s="31">
        <v>0.0</v>
      </c>
      <c r="J23" s="31">
        <v>0.0</v>
      </c>
      <c r="K23" s="33">
        <v>9.0</v>
      </c>
      <c r="L23" s="31">
        <v>0.0</v>
      </c>
      <c r="M23" s="28">
        <v>9.0</v>
      </c>
      <c r="N23" s="29">
        <v>0.0</v>
      </c>
      <c r="O23" s="35" t="s">
        <v>46</v>
      </c>
      <c r="P23" s="35" t="s">
        <v>46</v>
      </c>
      <c r="Q23" s="31">
        <f t="shared" si="1"/>
        <v>0</v>
      </c>
      <c r="R23" s="31"/>
      <c r="S23" s="31">
        <f t="shared" si="2"/>
        <v>1</v>
      </c>
    </row>
    <row r="24">
      <c r="A24" s="26">
        <f t="shared" si="3"/>
        <v>20</v>
      </c>
      <c r="B24" s="27" t="s">
        <v>68</v>
      </c>
      <c r="C24" s="28"/>
      <c r="D24" s="29"/>
      <c r="E24" s="30">
        <v>5.0</v>
      </c>
      <c r="F24" s="31">
        <v>0.0</v>
      </c>
      <c r="G24" s="28">
        <v>13.0</v>
      </c>
      <c r="H24" s="31">
        <v>0.0</v>
      </c>
      <c r="I24" s="31">
        <v>0.0</v>
      </c>
      <c r="J24" s="31">
        <v>0.0</v>
      </c>
      <c r="K24" s="33">
        <v>13.0</v>
      </c>
      <c r="L24" s="31">
        <v>0.0</v>
      </c>
      <c r="M24" s="28">
        <v>13.0</v>
      </c>
      <c r="N24" s="29">
        <v>0.0</v>
      </c>
      <c r="O24" s="35" t="s">
        <v>46</v>
      </c>
      <c r="P24" s="35" t="s">
        <v>46</v>
      </c>
      <c r="Q24" s="31">
        <f t="shared" si="1"/>
        <v>1</v>
      </c>
      <c r="R24" s="31"/>
      <c r="S24" s="31">
        <f t="shared" si="2"/>
        <v>0</v>
      </c>
    </row>
    <row r="25">
      <c r="A25" s="26">
        <f t="shared" si="3"/>
        <v>21</v>
      </c>
      <c r="B25" s="39" t="s">
        <v>45</v>
      </c>
      <c r="C25" s="28"/>
      <c r="D25" s="29"/>
      <c r="E25" s="30">
        <v>1.0</v>
      </c>
      <c r="F25" s="31">
        <v>7.0</v>
      </c>
      <c r="G25" s="28">
        <v>0.0</v>
      </c>
      <c r="H25" s="31">
        <v>6.0</v>
      </c>
      <c r="I25" s="31">
        <v>0.0</v>
      </c>
      <c r="J25" s="31">
        <v>7.0</v>
      </c>
      <c r="K25" s="33">
        <v>13.0</v>
      </c>
      <c r="L25" s="31">
        <v>2.0</v>
      </c>
      <c r="M25" s="28">
        <v>13.0</v>
      </c>
      <c r="N25" s="29">
        <v>2.0</v>
      </c>
      <c r="O25" s="35" t="s">
        <v>46</v>
      </c>
      <c r="P25" s="35" t="s">
        <v>46</v>
      </c>
      <c r="Q25" s="31">
        <f t="shared" si="1"/>
        <v>0</v>
      </c>
      <c r="R25" s="31"/>
      <c r="S25" s="31">
        <f t="shared" si="2"/>
        <v>0</v>
      </c>
    </row>
    <row r="26">
      <c r="A26" s="26">
        <f t="shared" si="3"/>
        <v>22</v>
      </c>
      <c r="B26" s="39" t="s">
        <v>50</v>
      </c>
      <c r="C26" s="28"/>
      <c r="D26" s="29"/>
      <c r="E26" s="30">
        <v>1.0</v>
      </c>
      <c r="F26" s="31">
        <v>2.0</v>
      </c>
      <c r="G26" s="28">
        <v>0.0</v>
      </c>
      <c r="H26" s="31">
        <v>6.0</v>
      </c>
      <c r="I26" s="31">
        <v>2.0</v>
      </c>
      <c r="J26" s="31">
        <v>6.0</v>
      </c>
      <c r="K26" s="33">
        <v>14.0</v>
      </c>
      <c r="L26" s="31">
        <v>2.0</v>
      </c>
      <c r="M26" s="28">
        <v>14.0</v>
      </c>
      <c r="N26" s="29">
        <v>2.0</v>
      </c>
      <c r="O26" s="35" t="s">
        <v>46</v>
      </c>
      <c r="P26" s="35" t="s">
        <v>46</v>
      </c>
      <c r="Q26" s="31">
        <f t="shared" si="1"/>
        <v>0</v>
      </c>
      <c r="R26" s="31"/>
      <c r="S26" s="31">
        <f t="shared" si="2"/>
        <v>0</v>
      </c>
    </row>
    <row r="27">
      <c r="A27" s="26">
        <f t="shared" si="3"/>
        <v>23</v>
      </c>
      <c r="B27" s="27" t="s">
        <v>77</v>
      </c>
      <c r="C27" s="28"/>
      <c r="D27" s="29"/>
      <c r="E27" s="30">
        <v>1.0</v>
      </c>
      <c r="F27" s="31">
        <v>8.0</v>
      </c>
      <c r="G27" s="28">
        <v>0.0</v>
      </c>
      <c r="H27" s="31">
        <v>6.0</v>
      </c>
      <c r="I27" s="31">
        <v>6.0</v>
      </c>
      <c r="J27" s="31">
        <v>5.0</v>
      </c>
      <c r="K27" s="33">
        <v>17.0</v>
      </c>
      <c r="L27" s="31">
        <v>2.0</v>
      </c>
      <c r="M27" s="28">
        <v>17.0</v>
      </c>
      <c r="N27" s="29">
        <v>2.0</v>
      </c>
      <c r="O27" s="35" t="s">
        <v>46</v>
      </c>
      <c r="P27" s="35" t="s">
        <v>46</v>
      </c>
      <c r="Q27" s="31">
        <f t="shared" si="1"/>
        <v>0</v>
      </c>
      <c r="R27" s="31"/>
      <c r="S27" s="31">
        <f t="shared" si="2"/>
        <v>0</v>
      </c>
    </row>
    <row r="28">
      <c r="A28" s="26">
        <f t="shared" si="3"/>
        <v>24</v>
      </c>
      <c r="B28" s="39" t="s">
        <v>80</v>
      </c>
      <c r="C28" s="28"/>
      <c r="D28" s="29"/>
      <c r="E28" s="30">
        <v>1.0</v>
      </c>
      <c r="F28" s="31">
        <v>6.0</v>
      </c>
      <c r="G28" s="28">
        <v>0.0</v>
      </c>
      <c r="H28" s="31">
        <v>6.0</v>
      </c>
      <c r="I28" s="31">
        <v>7.0</v>
      </c>
      <c r="J28" s="31">
        <v>6.0</v>
      </c>
      <c r="K28" s="33">
        <v>19.0</v>
      </c>
      <c r="L28" s="31">
        <v>3.0</v>
      </c>
      <c r="M28" s="28">
        <v>19.0</v>
      </c>
      <c r="N28" s="29">
        <v>3.0</v>
      </c>
      <c r="O28" s="35" t="s">
        <v>46</v>
      </c>
      <c r="P28" s="35" t="s">
        <v>46</v>
      </c>
      <c r="Q28" s="31">
        <f t="shared" si="1"/>
        <v>0</v>
      </c>
      <c r="R28" s="31"/>
      <c r="S28" s="31">
        <f t="shared" si="2"/>
        <v>0</v>
      </c>
    </row>
    <row r="29">
      <c r="A29" s="26">
        <f t="shared" si="3"/>
        <v>25</v>
      </c>
      <c r="B29" s="27" t="s">
        <v>90</v>
      </c>
      <c r="C29" s="28"/>
      <c r="D29" s="29"/>
      <c r="E29" s="30">
        <v>3.0</v>
      </c>
      <c r="F29" s="31">
        <v>0.0</v>
      </c>
      <c r="G29" s="28">
        <v>9.0</v>
      </c>
      <c r="H29" s="31">
        <v>0.0</v>
      </c>
      <c r="I29" s="31">
        <v>0.0</v>
      </c>
      <c r="J29" s="31">
        <v>0.0</v>
      </c>
      <c r="K29" s="33">
        <v>9.0</v>
      </c>
      <c r="L29" s="31">
        <v>0.0</v>
      </c>
      <c r="M29" s="28">
        <v>9.0</v>
      </c>
      <c r="N29" s="29">
        <v>0.0</v>
      </c>
      <c r="O29" s="35" t="s">
        <v>46</v>
      </c>
      <c r="P29" s="35" t="s">
        <v>46</v>
      </c>
      <c r="Q29" s="31">
        <f t="shared" si="1"/>
        <v>0</v>
      </c>
      <c r="R29" s="31"/>
      <c r="S29" s="31">
        <f t="shared" si="2"/>
        <v>1</v>
      </c>
    </row>
    <row r="30">
      <c r="A30" s="26">
        <f t="shared" si="3"/>
        <v>26</v>
      </c>
      <c r="B30" s="27" t="s">
        <v>79</v>
      </c>
      <c r="C30" s="28"/>
      <c r="D30" s="29"/>
      <c r="E30" s="30">
        <v>1.0</v>
      </c>
      <c r="F30" s="31">
        <v>6.0</v>
      </c>
      <c r="G30" s="28">
        <v>0.0</v>
      </c>
      <c r="H30" s="31">
        <v>6.0</v>
      </c>
      <c r="I30" s="31">
        <v>5.0</v>
      </c>
      <c r="J30" s="31">
        <v>4.0</v>
      </c>
      <c r="K30" s="33">
        <v>15.0</v>
      </c>
      <c r="L30" s="31">
        <v>1.0</v>
      </c>
      <c r="M30" s="28">
        <v>15.0</v>
      </c>
      <c r="N30" s="29">
        <v>1.0</v>
      </c>
      <c r="O30" s="35" t="s">
        <v>46</v>
      </c>
      <c r="P30" s="35" t="s">
        <v>46</v>
      </c>
      <c r="Q30" s="31">
        <f t="shared" si="1"/>
        <v>0</v>
      </c>
      <c r="R30" s="31"/>
      <c r="S30" s="31">
        <f t="shared" si="2"/>
        <v>0</v>
      </c>
    </row>
    <row r="31">
      <c r="A31" s="26">
        <f t="shared" si="3"/>
        <v>27</v>
      </c>
      <c r="B31" s="27" t="s">
        <v>56</v>
      </c>
      <c r="C31" s="28"/>
      <c r="D31" s="29"/>
      <c r="E31" s="30">
        <v>3.0</v>
      </c>
      <c r="F31" s="31">
        <v>0.0</v>
      </c>
      <c r="G31" s="28">
        <v>9.0</v>
      </c>
      <c r="H31" s="31">
        <v>0.0</v>
      </c>
      <c r="I31" s="31">
        <v>0.0</v>
      </c>
      <c r="J31" s="31">
        <v>0.0</v>
      </c>
      <c r="K31" s="33">
        <v>9.0</v>
      </c>
      <c r="L31" s="31">
        <v>0.0</v>
      </c>
      <c r="M31" s="28">
        <v>9.0</v>
      </c>
      <c r="N31" s="29">
        <v>0.0</v>
      </c>
      <c r="O31" s="35" t="s">
        <v>46</v>
      </c>
      <c r="P31" s="35" t="s">
        <v>46</v>
      </c>
      <c r="Q31" s="31">
        <f t="shared" si="1"/>
        <v>0</v>
      </c>
      <c r="R31" s="31"/>
      <c r="S31" s="31">
        <f t="shared" si="2"/>
        <v>1</v>
      </c>
    </row>
    <row r="32">
      <c r="A32" s="26">
        <f t="shared" si="3"/>
        <v>28</v>
      </c>
      <c r="B32" s="27" t="s">
        <v>82</v>
      </c>
      <c r="C32" s="28"/>
      <c r="D32" s="29"/>
      <c r="E32" s="30">
        <v>3.0</v>
      </c>
      <c r="F32" s="31">
        <v>0.0</v>
      </c>
      <c r="G32" s="28">
        <v>9.0</v>
      </c>
      <c r="H32" s="31">
        <v>0.0</v>
      </c>
      <c r="I32" s="31">
        <v>0.0</v>
      </c>
      <c r="J32" s="31">
        <v>0.0</v>
      </c>
      <c r="K32" s="33">
        <v>9.0</v>
      </c>
      <c r="L32" s="31">
        <v>0.0</v>
      </c>
      <c r="M32" s="28">
        <v>9.0</v>
      </c>
      <c r="N32" s="29">
        <v>0.0</v>
      </c>
      <c r="O32" s="35" t="s">
        <v>46</v>
      </c>
      <c r="P32" s="35" t="s">
        <v>46</v>
      </c>
      <c r="Q32" s="31">
        <f t="shared" si="1"/>
        <v>0</v>
      </c>
      <c r="R32" s="31"/>
      <c r="S32" s="31">
        <f t="shared" si="2"/>
        <v>1</v>
      </c>
    </row>
    <row r="33">
      <c r="A33" s="26">
        <f t="shared" si="3"/>
        <v>29</v>
      </c>
      <c r="B33" s="27" t="s">
        <v>96</v>
      </c>
      <c r="C33" s="28"/>
      <c r="D33" s="29"/>
      <c r="E33" s="30">
        <v>1.0</v>
      </c>
      <c r="F33" s="31">
        <v>8.0</v>
      </c>
      <c r="G33" s="28">
        <v>0.0</v>
      </c>
      <c r="H33" s="31">
        <v>6.0</v>
      </c>
      <c r="I33" s="31">
        <v>4.0</v>
      </c>
      <c r="J33" s="31">
        <v>7.0</v>
      </c>
      <c r="K33" s="33">
        <v>17.0</v>
      </c>
      <c r="L33" s="31">
        <v>2.0</v>
      </c>
      <c r="M33" s="28">
        <v>17.0</v>
      </c>
      <c r="N33" s="29">
        <v>2.0</v>
      </c>
      <c r="O33" s="35" t="s">
        <v>46</v>
      </c>
      <c r="P33" s="35" t="s">
        <v>46</v>
      </c>
      <c r="Q33" s="31">
        <f t="shared" si="1"/>
        <v>0</v>
      </c>
      <c r="R33" s="31"/>
      <c r="S33" s="31">
        <f t="shared" si="2"/>
        <v>0</v>
      </c>
    </row>
    <row r="34">
      <c r="A34" s="26">
        <f t="shared" si="3"/>
        <v>30</v>
      </c>
      <c r="B34" s="27" t="s">
        <v>114</v>
      </c>
      <c r="C34" s="28"/>
      <c r="D34" s="29"/>
      <c r="E34" s="30">
        <v>3.0</v>
      </c>
      <c r="F34" s="31">
        <v>0.0</v>
      </c>
      <c r="G34" s="28">
        <v>9.0</v>
      </c>
      <c r="H34" s="31">
        <v>0.0</v>
      </c>
      <c r="I34" s="31">
        <v>0.0</v>
      </c>
      <c r="J34" s="31">
        <v>0.0</v>
      </c>
      <c r="K34" s="33">
        <v>9.0</v>
      </c>
      <c r="L34" s="31">
        <v>0.0</v>
      </c>
      <c r="M34" s="28">
        <v>9.0</v>
      </c>
      <c r="N34" s="29">
        <v>0.0</v>
      </c>
      <c r="O34" s="35" t="s">
        <v>46</v>
      </c>
      <c r="P34" s="35" t="s">
        <v>46</v>
      </c>
      <c r="Q34" s="31">
        <f t="shared" si="1"/>
        <v>0</v>
      </c>
      <c r="R34" s="31"/>
      <c r="S34" s="31">
        <f t="shared" si="2"/>
        <v>1</v>
      </c>
    </row>
    <row r="35">
      <c r="A35" s="26">
        <f t="shared" si="3"/>
        <v>31</v>
      </c>
      <c r="B35" s="27" t="s">
        <v>66</v>
      </c>
      <c r="C35" s="28"/>
      <c r="D35" s="29"/>
      <c r="E35" s="30">
        <v>3.0</v>
      </c>
      <c r="F35" s="31">
        <v>0.0</v>
      </c>
      <c r="G35" s="28">
        <v>9.0</v>
      </c>
      <c r="H35" s="31">
        <v>0.0</v>
      </c>
      <c r="I35" s="31">
        <v>0.0</v>
      </c>
      <c r="J35" s="31">
        <v>0.0</v>
      </c>
      <c r="K35" s="33">
        <v>9.0</v>
      </c>
      <c r="L35" s="31">
        <v>0.0</v>
      </c>
      <c r="M35" s="28">
        <v>9.0</v>
      </c>
      <c r="N35" s="29">
        <v>0.0</v>
      </c>
      <c r="O35" s="35" t="s">
        <v>46</v>
      </c>
      <c r="P35" s="35" t="s">
        <v>46</v>
      </c>
      <c r="Q35" s="31">
        <f t="shared" si="1"/>
        <v>0</v>
      </c>
      <c r="R35" s="31"/>
      <c r="S35" s="31">
        <f t="shared" si="2"/>
        <v>1</v>
      </c>
    </row>
    <row r="36">
      <c r="A36" s="26">
        <f t="shared" si="3"/>
        <v>32</v>
      </c>
      <c r="B36" s="27" t="s">
        <v>83</v>
      </c>
      <c r="C36" s="28"/>
      <c r="D36" s="29"/>
      <c r="E36" s="30">
        <v>1.0</v>
      </c>
      <c r="F36" s="31">
        <v>6.0</v>
      </c>
      <c r="G36" s="28">
        <v>0.0</v>
      </c>
      <c r="H36" s="31">
        <v>4.0</v>
      </c>
      <c r="I36" s="31">
        <v>5.0</v>
      </c>
      <c r="J36" s="31">
        <v>6.0</v>
      </c>
      <c r="K36" s="33">
        <v>15.0</v>
      </c>
      <c r="L36" s="31">
        <v>1.0</v>
      </c>
      <c r="M36" s="28">
        <v>15.0</v>
      </c>
      <c r="N36" s="29">
        <v>1.0</v>
      </c>
      <c r="O36" s="35" t="s">
        <v>46</v>
      </c>
      <c r="P36" s="35" t="s">
        <v>46</v>
      </c>
      <c r="Q36" s="31">
        <f t="shared" si="1"/>
        <v>0</v>
      </c>
      <c r="R36" s="31"/>
      <c r="S36" s="31">
        <f t="shared" si="2"/>
        <v>0</v>
      </c>
    </row>
    <row r="37">
      <c r="A37" s="26">
        <f t="shared" si="3"/>
        <v>33</v>
      </c>
      <c r="B37" s="27" t="s">
        <v>118</v>
      </c>
      <c r="C37" s="28"/>
      <c r="D37" s="29"/>
      <c r="E37" s="30">
        <v>5.0</v>
      </c>
      <c r="F37" s="31">
        <v>0.0</v>
      </c>
      <c r="G37" s="28">
        <v>13.0</v>
      </c>
      <c r="H37" s="31">
        <v>0.0</v>
      </c>
      <c r="I37" s="31">
        <v>0.0</v>
      </c>
      <c r="J37" s="31">
        <v>0.0</v>
      </c>
      <c r="K37" s="33">
        <v>13.0</v>
      </c>
      <c r="L37" s="31">
        <v>0.0</v>
      </c>
      <c r="M37" s="28">
        <v>13.0</v>
      </c>
      <c r="N37" s="29">
        <v>0.0</v>
      </c>
      <c r="O37" s="35" t="s">
        <v>46</v>
      </c>
      <c r="P37" s="35" t="s">
        <v>46</v>
      </c>
      <c r="Q37" s="31">
        <f t="shared" si="1"/>
        <v>1</v>
      </c>
      <c r="R37" s="31"/>
      <c r="S37" s="31">
        <f t="shared" si="2"/>
        <v>0</v>
      </c>
    </row>
    <row r="38">
      <c r="A38" s="26">
        <f t="shared" si="3"/>
        <v>34</v>
      </c>
      <c r="B38" s="39" t="s">
        <v>106</v>
      </c>
      <c r="C38" s="28"/>
      <c r="D38" s="29"/>
      <c r="E38" s="30">
        <v>3.0</v>
      </c>
      <c r="F38" s="31">
        <v>0.0</v>
      </c>
      <c r="G38" s="28">
        <v>9.0</v>
      </c>
      <c r="H38" s="31">
        <v>0.0</v>
      </c>
      <c r="I38" s="31">
        <v>0.0</v>
      </c>
      <c r="J38" s="31">
        <v>0.0</v>
      </c>
      <c r="K38" s="33">
        <v>9.0</v>
      </c>
      <c r="L38" s="31">
        <v>0.0</v>
      </c>
      <c r="M38" s="28">
        <v>9.0</v>
      </c>
      <c r="N38" s="29">
        <v>0.0</v>
      </c>
      <c r="O38" s="35" t="s">
        <v>46</v>
      </c>
      <c r="P38" s="35" t="s">
        <v>46</v>
      </c>
      <c r="Q38" s="31">
        <f t="shared" si="1"/>
        <v>0</v>
      </c>
      <c r="R38" s="31"/>
      <c r="S38" s="31">
        <f t="shared" si="2"/>
        <v>1</v>
      </c>
    </row>
    <row r="39">
      <c r="A39" s="26">
        <f t="shared" si="3"/>
        <v>35</v>
      </c>
      <c r="B39" s="39" t="s">
        <v>52</v>
      </c>
      <c r="C39" s="28"/>
      <c r="D39" s="29"/>
      <c r="E39" s="30">
        <v>1.0</v>
      </c>
      <c r="F39" s="31">
        <v>4.0</v>
      </c>
      <c r="G39" s="28">
        <v>0.0</v>
      </c>
      <c r="H39" s="31">
        <v>6.0</v>
      </c>
      <c r="I39" s="31">
        <v>6.0</v>
      </c>
      <c r="J39" s="31">
        <v>6.0</v>
      </c>
      <c r="K39" s="33">
        <v>18.0</v>
      </c>
      <c r="L39" s="31">
        <v>3.0</v>
      </c>
      <c r="M39" s="28">
        <v>18.0</v>
      </c>
      <c r="N39" s="29">
        <v>3.0</v>
      </c>
      <c r="O39" s="35" t="s">
        <v>46</v>
      </c>
      <c r="P39" s="35" t="s">
        <v>46</v>
      </c>
      <c r="Q39" s="31">
        <f t="shared" si="1"/>
        <v>0</v>
      </c>
      <c r="R39" s="31"/>
      <c r="S39" s="31">
        <f t="shared" si="2"/>
        <v>0</v>
      </c>
    </row>
    <row r="40">
      <c r="A40" s="26">
        <f t="shared" si="3"/>
        <v>36</v>
      </c>
      <c r="B40" s="39" t="s">
        <v>119</v>
      </c>
      <c r="C40" s="28"/>
      <c r="D40" s="29"/>
      <c r="E40" s="30">
        <v>1.0</v>
      </c>
      <c r="F40" s="31">
        <v>3.0</v>
      </c>
      <c r="G40" s="28">
        <v>0.0</v>
      </c>
      <c r="H40" s="31">
        <v>3.0</v>
      </c>
      <c r="I40" s="31">
        <v>6.0</v>
      </c>
      <c r="J40" s="31">
        <v>6.0</v>
      </c>
      <c r="K40" s="33">
        <v>15.0</v>
      </c>
      <c r="L40" s="31">
        <v>2.0</v>
      </c>
      <c r="M40" s="28">
        <v>15.0</v>
      </c>
      <c r="N40" s="29">
        <v>2.0</v>
      </c>
      <c r="O40" s="35" t="s">
        <v>46</v>
      </c>
      <c r="P40" s="35" t="s">
        <v>46</v>
      </c>
      <c r="Q40" s="31">
        <f t="shared" si="1"/>
        <v>0</v>
      </c>
      <c r="R40" s="31"/>
      <c r="S40" s="31">
        <f t="shared" si="2"/>
        <v>0</v>
      </c>
    </row>
    <row r="41">
      <c r="A41" s="26">
        <f t="shared" si="3"/>
        <v>37</v>
      </c>
      <c r="B41" s="27" t="s">
        <v>76</v>
      </c>
      <c r="C41" s="28"/>
      <c r="D41" s="29"/>
      <c r="E41" s="30">
        <v>1.0</v>
      </c>
      <c r="F41" s="31">
        <v>5.0</v>
      </c>
      <c r="G41" s="28">
        <v>0.0</v>
      </c>
      <c r="H41" s="31">
        <v>6.0</v>
      </c>
      <c r="I41" s="31">
        <v>2.0</v>
      </c>
      <c r="J41" s="31">
        <v>1.0</v>
      </c>
      <c r="K41" s="33">
        <v>9.0</v>
      </c>
      <c r="L41" s="31">
        <v>1.0</v>
      </c>
      <c r="M41" s="28">
        <v>9.0</v>
      </c>
      <c r="N41" s="29">
        <v>1.0</v>
      </c>
      <c r="O41" s="35" t="s">
        <v>46</v>
      </c>
      <c r="P41" s="35" t="s">
        <v>46</v>
      </c>
      <c r="Q41" s="31">
        <f t="shared" si="1"/>
        <v>0</v>
      </c>
      <c r="R41" s="31"/>
      <c r="S41" s="31">
        <f t="shared" si="2"/>
        <v>0</v>
      </c>
    </row>
    <row r="42">
      <c r="A42" s="26">
        <f t="shared" si="3"/>
        <v>38</v>
      </c>
      <c r="B42" s="39" t="s">
        <v>105</v>
      </c>
      <c r="C42" s="28"/>
      <c r="D42" s="29"/>
      <c r="E42" s="30">
        <v>1.0</v>
      </c>
      <c r="F42" s="31">
        <v>1.0</v>
      </c>
      <c r="G42" s="28">
        <v>0.0</v>
      </c>
      <c r="H42" s="31">
        <v>7.0</v>
      </c>
      <c r="I42" s="31">
        <v>3.0</v>
      </c>
      <c r="J42" s="31">
        <v>1.0</v>
      </c>
      <c r="K42" s="33">
        <v>11.0</v>
      </c>
      <c r="L42" s="31">
        <v>1.0</v>
      </c>
      <c r="M42" s="28">
        <v>11.0</v>
      </c>
      <c r="N42" s="29">
        <v>1.0</v>
      </c>
      <c r="O42" s="35" t="s">
        <v>46</v>
      </c>
      <c r="P42" s="35" t="s">
        <v>46</v>
      </c>
      <c r="Q42" s="31">
        <f t="shared" si="1"/>
        <v>0</v>
      </c>
      <c r="R42" s="31"/>
      <c r="S42" s="31">
        <f t="shared" si="2"/>
        <v>0</v>
      </c>
    </row>
    <row r="43">
      <c r="A43" s="26">
        <f t="shared" si="3"/>
        <v>39</v>
      </c>
      <c r="B43" s="39" t="s">
        <v>111</v>
      </c>
      <c r="C43" s="28"/>
      <c r="D43" s="29"/>
      <c r="E43" s="30">
        <v>3.0</v>
      </c>
      <c r="F43" s="31">
        <v>0.0</v>
      </c>
      <c r="G43" s="28">
        <v>9.0</v>
      </c>
      <c r="H43" s="31">
        <v>0.0</v>
      </c>
      <c r="I43" s="31">
        <v>0.0</v>
      </c>
      <c r="J43" s="31">
        <v>0.0</v>
      </c>
      <c r="K43" s="33">
        <v>9.0</v>
      </c>
      <c r="L43" s="31">
        <v>0.0</v>
      </c>
      <c r="M43" s="28">
        <v>9.0</v>
      </c>
      <c r="N43" s="29">
        <v>0.0</v>
      </c>
      <c r="O43" s="35" t="s">
        <v>46</v>
      </c>
      <c r="P43" s="35" t="s">
        <v>46</v>
      </c>
      <c r="Q43" s="31">
        <f t="shared" si="1"/>
        <v>0</v>
      </c>
      <c r="R43" s="31"/>
      <c r="S43" s="31">
        <f t="shared" si="2"/>
        <v>1</v>
      </c>
    </row>
    <row r="44">
      <c r="A44" s="26">
        <f t="shared" si="3"/>
        <v>40</v>
      </c>
      <c r="B44" s="27" t="s">
        <v>112</v>
      </c>
      <c r="C44" s="28"/>
      <c r="D44" s="29"/>
      <c r="E44" s="30">
        <v>3.0</v>
      </c>
      <c r="F44" s="31">
        <v>0.0</v>
      </c>
      <c r="G44" s="28">
        <v>9.0</v>
      </c>
      <c r="H44" s="31">
        <v>0.0</v>
      </c>
      <c r="I44" s="31">
        <v>0.0</v>
      </c>
      <c r="J44" s="31">
        <v>0.0</v>
      </c>
      <c r="K44" s="33">
        <v>9.0</v>
      </c>
      <c r="L44" s="31">
        <v>0.0</v>
      </c>
      <c r="M44" s="28">
        <v>9.0</v>
      </c>
      <c r="N44" s="29">
        <v>0.0</v>
      </c>
      <c r="O44" s="35" t="s">
        <v>46</v>
      </c>
      <c r="P44" s="35" t="s">
        <v>46</v>
      </c>
      <c r="Q44" s="31">
        <f t="shared" si="1"/>
        <v>0</v>
      </c>
      <c r="R44" s="31"/>
      <c r="S44" s="31">
        <f t="shared" si="2"/>
        <v>1</v>
      </c>
    </row>
    <row r="45">
      <c r="A45" s="26">
        <f t="shared" si="3"/>
        <v>41</v>
      </c>
      <c r="B45" s="27" t="s">
        <v>42</v>
      </c>
      <c r="C45" s="28"/>
      <c r="D45" s="29"/>
      <c r="E45" s="30">
        <v>1.0</v>
      </c>
      <c r="F45" s="31">
        <v>7.0</v>
      </c>
      <c r="G45" s="28">
        <v>0.0</v>
      </c>
      <c r="H45" s="31">
        <v>6.0</v>
      </c>
      <c r="I45" s="31">
        <v>6.0</v>
      </c>
      <c r="J45" s="31">
        <v>5.0</v>
      </c>
      <c r="K45" s="33">
        <v>17.0</v>
      </c>
      <c r="L45" s="31">
        <v>2.0</v>
      </c>
      <c r="M45" s="28">
        <v>17.0</v>
      </c>
      <c r="N45" s="29">
        <v>2.0</v>
      </c>
      <c r="O45" s="35" t="s">
        <v>46</v>
      </c>
      <c r="P45" s="35" t="s">
        <v>46</v>
      </c>
      <c r="Q45" s="31">
        <f t="shared" si="1"/>
        <v>0</v>
      </c>
      <c r="R45" s="31"/>
      <c r="S45" s="31">
        <f t="shared" si="2"/>
        <v>0</v>
      </c>
    </row>
    <row r="46">
      <c r="A46" s="26">
        <f t="shared" si="3"/>
        <v>42</v>
      </c>
      <c r="B46" s="27" t="s">
        <v>109</v>
      </c>
      <c r="C46" s="28"/>
      <c r="D46" s="29"/>
      <c r="E46" s="30">
        <v>5.0</v>
      </c>
      <c r="F46" s="31">
        <v>0.0</v>
      </c>
      <c r="G46" s="28">
        <v>13.0</v>
      </c>
      <c r="H46" s="31">
        <v>0.0</v>
      </c>
      <c r="I46" s="31">
        <v>0.0</v>
      </c>
      <c r="J46" s="31">
        <v>0.0</v>
      </c>
      <c r="K46" s="33">
        <v>13.0</v>
      </c>
      <c r="L46" s="31">
        <v>0.0</v>
      </c>
      <c r="M46" s="28">
        <v>13.0</v>
      </c>
      <c r="N46" s="29">
        <v>0.0</v>
      </c>
      <c r="O46" s="35" t="s">
        <v>46</v>
      </c>
      <c r="P46" s="35" t="s">
        <v>46</v>
      </c>
      <c r="Q46" s="31">
        <f t="shared" si="1"/>
        <v>1</v>
      </c>
      <c r="R46" s="31"/>
      <c r="S46" s="31">
        <f t="shared" si="2"/>
        <v>0</v>
      </c>
    </row>
    <row r="47">
      <c r="A47" s="26">
        <f t="shared" si="3"/>
        <v>43</v>
      </c>
      <c r="B47" s="27" t="s">
        <v>98</v>
      </c>
      <c r="C47" s="28"/>
      <c r="D47" s="29"/>
      <c r="E47" s="30">
        <v>1.0</v>
      </c>
      <c r="F47" s="31">
        <v>8.0</v>
      </c>
      <c r="G47" s="28">
        <v>0.0</v>
      </c>
      <c r="H47" s="31">
        <v>4.0</v>
      </c>
      <c r="I47" s="31">
        <v>6.0</v>
      </c>
      <c r="J47" s="31">
        <v>7.0</v>
      </c>
      <c r="K47" s="33">
        <v>17.0</v>
      </c>
      <c r="L47" s="31">
        <v>2.0</v>
      </c>
      <c r="M47" s="28">
        <v>17.0</v>
      </c>
      <c r="N47" s="29">
        <v>2.0</v>
      </c>
      <c r="O47" s="35" t="s">
        <v>46</v>
      </c>
      <c r="P47" s="35" t="s">
        <v>46</v>
      </c>
      <c r="Q47" s="31">
        <f t="shared" si="1"/>
        <v>0</v>
      </c>
      <c r="R47" s="31"/>
      <c r="S47" s="31">
        <f t="shared" si="2"/>
        <v>0</v>
      </c>
    </row>
    <row r="48">
      <c r="A48" s="26">
        <f t="shared" si="3"/>
        <v>44</v>
      </c>
      <c r="B48" s="39" t="s">
        <v>55</v>
      </c>
      <c r="C48" s="28"/>
      <c r="D48" s="29"/>
      <c r="E48" s="30">
        <v>3.0</v>
      </c>
      <c r="F48" s="31">
        <v>0.0</v>
      </c>
      <c r="G48" s="28">
        <v>9.0</v>
      </c>
      <c r="H48" s="31">
        <v>0.0</v>
      </c>
      <c r="I48" s="31">
        <v>0.0</v>
      </c>
      <c r="J48" s="31">
        <v>0.0</v>
      </c>
      <c r="K48" s="33">
        <v>9.0</v>
      </c>
      <c r="L48" s="31">
        <v>0.0</v>
      </c>
      <c r="M48" s="28">
        <v>9.0</v>
      </c>
      <c r="N48" s="29">
        <v>0.0</v>
      </c>
      <c r="O48" s="35" t="s">
        <v>46</v>
      </c>
      <c r="P48" s="35" t="s">
        <v>46</v>
      </c>
      <c r="Q48" s="31">
        <f t="shared" si="1"/>
        <v>0</v>
      </c>
      <c r="R48" s="31"/>
      <c r="S48" s="31">
        <f t="shared" si="2"/>
        <v>1</v>
      </c>
    </row>
    <row r="49">
      <c r="A49" s="26">
        <f t="shared" si="3"/>
        <v>45</v>
      </c>
      <c r="B49" s="27" t="s">
        <v>120</v>
      </c>
      <c r="C49" s="28"/>
      <c r="D49" s="29"/>
      <c r="E49" s="30">
        <v>5.0</v>
      </c>
      <c r="F49" s="31">
        <v>0.0</v>
      </c>
      <c r="G49" s="28">
        <v>13.0</v>
      </c>
      <c r="H49" s="31">
        <v>0.0</v>
      </c>
      <c r="I49" s="31">
        <v>0.0</v>
      </c>
      <c r="J49" s="31">
        <v>0.0</v>
      </c>
      <c r="K49" s="33">
        <v>13.0</v>
      </c>
      <c r="L49" s="31">
        <v>0.0</v>
      </c>
      <c r="M49" s="28">
        <v>13.0</v>
      </c>
      <c r="N49" s="29">
        <v>0.0</v>
      </c>
      <c r="O49" s="35" t="s">
        <v>46</v>
      </c>
      <c r="P49" s="35" t="s">
        <v>46</v>
      </c>
      <c r="Q49" s="31">
        <f t="shared" si="1"/>
        <v>1</v>
      </c>
      <c r="R49" s="31"/>
      <c r="S49" s="31">
        <f t="shared" si="2"/>
        <v>0</v>
      </c>
    </row>
    <row r="50">
      <c r="A50" s="26">
        <f t="shared" si="3"/>
        <v>46</v>
      </c>
      <c r="B50" s="39" t="s">
        <v>124</v>
      </c>
      <c r="C50" s="28"/>
      <c r="D50" s="29"/>
      <c r="E50" s="30">
        <v>3.0</v>
      </c>
      <c r="F50" s="31">
        <v>0.0</v>
      </c>
      <c r="G50" s="28">
        <v>9.0</v>
      </c>
      <c r="H50" s="31">
        <v>0.0</v>
      </c>
      <c r="I50" s="31">
        <v>0.0</v>
      </c>
      <c r="J50" s="31">
        <v>0.0</v>
      </c>
      <c r="K50" s="33">
        <v>9.0</v>
      </c>
      <c r="L50" s="31">
        <v>0.0</v>
      </c>
      <c r="M50" s="28">
        <v>9.0</v>
      </c>
      <c r="N50" s="29">
        <v>0.0</v>
      </c>
      <c r="O50" s="35" t="s">
        <v>46</v>
      </c>
      <c r="P50" s="35" t="s">
        <v>46</v>
      </c>
      <c r="Q50" s="31">
        <f t="shared" si="1"/>
        <v>0</v>
      </c>
      <c r="R50" s="31"/>
      <c r="S50" s="31">
        <f t="shared" si="2"/>
        <v>1</v>
      </c>
    </row>
    <row r="51">
      <c r="A51" s="26">
        <f t="shared" si="3"/>
        <v>47</v>
      </c>
      <c r="B51" s="27" t="s">
        <v>115</v>
      </c>
      <c r="C51" s="28"/>
      <c r="D51" s="29"/>
      <c r="E51" s="30">
        <v>3.0</v>
      </c>
      <c r="F51" s="31">
        <v>0.0</v>
      </c>
      <c r="G51" s="28">
        <v>9.0</v>
      </c>
      <c r="H51" s="31">
        <v>0.0</v>
      </c>
      <c r="I51" s="31">
        <v>0.0</v>
      </c>
      <c r="J51" s="31">
        <v>0.0</v>
      </c>
      <c r="K51" s="33">
        <v>9.0</v>
      </c>
      <c r="L51" s="31">
        <v>0.0</v>
      </c>
      <c r="M51" s="28">
        <v>9.0</v>
      </c>
      <c r="N51" s="29">
        <v>0.0</v>
      </c>
      <c r="O51" s="35" t="s">
        <v>46</v>
      </c>
      <c r="P51" s="35" t="s">
        <v>46</v>
      </c>
      <c r="Q51" s="31">
        <f t="shared" si="1"/>
        <v>0</v>
      </c>
      <c r="R51" s="31"/>
      <c r="S51" s="31">
        <f t="shared" si="2"/>
        <v>1</v>
      </c>
    </row>
    <row r="52">
      <c r="A52" s="26">
        <f t="shared" si="3"/>
        <v>48</v>
      </c>
      <c r="B52" s="75" t="s">
        <v>125</v>
      </c>
      <c r="C52" s="28"/>
      <c r="D52" s="29"/>
      <c r="E52" s="30">
        <v>1.0</v>
      </c>
      <c r="F52" s="31">
        <v>3.0</v>
      </c>
      <c r="G52" s="28">
        <v>0.0</v>
      </c>
      <c r="H52" s="31">
        <v>3.0</v>
      </c>
      <c r="I52" s="31">
        <v>4.0</v>
      </c>
      <c r="J52" s="31">
        <v>2.0</v>
      </c>
      <c r="K52" s="33">
        <v>9.0</v>
      </c>
      <c r="L52" s="31">
        <v>0.0</v>
      </c>
      <c r="M52" s="28">
        <v>9.0</v>
      </c>
      <c r="N52" s="29">
        <v>0.0</v>
      </c>
      <c r="O52" s="35" t="s">
        <v>46</v>
      </c>
      <c r="P52" s="35" t="s">
        <v>46</v>
      </c>
      <c r="Q52" s="31">
        <f t="shared" si="1"/>
        <v>0</v>
      </c>
      <c r="R52" s="31"/>
      <c r="S52" s="31">
        <f t="shared" si="2"/>
        <v>0</v>
      </c>
    </row>
    <row r="53">
      <c r="A53" s="26">
        <f t="shared" si="3"/>
        <v>49</v>
      </c>
      <c r="B53" s="27" t="s">
        <v>113</v>
      </c>
      <c r="C53" s="28"/>
      <c r="D53" s="29"/>
      <c r="E53" s="30">
        <v>3.0</v>
      </c>
      <c r="F53" s="31">
        <v>0.0</v>
      </c>
      <c r="G53" s="28">
        <v>9.0</v>
      </c>
      <c r="H53" s="31">
        <v>0.0</v>
      </c>
      <c r="I53" s="31">
        <v>0.0</v>
      </c>
      <c r="J53" s="31">
        <v>0.0</v>
      </c>
      <c r="K53" s="33">
        <v>9.0</v>
      </c>
      <c r="L53" s="31">
        <v>0.0</v>
      </c>
      <c r="M53" s="28">
        <v>9.0</v>
      </c>
      <c r="N53" s="29">
        <v>0.0</v>
      </c>
      <c r="O53" s="35" t="s">
        <v>46</v>
      </c>
      <c r="P53" s="35" t="s">
        <v>46</v>
      </c>
      <c r="Q53" s="31">
        <f t="shared" si="1"/>
        <v>0</v>
      </c>
      <c r="R53" s="31"/>
      <c r="S53" s="31">
        <f t="shared" si="2"/>
        <v>1</v>
      </c>
    </row>
    <row r="54">
      <c r="A54" s="26">
        <f t="shared" si="3"/>
        <v>50</v>
      </c>
      <c r="B54" s="27" t="s">
        <v>110</v>
      </c>
      <c r="C54" s="28"/>
      <c r="D54" s="29"/>
      <c r="E54" s="30">
        <v>3.0</v>
      </c>
      <c r="F54" s="31">
        <v>0.0</v>
      </c>
      <c r="G54" s="28">
        <v>9.0</v>
      </c>
      <c r="H54" s="31">
        <v>0.0</v>
      </c>
      <c r="I54" s="31">
        <v>0.0</v>
      </c>
      <c r="J54" s="31">
        <v>0.0</v>
      </c>
      <c r="K54" s="33">
        <v>9.0</v>
      </c>
      <c r="L54" s="31">
        <v>0.0</v>
      </c>
      <c r="M54" s="28">
        <v>9.0</v>
      </c>
      <c r="N54" s="29">
        <v>0.0</v>
      </c>
      <c r="O54" s="35" t="s">
        <v>46</v>
      </c>
      <c r="P54" s="35" t="s">
        <v>46</v>
      </c>
      <c r="Q54" s="31">
        <f t="shared" si="1"/>
        <v>0</v>
      </c>
      <c r="R54" s="31"/>
      <c r="S54" s="31">
        <f t="shared" si="2"/>
        <v>1</v>
      </c>
    </row>
    <row r="55">
      <c r="A55" s="26">
        <f t="shared" si="3"/>
        <v>51</v>
      </c>
      <c r="B55" s="39" t="s">
        <v>126</v>
      </c>
      <c r="C55" s="28"/>
      <c r="D55" s="29"/>
      <c r="E55" s="30">
        <v>3.0</v>
      </c>
      <c r="F55" s="31">
        <v>0.0</v>
      </c>
      <c r="G55" s="28">
        <v>9.0</v>
      </c>
      <c r="H55" s="31">
        <v>0.0</v>
      </c>
      <c r="I55" s="31">
        <v>0.0</v>
      </c>
      <c r="J55" s="31">
        <v>0.0</v>
      </c>
      <c r="K55" s="33">
        <v>9.0</v>
      </c>
      <c r="L55" s="31">
        <v>0.0</v>
      </c>
      <c r="M55" s="28">
        <v>9.0</v>
      </c>
      <c r="N55" s="29">
        <v>0.0</v>
      </c>
      <c r="O55" s="35" t="s">
        <v>46</v>
      </c>
      <c r="P55" s="35" t="s">
        <v>46</v>
      </c>
      <c r="Q55" s="31">
        <f t="shared" si="1"/>
        <v>0</v>
      </c>
      <c r="R55" s="31"/>
      <c r="S55" s="31">
        <f t="shared" si="2"/>
        <v>1</v>
      </c>
    </row>
    <row r="56">
      <c r="A56" s="26">
        <f t="shared" si="3"/>
        <v>52</v>
      </c>
      <c r="B56" s="39" t="s">
        <v>127</v>
      </c>
      <c r="C56" s="28"/>
      <c r="D56" s="29"/>
      <c r="E56" s="30">
        <v>3.0</v>
      </c>
      <c r="F56" s="31">
        <v>0.0</v>
      </c>
      <c r="G56" s="28">
        <v>9.0</v>
      </c>
      <c r="H56" s="31">
        <v>0.0</v>
      </c>
      <c r="I56" s="31">
        <v>0.0</v>
      </c>
      <c r="J56" s="31">
        <v>0.0</v>
      </c>
      <c r="K56" s="33">
        <v>9.0</v>
      </c>
      <c r="L56" s="31">
        <v>0.0</v>
      </c>
      <c r="M56" s="28">
        <v>9.0</v>
      </c>
      <c r="N56" s="29">
        <v>0.0</v>
      </c>
      <c r="O56" s="35" t="s">
        <v>46</v>
      </c>
      <c r="P56" s="35" t="s">
        <v>46</v>
      </c>
      <c r="Q56" s="31">
        <f t="shared" si="1"/>
        <v>0</v>
      </c>
      <c r="R56" s="31"/>
      <c r="S56" s="31">
        <f t="shared" si="2"/>
        <v>1</v>
      </c>
    </row>
    <row r="57">
      <c r="A57" s="26">
        <f t="shared" si="3"/>
        <v>53</v>
      </c>
      <c r="B57" s="39" t="s">
        <v>97</v>
      </c>
      <c r="C57" s="28"/>
      <c r="D57" s="29"/>
      <c r="E57" s="30">
        <v>1.0</v>
      </c>
      <c r="F57" s="31">
        <v>8.0</v>
      </c>
      <c r="G57" s="28">
        <v>0.0</v>
      </c>
      <c r="H57" s="31">
        <v>4.0</v>
      </c>
      <c r="I57" s="31">
        <v>4.0</v>
      </c>
      <c r="J57" s="31">
        <v>5.0</v>
      </c>
      <c r="K57" s="33">
        <v>13.0</v>
      </c>
      <c r="L57" s="31">
        <v>0.0</v>
      </c>
      <c r="M57" s="28">
        <v>13.0</v>
      </c>
      <c r="N57" s="29">
        <v>0.0</v>
      </c>
      <c r="O57" s="35" t="s">
        <v>46</v>
      </c>
      <c r="P57" s="35" t="s">
        <v>46</v>
      </c>
      <c r="Q57" s="31">
        <f t="shared" si="1"/>
        <v>0</v>
      </c>
      <c r="R57" s="31"/>
      <c r="S57" s="31">
        <f t="shared" si="2"/>
        <v>0</v>
      </c>
    </row>
    <row r="58">
      <c r="A58" s="26">
        <f t="shared" si="3"/>
        <v>54</v>
      </c>
      <c r="B58" s="54" t="s">
        <v>73</v>
      </c>
      <c r="C58" s="28"/>
      <c r="D58" s="29"/>
      <c r="E58" s="30">
        <v>1.0</v>
      </c>
      <c r="F58" s="31">
        <v>5.0</v>
      </c>
      <c r="G58" s="28">
        <v>0.0</v>
      </c>
      <c r="H58" s="31">
        <v>3.0</v>
      </c>
      <c r="I58" s="31">
        <v>2.0</v>
      </c>
      <c r="J58" s="31">
        <v>6.0</v>
      </c>
      <c r="K58" s="33">
        <v>11.0</v>
      </c>
      <c r="L58" s="31">
        <v>1.0</v>
      </c>
      <c r="M58" s="28">
        <v>11.0</v>
      </c>
      <c r="N58" s="29">
        <v>1.0</v>
      </c>
      <c r="O58" s="35" t="s">
        <v>46</v>
      </c>
      <c r="P58" s="35" t="s">
        <v>46</v>
      </c>
      <c r="Q58" s="31">
        <f t="shared" si="1"/>
        <v>0</v>
      </c>
      <c r="R58" s="31"/>
      <c r="S58" s="31">
        <f t="shared" si="2"/>
        <v>0</v>
      </c>
    </row>
    <row r="59">
      <c r="A59" s="26">
        <f t="shared" si="3"/>
        <v>55</v>
      </c>
      <c r="B59" s="54" t="s">
        <v>116</v>
      </c>
      <c r="C59" s="28"/>
      <c r="D59" s="29"/>
      <c r="E59" s="30">
        <v>1.0</v>
      </c>
      <c r="F59" s="31">
        <v>3.0</v>
      </c>
      <c r="G59" s="28">
        <v>0.0</v>
      </c>
      <c r="H59" s="31">
        <v>6.0</v>
      </c>
      <c r="I59" s="31">
        <v>4.0</v>
      </c>
      <c r="J59" s="31">
        <v>6.0</v>
      </c>
      <c r="K59" s="33">
        <v>16.0</v>
      </c>
      <c r="L59" s="31">
        <v>2.0</v>
      </c>
      <c r="M59" s="28">
        <v>16.0</v>
      </c>
      <c r="N59" s="29">
        <v>2.0</v>
      </c>
      <c r="O59" s="35" t="s">
        <v>46</v>
      </c>
      <c r="P59" s="35" t="s">
        <v>46</v>
      </c>
      <c r="Q59" s="31">
        <f t="shared" si="1"/>
        <v>0</v>
      </c>
      <c r="R59" s="31"/>
      <c r="S59" s="31">
        <f t="shared" si="2"/>
        <v>0</v>
      </c>
    </row>
    <row r="60">
      <c r="A60" s="26">
        <f t="shared" si="3"/>
        <v>56</v>
      </c>
      <c r="B60" s="54" t="s">
        <v>95</v>
      </c>
      <c r="C60" s="28"/>
      <c r="D60" s="29"/>
      <c r="E60" s="30">
        <v>1.0</v>
      </c>
      <c r="F60" s="31">
        <v>1.0</v>
      </c>
      <c r="G60" s="28">
        <v>0.0</v>
      </c>
      <c r="H60" s="31">
        <v>5.0</v>
      </c>
      <c r="I60" s="31">
        <v>6.0</v>
      </c>
      <c r="J60" s="31">
        <v>1.0</v>
      </c>
      <c r="K60" s="33">
        <v>12.0</v>
      </c>
      <c r="L60" s="31">
        <v>1.0</v>
      </c>
      <c r="M60" s="28">
        <v>12.0</v>
      </c>
      <c r="N60" s="29">
        <v>1.0</v>
      </c>
      <c r="O60" s="35" t="s">
        <v>46</v>
      </c>
      <c r="P60" s="35" t="s">
        <v>46</v>
      </c>
      <c r="Q60" s="31">
        <f t="shared" si="1"/>
        <v>0</v>
      </c>
      <c r="R60" s="31"/>
      <c r="S60" s="31">
        <f t="shared" si="2"/>
        <v>0</v>
      </c>
    </row>
    <row r="61">
      <c r="A61" s="26">
        <f t="shared" si="3"/>
        <v>57</v>
      </c>
      <c r="B61" s="54" t="s">
        <v>47</v>
      </c>
      <c r="C61" s="28"/>
      <c r="D61" s="29"/>
      <c r="E61" s="30">
        <v>1.0</v>
      </c>
      <c r="F61" s="31">
        <v>7.0</v>
      </c>
      <c r="G61" s="28">
        <v>0.0</v>
      </c>
      <c r="H61" s="31">
        <v>4.0</v>
      </c>
      <c r="I61" s="31">
        <v>0.0</v>
      </c>
      <c r="J61" s="31">
        <v>5.0</v>
      </c>
      <c r="K61" s="33">
        <v>9.0</v>
      </c>
      <c r="L61" s="31">
        <v>0.0</v>
      </c>
      <c r="M61" s="28">
        <v>9.0</v>
      </c>
      <c r="N61" s="29">
        <v>0.0</v>
      </c>
      <c r="O61" s="35" t="s">
        <v>46</v>
      </c>
      <c r="P61" s="35" t="s">
        <v>46</v>
      </c>
      <c r="Q61" s="31">
        <f t="shared" si="1"/>
        <v>0</v>
      </c>
      <c r="R61" s="31"/>
      <c r="S61" s="31">
        <f t="shared" si="2"/>
        <v>0</v>
      </c>
    </row>
    <row r="62">
      <c r="A62" s="26">
        <f t="shared" si="3"/>
        <v>58</v>
      </c>
      <c r="B62" s="54" t="s">
        <v>100</v>
      </c>
      <c r="C62" s="28"/>
      <c r="D62" s="29"/>
      <c r="E62" s="30">
        <v>3.0</v>
      </c>
      <c r="F62" s="31">
        <v>0.0</v>
      </c>
      <c r="G62" s="28">
        <v>9.0</v>
      </c>
      <c r="H62" s="31">
        <v>0.0</v>
      </c>
      <c r="I62" s="31">
        <v>0.0</v>
      </c>
      <c r="J62" s="31">
        <v>0.0</v>
      </c>
      <c r="K62" s="33">
        <v>9.0</v>
      </c>
      <c r="L62" s="31">
        <v>0.0</v>
      </c>
      <c r="M62" s="28">
        <v>9.0</v>
      </c>
      <c r="N62" s="29">
        <v>0.0</v>
      </c>
      <c r="O62" s="35" t="s">
        <v>46</v>
      </c>
      <c r="P62" s="35" t="s">
        <v>46</v>
      </c>
      <c r="Q62" s="31">
        <f t="shared" si="1"/>
        <v>0</v>
      </c>
      <c r="R62" s="31"/>
      <c r="S62" s="31">
        <f t="shared" si="2"/>
        <v>1</v>
      </c>
    </row>
    <row r="63">
      <c r="A63" s="26">
        <f t="shared" si="3"/>
        <v>59</v>
      </c>
      <c r="B63" s="54" t="s">
        <v>54</v>
      </c>
      <c r="C63" s="28"/>
      <c r="D63" s="29"/>
      <c r="E63" s="30">
        <v>1.0</v>
      </c>
      <c r="F63" s="31">
        <v>4.0</v>
      </c>
      <c r="G63" s="28">
        <v>0.0</v>
      </c>
      <c r="H63" s="31">
        <v>1.0</v>
      </c>
      <c r="I63" s="31">
        <v>6.0</v>
      </c>
      <c r="J63" s="31">
        <v>0.0</v>
      </c>
      <c r="K63" s="33">
        <v>7.0</v>
      </c>
      <c r="L63" s="31">
        <v>1.0</v>
      </c>
      <c r="M63" s="28">
        <v>7.0</v>
      </c>
      <c r="N63" s="29">
        <v>1.0</v>
      </c>
      <c r="O63" s="35" t="s">
        <v>46</v>
      </c>
      <c r="P63" s="35" t="s">
        <v>46</v>
      </c>
      <c r="Q63" s="31">
        <f t="shared" si="1"/>
        <v>0</v>
      </c>
      <c r="R63" s="31"/>
      <c r="S63" s="31">
        <f t="shared" si="2"/>
        <v>0</v>
      </c>
    </row>
    <row r="64">
      <c r="A64" s="26">
        <f t="shared" si="3"/>
        <v>60</v>
      </c>
      <c r="B64" s="54" t="s">
        <v>89</v>
      </c>
      <c r="C64" s="28"/>
      <c r="D64" s="29"/>
      <c r="E64" s="30">
        <v>1.0</v>
      </c>
      <c r="F64" s="31">
        <v>2.0</v>
      </c>
      <c r="G64" s="28">
        <v>0.0</v>
      </c>
      <c r="H64" s="31">
        <v>1.0</v>
      </c>
      <c r="I64" s="31">
        <v>2.0</v>
      </c>
      <c r="J64" s="31">
        <v>1.0</v>
      </c>
      <c r="K64" s="33">
        <v>4.0</v>
      </c>
      <c r="L64" s="31">
        <v>0.0</v>
      </c>
      <c r="M64" s="28">
        <v>4.0</v>
      </c>
      <c r="N64" s="29">
        <v>0.0</v>
      </c>
      <c r="O64" s="35" t="s">
        <v>46</v>
      </c>
      <c r="P64" s="35" t="s">
        <v>46</v>
      </c>
      <c r="Q64" s="31">
        <f t="shared" si="1"/>
        <v>0</v>
      </c>
      <c r="R64" s="31"/>
      <c r="S64" s="31">
        <f t="shared" si="2"/>
        <v>0</v>
      </c>
    </row>
    <row r="65">
      <c r="A65" s="26">
        <f t="shared" si="3"/>
        <v>61</v>
      </c>
      <c r="B65" s="54" t="s">
        <v>122</v>
      </c>
      <c r="C65" s="28"/>
      <c r="D65" s="29"/>
      <c r="E65" s="30">
        <v>3.0</v>
      </c>
      <c r="F65" s="31">
        <v>0.0</v>
      </c>
      <c r="G65" s="28">
        <v>9.0</v>
      </c>
      <c r="H65" s="31">
        <v>0.0</v>
      </c>
      <c r="I65" s="31">
        <v>0.0</v>
      </c>
      <c r="J65" s="31">
        <v>0.0</v>
      </c>
      <c r="K65" s="33">
        <v>9.0</v>
      </c>
      <c r="L65" s="31">
        <v>0.0</v>
      </c>
      <c r="M65" s="28">
        <v>9.0</v>
      </c>
      <c r="N65" s="29">
        <v>0.0</v>
      </c>
      <c r="O65" s="35" t="s">
        <v>46</v>
      </c>
      <c r="P65" s="35" t="s">
        <v>46</v>
      </c>
      <c r="Q65" s="31">
        <f t="shared" si="1"/>
        <v>0</v>
      </c>
      <c r="R65" s="31"/>
      <c r="S65" s="31">
        <f t="shared" si="2"/>
        <v>1</v>
      </c>
    </row>
    <row r="66">
      <c r="A66" s="26">
        <f t="shared" si="3"/>
        <v>62</v>
      </c>
      <c r="B66" s="54" t="s">
        <v>94</v>
      </c>
      <c r="C66" s="28"/>
      <c r="D66" s="29"/>
      <c r="E66" s="30">
        <v>3.0</v>
      </c>
      <c r="F66" s="31">
        <v>0.0</v>
      </c>
      <c r="G66" s="28">
        <v>9.0</v>
      </c>
      <c r="H66" s="31">
        <v>0.0</v>
      </c>
      <c r="I66" s="31">
        <v>0.0</v>
      </c>
      <c r="J66" s="31">
        <v>0.0</v>
      </c>
      <c r="K66" s="33">
        <v>9.0</v>
      </c>
      <c r="L66" s="31">
        <v>0.0</v>
      </c>
      <c r="M66" s="28">
        <v>9.0</v>
      </c>
      <c r="N66" s="29">
        <v>0.0</v>
      </c>
      <c r="O66" s="35" t="s">
        <v>46</v>
      </c>
      <c r="P66" s="35" t="s">
        <v>46</v>
      </c>
      <c r="Q66" s="31">
        <f t="shared" si="1"/>
        <v>0</v>
      </c>
      <c r="R66" s="31"/>
      <c r="S66" s="31">
        <f t="shared" si="2"/>
        <v>1</v>
      </c>
    </row>
    <row r="67">
      <c r="A67" s="26">
        <f t="shared" si="3"/>
        <v>63</v>
      </c>
      <c r="B67" s="54" t="s">
        <v>59</v>
      </c>
      <c r="C67" s="28"/>
      <c r="D67" s="29"/>
      <c r="E67" s="30">
        <v>1.0</v>
      </c>
      <c r="F67" s="31">
        <v>4.0</v>
      </c>
      <c r="G67" s="28">
        <v>0.0</v>
      </c>
      <c r="H67" s="31">
        <v>1.0</v>
      </c>
      <c r="I67" s="31">
        <v>3.0</v>
      </c>
      <c r="J67" s="31">
        <v>6.0</v>
      </c>
      <c r="K67" s="33">
        <v>10.0</v>
      </c>
      <c r="L67" s="31">
        <v>1.0</v>
      </c>
      <c r="M67" s="28">
        <v>10.0</v>
      </c>
      <c r="N67" s="29">
        <v>1.0</v>
      </c>
      <c r="O67" s="35" t="s">
        <v>46</v>
      </c>
      <c r="P67" s="35" t="s">
        <v>46</v>
      </c>
      <c r="Q67" s="31">
        <f t="shared" si="1"/>
        <v>0</v>
      </c>
      <c r="R67" s="31"/>
      <c r="S67" s="31">
        <f t="shared" si="2"/>
        <v>0</v>
      </c>
    </row>
    <row r="68">
      <c r="A68" s="26">
        <f t="shared" si="3"/>
        <v>64</v>
      </c>
      <c r="B68" s="54" t="s">
        <v>108</v>
      </c>
      <c r="C68" s="28"/>
      <c r="D68" s="29"/>
      <c r="E68" s="30">
        <v>1.0</v>
      </c>
      <c r="F68" s="31">
        <v>3.0</v>
      </c>
      <c r="G68" s="28">
        <v>0.0</v>
      </c>
      <c r="H68" s="31">
        <v>6.0</v>
      </c>
      <c r="I68" s="31">
        <v>6.0</v>
      </c>
      <c r="J68" s="31">
        <v>2.0</v>
      </c>
      <c r="K68" s="33">
        <v>14.0</v>
      </c>
      <c r="L68" s="31">
        <v>2.0</v>
      </c>
      <c r="M68" s="28">
        <v>14.0</v>
      </c>
      <c r="N68" s="29">
        <v>2.0</v>
      </c>
      <c r="O68" s="35" t="s">
        <v>46</v>
      </c>
      <c r="P68" s="35" t="s">
        <v>46</v>
      </c>
      <c r="Q68" s="31">
        <f t="shared" si="1"/>
        <v>0</v>
      </c>
      <c r="R68" s="31"/>
      <c r="S68" s="31">
        <f t="shared" si="2"/>
        <v>0</v>
      </c>
    </row>
    <row r="69">
      <c r="A69" s="26">
        <f t="shared" si="3"/>
        <v>65</v>
      </c>
      <c r="B69" s="54" t="s">
        <v>123</v>
      </c>
      <c r="C69" s="28"/>
      <c r="D69" s="29"/>
      <c r="E69" s="30">
        <v>5.0</v>
      </c>
      <c r="F69" s="31">
        <v>0.0</v>
      </c>
      <c r="G69" s="28">
        <v>13.0</v>
      </c>
      <c r="H69" s="31">
        <v>0.0</v>
      </c>
      <c r="I69" s="31">
        <v>0.0</v>
      </c>
      <c r="J69" s="31">
        <v>0.0</v>
      </c>
      <c r="K69" s="33">
        <v>13.0</v>
      </c>
      <c r="L69" s="31">
        <v>0.0</v>
      </c>
      <c r="M69" s="28">
        <v>13.0</v>
      </c>
      <c r="N69" s="29">
        <v>0.0</v>
      </c>
      <c r="O69" s="35" t="s">
        <v>46</v>
      </c>
      <c r="P69" s="35" t="s">
        <v>46</v>
      </c>
      <c r="Q69" s="31">
        <f t="shared" si="1"/>
        <v>1</v>
      </c>
      <c r="R69" s="31"/>
      <c r="S69" s="31">
        <f t="shared" si="2"/>
        <v>0</v>
      </c>
    </row>
    <row r="70">
      <c r="A70" s="1"/>
      <c r="C70" s="1"/>
      <c r="D70" s="1"/>
      <c r="E70" s="1"/>
      <c r="P70" s="1"/>
    </row>
    <row r="71">
      <c r="A71" s="1"/>
      <c r="B71" s="56">
        <f>COUNTA(B5:B69)</f>
        <v>65</v>
      </c>
      <c r="C71" s="1"/>
      <c r="D71" s="1"/>
      <c r="E71" s="1"/>
      <c r="O71" s="13" t="s">
        <v>128</v>
      </c>
      <c r="P71" s="14">
        <f>COUNTA(P5:P69)</f>
        <v>65</v>
      </c>
    </row>
    <row r="72">
      <c r="A72" s="1"/>
      <c r="C72" s="1"/>
      <c r="D72" s="1"/>
      <c r="E72" s="1"/>
      <c r="O72" s="13" t="s">
        <v>129</v>
      </c>
      <c r="P72" s="14">
        <f>P73-P71</f>
        <v>0</v>
      </c>
    </row>
    <row r="73">
      <c r="A73" s="1"/>
      <c r="C73" s="1"/>
      <c r="D73" s="1"/>
      <c r="J73" s="41"/>
      <c r="K73" s="57"/>
      <c r="L73" s="58"/>
      <c r="O73" s="13" t="s">
        <v>53</v>
      </c>
      <c r="P73" s="14">
        <f>B71</f>
        <v>65</v>
      </c>
    </row>
    <row r="74">
      <c r="A74" s="1"/>
      <c r="C74" s="1"/>
      <c r="D74" s="1"/>
      <c r="E74" s="9" t="s">
        <v>130</v>
      </c>
      <c r="J74" s="41"/>
      <c r="K74" s="57"/>
      <c r="L74" s="58"/>
    </row>
    <row r="75">
      <c r="A75" s="1"/>
      <c r="C75" s="1"/>
      <c r="D75" s="1"/>
      <c r="J75" s="41"/>
      <c r="K75" s="57"/>
      <c r="L75" s="58"/>
    </row>
    <row r="76">
      <c r="A76" s="1"/>
      <c r="C76" s="1"/>
      <c r="D76" s="1"/>
      <c r="J76" s="41"/>
      <c r="K76" s="57"/>
      <c r="L76" s="58"/>
    </row>
    <row r="77">
      <c r="A77" s="1"/>
      <c r="B77" s="59" t="s">
        <v>131</v>
      </c>
      <c r="C77" s="59" t="s">
        <v>132</v>
      </c>
      <c r="D77" s="59" t="s">
        <v>133</v>
      </c>
      <c r="J77" s="41"/>
      <c r="K77" s="57"/>
      <c r="L77" s="58"/>
    </row>
    <row r="78">
      <c r="A78" s="1"/>
      <c r="B78" s="39" t="str">
        <f>IFERROR(__xludf.DUMMYFUNCTION("QUERY(B5:L69,""Select B, K, L where K &gt;= 18 order by K desc, L desc"",0)"),"Oscar Bonilla")</f>
        <v>Oscar Bonilla</v>
      </c>
      <c r="C78" s="60">
        <f>IFERROR(__xludf.DUMMYFUNCTION("""COMPUTED_VALUE"""),19.0)</f>
        <v>19</v>
      </c>
      <c r="D78" s="60">
        <f>IFERROR(__xludf.DUMMYFUNCTION("""COMPUTED_VALUE"""),3.0)</f>
        <v>3</v>
      </c>
      <c r="E78" s="1"/>
      <c r="K78" s="57"/>
      <c r="L78" s="58"/>
    </row>
    <row r="79">
      <c r="A79" s="1"/>
      <c r="B79" s="39" t="str">
        <f>IFERROR(__xludf.DUMMYFUNCTION("""COMPUTED_VALUE"""),"Anish Kumar")</f>
        <v>Anish Kumar</v>
      </c>
      <c r="C79" s="60">
        <f>IFERROR(__xludf.DUMMYFUNCTION("""COMPUTED_VALUE"""),19.0)</f>
        <v>19</v>
      </c>
      <c r="D79" s="60">
        <f>IFERROR(__xludf.DUMMYFUNCTION("""COMPUTED_VALUE"""),3.0)</f>
        <v>3</v>
      </c>
      <c r="E79" s="1"/>
      <c r="L79" s="61"/>
    </row>
    <row r="80">
      <c r="A80" s="1"/>
      <c r="B80" s="39" t="str">
        <f>IFERROR(__xludf.DUMMYFUNCTION("""COMPUTED_VALUE"""),"Pulkit Mathur")</f>
        <v>Pulkit Mathur</v>
      </c>
      <c r="C80" s="60">
        <f>IFERROR(__xludf.DUMMYFUNCTION("""COMPUTED_VALUE"""),18.0)</f>
        <v>18</v>
      </c>
      <c r="D80" s="60">
        <f>IFERROR(__xludf.DUMMYFUNCTION("""COMPUTED_VALUE"""),3.0)</f>
        <v>3</v>
      </c>
      <c r="E80" s="1"/>
    </row>
    <row r="81">
      <c r="A81" s="1"/>
      <c r="B81" s="39" t="str">
        <f>IFERROR(__xludf.DUMMYFUNCTION("""COMPUTED_VALUE"""),"Suleman Alidina")</f>
        <v>Suleman Alidina</v>
      </c>
      <c r="C81" s="60">
        <f>IFERROR(__xludf.DUMMYFUNCTION("""COMPUTED_VALUE"""),18.0)</f>
        <v>18</v>
      </c>
      <c r="D81" s="60">
        <f>IFERROR(__xludf.DUMMYFUNCTION("""COMPUTED_VALUE"""),3.0)</f>
        <v>3</v>
      </c>
      <c r="E81" s="1"/>
    </row>
    <row r="82">
      <c r="A82" s="1"/>
      <c r="B82" s="39"/>
      <c r="C82" s="60"/>
      <c r="D82" s="60"/>
      <c r="E82" s="1"/>
      <c r="K82" s="9"/>
    </row>
    <row r="83">
      <c r="A83" s="1"/>
      <c r="B83" s="39"/>
      <c r="C83" s="60"/>
      <c r="D83" s="60"/>
      <c r="E83" s="1"/>
      <c r="K83" s="9"/>
    </row>
    <row r="84">
      <c r="A84" s="1"/>
      <c r="B84" s="39"/>
      <c r="C84" s="60"/>
      <c r="D84" s="60"/>
      <c r="E84" s="1"/>
      <c r="K84" s="9"/>
    </row>
    <row r="85">
      <c r="A85" s="1"/>
      <c r="B85" s="39"/>
      <c r="C85" s="60"/>
      <c r="D85" s="60"/>
      <c r="E85" s="1"/>
      <c r="K85" s="9"/>
    </row>
    <row r="86">
      <c r="A86" s="1"/>
      <c r="B86" s="39"/>
      <c r="C86" s="60"/>
      <c r="D86" s="60"/>
      <c r="E86" s="1"/>
    </row>
    <row r="87">
      <c r="A87" s="1"/>
      <c r="B87" s="39"/>
      <c r="C87" s="60"/>
      <c r="D87" s="60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B90" s="23" t="s">
        <v>29</v>
      </c>
      <c r="C90" s="24" t="s">
        <v>5</v>
      </c>
      <c r="D90" s="24" t="s">
        <v>7</v>
      </c>
      <c r="E90" s="24" t="s">
        <v>30</v>
      </c>
      <c r="F90" s="24" t="s">
        <v>31</v>
      </c>
      <c r="G90" s="24" t="s">
        <v>32</v>
      </c>
      <c r="H90" s="24" t="s">
        <v>11</v>
      </c>
      <c r="I90" s="24" t="s">
        <v>13</v>
      </c>
      <c r="J90" s="24" t="s">
        <v>14</v>
      </c>
      <c r="K90" s="24" t="s">
        <v>5</v>
      </c>
      <c r="L90" s="24" t="s">
        <v>7</v>
      </c>
      <c r="M90" s="25" t="s">
        <v>5</v>
      </c>
      <c r="N90" s="25" t="s">
        <v>7</v>
      </c>
    </row>
    <row r="91">
      <c r="A91" s="1"/>
      <c r="B91" s="62" t="str">
        <f>IFERROR(__xludf.DUMMYFUNCTION("QUERY(B5:N69, ""Select B, C, D, E, F, G, H, I, J, K, L, M, N   where F &gt;= 1 order by F"")"),"Jonathan Phan")</f>
        <v>Jonathan Phan</v>
      </c>
      <c r="C91" s="73"/>
      <c r="D91" s="73"/>
      <c r="E91" s="63">
        <f>IFERROR(__xludf.DUMMYFUNCTION("""COMPUTED_VALUE"""),1.0)</f>
        <v>1</v>
      </c>
      <c r="F91" s="65">
        <f>IFERROR(__xludf.DUMMYFUNCTION("""COMPUTED_VALUE"""),1.0)</f>
        <v>1</v>
      </c>
      <c r="G91" s="65">
        <f>IFERROR(__xludf.DUMMYFUNCTION("""COMPUTED_VALUE"""),0.0)</f>
        <v>0</v>
      </c>
      <c r="H91" s="65">
        <f>IFERROR(__xludf.DUMMYFUNCTION("""COMPUTED_VALUE"""),5.0)</f>
        <v>5</v>
      </c>
      <c r="I91" s="65">
        <f>IFERROR(__xludf.DUMMYFUNCTION("""COMPUTED_VALUE"""),3.0)</f>
        <v>3</v>
      </c>
      <c r="J91" s="65">
        <f>IFERROR(__xludf.DUMMYFUNCTION("""COMPUTED_VALUE"""),6.0)</f>
        <v>6</v>
      </c>
      <c r="K91" s="65">
        <f>IFERROR(__xludf.DUMMYFUNCTION("""COMPUTED_VALUE"""),14.0)</f>
        <v>14</v>
      </c>
      <c r="L91" s="65">
        <f>IFERROR(__xludf.DUMMYFUNCTION("""COMPUTED_VALUE"""),1.0)</f>
        <v>1</v>
      </c>
      <c r="M91" s="65">
        <f>IFERROR(__xludf.DUMMYFUNCTION("""COMPUTED_VALUE"""),14.0)</f>
        <v>14</v>
      </c>
      <c r="N91" s="66">
        <f>IFERROR(__xludf.DUMMYFUNCTION("""COMPUTED_VALUE"""),1.0)</f>
        <v>1</v>
      </c>
    </row>
    <row r="92">
      <c r="A92" s="1"/>
      <c r="B92" s="62" t="str">
        <f>IFERROR(__xludf.DUMMYFUNCTION("""COMPUTED_VALUE"""),"Oscar Bonilla")</f>
        <v>Oscar Bonilla</v>
      </c>
      <c r="C92" s="73"/>
      <c r="D92" s="73"/>
      <c r="E92" s="63">
        <f>IFERROR(__xludf.DUMMYFUNCTION("""COMPUTED_VALUE"""),1.0)</f>
        <v>1</v>
      </c>
      <c r="F92" s="65">
        <f>IFERROR(__xludf.DUMMYFUNCTION("""COMPUTED_VALUE"""),1.0)</f>
        <v>1</v>
      </c>
      <c r="G92" s="65">
        <f>IFERROR(__xludf.DUMMYFUNCTION("""COMPUTED_VALUE"""),0.0)</f>
        <v>0</v>
      </c>
      <c r="H92" s="65">
        <f>IFERROR(__xludf.DUMMYFUNCTION("""COMPUTED_VALUE"""),7.0)</f>
        <v>7</v>
      </c>
      <c r="I92" s="65">
        <f>IFERROR(__xludf.DUMMYFUNCTION("""COMPUTED_VALUE"""),6.0)</f>
        <v>6</v>
      </c>
      <c r="J92" s="65">
        <f>IFERROR(__xludf.DUMMYFUNCTION("""COMPUTED_VALUE"""),6.0)</f>
        <v>6</v>
      </c>
      <c r="K92" s="65">
        <f>IFERROR(__xludf.DUMMYFUNCTION("""COMPUTED_VALUE"""),19.0)</f>
        <v>19</v>
      </c>
      <c r="L92" s="65">
        <f>IFERROR(__xludf.DUMMYFUNCTION("""COMPUTED_VALUE"""),3.0)</f>
        <v>3</v>
      </c>
      <c r="M92" s="65">
        <f>IFERROR(__xludf.DUMMYFUNCTION("""COMPUTED_VALUE"""),19.0)</f>
        <v>19</v>
      </c>
      <c r="N92" s="66">
        <f>IFERROR(__xludf.DUMMYFUNCTION("""COMPUTED_VALUE"""),3.0)</f>
        <v>3</v>
      </c>
    </row>
    <row r="93">
      <c r="A93" s="1"/>
      <c r="B93" s="62" t="str">
        <f>IFERROR(__xludf.DUMMYFUNCTION("""COMPUTED_VALUE"""),"Elayaraja Thangaraj ")</f>
        <v>Elayaraja Thangaraj </v>
      </c>
      <c r="C93" s="73"/>
      <c r="D93" s="73"/>
      <c r="E93" s="63">
        <f>IFERROR(__xludf.DUMMYFUNCTION("""COMPUTED_VALUE"""),1.0)</f>
        <v>1</v>
      </c>
      <c r="F93" s="65">
        <f>IFERROR(__xludf.DUMMYFUNCTION("""COMPUTED_VALUE"""),1.0)</f>
        <v>1</v>
      </c>
      <c r="G93" s="65">
        <f>IFERROR(__xludf.DUMMYFUNCTION("""COMPUTED_VALUE"""),0.0)</f>
        <v>0</v>
      </c>
      <c r="H93" s="65">
        <f>IFERROR(__xludf.DUMMYFUNCTION("""COMPUTED_VALUE"""),7.0)</f>
        <v>7</v>
      </c>
      <c r="I93" s="65">
        <f>IFERROR(__xludf.DUMMYFUNCTION("""COMPUTED_VALUE"""),3.0)</f>
        <v>3</v>
      </c>
      <c r="J93" s="65">
        <f>IFERROR(__xludf.DUMMYFUNCTION("""COMPUTED_VALUE"""),1.0)</f>
        <v>1</v>
      </c>
      <c r="K93" s="65">
        <f>IFERROR(__xludf.DUMMYFUNCTION("""COMPUTED_VALUE"""),11.0)</f>
        <v>11</v>
      </c>
      <c r="L93" s="65">
        <f>IFERROR(__xludf.DUMMYFUNCTION("""COMPUTED_VALUE"""),1.0)</f>
        <v>1</v>
      </c>
      <c r="M93" s="65">
        <f>IFERROR(__xludf.DUMMYFUNCTION("""COMPUTED_VALUE"""),11.0)</f>
        <v>11</v>
      </c>
      <c r="N93" s="66">
        <f>IFERROR(__xludf.DUMMYFUNCTION("""COMPUTED_VALUE"""),1.0)</f>
        <v>1</v>
      </c>
    </row>
    <row r="94">
      <c r="A94" s="1"/>
      <c r="B94" s="62" t="str">
        <f>IFERROR(__xludf.DUMMYFUNCTION("""COMPUTED_VALUE"""),"Andrew Wen")</f>
        <v>Andrew Wen</v>
      </c>
      <c r="C94" s="73"/>
      <c r="D94" s="73"/>
      <c r="E94" s="63">
        <f>IFERROR(__xludf.DUMMYFUNCTION("""COMPUTED_VALUE"""),1.0)</f>
        <v>1</v>
      </c>
      <c r="F94" s="65">
        <f>IFERROR(__xludf.DUMMYFUNCTION("""COMPUTED_VALUE"""),1.0)</f>
        <v>1</v>
      </c>
      <c r="G94" s="65">
        <f>IFERROR(__xludf.DUMMYFUNCTION("""COMPUTED_VALUE"""),0.0)</f>
        <v>0</v>
      </c>
      <c r="H94" s="65">
        <f>IFERROR(__xludf.DUMMYFUNCTION("""COMPUTED_VALUE"""),5.0)</f>
        <v>5</v>
      </c>
      <c r="I94" s="65">
        <f>IFERROR(__xludf.DUMMYFUNCTION("""COMPUTED_VALUE"""),6.0)</f>
        <v>6</v>
      </c>
      <c r="J94" s="65">
        <f>IFERROR(__xludf.DUMMYFUNCTION("""COMPUTED_VALUE"""),1.0)</f>
        <v>1</v>
      </c>
      <c r="K94" s="65">
        <f>IFERROR(__xludf.DUMMYFUNCTION("""COMPUTED_VALUE"""),12.0)</f>
        <v>12</v>
      </c>
      <c r="L94" s="65">
        <f>IFERROR(__xludf.DUMMYFUNCTION("""COMPUTED_VALUE"""),1.0)</f>
        <v>1</v>
      </c>
      <c r="M94" s="65">
        <f>IFERROR(__xludf.DUMMYFUNCTION("""COMPUTED_VALUE"""),12.0)</f>
        <v>12</v>
      </c>
      <c r="N94" s="66">
        <f>IFERROR(__xludf.DUMMYFUNCTION("""COMPUTED_VALUE"""),1.0)</f>
        <v>1</v>
      </c>
    </row>
    <row r="95">
      <c r="A95" s="1"/>
      <c r="B95" s="67" t="str">
        <f>IFERROR(__xludf.DUMMYFUNCTION("""COMPUTED_VALUE"""),"Pavan Akkimsetty")</f>
        <v>Pavan Akkimsetty</v>
      </c>
      <c r="C95" s="72"/>
      <c r="D95" s="72"/>
      <c r="E95" s="68">
        <f>IFERROR(__xludf.DUMMYFUNCTION("""COMPUTED_VALUE"""),1.0)</f>
        <v>1</v>
      </c>
      <c r="F95" s="70">
        <f>IFERROR(__xludf.DUMMYFUNCTION("""COMPUTED_VALUE"""),2.0)</f>
        <v>2</v>
      </c>
      <c r="G95" s="70">
        <f>IFERROR(__xludf.DUMMYFUNCTION("""COMPUTED_VALUE"""),0.0)</f>
        <v>0</v>
      </c>
      <c r="H95" s="70">
        <f>IFERROR(__xludf.DUMMYFUNCTION("""COMPUTED_VALUE"""),6.0)</f>
        <v>6</v>
      </c>
      <c r="I95" s="70">
        <f>IFERROR(__xludf.DUMMYFUNCTION("""COMPUTED_VALUE"""),6.0)</f>
        <v>6</v>
      </c>
      <c r="J95" s="70">
        <f>IFERROR(__xludf.DUMMYFUNCTION("""COMPUTED_VALUE"""),1.0)</f>
        <v>1</v>
      </c>
      <c r="K95" s="70">
        <f>IFERROR(__xludf.DUMMYFUNCTION("""COMPUTED_VALUE"""),13.0)</f>
        <v>13</v>
      </c>
      <c r="L95" s="70">
        <f>IFERROR(__xludf.DUMMYFUNCTION("""COMPUTED_VALUE"""),2.0)</f>
        <v>2</v>
      </c>
      <c r="M95" s="70">
        <f>IFERROR(__xludf.DUMMYFUNCTION("""COMPUTED_VALUE"""),13.0)</f>
        <v>13</v>
      </c>
      <c r="N95" s="71">
        <f>IFERROR(__xludf.DUMMYFUNCTION("""COMPUTED_VALUE"""),2.0)</f>
        <v>2</v>
      </c>
    </row>
    <row r="96">
      <c r="A96" s="1"/>
      <c r="B96" s="67" t="str">
        <f>IFERROR(__xludf.DUMMYFUNCTION("""COMPUTED_VALUE"""),"Erik Hoeckmann")</f>
        <v>Erik Hoeckmann</v>
      </c>
      <c r="C96" s="72"/>
      <c r="D96" s="72"/>
      <c r="E96" s="68">
        <f>IFERROR(__xludf.DUMMYFUNCTION("""COMPUTED_VALUE"""),1.0)</f>
        <v>1</v>
      </c>
      <c r="F96" s="70">
        <f>IFERROR(__xludf.DUMMYFUNCTION("""COMPUTED_VALUE"""),2.0)</f>
        <v>2</v>
      </c>
      <c r="G96" s="70">
        <f>IFERROR(__xludf.DUMMYFUNCTION("""COMPUTED_VALUE"""),0.0)</f>
        <v>0</v>
      </c>
      <c r="H96" s="70">
        <f>IFERROR(__xludf.DUMMYFUNCTION("""COMPUTED_VALUE"""),1.0)</f>
        <v>1</v>
      </c>
      <c r="I96" s="70">
        <f>IFERROR(__xludf.DUMMYFUNCTION("""COMPUTED_VALUE"""),6.0)</f>
        <v>6</v>
      </c>
      <c r="J96" s="70">
        <f>IFERROR(__xludf.DUMMYFUNCTION("""COMPUTED_VALUE"""),6.0)</f>
        <v>6</v>
      </c>
      <c r="K96" s="70">
        <f>IFERROR(__xludf.DUMMYFUNCTION("""COMPUTED_VALUE"""),13.0)</f>
        <v>13</v>
      </c>
      <c r="L96" s="70">
        <f>IFERROR(__xludf.DUMMYFUNCTION("""COMPUTED_VALUE"""),2.0)</f>
        <v>2</v>
      </c>
      <c r="M96" s="70">
        <f>IFERROR(__xludf.DUMMYFUNCTION("""COMPUTED_VALUE"""),13.0)</f>
        <v>13</v>
      </c>
      <c r="N96" s="71">
        <f>IFERROR(__xludf.DUMMYFUNCTION("""COMPUTED_VALUE"""),2.0)</f>
        <v>2</v>
      </c>
    </row>
    <row r="97">
      <c r="A97" s="1"/>
      <c r="B97" s="67" t="str">
        <f>IFERROR(__xludf.DUMMYFUNCTION("""COMPUTED_VALUE"""),"Christopher Li")</f>
        <v>Christopher Li</v>
      </c>
      <c r="C97" s="72"/>
      <c r="D97" s="72"/>
      <c r="E97" s="68">
        <f>IFERROR(__xludf.DUMMYFUNCTION("""COMPUTED_VALUE"""),1.0)</f>
        <v>1</v>
      </c>
      <c r="F97" s="70">
        <f>IFERROR(__xludf.DUMMYFUNCTION("""COMPUTED_VALUE"""),2.0)</f>
        <v>2</v>
      </c>
      <c r="G97" s="70">
        <f>IFERROR(__xludf.DUMMYFUNCTION("""COMPUTED_VALUE"""),0.0)</f>
        <v>0</v>
      </c>
      <c r="H97" s="70">
        <f>IFERROR(__xludf.DUMMYFUNCTION("""COMPUTED_VALUE"""),6.0)</f>
        <v>6</v>
      </c>
      <c r="I97" s="70">
        <f>IFERROR(__xludf.DUMMYFUNCTION("""COMPUTED_VALUE"""),2.0)</f>
        <v>2</v>
      </c>
      <c r="J97" s="70">
        <f>IFERROR(__xludf.DUMMYFUNCTION("""COMPUTED_VALUE"""),6.0)</f>
        <v>6</v>
      </c>
      <c r="K97" s="70">
        <f>IFERROR(__xludf.DUMMYFUNCTION("""COMPUTED_VALUE"""),14.0)</f>
        <v>14</v>
      </c>
      <c r="L97" s="70">
        <f>IFERROR(__xludf.DUMMYFUNCTION("""COMPUTED_VALUE"""),2.0)</f>
        <v>2</v>
      </c>
      <c r="M97" s="70">
        <f>IFERROR(__xludf.DUMMYFUNCTION("""COMPUTED_VALUE"""),14.0)</f>
        <v>14</v>
      </c>
      <c r="N97" s="71">
        <f>IFERROR(__xludf.DUMMYFUNCTION("""COMPUTED_VALUE"""),2.0)</f>
        <v>2</v>
      </c>
    </row>
    <row r="98">
      <c r="A98" s="1"/>
      <c r="B98" s="67" t="str">
        <f>IFERROR(__xludf.DUMMYFUNCTION("""COMPUTED_VALUE"""),"Vishnu Amarnath")</f>
        <v>Vishnu Amarnath</v>
      </c>
      <c r="C98" s="72"/>
      <c r="D98" s="72"/>
      <c r="E98" s="68">
        <f>IFERROR(__xludf.DUMMYFUNCTION("""COMPUTED_VALUE"""),1.0)</f>
        <v>1</v>
      </c>
      <c r="F98" s="70">
        <f>IFERROR(__xludf.DUMMYFUNCTION("""COMPUTED_VALUE"""),2.0)</f>
        <v>2</v>
      </c>
      <c r="G98" s="70">
        <f>IFERROR(__xludf.DUMMYFUNCTION("""COMPUTED_VALUE"""),0.0)</f>
        <v>0</v>
      </c>
      <c r="H98" s="70">
        <f>IFERROR(__xludf.DUMMYFUNCTION("""COMPUTED_VALUE"""),1.0)</f>
        <v>1</v>
      </c>
      <c r="I98" s="70">
        <f>IFERROR(__xludf.DUMMYFUNCTION("""COMPUTED_VALUE"""),2.0)</f>
        <v>2</v>
      </c>
      <c r="J98" s="70">
        <f>IFERROR(__xludf.DUMMYFUNCTION("""COMPUTED_VALUE"""),1.0)</f>
        <v>1</v>
      </c>
      <c r="K98" s="70">
        <f>IFERROR(__xludf.DUMMYFUNCTION("""COMPUTED_VALUE"""),4.0)</f>
        <v>4</v>
      </c>
      <c r="L98" s="70">
        <f>IFERROR(__xludf.DUMMYFUNCTION("""COMPUTED_VALUE"""),0.0)</f>
        <v>0</v>
      </c>
      <c r="M98" s="70">
        <f>IFERROR(__xludf.DUMMYFUNCTION("""COMPUTED_VALUE"""),4.0)</f>
        <v>4</v>
      </c>
      <c r="N98" s="71">
        <f>IFERROR(__xludf.DUMMYFUNCTION("""COMPUTED_VALUE"""),0.0)</f>
        <v>0</v>
      </c>
    </row>
    <row r="99">
      <c r="A99" s="1"/>
      <c r="B99" s="62" t="str">
        <f>IFERROR(__xludf.DUMMYFUNCTION("""COMPUTED_VALUE"""),"Troy Wong")</f>
        <v>Troy Wong</v>
      </c>
      <c r="C99" s="73"/>
      <c r="D99" s="73"/>
      <c r="E99" s="63">
        <f>IFERROR(__xludf.DUMMYFUNCTION("""COMPUTED_VALUE"""),1.0)</f>
        <v>1</v>
      </c>
      <c r="F99" s="65">
        <f>IFERROR(__xludf.DUMMYFUNCTION("""COMPUTED_VALUE"""),3.0)</f>
        <v>3</v>
      </c>
      <c r="G99" s="65">
        <f>IFERROR(__xludf.DUMMYFUNCTION("""COMPUTED_VALUE"""),0.0)</f>
        <v>0</v>
      </c>
      <c r="H99" s="65">
        <f>IFERROR(__xludf.DUMMYFUNCTION("""COMPUTED_VALUE"""),3.0)</f>
        <v>3</v>
      </c>
      <c r="I99" s="65">
        <f>IFERROR(__xludf.DUMMYFUNCTION("""COMPUTED_VALUE"""),6.0)</f>
        <v>6</v>
      </c>
      <c r="J99" s="65">
        <f>IFERROR(__xludf.DUMMYFUNCTION("""COMPUTED_VALUE"""),6.0)</f>
        <v>6</v>
      </c>
      <c r="K99" s="65">
        <f>IFERROR(__xludf.DUMMYFUNCTION("""COMPUTED_VALUE"""),15.0)</f>
        <v>15</v>
      </c>
      <c r="L99" s="65">
        <f>IFERROR(__xludf.DUMMYFUNCTION("""COMPUTED_VALUE"""),2.0)</f>
        <v>2</v>
      </c>
      <c r="M99" s="65">
        <f>IFERROR(__xludf.DUMMYFUNCTION("""COMPUTED_VALUE"""),15.0)</f>
        <v>15</v>
      </c>
      <c r="N99" s="66">
        <f>IFERROR(__xludf.DUMMYFUNCTION("""COMPUTED_VALUE"""),2.0)</f>
        <v>2</v>
      </c>
    </row>
    <row r="100">
      <c r="A100" s="1"/>
      <c r="B100" s="62" t="str">
        <f>IFERROR(__xludf.DUMMYFUNCTION("""COMPUTED_VALUE"""),"Coco Yan")</f>
        <v>Coco Yan</v>
      </c>
      <c r="C100" s="73"/>
      <c r="D100" s="73"/>
      <c r="E100" s="63">
        <f>IFERROR(__xludf.DUMMYFUNCTION("""COMPUTED_VALUE"""),1.0)</f>
        <v>1</v>
      </c>
      <c r="F100" s="65">
        <f>IFERROR(__xludf.DUMMYFUNCTION("""COMPUTED_VALUE"""),3.0)</f>
        <v>3</v>
      </c>
      <c r="G100" s="65">
        <f>IFERROR(__xludf.DUMMYFUNCTION("""COMPUTED_VALUE"""),0.0)</f>
        <v>0</v>
      </c>
      <c r="H100" s="65">
        <f>IFERROR(__xludf.DUMMYFUNCTION("""COMPUTED_VALUE"""),3.0)</f>
        <v>3</v>
      </c>
      <c r="I100" s="65">
        <f>IFERROR(__xludf.DUMMYFUNCTION("""COMPUTED_VALUE"""),4.0)</f>
        <v>4</v>
      </c>
      <c r="J100" s="65">
        <f>IFERROR(__xludf.DUMMYFUNCTION("""COMPUTED_VALUE"""),2.0)</f>
        <v>2</v>
      </c>
      <c r="K100" s="65">
        <f>IFERROR(__xludf.DUMMYFUNCTION("""COMPUTED_VALUE"""),9.0)</f>
        <v>9</v>
      </c>
      <c r="L100" s="65">
        <f>IFERROR(__xludf.DUMMYFUNCTION("""COMPUTED_VALUE"""),0.0)</f>
        <v>0</v>
      </c>
      <c r="M100" s="65">
        <f>IFERROR(__xludf.DUMMYFUNCTION("""COMPUTED_VALUE"""),9.0)</f>
        <v>9</v>
      </c>
      <c r="N100" s="66">
        <f>IFERROR(__xludf.DUMMYFUNCTION("""COMPUTED_VALUE"""),0.0)</f>
        <v>0</v>
      </c>
    </row>
    <row r="101">
      <c r="A101" s="1"/>
      <c r="B101" s="62" t="str">
        <f>IFERROR(__xludf.DUMMYFUNCTION("""COMPUTED_VALUE"""),"Sudhagar Subbaian")</f>
        <v>Sudhagar Subbaian</v>
      </c>
      <c r="C101" s="73"/>
      <c r="D101" s="73"/>
      <c r="E101" s="63">
        <f>IFERROR(__xludf.DUMMYFUNCTION("""COMPUTED_VALUE"""),1.0)</f>
        <v>1</v>
      </c>
      <c r="F101" s="65">
        <f>IFERROR(__xludf.DUMMYFUNCTION("""COMPUTED_VALUE"""),3.0)</f>
        <v>3</v>
      </c>
      <c r="G101" s="65">
        <f>IFERROR(__xludf.DUMMYFUNCTION("""COMPUTED_VALUE"""),0.0)</f>
        <v>0</v>
      </c>
      <c r="H101" s="65">
        <f>IFERROR(__xludf.DUMMYFUNCTION("""COMPUTED_VALUE"""),6.0)</f>
        <v>6</v>
      </c>
      <c r="I101" s="65">
        <f>IFERROR(__xludf.DUMMYFUNCTION("""COMPUTED_VALUE"""),4.0)</f>
        <v>4</v>
      </c>
      <c r="J101" s="65">
        <f>IFERROR(__xludf.DUMMYFUNCTION("""COMPUTED_VALUE"""),6.0)</f>
        <v>6</v>
      </c>
      <c r="K101" s="65">
        <f>IFERROR(__xludf.DUMMYFUNCTION("""COMPUTED_VALUE"""),16.0)</f>
        <v>16</v>
      </c>
      <c r="L101" s="65">
        <f>IFERROR(__xludf.DUMMYFUNCTION("""COMPUTED_VALUE"""),2.0)</f>
        <v>2</v>
      </c>
      <c r="M101" s="65">
        <f>IFERROR(__xludf.DUMMYFUNCTION("""COMPUTED_VALUE"""),16.0)</f>
        <v>16</v>
      </c>
      <c r="N101" s="66">
        <f>IFERROR(__xludf.DUMMYFUNCTION("""COMPUTED_VALUE"""),2.0)</f>
        <v>2</v>
      </c>
    </row>
    <row r="102">
      <c r="A102" s="1"/>
      <c r="B102" s="62" t="str">
        <f>IFERROR(__xludf.DUMMYFUNCTION("""COMPUTED_VALUE"""),"Kumar Palakeel")</f>
        <v>Kumar Palakeel</v>
      </c>
      <c r="C102" s="73"/>
      <c r="D102" s="73"/>
      <c r="E102" s="63">
        <f>IFERROR(__xludf.DUMMYFUNCTION("""COMPUTED_VALUE"""),1.0)</f>
        <v>1</v>
      </c>
      <c r="F102" s="65">
        <f>IFERROR(__xludf.DUMMYFUNCTION("""COMPUTED_VALUE"""),3.0)</f>
        <v>3</v>
      </c>
      <c r="G102" s="65">
        <f>IFERROR(__xludf.DUMMYFUNCTION("""COMPUTED_VALUE"""),0.0)</f>
        <v>0</v>
      </c>
      <c r="H102" s="65">
        <f>IFERROR(__xludf.DUMMYFUNCTION("""COMPUTED_VALUE"""),6.0)</f>
        <v>6</v>
      </c>
      <c r="I102" s="65">
        <f>IFERROR(__xludf.DUMMYFUNCTION("""COMPUTED_VALUE"""),6.0)</f>
        <v>6</v>
      </c>
      <c r="J102" s="65">
        <f>IFERROR(__xludf.DUMMYFUNCTION("""COMPUTED_VALUE"""),2.0)</f>
        <v>2</v>
      </c>
      <c r="K102" s="65">
        <f>IFERROR(__xludf.DUMMYFUNCTION("""COMPUTED_VALUE"""),14.0)</f>
        <v>14</v>
      </c>
      <c r="L102" s="84">
        <f>IFERROR(__xludf.DUMMYFUNCTION("""COMPUTED_VALUE"""),2.0)</f>
        <v>2</v>
      </c>
      <c r="M102" s="65">
        <f>IFERROR(__xludf.DUMMYFUNCTION("""COMPUTED_VALUE"""),14.0)</f>
        <v>14</v>
      </c>
      <c r="N102" s="66">
        <f>IFERROR(__xludf.DUMMYFUNCTION("""COMPUTED_VALUE"""),2.0)</f>
        <v>2</v>
      </c>
    </row>
    <row r="103">
      <c r="A103" s="1"/>
      <c r="B103" s="67" t="str">
        <f>IFERROR(__xludf.DUMMYFUNCTION("""COMPUTED_VALUE"""),"Joe Luzzi")</f>
        <v>Joe Luzzi</v>
      </c>
      <c r="C103" s="72"/>
      <c r="D103" s="72"/>
      <c r="E103" s="68">
        <f>IFERROR(__xludf.DUMMYFUNCTION("""COMPUTED_VALUE"""),1.0)</f>
        <v>1</v>
      </c>
      <c r="F103" s="70">
        <f>IFERROR(__xludf.DUMMYFUNCTION("""COMPUTED_VALUE"""),4.0)</f>
        <v>4</v>
      </c>
      <c r="G103" s="70">
        <f>IFERROR(__xludf.DUMMYFUNCTION("""COMPUTED_VALUE"""),0.0)</f>
        <v>0</v>
      </c>
      <c r="H103" s="70">
        <f>IFERROR(__xludf.DUMMYFUNCTION("""COMPUTED_VALUE"""),6.0)</f>
        <v>6</v>
      </c>
      <c r="I103" s="70">
        <f>IFERROR(__xludf.DUMMYFUNCTION("""COMPUTED_VALUE"""),3.0)</f>
        <v>3</v>
      </c>
      <c r="J103" s="70">
        <f>IFERROR(__xludf.DUMMYFUNCTION("""COMPUTED_VALUE"""),0.0)</f>
        <v>0</v>
      </c>
      <c r="K103" s="70">
        <f>IFERROR(__xludf.DUMMYFUNCTION("""COMPUTED_VALUE"""),9.0)</f>
        <v>9</v>
      </c>
      <c r="L103" s="70">
        <f>IFERROR(__xludf.DUMMYFUNCTION("""COMPUTED_VALUE"""),1.0)</f>
        <v>1</v>
      </c>
      <c r="M103" s="70">
        <f>IFERROR(__xludf.DUMMYFUNCTION("""COMPUTED_VALUE"""),9.0)</f>
        <v>9</v>
      </c>
      <c r="N103" s="71">
        <f>IFERROR(__xludf.DUMMYFUNCTION("""COMPUTED_VALUE"""),1.0)</f>
        <v>1</v>
      </c>
    </row>
    <row r="104">
      <c r="A104" s="1"/>
      <c r="B104" s="67" t="str">
        <f>IFERROR(__xludf.DUMMYFUNCTION("""COMPUTED_VALUE"""),"Suleman Alidina")</f>
        <v>Suleman Alidina</v>
      </c>
      <c r="C104" s="72"/>
      <c r="D104" s="72"/>
      <c r="E104" s="68">
        <f>IFERROR(__xludf.DUMMYFUNCTION("""COMPUTED_VALUE"""),1.0)</f>
        <v>1</v>
      </c>
      <c r="F104" s="70">
        <f>IFERROR(__xludf.DUMMYFUNCTION("""COMPUTED_VALUE"""),4.0)</f>
        <v>4</v>
      </c>
      <c r="G104" s="70">
        <f>IFERROR(__xludf.DUMMYFUNCTION("""COMPUTED_VALUE"""),0.0)</f>
        <v>0</v>
      </c>
      <c r="H104" s="70">
        <f>IFERROR(__xludf.DUMMYFUNCTION("""COMPUTED_VALUE"""),6.0)</f>
        <v>6</v>
      </c>
      <c r="I104" s="70">
        <f>IFERROR(__xludf.DUMMYFUNCTION("""COMPUTED_VALUE"""),6.0)</f>
        <v>6</v>
      </c>
      <c r="J104" s="70">
        <f>IFERROR(__xludf.DUMMYFUNCTION("""COMPUTED_VALUE"""),6.0)</f>
        <v>6</v>
      </c>
      <c r="K104" s="70">
        <f>IFERROR(__xludf.DUMMYFUNCTION("""COMPUTED_VALUE"""),18.0)</f>
        <v>18</v>
      </c>
      <c r="L104" s="70">
        <f>IFERROR(__xludf.DUMMYFUNCTION("""COMPUTED_VALUE"""),3.0)</f>
        <v>3</v>
      </c>
      <c r="M104" s="70">
        <f>IFERROR(__xludf.DUMMYFUNCTION("""COMPUTED_VALUE"""),18.0)</f>
        <v>18</v>
      </c>
      <c r="N104" s="71">
        <f>IFERROR(__xludf.DUMMYFUNCTION("""COMPUTED_VALUE"""),3.0)</f>
        <v>3</v>
      </c>
    </row>
    <row r="105">
      <c r="A105" s="1"/>
      <c r="B105" s="67" t="str">
        <f>IFERROR(__xludf.DUMMYFUNCTION("""COMPUTED_VALUE"""),"Ash Nikravan")</f>
        <v>Ash Nikravan</v>
      </c>
      <c r="C105" s="72"/>
      <c r="D105" s="72"/>
      <c r="E105" s="68">
        <f>IFERROR(__xludf.DUMMYFUNCTION("""COMPUTED_VALUE"""),1.0)</f>
        <v>1</v>
      </c>
      <c r="F105" s="70">
        <f>IFERROR(__xludf.DUMMYFUNCTION("""COMPUTED_VALUE"""),4.0)</f>
        <v>4</v>
      </c>
      <c r="G105" s="70">
        <f>IFERROR(__xludf.DUMMYFUNCTION("""COMPUTED_VALUE"""),0.0)</f>
        <v>0</v>
      </c>
      <c r="H105" s="70">
        <f>IFERROR(__xludf.DUMMYFUNCTION("""COMPUTED_VALUE"""),1.0)</f>
        <v>1</v>
      </c>
      <c r="I105" s="70">
        <f>IFERROR(__xludf.DUMMYFUNCTION("""COMPUTED_VALUE"""),6.0)</f>
        <v>6</v>
      </c>
      <c r="J105" s="70">
        <f>IFERROR(__xludf.DUMMYFUNCTION("""COMPUTED_VALUE"""),0.0)</f>
        <v>0</v>
      </c>
      <c r="K105" s="70">
        <f>IFERROR(__xludf.DUMMYFUNCTION("""COMPUTED_VALUE"""),7.0)</f>
        <v>7</v>
      </c>
      <c r="L105" s="70">
        <f>IFERROR(__xludf.DUMMYFUNCTION("""COMPUTED_VALUE"""),1.0)</f>
        <v>1</v>
      </c>
      <c r="M105" s="70">
        <f>IFERROR(__xludf.DUMMYFUNCTION("""COMPUTED_VALUE"""),7.0)</f>
        <v>7</v>
      </c>
      <c r="N105" s="71">
        <f>IFERROR(__xludf.DUMMYFUNCTION("""COMPUTED_VALUE"""),1.0)</f>
        <v>1</v>
      </c>
    </row>
    <row r="106">
      <c r="A106" s="1"/>
      <c r="B106" s="67" t="str">
        <f>IFERROR(__xludf.DUMMYFUNCTION("""COMPUTED_VALUE"""),"David Tam")</f>
        <v>David Tam</v>
      </c>
      <c r="C106" s="72"/>
      <c r="D106" s="72"/>
      <c r="E106" s="68">
        <f>IFERROR(__xludf.DUMMYFUNCTION("""COMPUTED_VALUE"""),1.0)</f>
        <v>1</v>
      </c>
      <c r="F106" s="70">
        <f>IFERROR(__xludf.DUMMYFUNCTION("""COMPUTED_VALUE"""),4.0)</f>
        <v>4</v>
      </c>
      <c r="G106" s="70">
        <f>IFERROR(__xludf.DUMMYFUNCTION("""COMPUTED_VALUE"""),0.0)</f>
        <v>0</v>
      </c>
      <c r="H106" s="70">
        <f>IFERROR(__xludf.DUMMYFUNCTION("""COMPUTED_VALUE"""),1.0)</f>
        <v>1</v>
      </c>
      <c r="I106" s="70">
        <f>IFERROR(__xludf.DUMMYFUNCTION("""COMPUTED_VALUE"""),3.0)</f>
        <v>3</v>
      </c>
      <c r="J106" s="70">
        <f>IFERROR(__xludf.DUMMYFUNCTION("""COMPUTED_VALUE"""),6.0)</f>
        <v>6</v>
      </c>
      <c r="K106" s="70">
        <f>IFERROR(__xludf.DUMMYFUNCTION("""COMPUTED_VALUE"""),10.0)</f>
        <v>10</v>
      </c>
      <c r="L106" s="70">
        <f>IFERROR(__xludf.DUMMYFUNCTION("""COMPUTED_VALUE"""),1.0)</f>
        <v>1</v>
      </c>
      <c r="M106" s="70">
        <f>IFERROR(__xludf.DUMMYFUNCTION("""COMPUTED_VALUE"""),10.0)</f>
        <v>10</v>
      </c>
      <c r="N106" s="71">
        <f>IFERROR(__xludf.DUMMYFUNCTION("""COMPUTED_VALUE"""),1.0)</f>
        <v>1</v>
      </c>
    </row>
    <row r="107">
      <c r="A107" s="1"/>
      <c r="B107" s="62" t="str">
        <f>IFERROR(__xludf.DUMMYFUNCTION("""COMPUTED_VALUE"""),"Pulkit Mathur")</f>
        <v>Pulkit Mathur</v>
      </c>
      <c r="C107" s="73"/>
      <c r="D107" s="73"/>
      <c r="E107" s="63">
        <f>IFERROR(__xludf.DUMMYFUNCTION("""COMPUTED_VALUE"""),1.0)</f>
        <v>1</v>
      </c>
      <c r="F107" s="65">
        <f>IFERROR(__xludf.DUMMYFUNCTION("""COMPUTED_VALUE"""),5.0)</f>
        <v>5</v>
      </c>
      <c r="G107" s="65">
        <f>IFERROR(__xludf.DUMMYFUNCTION("""COMPUTED_VALUE"""),0.0)</f>
        <v>0</v>
      </c>
      <c r="H107" s="65">
        <f>IFERROR(__xludf.DUMMYFUNCTION("""COMPUTED_VALUE"""),6.0)</f>
        <v>6</v>
      </c>
      <c r="I107" s="65">
        <f>IFERROR(__xludf.DUMMYFUNCTION("""COMPUTED_VALUE"""),6.0)</f>
        <v>6</v>
      </c>
      <c r="J107" s="65">
        <f>IFERROR(__xludf.DUMMYFUNCTION("""COMPUTED_VALUE"""),6.0)</f>
        <v>6</v>
      </c>
      <c r="K107" s="65">
        <f>IFERROR(__xludf.DUMMYFUNCTION("""COMPUTED_VALUE"""),18.0)</f>
        <v>18</v>
      </c>
      <c r="L107" s="65">
        <f>IFERROR(__xludf.DUMMYFUNCTION("""COMPUTED_VALUE"""),3.0)</f>
        <v>3</v>
      </c>
      <c r="M107" s="65">
        <f>IFERROR(__xludf.DUMMYFUNCTION("""COMPUTED_VALUE"""),18.0)</f>
        <v>18</v>
      </c>
      <c r="N107" s="66">
        <f>IFERROR(__xludf.DUMMYFUNCTION("""COMPUTED_VALUE"""),3.0)</f>
        <v>3</v>
      </c>
    </row>
    <row r="108">
      <c r="A108" s="1"/>
      <c r="B108" s="62" t="str">
        <f>IFERROR(__xludf.DUMMYFUNCTION("""COMPUTED_VALUE"""),"Kingsley Kuo")</f>
        <v>Kingsley Kuo</v>
      </c>
      <c r="C108" s="73"/>
      <c r="D108" s="73"/>
      <c r="E108" s="63">
        <f>IFERROR(__xludf.DUMMYFUNCTION("""COMPUTED_VALUE"""),1.0)</f>
        <v>1</v>
      </c>
      <c r="F108" s="65">
        <f>IFERROR(__xludf.DUMMYFUNCTION("""COMPUTED_VALUE"""),5.0)</f>
        <v>5</v>
      </c>
      <c r="G108" s="65">
        <f>IFERROR(__xludf.DUMMYFUNCTION("""COMPUTED_VALUE"""),0.0)</f>
        <v>0</v>
      </c>
      <c r="H108" s="65">
        <f>IFERROR(__xludf.DUMMYFUNCTION("""COMPUTED_VALUE"""),3.0)</f>
        <v>3</v>
      </c>
      <c r="I108" s="65">
        <f>IFERROR(__xludf.DUMMYFUNCTION("""COMPUTED_VALUE"""),6.0)</f>
        <v>6</v>
      </c>
      <c r="J108" s="65">
        <f>IFERROR(__xludf.DUMMYFUNCTION("""COMPUTED_VALUE"""),1.0)</f>
        <v>1</v>
      </c>
      <c r="K108" s="65">
        <f>IFERROR(__xludf.DUMMYFUNCTION("""COMPUTED_VALUE"""),10.0)</f>
        <v>10</v>
      </c>
      <c r="L108" s="65">
        <f>IFERROR(__xludf.DUMMYFUNCTION("""COMPUTED_VALUE"""),1.0)</f>
        <v>1</v>
      </c>
      <c r="M108" s="65">
        <f>IFERROR(__xludf.DUMMYFUNCTION("""COMPUTED_VALUE"""),10.0)</f>
        <v>10</v>
      </c>
      <c r="N108" s="66">
        <f>IFERROR(__xludf.DUMMYFUNCTION("""COMPUTED_VALUE"""),1.0)</f>
        <v>1</v>
      </c>
    </row>
    <row r="109">
      <c r="A109" s="1"/>
      <c r="B109" s="62" t="str">
        <f>IFERROR(__xludf.DUMMYFUNCTION("""COMPUTED_VALUE"""),"Vamsi Lolla ")</f>
        <v>Vamsi Lolla </v>
      </c>
      <c r="C109" s="73"/>
      <c r="D109" s="73"/>
      <c r="E109" s="63">
        <f>IFERROR(__xludf.DUMMYFUNCTION("""COMPUTED_VALUE"""),1.0)</f>
        <v>1</v>
      </c>
      <c r="F109" s="65">
        <f>IFERROR(__xludf.DUMMYFUNCTION("""COMPUTED_VALUE"""),5.0)</f>
        <v>5</v>
      </c>
      <c r="G109" s="65">
        <f>IFERROR(__xludf.DUMMYFUNCTION("""COMPUTED_VALUE"""),0.0)</f>
        <v>0</v>
      </c>
      <c r="H109" s="65">
        <f>IFERROR(__xludf.DUMMYFUNCTION("""COMPUTED_VALUE"""),6.0)</f>
        <v>6</v>
      </c>
      <c r="I109" s="65">
        <f>IFERROR(__xludf.DUMMYFUNCTION("""COMPUTED_VALUE"""),2.0)</f>
        <v>2</v>
      </c>
      <c r="J109" s="65">
        <f>IFERROR(__xludf.DUMMYFUNCTION("""COMPUTED_VALUE"""),1.0)</f>
        <v>1</v>
      </c>
      <c r="K109" s="65">
        <f>IFERROR(__xludf.DUMMYFUNCTION("""COMPUTED_VALUE"""),9.0)</f>
        <v>9</v>
      </c>
      <c r="L109" s="65">
        <f>IFERROR(__xludf.DUMMYFUNCTION("""COMPUTED_VALUE"""),1.0)</f>
        <v>1</v>
      </c>
      <c r="M109" s="65">
        <f>IFERROR(__xludf.DUMMYFUNCTION("""COMPUTED_VALUE"""),9.0)</f>
        <v>9</v>
      </c>
      <c r="N109" s="66">
        <f>IFERROR(__xludf.DUMMYFUNCTION("""COMPUTED_VALUE"""),1.0)</f>
        <v>1</v>
      </c>
    </row>
    <row r="110">
      <c r="A110" s="1"/>
      <c r="B110" s="62" t="str">
        <f>IFERROR(__xludf.DUMMYFUNCTION("""COMPUTED_VALUE"""),"Scott Li")</f>
        <v>Scott Li</v>
      </c>
      <c r="C110" s="73"/>
      <c r="D110" s="73"/>
      <c r="E110" s="63">
        <f>IFERROR(__xludf.DUMMYFUNCTION("""COMPUTED_VALUE"""),1.0)</f>
        <v>1</v>
      </c>
      <c r="F110" s="65">
        <f>IFERROR(__xludf.DUMMYFUNCTION("""COMPUTED_VALUE"""),5.0)</f>
        <v>5</v>
      </c>
      <c r="G110" s="65">
        <f>IFERROR(__xludf.DUMMYFUNCTION("""COMPUTED_VALUE"""),0.0)</f>
        <v>0</v>
      </c>
      <c r="H110" s="65">
        <f>IFERROR(__xludf.DUMMYFUNCTION("""COMPUTED_VALUE"""),3.0)</f>
        <v>3</v>
      </c>
      <c r="I110" s="65">
        <f>IFERROR(__xludf.DUMMYFUNCTION("""COMPUTED_VALUE"""),2.0)</f>
        <v>2</v>
      </c>
      <c r="J110" s="65">
        <f>IFERROR(__xludf.DUMMYFUNCTION("""COMPUTED_VALUE"""),6.0)</f>
        <v>6</v>
      </c>
      <c r="K110" s="65">
        <f>IFERROR(__xludf.DUMMYFUNCTION("""COMPUTED_VALUE"""),11.0)</f>
        <v>11</v>
      </c>
      <c r="L110" s="65">
        <f>IFERROR(__xludf.DUMMYFUNCTION("""COMPUTED_VALUE"""),1.0)</f>
        <v>1</v>
      </c>
      <c r="M110" s="65">
        <f>IFERROR(__xludf.DUMMYFUNCTION("""COMPUTED_VALUE"""),11.0)</f>
        <v>11</v>
      </c>
      <c r="N110" s="66">
        <f>IFERROR(__xludf.DUMMYFUNCTION("""COMPUTED_VALUE"""),1.0)</f>
        <v>1</v>
      </c>
    </row>
    <row r="111">
      <c r="A111" s="1"/>
      <c r="B111" s="67" t="str">
        <f>IFERROR(__xludf.DUMMYFUNCTION("""COMPUTED_VALUE"""),"Ted Shen")</f>
        <v>Ted Shen</v>
      </c>
      <c r="C111" s="72"/>
      <c r="D111" s="72"/>
      <c r="E111" s="68">
        <f>IFERROR(__xludf.DUMMYFUNCTION("""COMPUTED_VALUE"""),1.0)</f>
        <v>1</v>
      </c>
      <c r="F111" s="70">
        <f>IFERROR(__xludf.DUMMYFUNCTION("""COMPUTED_VALUE"""),6.0)</f>
        <v>6</v>
      </c>
      <c r="G111" s="70">
        <f>IFERROR(__xludf.DUMMYFUNCTION("""COMPUTED_VALUE"""),0.0)</f>
        <v>0</v>
      </c>
      <c r="H111" s="70">
        <f>IFERROR(__xludf.DUMMYFUNCTION("""COMPUTED_VALUE"""),4.0)</f>
        <v>4</v>
      </c>
      <c r="I111" s="70">
        <f>IFERROR(__xludf.DUMMYFUNCTION("""COMPUTED_VALUE"""),7.0)</f>
        <v>7</v>
      </c>
      <c r="J111" s="70">
        <f>IFERROR(__xludf.DUMMYFUNCTION("""COMPUTED_VALUE"""),4.0)</f>
        <v>4</v>
      </c>
      <c r="K111" s="70">
        <f>IFERROR(__xludf.DUMMYFUNCTION("""COMPUTED_VALUE"""),15.0)</f>
        <v>15</v>
      </c>
      <c r="L111" s="70">
        <f>IFERROR(__xludf.DUMMYFUNCTION("""COMPUTED_VALUE"""),1.0)</f>
        <v>1</v>
      </c>
      <c r="M111" s="70">
        <f>IFERROR(__xludf.DUMMYFUNCTION("""COMPUTED_VALUE"""),15.0)</f>
        <v>15</v>
      </c>
      <c r="N111" s="71">
        <f>IFERROR(__xludf.DUMMYFUNCTION("""COMPUTED_VALUE"""),1.0)</f>
        <v>1</v>
      </c>
    </row>
    <row r="112">
      <c r="A112" s="1"/>
      <c r="B112" s="67" t="str">
        <f>IFERROR(__xludf.DUMMYFUNCTION("""COMPUTED_VALUE"""),"Anish Kumar")</f>
        <v>Anish Kumar</v>
      </c>
      <c r="C112" s="72"/>
      <c r="D112" s="72"/>
      <c r="E112" s="68">
        <f>IFERROR(__xludf.DUMMYFUNCTION("""COMPUTED_VALUE"""),1.0)</f>
        <v>1</v>
      </c>
      <c r="F112" s="70">
        <f>IFERROR(__xludf.DUMMYFUNCTION("""COMPUTED_VALUE"""),6.0)</f>
        <v>6</v>
      </c>
      <c r="G112" s="70">
        <f>IFERROR(__xludf.DUMMYFUNCTION("""COMPUTED_VALUE"""),0.0)</f>
        <v>0</v>
      </c>
      <c r="H112" s="70">
        <f>IFERROR(__xludf.DUMMYFUNCTION("""COMPUTED_VALUE"""),6.0)</f>
        <v>6</v>
      </c>
      <c r="I112" s="70">
        <f>IFERROR(__xludf.DUMMYFUNCTION("""COMPUTED_VALUE"""),7.0)</f>
        <v>7</v>
      </c>
      <c r="J112" s="70">
        <f>IFERROR(__xludf.DUMMYFUNCTION("""COMPUTED_VALUE"""),6.0)</f>
        <v>6</v>
      </c>
      <c r="K112" s="70">
        <f>IFERROR(__xludf.DUMMYFUNCTION("""COMPUTED_VALUE"""),19.0)</f>
        <v>19</v>
      </c>
      <c r="L112" s="70">
        <f>IFERROR(__xludf.DUMMYFUNCTION("""COMPUTED_VALUE"""),3.0)</f>
        <v>3</v>
      </c>
      <c r="M112" s="70">
        <f>IFERROR(__xludf.DUMMYFUNCTION("""COMPUTED_VALUE"""),19.0)</f>
        <v>19</v>
      </c>
      <c r="N112" s="71">
        <f>IFERROR(__xludf.DUMMYFUNCTION("""COMPUTED_VALUE"""),3.0)</f>
        <v>3</v>
      </c>
    </row>
    <row r="113">
      <c r="A113" s="1"/>
      <c r="B113" s="67" t="str">
        <f>IFERROR(__xludf.DUMMYFUNCTION("""COMPUTED_VALUE"""),"Rajasekar Ramasamy")</f>
        <v>Rajasekar Ramasamy</v>
      </c>
      <c r="C113" s="72"/>
      <c r="D113" s="72"/>
      <c r="E113" s="68">
        <f>IFERROR(__xludf.DUMMYFUNCTION("""COMPUTED_VALUE"""),1.0)</f>
        <v>1</v>
      </c>
      <c r="F113" s="70">
        <f>IFERROR(__xludf.DUMMYFUNCTION("""COMPUTED_VALUE"""),6.0)</f>
        <v>6</v>
      </c>
      <c r="G113" s="70">
        <f>IFERROR(__xludf.DUMMYFUNCTION("""COMPUTED_VALUE"""),0.0)</f>
        <v>0</v>
      </c>
      <c r="H113" s="70">
        <f>IFERROR(__xludf.DUMMYFUNCTION("""COMPUTED_VALUE"""),6.0)</f>
        <v>6</v>
      </c>
      <c r="I113" s="70">
        <f>IFERROR(__xludf.DUMMYFUNCTION("""COMPUTED_VALUE"""),5.0)</f>
        <v>5</v>
      </c>
      <c r="J113" s="70">
        <f>IFERROR(__xludf.DUMMYFUNCTION("""COMPUTED_VALUE"""),4.0)</f>
        <v>4</v>
      </c>
      <c r="K113" s="70">
        <f>IFERROR(__xludf.DUMMYFUNCTION("""COMPUTED_VALUE"""),15.0)</f>
        <v>15</v>
      </c>
      <c r="L113" s="70">
        <f>IFERROR(__xludf.DUMMYFUNCTION("""COMPUTED_VALUE"""),1.0)</f>
        <v>1</v>
      </c>
      <c r="M113" s="70">
        <f>IFERROR(__xludf.DUMMYFUNCTION("""COMPUTED_VALUE"""),15.0)</f>
        <v>15</v>
      </c>
      <c r="N113" s="71">
        <f>IFERROR(__xludf.DUMMYFUNCTION("""COMPUTED_VALUE"""),1.0)</f>
        <v>1</v>
      </c>
    </row>
    <row r="114">
      <c r="A114" s="1"/>
      <c r="B114" s="67" t="str">
        <f>IFERROR(__xludf.DUMMYFUNCTION("""COMPUTED_VALUE"""),"Manuel Rivera")</f>
        <v>Manuel Rivera</v>
      </c>
      <c r="C114" s="72"/>
      <c r="D114" s="72"/>
      <c r="E114" s="68">
        <f>IFERROR(__xludf.DUMMYFUNCTION("""COMPUTED_VALUE"""),1.0)</f>
        <v>1</v>
      </c>
      <c r="F114" s="70">
        <f>IFERROR(__xludf.DUMMYFUNCTION("""COMPUTED_VALUE"""),6.0)</f>
        <v>6</v>
      </c>
      <c r="G114" s="70">
        <f>IFERROR(__xludf.DUMMYFUNCTION("""COMPUTED_VALUE"""),0.0)</f>
        <v>0</v>
      </c>
      <c r="H114" s="70">
        <f>IFERROR(__xludf.DUMMYFUNCTION("""COMPUTED_VALUE"""),4.0)</f>
        <v>4</v>
      </c>
      <c r="I114" s="70">
        <f>IFERROR(__xludf.DUMMYFUNCTION("""COMPUTED_VALUE"""),5.0)</f>
        <v>5</v>
      </c>
      <c r="J114" s="70">
        <f>IFERROR(__xludf.DUMMYFUNCTION("""COMPUTED_VALUE"""),6.0)</f>
        <v>6</v>
      </c>
      <c r="K114" s="70">
        <f>IFERROR(__xludf.DUMMYFUNCTION("""COMPUTED_VALUE"""),15.0)</f>
        <v>15</v>
      </c>
      <c r="L114" s="70">
        <f>IFERROR(__xludf.DUMMYFUNCTION("""COMPUTED_VALUE"""),1.0)</f>
        <v>1</v>
      </c>
      <c r="M114" s="70">
        <f>IFERROR(__xludf.DUMMYFUNCTION("""COMPUTED_VALUE"""),15.0)</f>
        <v>15</v>
      </c>
      <c r="N114" s="71">
        <f>IFERROR(__xludf.DUMMYFUNCTION("""COMPUTED_VALUE"""),1.0)</f>
        <v>1</v>
      </c>
    </row>
    <row r="115">
      <c r="A115" s="1"/>
      <c r="B115" s="62" t="str">
        <f>IFERROR(__xludf.DUMMYFUNCTION("""COMPUTED_VALUE"""),"Alejandro Mejia")</f>
        <v>Alejandro Mejia</v>
      </c>
      <c r="C115" s="73"/>
      <c r="D115" s="73"/>
      <c r="E115" s="63">
        <f>IFERROR(__xludf.DUMMYFUNCTION("""COMPUTED_VALUE"""),1.0)</f>
        <v>1</v>
      </c>
      <c r="F115" s="65">
        <f>IFERROR(__xludf.DUMMYFUNCTION("""COMPUTED_VALUE"""),7.0)</f>
        <v>7</v>
      </c>
      <c r="G115" s="65">
        <f>IFERROR(__xludf.DUMMYFUNCTION("""COMPUTED_VALUE"""),0.0)</f>
        <v>0</v>
      </c>
      <c r="H115" s="65">
        <f>IFERROR(__xludf.DUMMYFUNCTION("""COMPUTED_VALUE"""),4.0)</f>
        <v>4</v>
      </c>
      <c r="I115" s="65">
        <f>IFERROR(__xludf.DUMMYFUNCTION("""COMPUTED_VALUE"""),6.0)</f>
        <v>6</v>
      </c>
      <c r="J115" s="65">
        <f>IFERROR(__xludf.DUMMYFUNCTION("""COMPUTED_VALUE"""),7.0)</f>
        <v>7</v>
      </c>
      <c r="K115" s="65">
        <f>IFERROR(__xludf.DUMMYFUNCTION("""COMPUTED_VALUE"""),17.0)</f>
        <v>17</v>
      </c>
      <c r="L115" s="65">
        <f>IFERROR(__xludf.DUMMYFUNCTION("""COMPUTED_VALUE"""),2.0)</f>
        <v>2</v>
      </c>
      <c r="M115" s="65">
        <f>IFERROR(__xludf.DUMMYFUNCTION("""COMPUTED_VALUE"""),17.0)</f>
        <v>17</v>
      </c>
      <c r="N115" s="66">
        <f>IFERROR(__xludf.DUMMYFUNCTION("""COMPUTED_VALUE"""),2.0)</f>
        <v>2</v>
      </c>
    </row>
    <row r="116">
      <c r="A116" s="1"/>
      <c r="B116" s="62" t="str">
        <f>IFERROR(__xludf.DUMMYFUNCTION("""COMPUTED_VALUE"""),"Tony Wong")</f>
        <v>Tony Wong</v>
      </c>
      <c r="C116" s="73"/>
      <c r="D116" s="73"/>
      <c r="E116" s="63">
        <f>IFERROR(__xludf.DUMMYFUNCTION("""COMPUTED_VALUE"""),1.0)</f>
        <v>1</v>
      </c>
      <c r="F116" s="65">
        <f>IFERROR(__xludf.DUMMYFUNCTION("""COMPUTED_VALUE"""),7.0)</f>
        <v>7</v>
      </c>
      <c r="G116" s="65">
        <f>IFERROR(__xludf.DUMMYFUNCTION("""COMPUTED_VALUE"""),0.0)</f>
        <v>0</v>
      </c>
      <c r="H116" s="65">
        <f>IFERROR(__xludf.DUMMYFUNCTION("""COMPUTED_VALUE"""),6.0)</f>
        <v>6</v>
      </c>
      <c r="I116" s="65">
        <f>IFERROR(__xludf.DUMMYFUNCTION("""COMPUTED_VALUE"""),0.0)</f>
        <v>0</v>
      </c>
      <c r="J116" s="65">
        <f>IFERROR(__xludf.DUMMYFUNCTION("""COMPUTED_VALUE"""),7.0)</f>
        <v>7</v>
      </c>
      <c r="K116" s="65">
        <f>IFERROR(__xludf.DUMMYFUNCTION("""COMPUTED_VALUE"""),13.0)</f>
        <v>13</v>
      </c>
      <c r="L116" s="65">
        <f>IFERROR(__xludf.DUMMYFUNCTION("""COMPUTED_VALUE"""),2.0)</f>
        <v>2</v>
      </c>
      <c r="M116" s="65">
        <f>IFERROR(__xludf.DUMMYFUNCTION("""COMPUTED_VALUE"""),13.0)</f>
        <v>13</v>
      </c>
      <c r="N116" s="66">
        <f>IFERROR(__xludf.DUMMYFUNCTION("""COMPUTED_VALUE"""),2.0)</f>
        <v>2</v>
      </c>
    </row>
    <row r="117">
      <c r="A117" s="1"/>
      <c r="B117" s="62" t="str">
        <f>IFERROR(__xludf.DUMMYFUNCTION("""COMPUTED_VALUE"""),"Jimmy Awolesi")</f>
        <v>Jimmy Awolesi</v>
      </c>
      <c r="C117" s="73"/>
      <c r="D117" s="73"/>
      <c r="E117" s="63">
        <f>IFERROR(__xludf.DUMMYFUNCTION("""COMPUTED_VALUE"""),1.0)</f>
        <v>1</v>
      </c>
      <c r="F117" s="65">
        <f>IFERROR(__xludf.DUMMYFUNCTION("""COMPUTED_VALUE"""),7.0)</f>
        <v>7</v>
      </c>
      <c r="G117" s="65">
        <f>IFERROR(__xludf.DUMMYFUNCTION("""COMPUTED_VALUE"""),0.0)</f>
        <v>0</v>
      </c>
      <c r="H117" s="65">
        <f>IFERROR(__xludf.DUMMYFUNCTION("""COMPUTED_VALUE"""),6.0)</f>
        <v>6</v>
      </c>
      <c r="I117" s="65">
        <f>IFERROR(__xludf.DUMMYFUNCTION("""COMPUTED_VALUE"""),6.0)</f>
        <v>6</v>
      </c>
      <c r="J117" s="65">
        <f>IFERROR(__xludf.DUMMYFUNCTION("""COMPUTED_VALUE"""),5.0)</f>
        <v>5</v>
      </c>
      <c r="K117" s="65">
        <f>IFERROR(__xludf.DUMMYFUNCTION("""COMPUTED_VALUE"""),17.0)</f>
        <v>17</v>
      </c>
      <c r="L117" s="65">
        <f>IFERROR(__xludf.DUMMYFUNCTION("""COMPUTED_VALUE"""),2.0)</f>
        <v>2</v>
      </c>
      <c r="M117" s="65">
        <f>IFERROR(__xludf.DUMMYFUNCTION("""COMPUTED_VALUE"""),17.0)</f>
        <v>17</v>
      </c>
      <c r="N117" s="66">
        <f>IFERROR(__xludf.DUMMYFUNCTION("""COMPUTED_VALUE"""),2.0)</f>
        <v>2</v>
      </c>
    </row>
    <row r="118">
      <c r="A118" s="1"/>
      <c r="B118" s="62" t="str">
        <f>IFERROR(__xludf.DUMMYFUNCTION("""COMPUTED_VALUE"""),"Vinaya Kajla")</f>
        <v>Vinaya Kajla</v>
      </c>
      <c r="C118" s="73"/>
      <c r="D118" s="73"/>
      <c r="E118" s="63">
        <f>IFERROR(__xludf.DUMMYFUNCTION("""COMPUTED_VALUE"""),1.0)</f>
        <v>1</v>
      </c>
      <c r="F118" s="65">
        <f>IFERROR(__xludf.DUMMYFUNCTION("""COMPUTED_VALUE"""),7.0)</f>
        <v>7</v>
      </c>
      <c r="G118" s="65">
        <f>IFERROR(__xludf.DUMMYFUNCTION("""COMPUTED_VALUE"""),0.0)</f>
        <v>0</v>
      </c>
      <c r="H118" s="65">
        <f>IFERROR(__xludf.DUMMYFUNCTION("""COMPUTED_VALUE"""),4.0)</f>
        <v>4</v>
      </c>
      <c r="I118" s="65">
        <f>IFERROR(__xludf.DUMMYFUNCTION("""COMPUTED_VALUE"""),0.0)</f>
        <v>0</v>
      </c>
      <c r="J118" s="65">
        <f>IFERROR(__xludf.DUMMYFUNCTION("""COMPUTED_VALUE"""),5.0)</f>
        <v>5</v>
      </c>
      <c r="K118" s="65">
        <f>IFERROR(__xludf.DUMMYFUNCTION("""COMPUTED_VALUE"""),9.0)</f>
        <v>9</v>
      </c>
      <c r="L118" s="65">
        <f>IFERROR(__xludf.DUMMYFUNCTION("""COMPUTED_VALUE"""),0.0)</f>
        <v>0</v>
      </c>
      <c r="M118" s="65">
        <f>IFERROR(__xludf.DUMMYFUNCTION("""COMPUTED_VALUE"""),9.0)</f>
        <v>9</v>
      </c>
      <c r="N118" s="66">
        <f>IFERROR(__xludf.DUMMYFUNCTION("""COMPUTED_VALUE"""),0.0)</f>
        <v>0</v>
      </c>
    </row>
    <row r="119">
      <c r="A119" s="1"/>
      <c r="B119" s="67" t="str">
        <f>IFERROR(__xludf.DUMMYFUNCTION("""COMPUTED_VALUE"""),"Sean Chang")</f>
        <v>Sean Chang</v>
      </c>
      <c r="C119" s="72"/>
      <c r="D119" s="72"/>
      <c r="E119" s="68">
        <f>IFERROR(__xludf.DUMMYFUNCTION("""COMPUTED_VALUE"""),1.0)</f>
        <v>1</v>
      </c>
      <c r="F119" s="70">
        <f>IFERROR(__xludf.DUMMYFUNCTION("""COMPUTED_VALUE"""),8.0)</f>
        <v>8</v>
      </c>
      <c r="G119" s="70">
        <f>IFERROR(__xludf.DUMMYFUNCTION("""COMPUTED_VALUE"""),0.0)</f>
        <v>0</v>
      </c>
      <c r="H119" s="70">
        <f>IFERROR(__xludf.DUMMYFUNCTION("""COMPUTED_VALUE"""),6.0)</f>
        <v>6</v>
      </c>
      <c r="I119" s="70">
        <f>IFERROR(__xludf.DUMMYFUNCTION("""COMPUTED_VALUE"""),6.0)</f>
        <v>6</v>
      </c>
      <c r="J119" s="70">
        <f>IFERROR(__xludf.DUMMYFUNCTION("""COMPUTED_VALUE"""),5.0)</f>
        <v>5</v>
      </c>
      <c r="K119" s="70">
        <f>IFERROR(__xludf.DUMMYFUNCTION("""COMPUTED_VALUE"""),17.0)</f>
        <v>17</v>
      </c>
      <c r="L119" s="70">
        <f>IFERROR(__xludf.DUMMYFUNCTION("""COMPUTED_VALUE"""),2.0)</f>
        <v>2</v>
      </c>
      <c r="M119" s="70">
        <f>IFERROR(__xludf.DUMMYFUNCTION("""COMPUTED_VALUE"""),17.0)</f>
        <v>17</v>
      </c>
      <c r="N119" s="71">
        <f>IFERROR(__xludf.DUMMYFUNCTION("""COMPUTED_VALUE"""),2.0)</f>
        <v>2</v>
      </c>
    </row>
    <row r="120">
      <c r="A120" s="1"/>
      <c r="B120" s="67" t="str">
        <f>IFERROR(__xludf.DUMMYFUNCTION("""COMPUTED_VALUE"""),"Mauricio Palacios")</f>
        <v>Mauricio Palacios</v>
      </c>
      <c r="C120" s="72"/>
      <c r="D120" s="72"/>
      <c r="E120" s="68">
        <f>IFERROR(__xludf.DUMMYFUNCTION("""COMPUTED_VALUE"""),1.0)</f>
        <v>1</v>
      </c>
      <c r="F120" s="70">
        <f>IFERROR(__xludf.DUMMYFUNCTION("""COMPUTED_VALUE"""),8.0)</f>
        <v>8</v>
      </c>
      <c r="G120" s="70">
        <f>IFERROR(__xludf.DUMMYFUNCTION("""COMPUTED_VALUE"""),0.0)</f>
        <v>0</v>
      </c>
      <c r="H120" s="70">
        <f>IFERROR(__xludf.DUMMYFUNCTION("""COMPUTED_VALUE"""),6.0)</f>
        <v>6</v>
      </c>
      <c r="I120" s="70">
        <f>IFERROR(__xludf.DUMMYFUNCTION("""COMPUTED_VALUE"""),4.0)</f>
        <v>4</v>
      </c>
      <c r="J120" s="70">
        <f>IFERROR(__xludf.DUMMYFUNCTION("""COMPUTED_VALUE"""),7.0)</f>
        <v>7</v>
      </c>
      <c r="K120" s="70">
        <f>IFERROR(__xludf.DUMMYFUNCTION("""COMPUTED_VALUE"""),17.0)</f>
        <v>17</v>
      </c>
      <c r="L120" s="70">
        <f>IFERROR(__xludf.DUMMYFUNCTION("""COMPUTED_VALUE"""),2.0)</f>
        <v>2</v>
      </c>
      <c r="M120" s="70">
        <f>IFERROR(__xludf.DUMMYFUNCTION("""COMPUTED_VALUE"""),17.0)</f>
        <v>17</v>
      </c>
      <c r="N120" s="71">
        <f>IFERROR(__xludf.DUMMYFUNCTION("""COMPUTED_VALUE"""),2.0)</f>
        <v>2</v>
      </c>
    </row>
    <row r="121">
      <c r="A121" s="1"/>
      <c r="B121" s="67" t="str">
        <f>IFERROR(__xludf.DUMMYFUNCTION("""COMPUTED_VALUE"""),"Balaji Alahari")</f>
        <v>Balaji Alahari</v>
      </c>
      <c r="C121" s="72"/>
      <c r="D121" s="72"/>
      <c r="E121" s="68">
        <f>IFERROR(__xludf.DUMMYFUNCTION("""COMPUTED_VALUE"""),1.0)</f>
        <v>1</v>
      </c>
      <c r="F121" s="70">
        <f>IFERROR(__xludf.DUMMYFUNCTION("""COMPUTED_VALUE"""),8.0)</f>
        <v>8</v>
      </c>
      <c r="G121" s="70">
        <f>IFERROR(__xludf.DUMMYFUNCTION("""COMPUTED_VALUE"""),0.0)</f>
        <v>0</v>
      </c>
      <c r="H121" s="70">
        <f>IFERROR(__xludf.DUMMYFUNCTION("""COMPUTED_VALUE"""),4.0)</f>
        <v>4</v>
      </c>
      <c r="I121" s="70">
        <f>IFERROR(__xludf.DUMMYFUNCTION("""COMPUTED_VALUE"""),6.0)</f>
        <v>6</v>
      </c>
      <c r="J121" s="70">
        <f>IFERROR(__xludf.DUMMYFUNCTION("""COMPUTED_VALUE"""),7.0)</f>
        <v>7</v>
      </c>
      <c r="K121" s="70">
        <f>IFERROR(__xludf.DUMMYFUNCTION("""COMPUTED_VALUE"""),17.0)</f>
        <v>17</v>
      </c>
      <c r="L121" s="70">
        <f>IFERROR(__xludf.DUMMYFUNCTION("""COMPUTED_VALUE"""),2.0)</f>
        <v>2</v>
      </c>
      <c r="M121" s="70">
        <f>IFERROR(__xludf.DUMMYFUNCTION("""COMPUTED_VALUE"""),17.0)</f>
        <v>17</v>
      </c>
      <c r="N121" s="71">
        <f>IFERROR(__xludf.DUMMYFUNCTION("""COMPUTED_VALUE"""),2.0)</f>
        <v>2</v>
      </c>
    </row>
    <row r="122">
      <c r="A122" s="1"/>
      <c r="B122" s="67" t="str">
        <f>IFERROR(__xludf.DUMMYFUNCTION("""COMPUTED_VALUE"""),"Joyce Zhu")</f>
        <v>Joyce Zhu</v>
      </c>
      <c r="C122" s="72"/>
      <c r="D122" s="72"/>
      <c r="E122" s="68">
        <f>IFERROR(__xludf.DUMMYFUNCTION("""COMPUTED_VALUE"""),1.0)</f>
        <v>1</v>
      </c>
      <c r="F122" s="70">
        <f>IFERROR(__xludf.DUMMYFUNCTION("""COMPUTED_VALUE"""),8.0)</f>
        <v>8</v>
      </c>
      <c r="G122" s="70">
        <f>IFERROR(__xludf.DUMMYFUNCTION("""COMPUTED_VALUE"""),0.0)</f>
        <v>0</v>
      </c>
      <c r="H122" s="70">
        <f>IFERROR(__xludf.DUMMYFUNCTION("""COMPUTED_VALUE"""),4.0)</f>
        <v>4</v>
      </c>
      <c r="I122" s="70">
        <f>IFERROR(__xludf.DUMMYFUNCTION("""COMPUTED_VALUE"""),4.0)</f>
        <v>4</v>
      </c>
      <c r="J122" s="70">
        <f>IFERROR(__xludf.DUMMYFUNCTION("""COMPUTED_VALUE"""),5.0)</f>
        <v>5</v>
      </c>
      <c r="K122" s="70">
        <f>IFERROR(__xludf.DUMMYFUNCTION("""COMPUTED_VALUE"""),13.0)</f>
        <v>13</v>
      </c>
      <c r="L122" s="70">
        <f>IFERROR(__xludf.DUMMYFUNCTION("""COMPUTED_VALUE"""),0.0)</f>
        <v>0</v>
      </c>
      <c r="M122" s="70">
        <f>IFERROR(__xludf.DUMMYFUNCTION("""COMPUTED_VALUE"""),13.0)</f>
        <v>13</v>
      </c>
      <c r="N122" s="71">
        <f>IFERROR(__xludf.DUMMYFUNCTION("""COMPUTED_VALUE"""),0.0)</f>
        <v>0</v>
      </c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B134" s="23" t="s">
        <v>29</v>
      </c>
      <c r="C134" s="24" t="s">
        <v>5</v>
      </c>
      <c r="D134" s="24" t="s">
        <v>7</v>
      </c>
      <c r="E134" s="24" t="s">
        <v>30</v>
      </c>
      <c r="F134" s="24" t="s">
        <v>31</v>
      </c>
      <c r="G134" s="24" t="s">
        <v>32</v>
      </c>
      <c r="H134" s="24" t="s">
        <v>11</v>
      </c>
      <c r="I134" s="24" t="s">
        <v>13</v>
      </c>
      <c r="J134" s="24" t="s">
        <v>14</v>
      </c>
      <c r="K134" s="24" t="s">
        <v>5</v>
      </c>
      <c r="L134" s="24" t="s">
        <v>7</v>
      </c>
      <c r="M134" s="25" t="s">
        <v>5</v>
      </c>
      <c r="N134" s="25" t="s">
        <v>7</v>
      </c>
    </row>
    <row r="135">
      <c r="A135" s="1"/>
      <c r="B135" s="62" t="str">
        <f>IFERROR(__xludf.DUMMYFUNCTION("QUERY(B5:N69, ""Select B, C, D, E, F, G, H, I, J, K, L, M, N   where F = 0"")"),"Peter Cheng")</f>
        <v>Peter Cheng</v>
      </c>
      <c r="C135" s="73"/>
      <c r="D135" s="73"/>
      <c r="E135" s="63">
        <f>IFERROR(__xludf.DUMMYFUNCTION("""COMPUTED_VALUE"""),5.0)</f>
        <v>5</v>
      </c>
      <c r="F135" s="65">
        <f>IFERROR(__xludf.DUMMYFUNCTION("""COMPUTED_VALUE"""),0.0)</f>
        <v>0</v>
      </c>
      <c r="G135" s="65">
        <f>IFERROR(__xludf.DUMMYFUNCTION("""COMPUTED_VALUE"""),13.0)</f>
        <v>13</v>
      </c>
      <c r="H135" s="65">
        <f>IFERROR(__xludf.DUMMYFUNCTION("""COMPUTED_VALUE"""),0.0)</f>
        <v>0</v>
      </c>
      <c r="I135" s="65">
        <f>IFERROR(__xludf.DUMMYFUNCTION("""COMPUTED_VALUE"""),0.0)</f>
        <v>0</v>
      </c>
      <c r="J135" s="65">
        <f>IFERROR(__xludf.DUMMYFUNCTION("""COMPUTED_VALUE"""),0.0)</f>
        <v>0</v>
      </c>
      <c r="K135" s="65">
        <f>IFERROR(__xludf.DUMMYFUNCTION("""COMPUTED_VALUE"""),13.0)</f>
        <v>13</v>
      </c>
      <c r="L135" s="65">
        <f>IFERROR(__xludf.DUMMYFUNCTION("""COMPUTED_VALUE"""),0.0)</f>
        <v>0</v>
      </c>
      <c r="M135" s="65">
        <f>IFERROR(__xludf.DUMMYFUNCTION("""COMPUTED_VALUE"""),13.0)</f>
        <v>13</v>
      </c>
      <c r="N135" s="66">
        <f>IFERROR(__xludf.DUMMYFUNCTION("""COMPUTED_VALUE"""),0.0)</f>
        <v>0</v>
      </c>
    </row>
    <row r="136">
      <c r="A136" s="1"/>
      <c r="B136" s="62" t="str">
        <f>IFERROR(__xludf.DUMMYFUNCTION("""COMPUTED_VALUE"""),"Adrian Tay")</f>
        <v>Adrian Tay</v>
      </c>
      <c r="C136" s="73"/>
      <c r="D136" s="73"/>
      <c r="E136" s="63">
        <f>IFERROR(__xludf.DUMMYFUNCTION("""COMPUTED_VALUE"""),3.0)</f>
        <v>3</v>
      </c>
      <c r="F136" s="65">
        <f>IFERROR(__xludf.DUMMYFUNCTION("""COMPUTED_VALUE"""),0.0)</f>
        <v>0</v>
      </c>
      <c r="G136" s="65">
        <f>IFERROR(__xludf.DUMMYFUNCTION("""COMPUTED_VALUE"""),9.0)</f>
        <v>9</v>
      </c>
      <c r="H136" s="65">
        <f>IFERROR(__xludf.DUMMYFUNCTION("""COMPUTED_VALUE"""),0.0)</f>
        <v>0</v>
      </c>
      <c r="I136" s="65">
        <f>IFERROR(__xludf.DUMMYFUNCTION("""COMPUTED_VALUE"""),0.0)</f>
        <v>0</v>
      </c>
      <c r="J136" s="65">
        <f>IFERROR(__xludf.DUMMYFUNCTION("""COMPUTED_VALUE"""),0.0)</f>
        <v>0</v>
      </c>
      <c r="K136" s="65">
        <f>IFERROR(__xludf.DUMMYFUNCTION("""COMPUTED_VALUE"""),9.0)</f>
        <v>9</v>
      </c>
      <c r="L136" s="65">
        <f>IFERROR(__xludf.DUMMYFUNCTION("""COMPUTED_VALUE"""),0.0)</f>
        <v>0</v>
      </c>
      <c r="M136" s="65">
        <f>IFERROR(__xludf.DUMMYFUNCTION("""COMPUTED_VALUE"""),9.0)</f>
        <v>9</v>
      </c>
      <c r="N136" s="66">
        <f>IFERROR(__xludf.DUMMYFUNCTION("""COMPUTED_VALUE"""),0.0)</f>
        <v>0</v>
      </c>
    </row>
    <row r="137">
      <c r="A137" s="1"/>
      <c r="B137" s="62" t="str">
        <f>IFERROR(__xludf.DUMMYFUNCTION("""COMPUTED_VALUE"""),"Robert Chang")</f>
        <v>Robert Chang</v>
      </c>
      <c r="C137" s="73"/>
      <c r="D137" s="73"/>
      <c r="E137" s="63">
        <f>IFERROR(__xludf.DUMMYFUNCTION("""COMPUTED_VALUE"""),3.0)</f>
        <v>3</v>
      </c>
      <c r="F137" s="65">
        <f>IFERROR(__xludf.DUMMYFUNCTION("""COMPUTED_VALUE"""),0.0)</f>
        <v>0</v>
      </c>
      <c r="G137" s="65">
        <f>IFERROR(__xludf.DUMMYFUNCTION("""COMPUTED_VALUE"""),9.0)</f>
        <v>9</v>
      </c>
      <c r="H137" s="65">
        <f>IFERROR(__xludf.DUMMYFUNCTION("""COMPUTED_VALUE"""),0.0)</f>
        <v>0</v>
      </c>
      <c r="I137" s="65">
        <f>IFERROR(__xludf.DUMMYFUNCTION("""COMPUTED_VALUE"""),0.0)</f>
        <v>0</v>
      </c>
      <c r="J137" s="65">
        <f>IFERROR(__xludf.DUMMYFUNCTION("""COMPUTED_VALUE"""),0.0)</f>
        <v>0</v>
      </c>
      <c r="K137" s="65">
        <f>IFERROR(__xludf.DUMMYFUNCTION("""COMPUTED_VALUE"""),9.0)</f>
        <v>9</v>
      </c>
      <c r="L137" s="65">
        <f>IFERROR(__xludf.DUMMYFUNCTION("""COMPUTED_VALUE"""),0.0)</f>
        <v>0</v>
      </c>
      <c r="M137" s="65">
        <f>IFERROR(__xludf.DUMMYFUNCTION("""COMPUTED_VALUE"""),9.0)</f>
        <v>9</v>
      </c>
      <c r="N137" s="66">
        <f>IFERROR(__xludf.DUMMYFUNCTION("""COMPUTED_VALUE"""),0.0)</f>
        <v>0</v>
      </c>
    </row>
    <row r="138">
      <c r="A138" s="1"/>
      <c r="B138" s="62" t="str">
        <f>IFERROR(__xludf.DUMMYFUNCTION("""COMPUTED_VALUE"""),"Matthew Huang")</f>
        <v>Matthew Huang</v>
      </c>
      <c r="C138" s="73"/>
      <c r="D138" s="73"/>
      <c r="E138" s="63">
        <f>IFERROR(__xludf.DUMMYFUNCTION("""COMPUTED_VALUE"""),5.0)</f>
        <v>5</v>
      </c>
      <c r="F138" s="65">
        <f>IFERROR(__xludf.DUMMYFUNCTION("""COMPUTED_VALUE"""),0.0)</f>
        <v>0</v>
      </c>
      <c r="G138" s="65">
        <f>IFERROR(__xludf.DUMMYFUNCTION("""COMPUTED_VALUE"""),13.0)</f>
        <v>13</v>
      </c>
      <c r="H138" s="65">
        <f>IFERROR(__xludf.DUMMYFUNCTION("""COMPUTED_VALUE"""),0.0)</f>
        <v>0</v>
      </c>
      <c r="I138" s="65">
        <f>IFERROR(__xludf.DUMMYFUNCTION("""COMPUTED_VALUE"""),0.0)</f>
        <v>0</v>
      </c>
      <c r="J138" s="65">
        <f>IFERROR(__xludf.DUMMYFUNCTION("""COMPUTED_VALUE"""),0.0)</f>
        <v>0</v>
      </c>
      <c r="K138" s="65">
        <f>IFERROR(__xludf.DUMMYFUNCTION("""COMPUTED_VALUE"""),13.0)</f>
        <v>13</v>
      </c>
      <c r="L138" s="65">
        <f>IFERROR(__xludf.DUMMYFUNCTION("""COMPUTED_VALUE"""),0.0)</f>
        <v>0</v>
      </c>
      <c r="M138" s="65">
        <f>IFERROR(__xludf.DUMMYFUNCTION("""COMPUTED_VALUE"""),13.0)</f>
        <v>13</v>
      </c>
      <c r="N138" s="66">
        <f>IFERROR(__xludf.DUMMYFUNCTION("""COMPUTED_VALUE"""),0.0)</f>
        <v>0</v>
      </c>
    </row>
    <row r="139">
      <c r="A139" s="1"/>
      <c r="B139" s="62" t="str">
        <f>IFERROR(__xludf.DUMMYFUNCTION("""COMPUTED_VALUE"""),"Lam Bui")</f>
        <v>Lam Bui</v>
      </c>
      <c r="C139" s="73"/>
      <c r="D139" s="73"/>
      <c r="E139" s="63">
        <f>IFERROR(__xludf.DUMMYFUNCTION("""COMPUTED_VALUE"""),3.0)</f>
        <v>3</v>
      </c>
      <c r="F139" s="65">
        <f>IFERROR(__xludf.DUMMYFUNCTION("""COMPUTED_VALUE"""),0.0)</f>
        <v>0</v>
      </c>
      <c r="G139" s="65">
        <f>IFERROR(__xludf.DUMMYFUNCTION("""COMPUTED_VALUE"""),9.0)</f>
        <v>9</v>
      </c>
      <c r="H139" s="65">
        <f>IFERROR(__xludf.DUMMYFUNCTION("""COMPUTED_VALUE"""),0.0)</f>
        <v>0</v>
      </c>
      <c r="I139" s="65">
        <f>IFERROR(__xludf.DUMMYFUNCTION("""COMPUTED_VALUE"""),0.0)</f>
        <v>0</v>
      </c>
      <c r="J139" s="65">
        <f>IFERROR(__xludf.DUMMYFUNCTION("""COMPUTED_VALUE"""),0.0)</f>
        <v>0</v>
      </c>
      <c r="K139" s="65">
        <f>IFERROR(__xludf.DUMMYFUNCTION("""COMPUTED_VALUE"""),9.0)</f>
        <v>9</v>
      </c>
      <c r="L139" s="65">
        <f>IFERROR(__xludf.DUMMYFUNCTION("""COMPUTED_VALUE"""),0.0)</f>
        <v>0</v>
      </c>
      <c r="M139" s="65">
        <f>IFERROR(__xludf.DUMMYFUNCTION("""COMPUTED_VALUE"""),9.0)</f>
        <v>9</v>
      </c>
      <c r="N139" s="66">
        <f>IFERROR(__xludf.DUMMYFUNCTION("""COMPUTED_VALUE"""),0.0)</f>
        <v>0</v>
      </c>
    </row>
    <row r="140">
      <c r="A140" s="1"/>
      <c r="B140" s="62" t="str">
        <f>IFERROR(__xludf.DUMMYFUNCTION("""COMPUTED_VALUE"""),"Peter Homsey")</f>
        <v>Peter Homsey</v>
      </c>
      <c r="C140" s="73"/>
      <c r="D140" s="73"/>
      <c r="E140" s="63">
        <f>IFERROR(__xludf.DUMMYFUNCTION("""COMPUTED_VALUE"""),3.0)</f>
        <v>3</v>
      </c>
      <c r="F140" s="65">
        <f>IFERROR(__xludf.DUMMYFUNCTION("""COMPUTED_VALUE"""),0.0)</f>
        <v>0</v>
      </c>
      <c r="G140" s="65">
        <f>IFERROR(__xludf.DUMMYFUNCTION("""COMPUTED_VALUE"""),9.0)</f>
        <v>9</v>
      </c>
      <c r="H140" s="65">
        <f>IFERROR(__xludf.DUMMYFUNCTION("""COMPUTED_VALUE"""),0.0)</f>
        <v>0</v>
      </c>
      <c r="I140" s="65">
        <f>IFERROR(__xludf.DUMMYFUNCTION("""COMPUTED_VALUE"""),0.0)</f>
        <v>0</v>
      </c>
      <c r="J140" s="65">
        <f>IFERROR(__xludf.DUMMYFUNCTION("""COMPUTED_VALUE"""),0.0)</f>
        <v>0</v>
      </c>
      <c r="K140" s="65">
        <f>IFERROR(__xludf.DUMMYFUNCTION("""COMPUTED_VALUE"""),9.0)</f>
        <v>9</v>
      </c>
      <c r="L140" s="65">
        <f>IFERROR(__xludf.DUMMYFUNCTION("""COMPUTED_VALUE"""),0.0)</f>
        <v>0</v>
      </c>
      <c r="M140" s="65">
        <f>IFERROR(__xludf.DUMMYFUNCTION("""COMPUTED_VALUE"""),9.0)</f>
        <v>9</v>
      </c>
      <c r="N140" s="66">
        <f>IFERROR(__xludf.DUMMYFUNCTION("""COMPUTED_VALUE"""),0.0)</f>
        <v>0</v>
      </c>
    </row>
    <row r="141">
      <c r="A141" s="1"/>
      <c r="B141" s="62" t="str">
        <f>IFERROR(__xludf.DUMMYFUNCTION("""COMPUTED_VALUE"""),"David Shin")</f>
        <v>David Shin</v>
      </c>
      <c r="C141" s="73"/>
      <c r="D141" s="73"/>
      <c r="E141" s="63">
        <f>IFERROR(__xludf.DUMMYFUNCTION("""COMPUTED_VALUE"""),5.0)</f>
        <v>5</v>
      </c>
      <c r="F141" s="65">
        <f>IFERROR(__xludf.DUMMYFUNCTION("""COMPUTED_VALUE"""),0.0)</f>
        <v>0</v>
      </c>
      <c r="G141" s="65">
        <f>IFERROR(__xludf.DUMMYFUNCTION("""COMPUTED_VALUE"""),13.0)</f>
        <v>13</v>
      </c>
      <c r="H141" s="65">
        <f>IFERROR(__xludf.DUMMYFUNCTION("""COMPUTED_VALUE"""),0.0)</f>
        <v>0</v>
      </c>
      <c r="I141" s="65">
        <f>IFERROR(__xludf.DUMMYFUNCTION("""COMPUTED_VALUE"""),0.0)</f>
        <v>0</v>
      </c>
      <c r="J141" s="65">
        <f>IFERROR(__xludf.DUMMYFUNCTION("""COMPUTED_VALUE"""),0.0)</f>
        <v>0</v>
      </c>
      <c r="K141" s="65">
        <f>IFERROR(__xludf.DUMMYFUNCTION("""COMPUTED_VALUE"""),13.0)</f>
        <v>13</v>
      </c>
      <c r="L141" s="65">
        <f>IFERROR(__xludf.DUMMYFUNCTION("""COMPUTED_VALUE"""),0.0)</f>
        <v>0</v>
      </c>
      <c r="M141" s="65">
        <f>IFERROR(__xludf.DUMMYFUNCTION("""COMPUTED_VALUE"""),13.0)</f>
        <v>13</v>
      </c>
      <c r="N141" s="66">
        <f>IFERROR(__xludf.DUMMYFUNCTION("""COMPUTED_VALUE"""),0.0)</f>
        <v>0</v>
      </c>
    </row>
    <row r="142">
      <c r="A142" s="1"/>
      <c r="B142" s="62" t="str">
        <f>IFERROR(__xludf.DUMMYFUNCTION("""COMPUTED_VALUE"""),"Chinna Ponnaganti")</f>
        <v>Chinna Ponnaganti</v>
      </c>
      <c r="C142" s="73"/>
      <c r="D142" s="73"/>
      <c r="E142" s="63">
        <f>IFERROR(__xludf.DUMMYFUNCTION("""COMPUTED_VALUE"""),3.0)</f>
        <v>3</v>
      </c>
      <c r="F142" s="65">
        <f>IFERROR(__xludf.DUMMYFUNCTION("""COMPUTED_VALUE"""),0.0)</f>
        <v>0</v>
      </c>
      <c r="G142" s="65">
        <f>IFERROR(__xludf.DUMMYFUNCTION("""COMPUTED_VALUE"""),9.0)</f>
        <v>9</v>
      </c>
      <c r="H142" s="65">
        <f>IFERROR(__xludf.DUMMYFUNCTION("""COMPUTED_VALUE"""),0.0)</f>
        <v>0</v>
      </c>
      <c r="I142" s="65">
        <f>IFERROR(__xludf.DUMMYFUNCTION("""COMPUTED_VALUE"""),0.0)</f>
        <v>0</v>
      </c>
      <c r="J142" s="65">
        <f>IFERROR(__xludf.DUMMYFUNCTION("""COMPUTED_VALUE"""),0.0)</f>
        <v>0</v>
      </c>
      <c r="K142" s="65">
        <f>IFERROR(__xludf.DUMMYFUNCTION("""COMPUTED_VALUE"""),9.0)</f>
        <v>9</v>
      </c>
      <c r="L142" s="65">
        <f>IFERROR(__xludf.DUMMYFUNCTION("""COMPUTED_VALUE"""),0.0)</f>
        <v>0</v>
      </c>
      <c r="M142" s="65">
        <f>IFERROR(__xludf.DUMMYFUNCTION("""COMPUTED_VALUE"""),9.0)</f>
        <v>9</v>
      </c>
      <c r="N142" s="66">
        <f>IFERROR(__xludf.DUMMYFUNCTION("""COMPUTED_VALUE"""),0.0)</f>
        <v>0</v>
      </c>
    </row>
    <row r="143">
      <c r="A143" s="1"/>
      <c r="B143" s="62" t="str">
        <f>IFERROR(__xludf.DUMMYFUNCTION("""COMPUTED_VALUE"""),"Lloyd Sagar")</f>
        <v>Lloyd Sagar</v>
      </c>
      <c r="C143" s="73"/>
      <c r="D143" s="73"/>
      <c r="E143" s="63">
        <f>IFERROR(__xludf.DUMMYFUNCTION("""COMPUTED_VALUE"""),3.0)</f>
        <v>3</v>
      </c>
      <c r="F143" s="65">
        <f>IFERROR(__xludf.DUMMYFUNCTION("""COMPUTED_VALUE"""),0.0)</f>
        <v>0</v>
      </c>
      <c r="G143" s="65">
        <f>IFERROR(__xludf.DUMMYFUNCTION("""COMPUTED_VALUE"""),9.0)</f>
        <v>9</v>
      </c>
      <c r="H143" s="65">
        <f>IFERROR(__xludf.DUMMYFUNCTION("""COMPUTED_VALUE"""),0.0)</f>
        <v>0</v>
      </c>
      <c r="I143" s="65">
        <f>IFERROR(__xludf.DUMMYFUNCTION("""COMPUTED_VALUE"""),0.0)</f>
        <v>0</v>
      </c>
      <c r="J143" s="65">
        <f>IFERROR(__xludf.DUMMYFUNCTION("""COMPUTED_VALUE"""),0.0)</f>
        <v>0</v>
      </c>
      <c r="K143" s="65">
        <f>IFERROR(__xludf.DUMMYFUNCTION("""COMPUTED_VALUE"""),9.0)</f>
        <v>9</v>
      </c>
      <c r="L143" s="65">
        <f>IFERROR(__xludf.DUMMYFUNCTION("""COMPUTED_VALUE"""),0.0)</f>
        <v>0</v>
      </c>
      <c r="M143" s="65">
        <f>IFERROR(__xludf.DUMMYFUNCTION("""COMPUTED_VALUE"""),9.0)</f>
        <v>9</v>
      </c>
      <c r="N143" s="66">
        <f>IFERROR(__xludf.DUMMYFUNCTION("""COMPUTED_VALUE"""),0.0)</f>
        <v>0</v>
      </c>
    </row>
    <row r="144">
      <c r="A144" s="1"/>
      <c r="B144" s="62" t="str">
        <f>IFERROR(__xludf.DUMMYFUNCTION("""COMPUTED_VALUE"""),"Sai Dilip Ponnaganti")</f>
        <v>Sai Dilip Ponnaganti</v>
      </c>
      <c r="C144" s="73"/>
      <c r="D144" s="73"/>
      <c r="E144" s="63">
        <f>IFERROR(__xludf.DUMMYFUNCTION("""COMPUTED_VALUE"""),3.0)</f>
        <v>3</v>
      </c>
      <c r="F144" s="65">
        <f>IFERROR(__xludf.DUMMYFUNCTION("""COMPUTED_VALUE"""),0.0)</f>
        <v>0</v>
      </c>
      <c r="G144" s="65">
        <f>IFERROR(__xludf.DUMMYFUNCTION("""COMPUTED_VALUE"""),9.0)</f>
        <v>9</v>
      </c>
      <c r="H144" s="65">
        <f>IFERROR(__xludf.DUMMYFUNCTION("""COMPUTED_VALUE"""),0.0)</f>
        <v>0</v>
      </c>
      <c r="I144" s="65">
        <f>IFERROR(__xludf.DUMMYFUNCTION("""COMPUTED_VALUE"""),0.0)</f>
        <v>0</v>
      </c>
      <c r="J144" s="65">
        <f>IFERROR(__xludf.DUMMYFUNCTION("""COMPUTED_VALUE"""),0.0)</f>
        <v>0</v>
      </c>
      <c r="K144" s="65">
        <f>IFERROR(__xludf.DUMMYFUNCTION("""COMPUTED_VALUE"""),9.0)</f>
        <v>9</v>
      </c>
      <c r="L144" s="65">
        <f>IFERROR(__xludf.DUMMYFUNCTION("""COMPUTED_VALUE"""),0.0)</f>
        <v>0</v>
      </c>
      <c r="M144" s="65">
        <f>IFERROR(__xludf.DUMMYFUNCTION("""COMPUTED_VALUE"""),9.0)</f>
        <v>9</v>
      </c>
      <c r="N144" s="66">
        <f>IFERROR(__xludf.DUMMYFUNCTION("""COMPUTED_VALUE"""),0.0)</f>
        <v>0</v>
      </c>
    </row>
    <row r="145">
      <c r="A145" s="1"/>
      <c r="B145" s="62" t="str">
        <f>IFERROR(__xludf.DUMMYFUNCTION("""COMPUTED_VALUE"""),"Trinath Goteti")</f>
        <v>Trinath Goteti</v>
      </c>
      <c r="C145" s="73"/>
      <c r="D145" s="73"/>
      <c r="E145" s="63">
        <f>IFERROR(__xludf.DUMMYFUNCTION("""COMPUTED_VALUE"""),5.0)</f>
        <v>5</v>
      </c>
      <c r="F145" s="65">
        <f>IFERROR(__xludf.DUMMYFUNCTION("""COMPUTED_VALUE"""),0.0)</f>
        <v>0</v>
      </c>
      <c r="G145" s="65">
        <f>IFERROR(__xludf.DUMMYFUNCTION("""COMPUTED_VALUE"""),13.0)</f>
        <v>13</v>
      </c>
      <c r="H145" s="65">
        <f>IFERROR(__xludf.DUMMYFUNCTION("""COMPUTED_VALUE"""),0.0)</f>
        <v>0</v>
      </c>
      <c r="I145" s="65">
        <f>IFERROR(__xludf.DUMMYFUNCTION("""COMPUTED_VALUE"""),0.0)</f>
        <v>0</v>
      </c>
      <c r="J145" s="65">
        <f>IFERROR(__xludf.DUMMYFUNCTION("""COMPUTED_VALUE"""),0.0)</f>
        <v>0</v>
      </c>
      <c r="K145" s="65">
        <f>IFERROR(__xludf.DUMMYFUNCTION("""COMPUTED_VALUE"""),13.0)</f>
        <v>13</v>
      </c>
      <c r="L145" s="65">
        <f>IFERROR(__xludf.DUMMYFUNCTION("""COMPUTED_VALUE"""),0.0)</f>
        <v>0</v>
      </c>
      <c r="M145" s="65">
        <f>IFERROR(__xludf.DUMMYFUNCTION("""COMPUTED_VALUE"""),13.0)</f>
        <v>13</v>
      </c>
      <c r="N145" s="66">
        <f>IFERROR(__xludf.DUMMYFUNCTION("""COMPUTED_VALUE"""),0.0)</f>
        <v>0</v>
      </c>
    </row>
    <row r="146">
      <c r="A146" s="1"/>
      <c r="B146" s="62" t="str">
        <f>IFERROR(__xludf.DUMMYFUNCTION("""COMPUTED_VALUE"""),"Tom Le")</f>
        <v>Tom Le</v>
      </c>
      <c r="C146" s="73"/>
      <c r="D146" s="73"/>
      <c r="E146" s="63">
        <f>IFERROR(__xludf.DUMMYFUNCTION("""COMPUTED_VALUE"""),3.0)</f>
        <v>3</v>
      </c>
      <c r="F146" s="65">
        <f>IFERROR(__xludf.DUMMYFUNCTION("""COMPUTED_VALUE"""),0.0)</f>
        <v>0</v>
      </c>
      <c r="G146" s="65">
        <f>IFERROR(__xludf.DUMMYFUNCTION("""COMPUTED_VALUE"""),9.0)</f>
        <v>9</v>
      </c>
      <c r="H146" s="65">
        <f>IFERROR(__xludf.DUMMYFUNCTION("""COMPUTED_VALUE"""),0.0)</f>
        <v>0</v>
      </c>
      <c r="I146" s="65">
        <f>IFERROR(__xludf.DUMMYFUNCTION("""COMPUTED_VALUE"""),0.0)</f>
        <v>0</v>
      </c>
      <c r="J146" s="65">
        <f>IFERROR(__xludf.DUMMYFUNCTION("""COMPUTED_VALUE"""),0.0)</f>
        <v>0</v>
      </c>
      <c r="K146" s="65">
        <f>IFERROR(__xludf.DUMMYFUNCTION("""COMPUTED_VALUE"""),9.0)</f>
        <v>9</v>
      </c>
      <c r="L146" s="65">
        <f>IFERROR(__xludf.DUMMYFUNCTION("""COMPUTED_VALUE"""),0.0)</f>
        <v>0</v>
      </c>
      <c r="M146" s="65">
        <f>IFERROR(__xludf.DUMMYFUNCTION("""COMPUTED_VALUE"""),9.0)</f>
        <v>9</v>
      </c>
      <c r="N146" s="66">
        <f>IFERROR(__xludf.DUMMYFUNCTION("""COMPUTED_VALUE"""),0.0)</f>
        <v>0</v>
      </c>
    </row>
    <row r="147">
      <c r="A147" s="1"/>
      <c r="B147" s="62" t="str">
        <f>IFERROR(__xludf.DUMMYFUNCTION("""COMPUTED_VALUE"""),"Susanta Mishra")</f>
        <v>Susanta Mishra</v>
      </c>
      <c r="C147" s="73"/>
      <c r="D147" s="73"/>
      <c r="E147" s="63">
        <f>IFERROR(__xludf.DUMMYFUNCTION("""COMPUTED_VALUE"""),3.0)</f>
        <v>3</v>
      </c>
      <c r="F147" s="65">
        <f>IFERROR(__xludf.DUMMYFUNCTION("""COMPUTED_VALUE"""),0.0)</f>
        <v>0</v>
      </c>
      <c r="G147" s="65">
        <f>IFERROR(__xludf.DUMMYFUNCTION("""COMPUTED_VALUE"""),9.0)</f>
        <v>9</v>
      </c>
      <c r="H147" s="65">
        <f>IFERROR(__xludf.DUMMYFUNCTION("""COMPUTED_VALUE"""),0.0)</f>
        <v>0</v>
      </c>
      <c r="I147" s="65">
        <f>IFERROR(__xludf.DUMMYFUNCTION("""COMPUTED_VALUE"""),0.0)</f>
        <v>0</v>
      </c>
      <c r="J147" s="65">
        <f>IFERROR(__xludf.DUMMYFUNCTION("""COMPUTED_VALUE"""),0.0)</f>
        <v>0</v>
      </c>
      <c r="K147" s="65">
        <f>IFERROR(__xludf.DUMMYFUNCTION("""COMPUTED_VALUE"""),9.0)</f>
        <v>9</v>
      </c>
      <c r="L147" s="65">
        <f>IFERROR(__xludf.DUMMYFUNCTION("""COMPUTED_VALUE"""),0.0)</f>
        <v>0</v>
      </c>
      <c r="M147" s="65">
        <f>IFERROR(__xludf.DUMMYFUNCTION("""COMPUTED_VALUE"""),9.0)</f>
        <v>9</v>
      </c>
      <c r="N147" s="66">
        <f>IFERROR(__xludf.DUMMYFUNCTION("""COMPUTED_VALUE"""),0.0)</f>
        <v>0</v>
      </c>
    </row>
    <row r="148">
      <c r="A148" s="1"/>
      <c r="B148" s="62" t="str">
        <f>IFERROR(__xludf.DUMMYFUNCTION("""COMPUTED_VALUE"""),"Eric Pan")</f>
        <v>Eric Pan</v>
      </c>
      <c r="C148" s="73"/>
      <c r="D148" s="73"/>
      <c r="E148" s="63">
        <f>IFERROR(__xludf.DUMMYFUNCTION("""COMPUTED_VALUE"""),3.0)</f>
        <v>3</v>
      </c>
      <c r="F148" s="65">
        <f>IFERROR(__xludf.DUMMYFUNCTION("""COMPUTED_VALUE"""),0.0)</f>
        <v>0</v>
      </c>
      <c r="G148" s="65">
        <f>IFERROR(__xludf.DUMMYFUNCTION("""COMPUTED_VALUE"""),9.0)</f>
        <v>9</v>
      </c>
      <c r="H148" s="65">
        <f>IFERROR(__xludf.DUMMYFUNCTION("""COMPUTED_VALUE"""),0.0)</f>
        <v>0</v>
      </c>
      <c r="I148" s="65">
        <f>IFERROR(__xludf.DUMMYFUNCTION("""COMPUTED_VALUE"""),0.0)</f>
        <v>0</v>
      </c>
      <c r="J148" s="65">
        <f>IFERROR(__xludf.DUMMYFUNCTION("""COMPUTED_VALUE"""),0.0)</f>
        <v>0</v>
      </c>
      <c r="K148" s="65">
        <f>IFERROR(__xludf.DUMMYFUNCTION("""COMPUTED_VALUE"""),9.0)</f>
        <v>9</v>
      </c>
      <c r="L148" s="65">
        <f>IFERROR(__xludf.DUMMYFUNCTION("""COMPUTED_VALUE"""),0.0)</f>
        <v>0</v>
      </c>
      <c r="M148" s="65">
        <f>IFERROR(__xludf.DUMMYFUNCTION("""COMPUTED_VALUE"""),9.0)</f>
        <v>9</v>
      </c>
      <c r="N148" s="66">
        <f>IFERROR(__xludf.DUMMYFUNCTION("""COMPUTED_VALUE"""),0.0)</f>
        <v>0</v>
      </c>
    </row>
    <row r="149">
      <c r="A149" s="1"/>
      <c r="B149" s="62" t="str">
        <f>IFERROR(__xludf.DUMMYFUNCTION("""COMPUTED_VALUE"""),"Sanjaye Elayattu")</f>
        <v>Sanjaye Elayattu</v>
      </c>
      <c r="C149" s="73"/>
      <c r="D149" s="73"/>
      <c r="E149" s="63">
        <f>IFERROR(__xludf.DUMMYFUNCTION("""COMPUTED_VALUE"""),3.0)</f>
        <v>3</v>
      </c>
      <c r="F149" s="65">
        <f>IFERROR(__xludf.DUMMYFUNCTION("""COMPUTED_VALUE"""),0.0)</f>
        <v>0</v>
      </c>
      <c r="G149" s="65">
        <f>IFERROR(__xludf.DUMMYFUNCTION("""COMPUTED_VALUE"""),9.0)</f>
        <v>9</v>
      </c>
      <c r="H149" s="65">
        <f>IFERROR(__xludf.DUMMYFUNCTION("""COMPUTED_VALUE"""),0.0)</f>
        <v>0</v>
      </c>
      <c r="I149" s="65">
        <f>IFERROR(__xludf.DUMMYFUNCTION("""COMPUTED_VALUE"""),0.0)</f>
        <v>0</v>
      </c>
      <c r="J149" s="65">
        <f>IFERROR(__xludf.DUMMYFUNCTION("""COMPUTED_VALUE"""),0.0)</f>
        <v>0</v>
      </c>
      <c r="K149" s="65">
        <f>IFERROR(__xludf.DUMMYFUNCTION("""COMPUTED_VALUE"""),9.0)</f>
        <v>9</v>
      </c>
      <c r="L149" s="65">
        <f>IFERROR(__xludf.DUMMYFUNCTION("""COMPUTED_VALUE"""),0.0)</f>
        <v>0</v>
      </c>
      <c r="M149" s="65">
        <f>IFERROR(__xludf.DUMMYFUNCTION("""COMPUTED_VALUE"""),9.0)</f>
        <v>9</v>
      </c>
      <c r="N149" s="66">
        <f>IFERROR(__xludf.DUMMYFUNCTION("""COMPUTED_VALUE"""),0.0)</f>
        <v>0</v>
      </c>
    </row>
    <row r="150">
      <c r="A150" s="1"/>
      <c r="B150" s="62" t="str">
        <f>IFERROR(__xludf.DUMMYFUNCTION("""COMPUTED_VALUE"""),"Naveen Raj")</f>
        <v>Naveen Raj</v>
      </c>
      <c r="C150" s="73"/>
      <c r="D150" s="73"/>
      <c r="E150" s="63">
        <f>IFERROR(__xludf.DUMMYFUNCTION("""COMPUTED_VALUE"""),3.0)</f>
        <v>3</v>
      </c>
      <c r="F150" s="65">
        <f>IFERROR(__xludf.DUMMYFUNCTION("""COMPUTED_VALUE"""),0.0)</f>
        <v>0</v>
      </c>
      <c r="G150" s="65">
        <f>IFERROR(__xludf.DUMMYFUNCTION("""COMPUTED_VALUE"""),9.0)</f>
        <v>9</v>
      </c>
      <c r="H150" s="65">
        <f>IFERROR(__xludf.DUMMYFUNCTION("""COMPUTED_VALUE"""),0.0)</f>
        <v>0</v>
      </c>
      <c r="I150" s="65">
        <f>IFERROR(__xludf.DUMMYFUNCTION("""COMPUTED_VALUE"""),0.0)</f>
        <v>0</v>
      </c>
      <c r="J150" s="65">
        <f>IFERROR(__xludf.DUMMYFUNCTION("""COMPUTED_VALUE"""),0.0)</f>
        <v>0</v>
      </c>
      <c r="K150" s="65">
        <f>IFERROR(__xludf.DUMMYFUNCTION("""COMPUTED_VALUE"""),9.0)</f>
        <v>9</v>
      </c>
      <c r="L150" s="65">
        <f>IFERROR(__xludf.DUMMYFUNCTION("""COMPUTED_VALUE"""),0.0)</f>
        <v>0</v>
      </c>
      <c r="M150" s="65">
        <f>IFERROR(__xludf.DUMMYFUNCTION("""COMPUTED_VALUE"""),9.0)</f>
        <v>9</v>
      </c>
      <c r="N150" s="66">
        <f>IFERROR(__xludf.DUMMYFUNCTION("""COMPUTED_VALUE"""),0.0)</f>
        <v>0</v>
      </c>
    </row>
    <row r="151">
      <c r="A151" s="1"/>
      <c r="B151" s="62" t="str">
        <f>IFERROR(__xludf.DUMMYFUNCTION("""COMPUTED_VALUE"""),"Rosie Bonilla")</f>
        <v>Rosie Bonilla</v>
      </c>
      <c r="C151" s="73"/>
      <c r="D151" s="73"/>
      <c r="E151" s="63">
        <f>IFERROR(__xludf.DUMMYFUNCTION("""COMPUTED_VALUE"""),5.0)</f>
        <v>5</v>
      </c>
      <c r="F151" s="65">
        <f>IFERROR(__xludf.DUMMYFUNCTION("""COMPUTED_VALUE"""),0.0)</f>
        <v>0</v>
      </c>
      <c r="G151" s="65">
        <f>IFERROR(__xludf.DUMMYFUNCTION("""COMPUTED_VALUE"""),13.0)</f>
        <v>13</v>
      </c>
      <c r="H151" s="65">
        <f>IFERROR(__xludf.DUMMYFUNCTION("""COMPUTED_VALUE"""),0.0)</f>
        <v>0</v>
      </c>
      <c r="I151" s="65">
        <f>IFERROR(__xludf.DUMMYFUNCTION("""COMPUTED_VALUE"""),0.0)</f>
        <v>0</v>
      </c>
      <c r="J151" s="65">
        <f>IFERROR(__xludf.DUMMYFUNCTION("""COMPUTED_VALUE"""),0.0)</f>
        <v>0</v>
      </c>
      <c r="K151" s="65">
        <f>IFERROR(__xludf.DUMMYFUNCTION("""COMPUTED_VALUE"""),13.0)</f>
        <v>13</v>
      </c>
      <c r="L151" s="65">
        <f>IFERROR(__xludf.DUMMYFUNCTION("""COMPUTED_VALUE"""),0.0)</f>
        <v>0</v>
      </c>
      <c r="M151" s="65">
        <f>IFERROR(__xludf.DUMMYFUNCTION("""COMPUTED_VALUE"""),13.0)</f>
        <v>13</v>
      </c>
      <c r="N151" s="66">
        <f>IFERROR(__xludf.DUMMYFUNCTION("""COMPUTED_VALUE"""),0.0)</f>
        <v>0</v>
      </c>
    </row>
    <row r="152">
      <c r="A152" s="1"/>
      <c r="B152" s="62" t="str">
        <f>IFERROR(__xludf.DUMMYFUNCTION("""COMPUTED_VALUE"""),"Sandy Weyant")</f>
        <v>Sandy Weyant</v>
      </c>
      <c r="C152" s="73"/>
      <c r="D152" s="73"/>
      <c r="E152" s="63">
        <f>IFERROR(__xludf.DUMMYFUNCTION("""COMPUTED_VALUE"""),3.0)</f>
        <v>3</v>
      </c>
      <c r="F152" s="65">
        <f>IFERROR(__xludf.DUMMYFUNCTION("""COMPUTED_VALUE"""),0.0)</f>
        <v>0</v>
      </c>
      <c r="G152" s="65">
        <f>IFERROR(__xludf.DUMMYFUNCTION("""COMPUTED_VALUE"""),9.0)</f>
        <v>9</v>
      </c>
      <c r="H152" s="65">
        <f>IFERROR(__xludf.DUMMYFUNCTION("""COMPUTED_VALUE"""),0.0)</f>
        <v>0</v>
      </c>
      <c r="I152" s="65">
        <f>IFERROR(__xludf.DUMMYFUNCTION("""COMPUTED_VALUE"""),0.0)</f>
        <v>0</v>
      </c>
      <c r="J152" s="65">
        <f>IFERROR(__xludf.DUMMYFUNCTION("""COMPUTED_VALUE"""),0.0)</f>
        <v>0</v>
      </c>
      <c r="K152" s="65">
        <f>IFERROR(__xludf.DUMMYFUNCTION("""COMPUTED_VALUE"""),9.0)</f>
        <v>9</v>
      </c>
      <c r="L152" s="65">
        <f>IFERROR(__xludf.DUMMYFUNCTION("""COMPUTED_VALUE"""),0.0)</f>
        <v>0</v>
      </c>
      <c r="M152" s="65">
        <f>IFERROR(__xludf.DUMMYFUNCTION("""COMPUTED_VALUE"""),9.0)</f>
        <v>9</v>
      </c>
      <c r="N152" s="66">
        <f>IFERROR(__xludf.DUMMYFUNCTION("""COMPUTED_VALUE"""),0.0)</f>
        <v>0</v>
      </c>
    </row>
    <row r="153">
      <c r="A153" s="1"/>
      <c r="B153" s="62" t="str">
        <f>IFERROR(__xludf.DUMMYFUNCTION("""COMPUTED_VALUE"""),"Andrew Chin")</f>
        <v>Andrew Chin</v>
      </c>
      <c r="C153" s="73"/>
      <c r="D153" s="73"/>
      <c r="E153" s="63">
        <f>IFERROR(__xludf.DUMMYFUNCTION("""COMPUTED_VALUE"""),3.0)</f>
        <v>3</v>
      </c>
      <c r="F153" s="65">
        <f>IFERROR(__xludf.DUMMYFUNCTION("""COMPUTED_VALUE"""),0.0)</f>
        <v>0</v>
      </c>
      <c r="G153" s="65">
        <f>IFERROR(__xludf.DUMMYFUNCTION("""COMPUTED_VALUE"""),9.0)</f>
        <v>9</v>
      </c>
      <c r="H153" s="65">
        <f>IFERROR(__xludf.DUMMYFUNCTION("""COMPUTED_VALUE"""),0.0)</f>
        <v>0</v>
      </c>
      <c r="I153" s="65">
        <f>IFERROR(__xludf.DUMMYFUNCTION("""COMPUTED_VALUE"""),0.0)</f>
        <v>0</v>
      </c>
      <c r="J153" s="65">
        <f>IFERROR(__xludf.DUMMYFUNCTION("""COMPUTED_VALUE"""),0.0)</f>
        <v>0</v>
      </c>
      <c r="K153" s="65">
        <f>IFERROR(__xludf.DUMMYFUNCTION("""COMPUTED_VALUE"""),9.0)</f>
        <v>9</v>
      </c>
      <c r="L153" s="65">
        <f>IFERROR(__xludf.DUMMYFUNCTION("""COMPUTED_VALUE"""),0.0)</f>
        <v>0</v>
      </c>
      <c r="M153" s="65">
        <f>IFERROR(__xludf.DUMMYFUNCTION("""COMPUTED_VALUE"""),9.0)</f>
        <v>9</v>
      </c>
      <c r="N153" s="66">
        <f>IFERROR(__xludf.DUMMYFUNCTION("""COMPUTED_VALUE"""),0.0)</f>
        <v>0</v>
      </c>
    </row>
    <row r="154">
      <c r="A154" s="1"/>
      <c r="B154" s="62" t="str">
        <f>IFERROR(__xludf.DUMMYFUNCTION("""COMPUTED_VALUE"""),"Vinot Kumar Nagappan")</f>
        <v>Vinot Kumar Nagappan</v>
      </c>
      <c r="C154" s="73"/>
      <c r="D154" s="73"/>
      <c r="E154" s="63">
        <f>IFERROR(__xludf.DUMMYFUNCTION("""COMPUTED_VALUE"""),3.0)</f>
        <v>3</v>
      </c>
      <c r="F154" s="65">
        <f>IFERROR(__xludf.DUMMYFUNCTION("""COMPUTED_VALUE"""),0.0)</f>
        <v>0</v>
      </c>
      <c r="G154" s="65">
        <f>IFERROR(__xludf.DUMMYFUNCTION("""COMPUTED_VALUE"""),9.0)</f>
        <v>9</v>
      </c>
      <c r="H154" s="65">
        <f>IFERROR(__xludf.DUMMYFUNCTION("""COMPUTED_VALUE"""),0.0)</f>
        <v>0</v>
      </c>
      <c r="I154" s="65">
        <f>IFERROR(__xludf.DUMMYFUNCTION("""COMPUTED_VALUE"""),0.0)</f>
        <v>0</v>
      </c>
      <c r="J154" s="65">
        <f>IFERROR(__xludf.DUMMYFUNCTION("""COMPUTED_VALUE"""),0.0)</f>
        <v>0</v>
      </c>
      <c r="K154" s="65">
        <f>IFERROR(__xludf.DUMMYFUNCTION("""COMPUTED_VALUE"""),9.0)</f>
        <v>9</v>
      </c>
      <c r="L154" s="65">
        <f>IFERROR(__xludf.DUMMYFUNCTION("""COMPUTED_VALUE"""),0.0)</f>
        <v>0</v>
      </c>
      <c r="M154" s="65">
        <f>IFERROR(__xludf.DUMMYFUNCTION("""COMPUTED_VALUE"""),9.0)</f>
        <v>9</v>
      </c>
      <c r="N154" s="66">
        <f>IFERROR(__xludf.DUMMYFUNCTION("""COMPUTED_VALUE"""),0.0)</f>
        <v>0</v>
      </c>
    </row>
    <row r="155">
      <c r="A155" s="1"/>
      <c r="B155" s="62" t="str">
        <f>IFERROR(__xludf.DUMMYFUNCTION("""COMPUTED_VALUE"""),"Nohely Mejia")</f>
        <v>Nohely Mejia</v>
      </c>
      <c r="C155" s="73"/>
      <c r="D155" s="73"/>
      <c r="E155" s="63">
        <f>IFERROR(__xludf.DUMMYFUNCTION("""COMPUTED_VALUE"""),5.0)</f>
        <v>5</v>
      </c>
      <c r="F155" s="65">
        <f>IFERROR(__xludf.DUMMYFUNCTION("""COMPUTED_VALUE"""),0.0)</f>
        <v>0</v>
      </c>
      <c r="G155" s="65">
        <f>IFERROR(__xludf.DUMMYFUNCTION("""COMPUTED_VALUE"""),13.0)</f>
        <v>13</v>
      </c>
      <c r="H155" s="65">
        <f>IFERROR(__xludf.DUMMYFUNCTION("""COMPUTED_VALUE"""),0.0)</f>
        <v>0</v>
      </c>
      <c r="I155" s="65">
        <f>IFERROR(__xludf.DUMMYFUNCTION("""COMPUTED_VALUE"""),0.0)</f>
        <v>0</v>
      </c>
      <c r="J155" s="65">
        <f>IFERROR(__xludf.DUMMYFUNCTION("""COMPUTED_VALUE"""),0.0)</f>
        <v>0</v>
      </c>
      <c r="K155" s="65">
        <f>IFERROR(__xludf.DUMMYFUNCTION("""COMPUTED_VALUE"""),13.0)</f>
        <v>13</v>
      </c>
      <c r="L155" s="65">
        <f>IFERROR(__xludf.DUMMYFUNCTION("""COMPUTED_VALUE"""),0.0)</f>
        <v>0</v>
      </c>
      <c r="M155" s="65">
        <f>IFERROR(__xludf.DUMMYFUNCTION("""COMPUTED_VALUE"""),13.0)</f>
        <v>13</v>
      </c>
      <c r="N155" s="66">
        <f>IFERROR(__xludf.DUMMYFUNCTION("""COMPUTED_VALUE"""),0.0)</f>
        <v>0</v>
      </c>
    </row>
    <row r="156">
      <c r="A156" s="1"/>
      <c r="B156" s="62" t="str">
        <f>IFERROR(__xludf.DUMMYFUNCTION("""COMPUTED_VALUE"""),"Luis Hsu")</f>
        <v>Luis Hsu</v>
      </c>
      <c r="C156" s="73"/>
      <c r="D156" s="73"/>
      <c r="E156" s="63">
        <f>IFERROR(__xludf.DUMMYFUNCTION("""COMPUTED_VALUE"""),3.0)</f>
        <v>3</v>
      </c>
      <c r="F156" s="65">
        <f>IFERROR(__xludf.DUMMYFUNCTION("""COMPUTED_VALUE"""),0.0)</f>
        <v>0</v>
      </c>
      <c r="G156" s="65">
        <f>IFERROR(__xludf.DUMMYFUNCTION("""COMPUTED_VALUE"""),9.0)</f>
        <v>9</v>
      </c>
      <c r="H156" s="65">
        <f>IFERROR(__xludf.DUMMYFUNCTION("""COMPUTED_VALUE"""),0.0)</f>
        <v>0</v>
      </c>
      <c r="I156" s="65">
        <f>IFERROR(__xludf.DUMMYFUNCTION("""COMPUTED_VALUE"""),0.0)</f>
        <v>0</v>
      </c>
      <c r="J156" s="65">
        <f>IFERROR(__xludf.DUMMYFUNCTION("""COMPUTED_VALUE"""),0.0)</f>
        <v>0</v>
      </c>
      <c r="K156" s="65">
        <f>IFERROR(__xludf.DUMMYFUNCTION("""COMPUTED_VALUE"""),9.0)</f>
        <v>9</v>
      </c>
      <c r="L156" s="65">
        <f>IFERROR(__xludf.DUMMYFUNCTION("""COMPUTED_VALUE"""),0.0)</f>
        <v>0</v>
      </c>
      <c r="M156" s="65">
        <f>IFERROR(__xludf.DUMMYFUNCTION("""COMPUTED_VALUE"""),9.0)</f>
        <v>9</v>
      </c>
      <c r="N156" s="66">
        <f>IFERROR(__xludf.DUMMYFUNCTION("""COMPUTED_VALUE"""),0.0)</f>
        <v>0</v>
      </c>
    </row>
    <row r="157">
      <c r="A157" s="1"/>
      <c r="B157" s="62" t="str">
        <f>IFERROR(__xludf.DUMMYFUNCTION("""COMPUTED_VALUE"""),"Santosh Sundaresan ")</f>
        <v>Santosh Sundaresan </v>
      </c>
      <c r="C157" s="73"/>
      <c r="D157" s="73"/>
      <c r="E157" s="63">
        <f>IFERROR(__xludf.DUMMYFUNCTION("""COMPUTED_VALUE"""),5.0)</f>
        <v>5</v>
      </c>
      <c r="F157" s="65">
        <f>IFERROR(__xludf.DUMMYFUNCTION("""COMPUTED_VALUE"""),0.0)</f>
        <v>0</v>
      </c>
      <c r="G157" s="65">
        <f>IFERROR(__xludf.DUMMYFUNCTION("""COMPUTED_VALUE"""),13.0)</f>
        <v>13</v>
      </c>
      <c r="H157" s="65">
        <f>IFERROR(__xludf.DUMMYFUNCTION("""COMPUTED_VALUE"""),0.0)</f>
        <v>0</v>
      </c>
      <c r="I157" s="65">
        <f>IFERROR(__xludf.DUMMYFUNCTION("""COMPUTED_VALUE"""),0.0)</f>
        <v>0</v>
      </c>
      <c r="J157" s="65">
        <f>IFERROR(__xludf.DUMMYFUNCTION("""COMPUTED_VALUE"""),0.0)</f>
        <v>0</v>
      </c>
      <c r="K157" s="65">
        <f>IFERROR(__xludf.DUMMYFUNCTION("""COMPUTED_VALUE"""),13.0)</f>
        <v>13</v>
      </c>
      <c r="L157" s="65">
        <f>IFERROR(__xludf.DUMMYFUNCTION("""COMPUTED_VALUE"""),0.0)</f>
        <v>0</v>
      </c>
      <c r="M157" s="65">
        <f>IFERROR(__xludf.DUMMYFUNCTION("""COMPUTED_VALUE"""),13.0)</f>
        <v>13</v>
      </c>
      <c r="N157" s="66">
        <f>IFERROR(__xludf.DUMMYFUNCTION("""COMPUTED_VALUE"""),0.0)</f>
        <v>0</v>
      </c>
    </row>
    <row r="158">
      <c r="A158" s="1"/>
      <c r="B158" s="62" t="str">
        <f>IFERROR(__xludf.DUMMYFUNCTION("""COMPUTED_VALUE"""),"Vilas Janardhanan")</f>
        <v>Vilas Janardhanan</v>
      </c>
      <c r="C158" s="73"/>
      <c r="D158" s="73"/>
      <c r="E158" s="63">
        <f>IFERROR(__xludf.DUMMYFUNCTION("""COMPUTED_VALUE"""),3.0)</f>
        <v>3</v>
      </c>
      <c r="F158" s="65">
        <f>IFERROR(__xludf.DUMMYFUNCTION("""COMPUTED_VALUE"""),0.0)</f>
        <v>0</v>
      </c>
      <c r="G158" s="65">
        <f>IFERROR(__xludf.DUMMYFUNCTION("""COMPUTED_VALUE"""),9.0)</f>
        <v>9</v>
      </c>
      <c r="H158" s="65">
        <f>IFERROR(__xludf.DUMMYFUNCTION("""COMPUTED_VALUE"""),0.0)</f>
        <v>0</v>
      </c>
      <c r="I158" s="65">
        <f>IFERROR(__xludf.DUMMYFUNCTION("""COMPUTED_VALUE"""),0.0)</f>
        <v>0</v>
      </c>
      <c r="J158" s="65">
        <f>IFERROR(__xludf.DUMMYFUNCTION("""COMPUTED_VALUE"""),0.0)</f>
        <v>0</v>
      </c>
      <c r="K158" s="65">
        <f>IFERROR(__xludf.DUMMYFUNCTION("""COMPUTED_VALUE"""),9.0)</f>
        <v>9</v>
      </c>
      <c r="L158" s="65">
        <f>IFERROR(__xludf.DUMMYFUNCTION("""COMPUTED_VALUE"""),0.0)</f>
        <v>0</v>
      </c>
      <c r="M158" s="65">
        <f>IFERROR(__xludf.DUMMYFUNCTION("""COMPUTED_VALUE"""),9.0)</f>
        <v>9</v>
      </c>
      <c r="N158" s="66">
        <f>IFERROR(__xludf.DUMMYFUNCTION("""COMPUTED_VALUE"""),0.0)</f>
        <v>0</v>
      </c>
    </row>
    <row r="159">
      <c r="A159" s="1"/>
      <c r="B159" s="62" t="str">
        <f>IFERROR(__xludf.DUMMYFUNCTION("""COMPUTED_VALUE"""),"Amit Patel")</f>
        <v>Amit Patel</v>
      </c>
      <c r="C159" s="73"/>
      <c r="D159" s="73"/>
      <c r="E159" s="63">
        <f>IFERROR(__xludf.DUMMYFUNCTION("""COMPUTED_VALUE"""),3.0)</f>
        <v>3</v>
      </c>
      <c r="F159" s="65">
        <f>IFERROR(__xludf.DUMMYFUNCTION("""COMPUTED_VALUE"""),0.0)</f>
        <v>0</v>
      </c>
      <c r="G159" s="65">
        <f>IFERROR(__xludf.DUMMYFUNCTION("""COMPUTED_VALUE"""),9.0)</f>
        <v>9</v>
      </c>
      <c r="H159" s="65">
        <f>IFERROR(__xludf.DUMMYFUNCTION("""COMPUTED_VALUE"""),0.0)</f>
        <v>0</v>
      </c>
      <c r="I159" s="65">
        <f>IFERROR(__xludf.DUMMYFUNCTION("""COMPUTED_VALUE"""),0.0)</f>
        <v>0</v>
      </c>
      <c r="J159" s="65">
        <f>IFERROR(__xludf.DUMMYFUNCTION("""COMPUTED_VALUE"""),0.0)</f>
        <v>0</v>
      </c>
      <c r="K159" s="65">
        <f>IFERROR(__xludf.DUMMYFUNCTION("""COMPUTED_VALUE"""),9.0)</f>
        <v>9</v>
      </c>
      <c r="L159" s="65">
        <f>IFERROR(__xludf.DUMMYFUNCTION("""COMPUTED_VALUE"""),0.0)</f>
        <v>0</v>
      </c>
      <c r="M159" s="65">
        <f>IFERROR(__xludf.DUMMYFUNCTION("""COMPUTED_VALUE"""),9.0)</f>
        <v>9</v>
      </c>
      <c r="N159" s="66">
        <f>IFERROR(__xludf.DUMMYFUNCTION("""COMPUTED_VALUE"""),0.0)</f>
        <v>0</v>
      </c>
    </row>
    <row r="160">
      <c r="A160" s="1"/>
      <c r="B160" s="62" t="str">
        <f>IFERROR(__xludf.DUMMYFUNCTION("""COMPUTED_VALUE"""),"Savay Lieu")</f>
        <v>Savay Lieu</v>
      </c>
      <c r="C160" s="73"/>
      <c r="D160" s="73"/>
      <c r="E160" s="63">
        <f>IFERROR(__xludf.DUMMYFUNCTION("""COMPUTED_VALUE"""),3.0)</f>
        <v>3</v>
      </c>
      <c r="F160" s="65">
        <f>IFERROR(__xludf.DUMMYFUNCTION("""COMPUTED_VALUE"""),0.0)</f>
        <v>0</v>
      </c>
      <c r="G160" s="65">
        <f>IFERROR(__xludf.DUMMYFUNCTION("""COMPUTED_VALUE"""),9.0)</f>
        <v>9</v>
      </c>
      <c r="H160" s="65">
        <f>IFERROR(__xludf.DUMMYFUNCTION("""COMPUTED_VALUE"""),0.0)</f>
        <v>0</v>
      </c>
      <c r="I160" s="65">
        <f>IFERROR(__xludf.DUMMYFUNCTION("""COMPUTED_VALUE"""),0.0)</f>
        <v>0</v>
      </c>
      <c r="J160" s="65">
        <f>IFERROR(__xludf.DUMMYFUNCTION("""COMPUTED_VALUE"""),0.0)</f>
        <v>0</v>
      </c>
      <c r="K160" s="65">
        <f>IFERROR(__xludf.DUMMYFUNCTION("""COMPUTED_VALUE"""),9.0)</f>
        <v>9</v>
      </c>
      <c r="L160" s="65">
        <f>IFERROR(__xludf.DUMMYFUNCTION("""COMPUTED_VALUE"""),0.0)</f>
        <v>0</v>
      </c>
      <c r="M160" s="65">
        <f>IFERROR(__xludf.DUMMYFUNCTION("""COMPUTED_VALUE"""),9.0)</f>
        <v>9</v>
      </c>
      <c r="N160" s="66">
        <f>IFERROR(__xludf.DUMMYFUNCTION("""COMPUTED_VALUE"""),0.0)</f>
        <v>0</v>
      </c>
    </row>
    <row r="161">
      <c r="A161" s="1"/>
      <c r="B161" s="62" t="str">
        <f>IFERROR(__xludf.DUMMYFUNCTION("""COMPUTED_VALUE"""),"Manish Anand")</f>
        <v>Manish Anand</v>
      </c>
      <c r="C161" s="73"/>
      <c r="D161" s="73"/>
      <c r="E161" s="63">
        <f>IFERROR(__xludf.DUMMYFUNCTION("""COMPUTED_VALUE"""),3.0)</f>
        <v>3</v>
      </c>
      <c r="F161" s="65">
        <f>IFERROR(__xludf.DUMMYFUNCTION("""COMPUTED_VALUE"""),0.0)</f>
        <v>0</v>
      </c>
      <c r="G161" s="65">
        <f>IFERROR(__xludf.DUMMYFUNCTION("""COMPUTED_VALUE"""),9.0)</f>
        <v>9</v>
      </c>
      <c r="H161" s="65">
        <f>IFERROR(__xludf.DUMMYFUNCTION("""COMPUTED_VALUE"""),0.0)</f>
        <v>0</v>
      </c>
      <c r="I161" s="65">
        <f>IFERROR(__xludf.DUMMYFUNCTION("""COMPUTED_VALUE"""),0.0)</f>
        <v>0</v>
      </c>
      <c r="J161" s="65">
        <f>IFERROR(__xludf.DUMMYFUNCTION("""COMPUTED_VALUE"""),0.0)</f>
        <v>0</v>
      </c>
      <c r="K161" s="65">
        <f>IFERROR(__xludf.DUMMYFUNCTION("""COMPUTED_VALUE"""),9.0)</f>
        <v>9</v>
      </c>
      <c r="L161" s="65">
        <f>IFERROR(__xludf.DUMMYFUNCTION("""COMPUTED_VALUE"""),0.0)</f>
        <v>0</v>
      </c>
      <c r="M161" s="65">
        <f>IFERROR(__xludf.DUMMYFUNCTION("""COMPUTED_VALUE"""),9.0)</f>
        <v>9</v>
      </c>
      <c r="N161" s="66">
        <f>IFERROR(__xludf.DUMMYFUNCTION("""COMPUTED_VALUE"""),0.0)</f>
        <v>0</v>
      </c>
    </row>
    <row r="162">
      <c r="A162" s="1"/>
      <c r="B162" s="62" t="str">
        <f>IFERROR(__xludf.DUMMYFUNCTION("""COMPUTED_VALUE"""),"Tiffany Yu")</f>
        <v>Tiffany Yu</v>
      </c>
      <c r="C162" s="73"/>
      <c r="D162" s="73"/>
      <c r="E162" s="63">
        <f>IFERROR(__xludf.DUMMYFUNCTION("""COMPUTED_VALUE"""),3.0)</f>
        <v>3</v>
      </c>
      <c r="F162" s="65">
        <f>IFERROR(__xludf.DUMMYFUNCTION("""COMPUTED_VALUE"""),0.0)</f>
        <v>0</v>
      </c>
      <c r="G162" s="65">
        <f>IFERROR(__xludf.DUMMYFUNCTION("""COMPUTED_VALUE"""),9.0)</f>
        <v>9</v>
      </c>
      <c r="H162" s="65">
        <f>IFERROR(__xludf.DUMMYFUNCTION("""COMPUTED_VALUE"""),0.0)</f>
        <v>0</v>
      </c>
      <c r="I162" s="65">
        <f>IFERROR(__xludf.DUMMYFUNCTION("""COMPUTED_VALUE"""),0.0)</f>
        <v>0</v>
      </c>
      <c r="J162" s="65">
        <f>IFERROR(__xludf.DUMMYFUNCTION("""COMPUTED_VALUE"""),0.0)</f>
        <v>0</v>
      </c>
      <c r="K162" s="65">
        <f>IFERROR(__xludf.DUMMYFUNCTION("""COMPUTED_VALUE"""),9.0)</f>
        <v>9</v>
      </c>
      <c r="L162" s="65">
        <f>IFERROR(__xludf.DUMMYFUNCTION("""COMPUTED_VALUE"""),0.0)</f>
        <v>0</v>
      </c>
      <c r="M162" s="65">
        <f>IFERROR(__xludf.DUMMYFUNCTION("""COMPUTED_VALUE"""),9.0)</f>
        <v>9</v>
      </c>
      <c r="N162" s="66">
        <f>IFERROR(__xludf.DUMMYFUNCTION("""COMPUTED_VALUE"""),0.0)</f>
        <v>0</v>
      </c>
    </row>
    <row r="163">
      <c r="A163" s="1"/>
      <c r="B163" s="62" t="str">
        <f>IFERROR(__xludf.DUMMYFUNCTION("""COMPUTED_VALUE"""),"Jose Ortiz")</f>
        <v>Jose Ortiz</v>
      </c>
      <c r="C163" s="73"/>
      <c r="D163" s="73"/>
      <c r="E163" s="63">
        <f>IFERROR(__xludf.DUMMYFUNCTION("""COMPUTED_VALUE"""),3.0)</f>
        <v>3</v>
      </c>
      <c r="F163" s="65">
        <f>IFERROR(__xludf.DUMMYFUNCTION("""COMPUTED_VALUE"""),0.0)</f>
        <v>0</v>
      </c>
      <c r="G163" s="65">
        <f>IFERROR(__xludf.DUMMYFUNCTION("""COMPUTED_VALUE"""),9.0)</f>
        <v>9</v>
      </c>
      <c r="H163" s="65">
        <f>IFERROR(__xludf.DUMMYFUNCTION("""COMPUTED_VALUE"""),0.0)</f>
        <v>0</v>
      </c>
      <c r="I163" s="65">
        <f>IFERROR(__xludf.DUMMYFUNCTION("""COMPUTED_VALUE"""),0.0)</f>
        <v>0</v>
      </c>
      <c r="J163" s="65">
        <f>IFERROR(__xludf.DUMMYFUNCTION("""COMPUTED_VALUE"""),0.0)</f>
        <v>0</v>
      </c>
      <c r="K163" s="65">
        <f>IFERROR(__xludf.DUMMYFUNCTION("""COMPUTED_VALUE"""),9.0)</f>
        <v>9</v>
      </c>
      <c r="L163" s="65">
        <f>IFERROR(__xludf.DUMMYFUNCTION("""COMPUTED_VALUE"""),0.0)</f>
        <v>0</v>
      </c>
      <c r="M163" s="65">
        <f>IFERROR(__xludf.DUMMYFUNCTION("""COMPUTED_VALUE"""),9.0)</f>
        <v>9</v>
      </c>
      <c r="N163" s="66">
        <f>IFERROR(__xludf.DUMMYFUNCTION("""COMPUTED_VALUE"""),0.0)</f>
        <v>0</v>
      </c>
    </row>
    <row r="164">
      <c r="A164" s="1"/>
      <c r="B164" s="62" t="str">
        <f>IFERROR(__xludf.DUMMYFUNCTION("""COMPUTED_VALUE"""),"Ramesh Bandaru")</f>
        <v>Ramesh Bandaru</v>
      </c>
      <c r="C164" s="73"/>
      <c r="D164" s="73"/>
      <c r="E164" s="63">
        <f>IFERROR(__xludf.DUMMYFUNCTION("""COMPUTED_VALUE"""),3.0)</f>
        <v>3</v>
      </c>
      <c r="F164" s="65">
        <f>IFERROR(__xludf.DUMMYFUNCTION("""COMPUTED_VALUE"""),0.0)</f>
        <v>0</v>
      </c>
      <c r="G164" s="65">
        <f>IFERROR(__xludf.DUMMYFUNCTION("""COMPUTED_VALUE"""),9.0)</f>
        <v>9</v>
      </c>
      <c r="H164" s="65">
        <f>IFERROR(__xludf.DUMMYFUNCTION("""COMPUTED_VALUE"""),0.0)</f>
        <v>0</v>
      </c>
      <c r="I164" s="65">
        <f>IFERROR(__xludf.DUMMYFUNCTION("""COMPUTED_VALUE"""),0.0)</f>
        <v>0</v>
      </c>
      <c r="J164" s="65">
        <f>IFERROR(__xludf.DUMMYFUNCTION("""COMPUTED_VALUE"""),0.0)</f>
        <v>0</v>
      </c>
      <c r="K164" s="65">
        <f>IFERROR(__xludf.DUMMYFUNCTION("""COMPUTED_VALUE"""),9.0)</f>
        <v>9</v>
      </c>
      <c r="L164" s="65">
        <f>IFERROR(__xludf.DUMMYFUNCTION("""COMPUTED_VALUE"""),0.0)</f>
        <v>0</v>
      </c>
      <c r="M164" s="65">
        <f>IFERROR(__xludf.DUMMYFUNCTION("""COMPUTED_VALUE"""),9.0)</f>
        <v>9</v>
      </c>
      <c r="N164" s="66">
        <f>IFERROR(__xludf.DUMMYFUNCTION("""COMPUTED_VALUE"""),0.0)</f>
        <v>0</v>
      </c>
    </row>
    <row r="165">
      <c r="A165" s="1"/>
      <c r="B165" s="62" t="str">
        <f>IFERROR(__xludf.DUMMYFUNCTION("""COMPUTED_VALUE"""),"Chandrasekar Chinnathambi")</f>
        <v>Chandrasekar Chinnathambi</v>
      </c>
      <c r="C165" s="73"/>
      <c r="D165" s="73"/>
      <c r="E165" s="63">
        <f>IFERROR(__xludf.DUMMYFUNCTION("""COMPUTED_VALUE"""),3.0)</f>
        <v>3</v>
      </c>
      <c r="F165" s="65">
        <f>IFERROR(__xludf.DUMMYFUNCTION("""COMPUTED_VALUE"""),0.0)</f>
        <v>0</v>
      </c>
      <c r="G165" s="65">
        <f>IFERROR(__xludf.DUMMYFUNCTION("""COMPUTED_VALUE"""),9.0)</f>
        <v>9</v>
      </c>
      <c r="H165" s="65">
        <f>IFERROR(__xludf.DUMMYFUNCTION("""COMPUTED_VALUE"""),0.0)</f>
        <v>0</v>
      </c>
      <c r="I165" s="65">
        <f>IFERROR(__xludf.DUMMYFUNCTION("""COMPUTED_VALUE"""),0.0)</f>
        <v>0</v>
      </c>
      <c r="J165" s="65">
        <f>IFERROR(__xludf.DUMMYFUNCTION("""COMPUTED_VALUE"""),0.0)</f>
        <v>0</v>
      </c>
      <c r="K165" s="65">
        <f>IFERROR(__xludf.DUMMYFUNCTION("""COMPUTED_VALUE"""),9.0)</f>
        <v>9</v>
      </c>
      <c r="L165" s="65">
        <f>IFERROR(__xludf.DUMMYFUNCTION("""COMPUTED_VALUE"""),0.0)</f>
        <v>0</v>
      </c>
      <c r="M165" s="65">
        <f>IFERROR(__xludf.DUMMYFUNCTION("""COMPUTED_VALUE"""),9.0)</f>
        <v>9</v>
      </c>
      <c r="N165" s="66">
        <f>IFERROR(__xludf.DUMMYFUNCTION("""COMPUTED_VALUE"""),0.0)</f>
        <v>0</v>
      </c>
    </row>
    <row r="166">
      <c r="A166" s="1"/>
      <c r="B166" s="62" t="str">
        <f>IFERROR(__xludf.DUMMYFUNCTION("""COMPUTED_VALUE"""),"Eric Tan")</f>
        <v>Eric Tan</v>
      </c>
      <c r="C166" s="63"/>
      <c r="D166" s="64"/>
      <c r="E166" s="63">
        <f>IFERROR(__xludf.DUMMYFUNCTION("""COMPUTED_VALUE"""),3.0)</f>
        <v>3</v>
      </c>
      <c r="F166" s="65">
        <f>IFERROR(__xludf.DUMMYFUNCTION("""COMPUTED_VALUE"""),0.0)</f>
        <v>0</v>
      </c>
      <c r="G166" s="65">
        <f>IFERROR(__xludf.DUMMYFUNCTION("""COMPUTED_VALUE"""),9.0)</f>
        <v>9</v>
      </c>
      <c r="H166" s="65">
        <f>IFERROR(__xludf.DUMMYFUNCTION("""COMPUTED_VALUE"""),0.0)</f>
        <v>0</v>
      </c>
      <c r="I166" s="65">
        <f>IFERROR(__xludf.DUMMYFUNCTION("""COMPUTED_VALUE"""),0.0)</f>
        <v>0</v>
      </c>
      <c r="J166" s="65">
        <f>IFERROR(__xludf.DUMMYFUNCTION("""COMPUTED_VALUE"""),0.0)</f>
        <v>0</v>
      </c>
      <c r="K166" s="65">
        <f>IFERROR(__xludf.DUMMYFUNCTION("""COMPUTED_VALUE"""),9.0)</f>
        <v>9</v>
      </c>
      <c r="L166" s="65">
        <f>IFERROR(__xludf.DUMMYFUNCTION("""COMPUTED_VALUE"""),0.0)</f>
        <v>0</v>
      </c>
      <c r="M166" s="65">
        <f>IFERROR(__xludf.DUMMYFUNCTION("""COMPUTED_VALUE"""),9.0)</f>
        <v>9</v>
      </c>
      <c r="N166" s="66">
        <f>IFERROR(__xludf.DUMMYFUNCTION("""COMPUTED_VALUE"""),0.0)</f>
        <v>0</v>
      </c>
    </row>
    <row r="167">
      <c r="A167" s="1"/>
      <c r="B167" s="62" t="str">
        <f>IFERROR(__xludf.DUMMYFUNCTION("""COMPUTED_VALUE"""),"Marcus Yovas")</f>
        <v>Marcus Yovas</v>
      </c>
      <c r="C167" s="63"/>
      <c r="D167" s="64"/>
      <c r="E167" s="63">
        <f>IFERROR(__xludf.DUMMYFUNCTION("""COMPUTED_VALUE"""),5.0)</f>
        <v>5</v>
      </c>
      <c r="F167" s="65">
        <f>IFERROR(__xludf.DUMMYFUNCTION("""COMPUTED_VALUE"""),0.0)</f>
        <v>0</v>
      </c>
      <c r="G167" s="65">
        <f>IFERROR(__xludf.DUMMYFUNCTION("""COMPUTED_VALUE"""),13.0)</f>
        <v>13</v>
      </c>
      <c r="H167" s="65">
        <f>IFERROR(__xludf.DUMMYFUNCTION("""COMPUTED_VALUE"""),0.0)</f>
        <v>0</v>
      </c>
      <c r="I167" s="65">
        <f>IFERROR(__xludf.DUMMYFUNCTION("""COMPUTED_VALUE"""),0.0)</f>
        <v>0</v>
      </c>
      <c r="J167" s="65">
        <f>IFERROR(__xludf.DUMMYFUNCTION("""COMPUTED_VALUE"""),0.0)</f>
        <v>0</v>
      </c>
      <c r="K167" s="65">
        <f>IFERROR(__xludf.DUMMYFUNCTION("""COMPUTED_VALUE"""),13.0)</f>
        <v>13</v>
      </c>
      <c r="L167" s="65">
        <f>IFERROR(__xludf.DUMMYFUNCTION("""COMPUTED_VALUE"""),0.0)</f>
        <v>0</v>
      </c>
      <c r="M167" s="65">
        <f>IFERROR(__xludf.DUMMYFUNCTION("""COMPUTED_VALUE"""),13.0)</f>
        <v>13</v>
      </c>
      <c r="N167" s="66">
        <f>IFERROR(__xludf.DUMMYFUNCTION("""COMPUTED_VALUE"""),0.0)</f>
        <v>0</v>
      </c>
    </row>
    <row r="168">
      <c r="A168" s="1"/>
      <c r="B168" s="62"/>
      <c r="C168" s="63"/>
      <c r="D168" s="64"/>
      <c r="E168" s="63"/>
      <c r="F168" s="65"/>
      <c r="G168" s="65"/>
      <c r="H168" s="65"/>
      <c r="I168" s="65"/>
      <c r="J168" s="65"/>
      <c r="K168" s="65"/>
      <c r="L168" s="65"/>
      <c r="M168" s="65"/>
      <c r="N168" s="66"/>
    </row>
    <row r="169">
      <c r="A169" s="1"/>
      <c r="B169" s="62"/>
      <c r="C169" s="63"/>
      <c r="D169" s="64"/>
      <c r="E169" s="63"/>
      <c r="F169" s="65"/>
      <c r="G169" s="65"/>
      <c r="H169" s="65"/>
      <c r="I169" s="65"/>
      <c r="J169" s="65"/>
      <c r="K169" s="65"/>
      <c r="L169" s="65"/>
      <c r="M169" s="65"/>
      <c r="N169" s="66"/>
    </row>
    <row r="170">
      <c r="A170" s="1"/>
      <c r="B170" s="62"/>
      <c r="C170" s="63"/>
      <c r="D170" s="64"/>
      <c r="E170" s="63"/>
      <c r="F170" s="65"/>
      <c r="G170" s="65"/>
      <c r="H170" s="65"/>
      <c r="I170" s="65"/>
      <c r="J170" s="65"/>
      <c r="K170" s="65"/>
      <c r="L170" s="65"/>
      <c r="M170" s="65"/>
      <c r="N170" s="66"/>
    </row>
    <row r="171">
      <c r="A171" s="1"/>
      <c r="B171" s="62"/>
      <c r="C171" s="63"/>
      <c r="D171" s="64"/>
      <c r="E171" s="63"/>
      <c r="F171" s="65"/>
      <c r="G171" s="65"/>
      <c r="H171" s="65"/>
      <c r="I171" s="65"/>
      <c r="J171" s="65"/>
      <c r="K171" s="65"/>
      <c r="L171" s="65"/>
      <c r="M171" s="65"/>
      <c r="N171" s="66"/>
    </row>
    <row r="172">
      <c r="A172" s="1"/>
      <c r="B172" s="62"/>
      <c r="C172" s="63"/>
      <c r="D172" s="64"/>
      <c r="E172" s="63"/>
      <c r="F172" s="65"/>
      <c r="G172" s="65"/>
      <c r="H172" s="65"/>
      <c r="I172" s="65"/>
      <c r="J172" s="65"/>
      <c r="K172" s="65"/>
      <c r="L172" s="65"/>
      <c r="M172" s="65"/>
      <c r="N172" s="66"/>
    </row>
    <row r="173">
      <c r="A173" s="1"/>
      <c r="B173" s="62"/>
      <c r="C173" s="63"/>
      <c r="D173" s="64"/>
      <c r="E173" s="63"/>
      <c r="F173" s="65"/>
      <c r="G173" s="65"/>
      <c r="H173" s="65"/>
      <c r="I173" s="65"/>
      <c r="J173" s="65"/>
      <c r="K173" s="65"/>
      <c r="L173" s="65"/>
      <c r="M173" s="65"/>
      <c r="N173" s="66"/>
    </row>
    <row r="174">
      <c r="A174" s="1"/>
      <c r="B174" s="62"/>
      <c r="C174" s="63"/>
      <c r="D174" s="64"/>
      <c r="E174" s="63"/>
      <c r="F174" s="65"/>
      <c r="G174" s="65"/>
      <c r="H174" s="65"/>
      <c r="I174" s="65"/>
      <c r="J174" s="65"/>
      <c r="K174" s="65"/>
      <c r="L174" s="65"/>
      <c r="M174" s="65"/>
      <c r="N174" s="66"/>
    </row>
    <row r="175">
      <c r="A175" s="1"/>
      <c r="B175" s="62"/>
      <c r="C175" s="63"/>
      <c r="D175" s="64"/>
      <c r="E175" s="63"/>
      <c r="F175" s="65"/>
      <c r="G175" s="65"/>
      <c r="H175" s="65"/>
      <c r="I175" s="65"/>
      <c r="J175" s="65"/>
      <c r="K175" s="65"/>
      <c r="L175" s="65"/>
      <c r="M175" s="65"/>
      <c r="N175" s="66"/>
    </row>
    <row r="176">
      <c r="A176" s="1"/>
      <c r="B176" s="62"/>
      <c r="C176" s="63"/>
      <c r="D176" s="64"/>
      <c r="E176" s="63"/>
      <c r="F176" s="65"/>
      <c r="G176" s="65"/>
      <c r="H176" s="65"/>
      <c r="I176" s="65"/>
      <c r="J176" s="65"/>
      <c r="K176" s="65"/>
      <c r="L176" s="65"/>
      <c r="M176" s="65"/>
      <c r="N176" s="66"/>
    </row>
    <row r="177">
      <c r="A177" s="1"/>
      <c r="B177" s="62"/>
      <c r="C177" s="63"/>
      <c r="D177" s="64"/>
      <c r="E177" s="63"/>
      <c r="F177" s="65"/>
      <c r="G177" s="65"/>
      <c r="H177" s="65"/>
      <c r="I177" s="65"/>
      <c r="J177" s="65"/>
      <c r="K177" s="65"/>
      <c r="L177" s="65"/>
      <c r="M177" s="65"/>
      <c r="N177" s="66"/>
    </row>
    <row r="178">
      <c r="A178" s="1"/>
      <c r="B178" s="62"/>
      <c r="C178" s="63"/>
      <c r="D178" s="64"/>
      <c r="E178" s="63"/>
      <c r="F178" s="65"/>
      <c r="G178" s="65"/>
      <c r="H178" s="65"/>
      <c r="I178" s="65"/>
      <c r="J178" s="65"/>
      <c r="K178" s="65"/>
      <c r="L178" s="65"/>
      <c r="M178" s="65"/>
      <c r="N178" s="66"/>
    </row>
    <row r="179">
      <c r="A179" s="1"/>
      <c r="B179" s="62"/>
      <c r="C179" s="63"/>
      <c r="D179" s="64"/>
      <c r="E179" s="63"/>
      <c r="F179" s="65"/>
      <c r="G179" s="65"/>
      <c r="H179" s="65"/>
      <c r="I179" s="65"/>
      <c r="J179" s="65"/>
      <c r="K179" s="65"/>
      <c r="L179" s="65"/>
      <c r="M179" s="65"/>
      <c r="N179" s="66"/>
    </row>
    <row r="180">
      <c r="A180" s="1"/>
      <c r="B180" s="62"/>
      <c r="C180" s="63"/>
      <c r="D180" s="64"/>
      <c r="E180" s="63"/>
      <c r="F180" s="65"/>
      <c r="G180" s="65"/>
      <c r="H180" s="65"/>
      <c r="I180" s="65"/>
      <c r="J180" s="65"/>
      <c r="K180" s="65"/>
      <c r="L180" s="65"/>
      <c r="M180" s="65"/>
      <c r="N180" s="66"/>
    </row>
    <row r="181">
      <c r="A181" s="1"/>
      <c r="B181" s="62"/>
      <c r="C181" s="63"/>
      <c r="D181" s="64"/>
      <c r="E181" s="63"/>
      <c r="F181" s="65"/>
      <c r="G181" s="65"/>
      <c r="H181" s="65"/>
      <c r="I181" s="65"/>
      <c r="J181" s="65"/>
      <c r="K181" s="65"/>
      <c r="L181" s="65"/>
      <c r="M181" s="65"/>
      <c r="N181" s="66"/>
    </row>
    <row r="182">
      <c r="A182" s="1"/>
      <c r="B182" s="62"/>
      <c r="C182" s="63"/>
      <c r="D182" s="64"/>
      <c r="E182" s="63"/>
      <c r="F182" s="65"/>
      <c r="G182" s="65"/>
      <c r="H182" s="65"/>
      <c r="I182" s="65"/>
      <c r="J182" s="65"/>
      <c r="K182" s="65"/>
      <c r="L182" s="65"/>
      <c r="M182" s="65"/>
      <c r="N182" s="66"/>
    </row>
    <row r="183">
      <c r="A183" s="1"/>
      <c r="B183" s="62"/>
      <c r="C183" s="63"/>
      <c r="D183" s="64"/>
      <c r="E183" s="63"/>
      <c r="F183" s="65"/>
      <c r="G183" s="65"/>
      <c r="H183" s="65"/>
      <c r="I183" s="65"/>
      <c r="J183" s="65"/>
      <c r="K183" s="65"/>
      <c r="L183" s="65"/>
      <c r="M183" s="65"/>
      <c r="N183" s="66"/>
    </row>
    <row r="184">
      <c r="A184" s="1"/>
      <c r="B184" s="62"/>
      <c r="C184" s="63"/>
      <c r="D184" s="64"/>
      <c r="E184" s="63"/>
      <c r="F184" s="65"/>
      <c r="G184" s="65"/>
      <c r="H184" s="65"/>
      <c r="I184" s="65"/>
      <c r="J184" s="65"/>
      <c r="K184" s="65"/>
      <c r="L184" s="65"/>
      <c r="M184" s="65"/>
      <c r="N184" s="66"/>
    </row>
    <row r="185">
      <c r="A185" s="1"/>
      <c r="B185" s="62"/>
      <c r="C185" s="63"/>
      <c r="D185" s="64"/>
      <c r="E185" s="63"/>
      <c r="F185" s="65"/>
      <c r="G185" s="65"/>
      <c r="H185" s="65"/>
      <c r="I185" s="65"/>
      <c r="J185" s="65"/>
      <c r="K185" s="65"/>
      <c r="L185" s="65"/>
      <c r="M185" s="65"/>
      <c r="N185" s="66"/>
    </row>
    <row r="186">
      <c r="A186" s="1"/>
      <c r="B186" s="62"/>
      <c r="C186" s="63"/>
      <c r="D186" s="64"/>
      <c r="E186" s="63"/>
      <c r="F186" s="65"/>
      <c r="G186" s="65"/>
      <c r="H186" s="65"/>
      <c r="I186" s="65"/>
      <c r="J186" s="65"/>
      <c r="K186" s="65"/>
      <c r="L186" s="65"/>
      <c r="M186" s="65"/>
      <c r="N186" s="66"/>
    </row>
    <row r="187">
      <c r="A187" s="1"/>
      <c r="B187" s="62"/>
      <c r="C187" s="63"/>
      <c r="D187" s="64"/>
      <c r="E187" s="63"/>
      <c r="F187" s="65"/>
      <c r="G187" s="65"/>
      <c r="H187" s="65"/>
      <c r="I187" s="65"/>
      <c r="J187" s="65"/>
      <c r="K187" s="65"/>
      <c r="L187" s="65"/>
      <c r="M187" s="65"/>
      <c r="N187" s="66"/>
    </row>
    <row r="188">
      <c r="A188" s="1"/>
      <c r="B188" s="62"/>
      <c r="C188" s="63"/>
      <c r="D188" s="64"/>
      <c r="E188" s="63"/>
      <c r="F188" s="65"/>
      <c r="G188" s="65"/>
      <c r="H188" s="65"/>
      <c r="I188" s="65"/>
      <c r="J188" s="65"/>
      <c r="K188" s="65"/>
      <c r="L188" s="65"/>
      <c r="M188" s="65"/>
      <c r="N188" s="66"/>
    </row>
    <row r="189">
      <c r="A189" s="1"/>
      <c r="B189" s="62"/>
      <c r="C189" s="63"/>
      <c r="D189" s="64"/>
      <c r="E189" s="63"/>
      <c r="F189" s="65"/>
      <c r="G189" s="65"/>
      <c r="H189" s="65"/>
      <c r="I189" s="65"/>
      <c r="J189" s="65"/>
      <c r="K189" s="65"/>
      <c r="L189" s="65"/>
      <c r="M189" s="65"/>
      <c r="N189" s="66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  <row r="1027">
      <c r="A1027" s="1"/>
      <c r="C1027" s="1"/>
      <c r="D1027" s="1"/>
      <c r="E1027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9">
    <cfRule type="expression" dxfId="0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7:D87">
    <cfRule type="expression" dxfId="0" priority="3">
      <formula>E5=1</formula>
    </cfRule>
  </conditionalFormatting>
  <conditionalFormatting sqref="B5:B69 B77:D87">
    <cfRule type="expression" dxfId="3" priority="4">
      <formula>E5=2</formula>
    </cfRule>
  </conditionalFormatting>
  <conditionalFormatting sqref="B5:B69 B77:D87">
    <cfRule type="expression" dxfId="4" priority="5">
      <formula>E5=3</formula>
    </cfRule>
  </conditionalFormatting>
  <conditionalFormatting sqref="B5:B69 B77:D87">
    <cfRule type="expression" dxfId="5" priority="6">
      <formula>E5=4</formula>
    </cfRule>
  </conditionalFormatting>
  <conditionalFormatting sqref="L79">
    <cfRule type="containsText" dxfId="0" priority="7" operator="containsText" text="Good">
      <formula>NOT(ISERROR(SEARCH(("Good"),(L79))))</formula>
    </cfRule>
  </conditionalFormatting>
  <drawing r:id="rId1"/>
</worksheet>
</file>