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Data" sheetId="4" r:id="rId8"/>
    <sheet state="visible" name="Waitlist" sheetId="5" r:id="rId9"/>
    <sheet state="visible" name="062825" sheetId="6" r:id="rId10"/>
    <sheet state="visible" name="062125" sheetId="7" r:id="rId11"/>
    <sheet state="visible" name="061425" sheetId="8" r:id="rId12"/>
    <sheet state="visible" name="060725" sheetId="9" r:id="rId13"/>
    <sheet state="visible" name="053125" sheetId="10" r:id="rId14"/>
    <sheet state="visible" name="052425" sheetId="11" r:id="rId15"/>
    <sheet state="visible" name="051725" sheetId="12" r:id="rId16"/>
    <sheet state="visible" name="051025" sheetId="13" r:id="rId17"/>
    <sheet state="visible" name="041925" sheetId="14" r:id="rId18"/>
    <sheet state="visible" name="041225" sheetId="15" r:id="rId19"/>
    <sheet state="visible" name="040525" sheetId="16" r:id="rId20"/>
    <sheet state="visible" name="032925" sheetId="17" r:id="rId21"/>
    <sheet state="visible" name="032225" sheetId="18" r:id="rId22"/>
    <sheet state="visible" name="031525" sheetId="19" r:id="rId23"/>
    <sheet state="visible" name="030825" sheetId="20" r:id="rId24"/>
    <sheet state="visible" name="030125" sheetId="21" r:id="rId25"/>
    <sheet state="visible" name="022225" sheetId="22" r:id="rId26"/>
    <sheet state="visible" name="021525" sheetId="23" r:id="rId27"/>
    <sheet state="visible" name="020825" sheetId="24" r:id="rId28"/>
    <sheet state="visible" name="020125" sheetId="25" r:id="rId29"/>
    <sheet state="visible" name="012525" sheetId="26" r:id="rId30"/>
    <sheet state="visible" name="011825" sheetId="27" r:id="rId31"/>
    <sheet state="visible" name="011125" sheetId="28" r:id="rId32"/>
    <sheet state="visible" name="010425" sheetId="29" r:id="rId33"/>
  </sheets>
  <definedNames/>
  <calcPr/>
</workbook>
</file>

<file path=xl/sharedStrings.xml><?xml version="1.0" encoding="utf-8"?>
<sst xmlns="http://schemas.openxmlformats.org/spreadsheetml/2006/main" count="6928" uniqueCount="174">
  <si>
    <t>No</t>
  </si>
  <si>
    <t xml:space="preserve">Court # </t>
  </si>
  <si>
    <t>Name</t>
  </si>
  <si>
    <t xml:space="preserve">Standings as of </t>
  </si>
  <si>
    <t>Name of the Player</t>
  </si>
  <si>
    <t>Games Won</t>
  </si>
  <si>
    <t>Name of Player</t>
  </si>
  <si>
    <t>Sets Won</t>
  </si>
  <si>
    <t>Check In</t>
  </si>
  <si>
    <t>Set 1</t>
  </si>
  <si>
    <t>Set 2</t>
  </si>
  <si>
    <t>Set 3</t>
  </si>
  <si>
    <t>Total Games won</t>
  </si>
  <si>
    <t xml:space="preserve">Scores Entered by </t>
  </si>
  <si>
    <t>Mark 'X', if the court needs to be played at WHS</t>
  </si>
  <si>
    <t>Number of Weeks Played</t>
  </si>
  <si>
    <t>Sets Validations</t>
  </si>
  <si>
    <t xml:space="preserve">Check in </t>
  </si>
  <si>
    <t>Previous sitouts</t>
  </si>
  <si>
    <t>Sl.No</t>
  </si>
  <si>
    <t>Playing(1)</t>
  </si>
  <si>
    <t>Out(3)</t>
  </si>
  <si>
    <t>Out-Can Play(4)</t>
  </si>
  <si>
    <t>To Respond</t>
  </si>
  <si>
    <t>Sitouts(5)</t>
  </si>
  <si>
    <t>Playing-Can Sit(2)</t>
  </si>
  <si>
    <t>Sit Outs Needed</t>
  </si>
  <si>
    <t>Beginning of week</t>
  </si>
  <si>
    <t>Current Week Scores</t>
  </si>
  <si>
    <t>End of week</t>
  </si>
  <si>
    <t>Jan-Jun 2025</t>
  </si>
  <si>
    <t>Jul-Dec 2025</t>
  </si>
  <si>
    <t>Ranking</t>
  </si>
  <si>
    <t>Games Won / Match</t>
  </si>
  <si>
    <t>Adrian Tay</t>
  </si>
  <si>
    <t>Check IN</t>
  </si>
  <si>
    <t>Court #</t>
  </si>
  <si>
    <t>Set 0</t>
  </si>
  <si>
    <t>Waiver</t>
  </si>
  <si>
    <t>Fee</t>
  </si>
  <si>
    <t>Sit outs</t>
  </si>
  <si>
    <t>No Shows</t>
  </si>
  <si>
    <t>Absent</t>
  </si>
  <si>
    <t>Positions Gained/Lost</t>
  </si>
  <si>
    <t>Alejandro Mejia</t>
  </si>
  <si>
    <t>Pulkit Mathur</t>
  </si>
  <si>
    <t>Last update</t>
  </si>
  <si>
    <t xml:space="preserve">  N</t>
  </si>
  <si>
    <t>Skip Court 3</t>
  </si>
  <si>
    <t>Jimmy Awolesi</t>
  </si>
  <si>
    <t>Whatsapp Message</t>
  </si>
  <si>
    <t>Skip Court 4</t>
  </si>
  <si>
    <t>Tony Wong</t>
  </si>
  <si>
    <t>Playing</t>
  </si>
  <si>
    <t>Vinaya Kajla</t>
  </si>
  <si>
    <t>Playing-Can Sit</t>
  </si>
  <si>
    <t>Alex Hou</t>
  </si>
  <si>
    <t>Out/Can Play</t>
  </si>
  <si>
    <t>X</t>
  </si>
  <si>
    <t>Out</t>
  </si>
  <si>
    <t>Sitouts</t>
  </si>
  <si>
    <t>Allen Zhang</t>
  </si>
  <si>
    <t>Suleman Alidina</t>
  </si>
  <si>
    <t>TBD</t>
  </si>
  <si>
    <t>Ethan Gu</t>
  </si>
  <si>
    <t>Ash Nikravan</t>
  </si>
  <si>
    <t>Total</t>
  </si>
  <si>
    <t>Susanta Mishra</t>
  </si>
  <si>
    <t>*Sent Reminders*</t>
  </si>
  <si>
    <t>Courts Full</t>
  </si>
  <si>
    <t>Andrew Wen</t>
  </si>
  <si>
    <t>David Tam</t>
  </si>
  <si>
    <t>Balaji Alahari</t>
  </si>
  <si>
    <t>Sitouts Needed</t>
  </si>
  <si>
    <t>Pavan Akkimsetty</t>
  </si>
  <si>
    <t>Vacations/Injuries</t>
  </si>
  <si>
    <t>Frank Moon</t>
  </si>
  <si>
    <t>Until end of season</t>
  </si>
  <si>
    <t>Barathi Sundaram</t>
  </si>
  <si>
    <t>Leigh-Anh Nguyen</t>
  </si>
  <si>
    <t>Trinath Goteti</t>
  </si>
  <si>
    <t>Left UTC</t>
  </si>
  <si>
    <t>Scott Li</t>
  </si>
  <si>
    <t>Kingsley Kuo</t>
  </si>
  <si>
    <t>Naveen Raj</t>
  </si>
  <si>
    <t>Until 7/8</t>
  </si>
  <si>
    <t xml:space="preserve">Vamsi Lolla </t>
  </si>
  <si>
    <t>Basudev Thoppai Vidyasankar</t>
  </si>
  <si>
    <t>Sandeep Kamalon</t>
  </si>
  <si>
    <t>Rajasekar Ramasamy</t>
  </si>
  <si>
    <t>Chinna Ponnaganti</t>
  </si>
  <si>
    <t>Anish Kumar</t>
  </si>
  <si>
    <t>Jonathan Phan</t>
  </si>
  <si>
    <t>Manuel Rivera</t>
  </si>
  <si>
    <t>Cid Macaraeg</t>
  </si>
  <si>
    <t>Ted Shen</t>
  </si>
  <si>
    <t>Coco Yan</t>
  </si>
  <si>
    <t>David Shin</t>
  </si>
  <si>
    <t>Mauricio Palacios</t>
  </si>
  <si>
    <t xml:space="preserve">Elayaraja Thangaraj </t>
  </si>
  <si>
    <t>Joyce Zhu</t>
  </si>
  <si>
    <t>Manish Anand</t>
  </si>
  <si>
    <t>Eric Pan</t>
  </si>
  <si>
    <t>Eric Tan</t>
  </si>
  <si>
    <t>Joe Luzzi</t>
  </si>
  <si>
    <t>Erik Hoeckmann</t>
  </si>
  <si>
    <t>Lloyd Sagar</t>
  </si>
  <si>
    <t>Herman Au</t>
  </si>
  <si>
    <t>Diamond Bar High School Courts</t>
  </si>
  <si>
    <t>21400 Pathfinder Rd, Diamond Bar, CA 91765</t>
  </si>
  <si>
    <t>WHS Admin Rotations</t>
  </si>
  <si>
    <t>Hongyuan Wen</t>
  </si>
  <si>
    <t xml:space="preserve">Here is the link to add new players to the waitlist. </t>
  </si>
  <si>
    <t>Date</t>
  </si>
  <si>
    <t>tinyurl.com/UTCWaitList</t>
  </si>
  <si>
    <t>Admin</t>
  </si>
  <si>
    <t>Lam Bui</t>
  </si>
  <si>
    <t>Robert Chang</t>
  </si>
  <si>
    <t>Hubert J Sung</t>
  </si>
  <si>
    <t>Sean Chang</t>
  </si>
  <si>
    <t>Tom Le</t>
  </si>
  <si>
    <t>James Phan</t>
  </si>
  <si>
    <t>Jim Miao</t>
  </si>
  <si>
    <t>Walnut High School Courts</t>
  </si>
  <si>
    <t>400 Pierre Rd, Walnut, CA 91789</t>
  </si>
  <si>
    <t>Kumar Palakeel</t>
  </si>
  <si>
    <t>Luis Hsu</t>
  </si>
  <si>
    <t>Matthew Huang</t>
  </si>
  <si>
    <t>Oscar Bonilla</t>
  </si>
  <si>
    <t>Tina Hanson</t>
  </si>
  <si>
    <t>Troy Wong</t>
  </si>
  <si>
    <t>Nicole Ni</t>
  </si>
  <si>
    <t>Wayne Liu</t>
  </si>
  <si>
    <t>Saravanan Veerapandian</t>
  </si>
  <si>
    <t>Ramesh Bandaru</t>
  </si>
  <si>
    <t>Rajesh Dorairaj</t>
  </si>
  <si>
    <t>Sandy Weyant</t>
  </si>
  <si>
    <t>Sanjaye Elayattu</t>
  </si>
  <si>
    <t>Tyler Leong</t>
  </si>
  <si>
    <t>Vishnu Amarnath</t>
  </si>
  <si>
    <t>Trish Newlin</t>
  </si>
  <si>
    <t xml:space="preserve">Santosh Sundaresan </t>
  </si>
  <si>
    <t>Vicki Martinet</t>
  </si>
  <si>
    <t>N</t>
  </si>
  <si>
    <t xml:space="preserve"> </t>
  </si>
  <si>
    <t>Renewed</t>
  </si>
  <si>
    <t>Top Scores</t>
  </si>
  <si>
    <t>Games</t>
  </si>
  <si>
    <t>Sets</t>
  </si>
  <si>
    <t>Not Renewing</t>
  </si>
  <si>
    <t>New Members</t>
  </si>
  <si>
    <t>To Renew</t>
  </si>
  <si>
    <t>Top 10 Movements (UP)</t>
  </si>
  <si>
    <t>Positions Moved</t>
  </si>
  <si>
    <t>Position Last week</t>
  </si>
  <si>
    <t>Position This week</t>
  </si>
  <si>
    <t>Points this week</t>
  </si>
  <si>
    <t>Court</t>
  </si>
  <si>
    <t xml:space="preserve">Cross Check </t>
  </si>
  <si>
    <t>Top 10 Movements (Down)</t>
  </si>
  <si>
    <t>Positions</t>
  </si>
  <si>
    <t>Renewals for July-December 2025</t>
  </si>
  <si>
    <t>Members Renewed</t>
  </si>
  <si>
    <t>Members to Renew</t>
  </si>
  <si>
    <t>Members Not Renewing</t>
  </si>
  <si>
    <t>New Members Joined/invited*</t>
  </si>
  <si>
    <t>Darren Wong</t>
  </si>
  <si>
    <t>Color Coding</t>
  </si>
  <si>
    <t>0-8</t>
  </si>
  <si>
    <t>9-17</t>
  </si>
  <si>
    <t>18-20</t>
  </si>
  <si>
    <t>21</t>
  </si>
  <si>
    <t>* Jimmy Awolesi paid for Jan-Dec 2025</t>
  </si>
  <si>
    <t>Alan Sung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</si>
</sst>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&quot;/&quot;dd&quot;/&quot;yy"/>
    <numFmt numFmtId="165" formatCode="mm/dd/yy"/>
    <numFmt numFmtId="166" formatCode="m/d/yyyy h:mm:ss"/>
    <numFmt numFmtId="167" formatCode="0;-0;;@"/>
    <numFmt numFmtId="168" formatCode="mmm d"/>
    <numFmt numFmtId="169" formatCode="m/d/yy"/>
    <numFmt numFmtId="170" formatCode="ddd&quot;, &quot;mmm&quot; &quot;d&quot;, &quot;yy"/>
    <numFmt numFmtId="171" formatCode="m/d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4.0"/>
      <color rgb="FF001D35"/>
      <name val="Monospace"/>
    </font>
    <font>
      <b/>
      <sz val="12.0"/>
      <color theme="1"/>
      <name val="Arial"/>
      <scheme val="minor"/>
    </font>
    <font/>
    <font>
      <sz val="14.0"/>
      <color theme="1"/>
      <name val="Arial"/>
    </font>
    <font>
      <color theme="1"/>
      <name val="Arial"/>
    </font>
    <font>
      <u/>
      <color rgb="FF0000FF"/>
    </font>
    <font>
      <sz val="9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E5EDFF"/>
        <bgColor rgb="FFE5ED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0" fillId="4" fontId="4" numFmtId="0" xfId="0" applyAlignment="1" applyFill="1" applyFont="1">
      <alignment readingOrder="0"/>
    </xf>
    <xf borderId="1" fillId="2" fontId="5" numFmtId="0" xfId="0" applyAlignment="1" applyBorder="1" applyFill="1" applyFont="1">
      <alignment readingOrder="0"/>
    </xf>
    <xf borderId="0" fillId="4" fontId="4" numFmtId="164" xfId="0" applyAlignment="1" applyFill="1" applyFont="1" applyNumberFormat="1">
      <alignment horizontal="center" readingOrder="0"/>
    </xf>
    <xf borderId="1" fillId="2" fontId="5" numFmtId="0" xfId="0" applyAlignment="1" applyBorder="1" applyFill="1" applyFont="1">
      <alignment readingOrder="0" shrinkToFit="0" wrapText="1"/>
    </xf>
    <xf borderId="0" fillId="4" fontId="6" numFmtId="0" xfId="0" applyAlignment="1" applyFill="1" applyFont="1">
      <alignment horizontal="right" readingOrder="0"/>
    </xf>
    <xf borderId="1" fillId="3" fontId="3" numFmtId="165" xfId="0" applyAlignment="1" applyBorder="1" applyFill="1" applyFont="1" applyNumberFormat="1">
      <alignment readingOrder="0"/>
    </xf>
    <xf borderId="0" fillId="5" fontId="7" numFmtId="1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4" fontId="8" numFmtId="0" xfId="0" applyAlignment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readingOrder="0"/>
    </xf>
    <xf borderId="0" fillId="4" fontId="8" numFmtId="0" xfId="0" applyAlignment="1" applyFill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0" fillId="6" fontId="1" numFmtId="164" xfId="0" applyFill="1" applyFont="1" applyNumberFormat="1"/>
    <xf borderId="2" fillId="4" fontId="2" numFmtId="0" xfId="0" applyAlignment="1" applyBorder="1" applyFill="1" applyFont="1">
      <alignment horizontal="center" readingOrder="0" shrinkToFit="0" wrapText="1"/>
    </xf>
    <xf borderId="0" fillId="0" fontId="1" numFmtId="0" xfId="0" applyFont="1"/>
    <xf borderId="3" fillId="0" fontId="9" numFmtId="0" xfId="0" applyBorder="1" applyFont="1"/>
    <xf borderId="4" fillId="0" fontId="9" numFmtId="0" xfId="0" applyBorder="1" applyFont="1"/>
    <xf borderId="2" fillId="4" fontId="4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 shrinkToFit="0" wrapText="1"/>
    </xf>
    <xf borderId="1" fillId="0" fontId="10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readingOrder="0" shrinkToFit="0" wrapText="1"/>
    </xf>
    <xf borderId="1" fillId="0" fontId="10" numFmtId="0" xfId="0" applyAlignment="1" applyBorder="1" applyFont="1">
      <alignment horizontal="center" vertical="bottom"/>
    </xf>
    <xf borderId="1" fillId="7" fontId="3" numFmtId="3" xfId="0" applyAlignment="1" applyBorder="1" applyFill="1" applyFont="1" applyNumberFormat="1">
      <alignment horizontal="center" readingOrder="0"/>
    </xf>
    <xf borderId="1" fillId="8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8" fontId="1" numFmtId="166" xfId="0" applyBorder="1" applyFill="1" applyFont="1" applyNumberFormat="1"/>
    <xf borderId="0" fillId="6" fontId="1" numFmtId="0" xfId="0" applyAlignment="1" applyFill="1" applyFont="1">
      <alignment readingOrder="0"/>
    </xf>
    <xf borderId="1" fillId="7" fontId="3" numFmtId="4" xfId="0" applyAlignment="1" applyBorder="1" applyFill="1" applyFont="1" applyNumberFormat="1">
      <alignment horizontal="center" readingOrder="0"/>
    </xf>
    <xf borderId="1" fillId="9" fontId="1" numFmtId="0" xfId="0" applyAlignment="1" applyBorder="1" applyFill="1" applyFont="1">
      <alignment readingOrder="0"/>
    </xf>
    <xf borderId="1" fillId="9" fontId="1" numFmtId="0" xfId="0" applyBorder="1" applyFill="1" applyFont="1"/>
    <xf borderId="1" fillId="3" fontId="10" numFmtId="167" xfId="0" applyAlignment="1" applyBorder="1" applyFill="1" applyFont="1" applyNumberFormat="1">
      <alignment vertical="bottom"/>
    </xf>
    <xf borderId="1" fillId="10" fontId="10" numFmtId="167" xfId="0" applyAlignment="1" applyBorder="1" applyFill="1" applyFont="1" applyNumberFormat="1">
      <alignment vertical="bottom"/>
    </xf>
    <xf borderId="1" fillId="7" fontId="10" numFmtId="167" xfId="0" applyAlignment="1" applyBorder="1" applyFill="1" applyFont="1" applyNumberFormat="1">
      <alignment vertical="bottom"/>
    </xf>
    <xf borderId="0" fillId="11" fontId="1" numFmtId="0" xfId="0" applyFill="1" applyFont="1"/>
    <xf borderId="1" fillId="0" fontId="10" numFmtId="0" xfId="0" applyAlignment="1" applyBorder="1" applyFont="1">
      <alignment readingOrder="0" vertical="bottom"/>
    </xf>
    <xf borderId="1" fillId="4" fontId="10" numFmtId="167" xfId="0" applyAlignment="1" applyBorder="1" applyFill="1" applyFont="1" applyNumberFormat="1">
      <alignment vertical="bottom"/>
    </xf>
    <xf borderId="1" fillId="7" fontId="3" numFmtId="0" xfId="0" applyAlignment="1" applyBorder="1" applyFill="1" applyFont="1">
      <alignment horizontal="center" readingOrder="0"/>
    </xf>
    <xf borderId="1" fillId="12" fontId="3" numFmtId="167" xfId="0" applyAlignment="1" applyBorder="1" applyFill="1" applyFont="1" applyNumberFormat="1">
      <alignment horizontal="center" readingOrder="0"/>
    </xf>
    <xf borderId="1" fillId="7" fontId="3" numFmtId="167" xfId="0" applyAlignment="1" applyBorder="1" applyFill="1" applyFont="1" applyNumberFormat="1">
      <alignment horizontal="center" readingOrder="0"/>
    </xf>
    <xf borderId="1" fillId="0" fontId="10" numFmtId="0" xfId="0" applyAlignment="1" applyBorder="1" applyFont="1">
      <alignment vertical="bottom"/>
    </xf>
    <xf borderId="0" fillId="0" fontId="1" numFmtId="9" xfId="0" applyFont="1" applyNumberFormat="1"/>
    <xf borderId="0" fillId="0" fontId="1" numFmtId="0" xfId="0" applyAlignment="1" applyFont="1">
      <alignment readingOrder="0" vertical="center"/>
    </xf>
    <xf borderId="1" fillId="6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1" numFmtId="168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0" fillId="0" fontId="1" numFmtId="169" xfId="0" applyAlignment="1" applyFont="1" applyNumberFormat="1">
      <alignment readingOrder="0"/>
    </xf>
    <xf borderId="1" fillId="9" fontId="1" numFmtId="3" xfId="0" applyBorder="1" applyFill="1" applyFont="1" applyNumberFormat="1"/>
    <xf borderId="1" fillId="9" fontId="1" numFmtId="167" xfId="0" applyBorder="1" applyFill="1" applyFont="1" applyNumberFormat="1"/>
    <xf borderId="1" fillId="13" fontId="1" numFmtId="0" xfId="0" applyAlignment="1" applyBorder="1" applyFill="1" applyFont="1">
      <alignment readingOrder="0"/>
    </xf>
    <xf borderId="1" fillId="13" fontId="1" numFmtId="0" xfId="0" applyBorder="1" applyFill="1" applyFont="1"/>
    <xf borderId="0" fillId="9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2" fillId="2" fontId="5" numFmtId="0" xfId="0" applyAlignment="1" applyBorder="1" applyFill="1" applyFont="1">
      <alignment readingOrder="0" shrinkToFit="0" wrapText="1"/>
    </xf>
    <xf borderId="2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horizontal="center" readingOrder="0"/>
    </xf>
    <xf borderId="1" fillId="0" fontId="1" numFmtId="170" xfId="0" applyAlignment="1" applyBorder="1" applyFont="1" applyNumberFormat="1">
      <alignment readingOrder="0"/>
    </xf>
    <xf borderId="1" fillId="0" fontId="1" numFmtId="170" xfId="0" applyBorder="1" applyFont="1" applyNumberFormat="1"/>
    <xf borderId="0" fillId="0" fontId="12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3" fontId="10" numFmtId="167" xfId="0" applyAlignment="1" applyBorder="1" applyFill="1" applyFont="1" applyNumberFormat="1">
      <alignment readingOrder="0" vertical="bottom"/>
    </xf>
    <xf borderId="1" fillId="10" fontId="10" numFmtId="167" xfId="0" applyAlignment="1" applyBorder="1" applyFill="1" applyFont="1" applyNumberFormat="1">
      <alignment readingOrder="0" vertical="bottom"/>
    </xf>
    <xf borderId="1" fillId="7" fontId="10" numFmtId="167" xfId="0" applyAlignment="1" applyBorder="1" applyFill="1" applyFont="1" applyNumberFormat="1">
      <alignment readingOrder="0" vertical="bottom"/>
    </xf>
    <xf borderId="1" fillId="4" fontId="10" numFmtId="167" xfId="0" applyAlignment="1" applyBorder="1" applyFill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2" fillId="0" fontId="1" numFmtId="0" xfId="0" applyAlignment="1" applyBorder="1" applyFont="1">
      <alignment readingOrder="0"/>
    </xf>
    <xf borderId="0" fillId="0" fontId="1" numFmtId="10" xfId="0" applyFont="1" applyNumberFormat="1"/>
    <xf borderId="1" fillId="4" fontId="10" numFmtId="0" xfId="0" applyAlignment="1" applyBorder="1" applyFill="1" applyFont="1">
      <alignment readingOrder="0" vertical="bottom"/>
    </xf>
    <xf borderId="1" fillId="4" fontId="10" numFmtId="0" xfId="0" applyAlignment="1" applyBorder="1" applyFill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167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right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4" fontId="14" numFmtId="0" xfId="0" applyAlignment="1" applyBorder="1" applyFill="1" applyFont="1">
      <alignment readingOrder="0" shrinkToFit="0" vertical="bottom" wrapText="1"/>
    </xf>
    <xf borderId="1" fillId="4" fontId="15" numFmtId="0" xfId="0" applyAlignment="1" applyBorder="1" applyFill="1" applyFont="1">
      <alignment readingOrder="0" shrinkToFit="0" vertical="bottom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2" fillId="3" fontId="10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2" fillId="4" fontId="10" numFmtId="0" xfId="0" applyAlignment="1" applyBorder="1" applyFill="1" applyFont="1">
      <alignment readingOrder="0" vertical="bottom"/>
    </xf>
    <xf borderId="2" fillId="4" fontId="10" numFmtId="0" xfId="0" applyAlignment="1" applyBorder="1" applyFill="1" applyFont="1">
      <alignment horizontal="center" readingOrder="0" vertical="bottom"/>
    </xf>
    <xf borderId="2" fillId="0" fontId="10" numFmtId="0" xfId="0" applyAlignment="1" applyBorder="1" applyFont="1">
      <alignment readingOrder="0" vertical="bottom"/>
    </xf>
    <xf quotePrefix="1" borderId="1" fillId="13" fontId="10" numFmtId="0" xfId="0" applyAlignment="1" applyBorder="1" applyFill="1" applyFont="1">
      <alignment readingOrder="0" vertical="bottom"/>
    </xf>
    <xf quotePrefix="1" borderId="1" fillId="0" fontId="10" numFmtId="0" xfId="0" applyAlignment="1" applyBorder="1" applyFont="1">
      <alignment readingOrder="0" vertical="bottom"/>
    </xf>
    <xf quotePrefix="1" borderId="1" fillId="8" fontId="10" numFmtId="0" xfId="0" applyAlignment="1" applyBorder="1" applyFill="1" applyFont="1">
      <alignment readingOrder="0" vertical="bottom"/>
    </xf>
    <xf quotePrefix="1" borderId="1" fillId="14" fontId="10" numFmtId="0" xfId="0" applyAlignment="1" applyBorder="1" applyFill="1" applyFont="1">
      <alignment readingOrder="0" vertical="bottom"/>
    </xf>
    <xf borderId="1" fillId="7" fontId="3" numFmtId="3" xfId="0" applyAlignment="1" applyBorder="1" applyFill="1" applyFont="1" applyNumberFormat="1">
      <alignment horizontal="center"/>
    </xf>
    <xf borderId="1" fillId="7" fontId="3" numFmtId="167" xfId="0" applyAlignment="1" applyBorder="1" applyFill="1" applyFont="1" applyNumberFormat="1">
      <alignment horizontal="center"/>
    </xf>
    <xf borderId="1" fillId="3" fontId="3" numFmtId="167" xfId="0" applyAlignment="1" applyBorder="1" applyFill="1" applyFont="1" applyNumberFormat="1">
      <alignment horizontal="center" readingOrder="0"/>
    </xf>
    <xf borderId="1" fillId="4" fontId="3" numFmtId="167" xfId="0" applyAlignment="1" applyBorder="1" applyFill="1" applyFont="1" applyNumberFormat="1">
      <alignment horizontal="center" readingOrder="0"/>
    </xf>
    <xf borderId="0" fillId="4" fontId="4" numFmtId="171" xfId="0" applyAlignment="1" applyFill="1" applyFont="1" applyNumberFormat="1">
      <alignment horizontal="center" readingOrder="0"/>
    </xf>
    <xf borderId="0" fillId="5" fontId="7" numFmtId="0" xfId="0" applyFill="1" applyFont="1"/>
    <xf borderId="1" fillId="7" fontId="3" numFmtId="0" xfId="0" applyAlignment="1" applyBorder="1" applyFill="1" applyFon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UTCWaitLi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45836.0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24.0</v>
      </c>
      <c r="E2" s="1"/>
      <c r="F2" s="1"/>
      <c r="R2" s="19"/>
      <c r="AB2" s="20" t="str">
        <f>text(C1,"mm/dd/yy")</f>
        <v>06/28/25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389.0</v>
      </c>
      <c r="D5" s="31">
        <v>50.0</v>
      </c>
      <c r="E5" s="36">
        <f t="shared" ref="E5:E69" si="2">if(($D$2-U5-S5)&lt;&gt;0,(C5-(U5*9)-(S5*13))/($D$2-U5-S5),0)</f>
        <v>16.34782609</v>
      </c>
      <c r="F5" s="39">
        <f>if(isna(VLOOKUP(B5,Checkin!A:B,2,false)),0,VLOOKUP(B5,Checkin!A:B,2,false))</f>
        <v>0</v>
      </c>
      <c r="G5" s="40">
        <f>if(OR($F5=1, $F5=2),VLOOKUP($B5,Courts!$B$2:$K$50,10,false),0)</f>
        <v>0</v>
      </c>
      <c r="H5" s="41">
        <f t="shared" ref="H5:H69" si="3">IF(OR(F5=3,F5=4),9,IF(F5=5,13,0))</f>
        <v>0</v>
      </c>
      <c r="I5" s="40">
        <f>if(OR($F5=1, $F5=2),VLOOKUP($B5,Courts!$B$2:$J$50,5,false),0)</f>
        <v>0</v>
      </c>
      <c r="J5" s="40">
        <f>if(OR($F5=1, $F5=2),VLOOKUP($B5,Courts!$B$2:$J$50,6,false),0)</f>
        <v>0</v>
      </c>
      <c r="K5" s="40">
        <f>if(OR($F5=1, $F5=2),VLOOKUP($B5,Courts!$B$2:$J$50,7,false),0)</f>
        <v>0</v>
      </c>
      <c r="L5" s="44">
        <f t="shared" ref="L5:L69" si="4">H5+I5+J5+K5</f>
        <v>0</v>
      </c>
      <c r="M5" s="40">
        <f>if(OR($F5=1, $F5=2),VLOOKUP($B5,Courts!$B$2:$J$50,9,false),0)</f>
        <v>0</v>
      </c>
      <c r="N5" s="31">
        <f t="shared" ref="N5:O5" si="1">C5+L5</f>
        <v>389</v>
      </c>
      <c r="O5" s="31">
        <f t="shared" si="1"/>
        <v>50</v>
      </c>
      <c r="P5" s="45" t="s">
        <v>58</v>
      </c>
      <c r="Q5" s="45" t="s">
        <v>58</v>
      </c>
      <c r="R5" s="45" t="s">
        <v>58</v>
      </c>
      <c r="S5" s="46">
        <f t="shared" ref="S5:S69" si="6">if(H5=13,1,0)+VLOOKUP(B5,indirect($AB$2&amp;"!B:T"),18,false)</f>
        <v>1</v>
      </c>
      <c r="T5" s="46"/>
      <c r="U5" s="46">
        <f t="shared" ref="U5:U69" si="7">if(H5=9,1,0)+VLOOKUP(B5,indirect($AB$2&amp;"!B:U"),20,false)</f>
        <v>0</v>
      </c>
      <c r="V5" s="46">
        <f t="shared" ref="V5:V69" si="8">VLOOKUP(B5,indirect($AB$2&amp;"!B$5:w$70"),22,false)-A5</f>
        <v>0</v>
      </c>
      <c r="W5" s="30">
        <v>1.0</v>
      </c>
    </row>
    <row r="6">
      <c r="A6" s="30">
        <f t="shared" ref="A6:A69" si="9">A5+1</f>
        <v>2</v>
      </c>
      <c r="B6" s="43" t="s">
        <v>64</v>
      </c>
      <c r="C6" s="47">
        <v>321.0</v>
      </c>
      <c r="D6" s="31">
        <v>30.0</v>
      </c>
      <c r="E6" s="36">
        <f t="shared" si="2"/>
        <v>14.25</v>
      </c>
      <c r="F6" s="39">
        <f>if(isna(VLOOKUP(B6,Checkin!A:B,2,false)),0,VLOOKUP(B6,Checkin!A:B,2,false))</f>
        <v>0</v>
      </c>
      <c r="G6" s="40">
        <f>if(OR($F6=1, $F6=2),VLOOKUP($B6,Courts!$B$2:$K$50,10,false),0)</f>
        <v>0</v>
      </c>
      <c r="H6" s="41">
        <f t="shared" si="3"/>
        <v>0</v>
      </c>
      <c r="I6" s="40">
        <f>if(OR($F6=1, $F6=2),VLOOKUP($B6,Courts!$B$2:$J$50,5,false),0)</f>
        <v>0</v>
      </c>
      <c r="J6" s="40">
        <f>if(OR($F6=1, $F6=2),VLOOKUP($B6,Courts!$B$2:$J$50,6,false),0)</f>
        <v>0</v>
      </c>
      <c r="K6" s="40">
        <f>if(OR($F6=1, $F6=2),VLOOKUP($B6,Courts!$B$2:$J$50,7,false),0)</f>
        <v>0</v>
      </c>
      <c r="L6" s="44">
        <f t="shared" si="4"/>
        <v>0</v>
      </c>
      <c r="M6" s="40">
        <f>if(OR($F6=1, $F6=2),VLOOKUP($B6,Courts!$B$2:$J$50,9,false),0)</f>
        <v>0</v>
      </c>
      <c r="N6" s="47">
        <f t="shared" ref="N6:O6" si="5">C6+L6</f>
        <v>321</v>
      </c>
      <c r="O6" s="31">
        <f t="shared" si="5"/>
        <v>30</v>
      </c>
      <c r="P6" s="45" t="s">
        <v>58</v>
      </c>
      <c r="Q6" s="45" t="s">
        <v>58</v>
      </c>
      <c r="R6" s="45" t="s">
        <v>58</v>
      </c>
      <c r="S6" s="46">
        <f t="shared" si="6"/>
        <v>0</v>
      </c>
      <c r="T6" s="46"/>
      <c r="U6" s="46">
        <f t="shared" si="7"/>
        <v>4</v>
      </c>
      <c r="V6" s="46">
        <f t="shared" si="8"/>
        <v>0</v>
      </c>
      <c r="W6" s="30">
        <f t="shared" ref="W6:W69" si="11">W5+1</f>
        <v>2</v>
      </c>
    </row>
    <row r="7">
      <c r="A7" s="30">
        <f t="shared" si="9"/>
        <v>3</v>
      </c>
      <c r="B7" s="28" t="s">
        <v>74</v>
      </c>
      <c r="C7" s="31">
        <v>316.0</v>
      </c>
      <c r="D7" s="31">
        <v>31.0</v>
      </c>
      <c r="E7" s="36">
        <f t="shared" si="2"/>
        <v>14.88235294</v>
      </c>
      <c r="F7" s="39">
        <f>if(isna(VLOOKUP(B7,Checkin!A:B,2,false)),0,VLOOKUP(B7,Checkin!A:B,2,false))</f>
        <v>0</v>
      </c>
      <c r="G7" s="40">
        <f>if(OR($F7=1, $F7=2),VLOOKUP($B7,Courts!$B$2:$K$50,10,false),0)</f>
        <v>0</v>
      </c>
      <c r="H7" s="41">
        <f t="shared" si="3"/>
        <v>0</v>
      </c>
      <c r="I7" s="40">
        <f>if(OR($F7=1, $F7=2),VLOOKUP($B7,Courts!$B$2:$J$50,5,false),0)</f>
        <v>0</v>
      </c>
      <c r="J7" s="40">
        <f>if(OR($F7=1, $F7=2),VLOOKUP($B7,Courts!$B$2:$J$50,6,false),0)</f>
        <v>0</v>
      </c>
      <c r="K7" s="40">
        <f>if(OR($F7=1, $F7=2),VLOOKUP($B7,Courts!$B$2:$J$50,7,false),0)</f>
        <v>0</v>
      </c>
      <c r="L7" s="44">
        <f t="shared" si="4"/>
        <v>0</v>
      </c>
      <c r="M7" s="40">
        <f>if(OR($F7=1, $F7=2),VLOOKUP($B7,Courts!$B$2:$J$50,9,false),0)</f>
        <v>0</v>
      </c>
      <c r="N7" s="31">
        <f t="shared" ref="N7:O7" si="10">C7+L7</f>
        <v>316</v>
      </c>
      <c r="O7" s="31">
        <f t="shared" si="10"/>
        <v>31</v>
      </c>
      <c r="P7" s="45" t="s">
        <v>58</v>
      </c>
      <c r="Q7" s="45" t="s">
        <v>58</v>
      </c>
      <c r="R7" s="45" t="s">
        <v>58</v>
      </c>
      <c r="S7" s="46">
        <f t="shared" si="6"/>
        <v>0</v>
      </c>
      <c r="T7" s="46"/>
      <c r="U7" s="46">
        <f t="shared" si="7"/>
        <v>7</v>
      </c>
      <c r="V7" s="46">
        <f t="shared" si="8"/>
        <v>0</v>
      </c>
      <c r="W7" s="30">
        <f t="shared" si="11"/>
        <v>3</v>
      </c>
    </row>
    <row r="8">
      <c r="A8" s="30">
        <f t="shared" si="9"/>
        <v>4</v>
      </c>
      <c r="B8" s="43" t="s">
        <v>88</v>
      </c>
      <c r="C8" s="47">
        <v>311.0</v>
      </c>
      <c r="D8" s="31">
        <v>30.0</v>
      </c>
      <c r="E8" s="36">
        <f t="shared" si="2"/>
        <v>13.13636364</v>
      </c>
      <c r="F8" s="39">
        <f>if(isna(VLOOKUP(B8,Checkin!A:B,2,false)),0,VLOOKUP(B8,Checkin!A:B,2,false))</f>
        <v>0</v>
      </c>
      <c r="G8" s="40">
        <f>if(OR($F8=1, $F8=2),VLOOKUP($B8,Courts!$B$2:$K$50,10,false),0)</f>
        <v>0</v>
      </c>
      <c r="H8" s="41">
        <f t="shared" si="3"/>
        <v>0</v>
      </c>
      <c r="I8" s="40">
        <f>if(OR($F8=1, $F8=2),VLOOKUP($B8,Courts!$B$2:$J$50,5,false),0)</f>
        <v>0</v>
      </c>
      <c r="J8" s="40">
        <f>if(OR($F8=1, $F8=2),VLOOKUP($B8,Courts!$B$2:$J$50,6,false),0)</f>
        <v>0</v>
      </c>
      <c r="K8" s="40">
        <f>if(OR($F8=1, $F8=2),VLOOKUP($B8,Courts!$B$2:$J$50,7,false),0)</f>
        <v>0</v>
      </c>
      <c r="L8" s="44">
        <f t="shared" si="4"/>
        <v>0</v>
      </c>
      <c r="M8" s="40">
        <f>if(OR($F8=1, $F8=2),VLOOKUP($B8,Courts!$B$2:$J$50,9,false),0)</f>
        <v>0</v>
      </c>
      <c r="N8" s="47">
        <f t="shared" ref="N8:O8" si="12">C8+L8</f>
        <v>311</v>
      </c>
      <c r="O8" s="31">
        <f t="shared" si="12"/>
        <v>30</v>
      </c>
      <c r="P8" s="45" t="s">
        <v>58</v>
      </c>
      <c r="Q8" s="45" t="s">
        <v>58</v>
      </c>
      <c r="R8" s="45" t="s">
        <v>58</v>
      </c>
      <c r="S8" s="46">
        <f t="shared" si="6"/>
        <v>1</v>
      </c>
      <c r="T8" s="46"/>
      <c r="U8" s="46">
        <f t="shared" si="7"/>
        <v>1</v>
      </c>
      <c r="V8" s="46">
        <f t="shared" si="8"/>
        <v>4</v>
      </c>
      <c r="W8" s="30">
        <f t="shared" si="11"/>
        <v>4</v>
      </c>
    </row>
    <row r="9">
      <c r="A9" s="30">
        <f t="shared" si="9"/>
        <v>5</v>
      </c>
      <c r="B9" s="28" t="s">
        <v>92</v>
      </c>
      <c r="C9" s="31">
        <v>311.0</v>
      </c>
      <c r="D9" s="31">
        <v>29.0</v>
      </c>
      <c r="E9" s="36">
        <f t="shared" si="2"/>
        <v>14.9375</v>
      </c>
      <c r="F9" s="39">
        <f>if(isna(VLOOKUP(B9,Checkin!A:B,2,false)),0,VLOOKUP(B9,Checkin!A:B,2,false))</f>
        <v>0</v>
      </c>
      <c r="G9" s="40">
        <f>if(OR($F9=1, $F9=2),VLOOKUP($B9,Courts!$B$2:$K$50,10,false),0)</f>
        <v>0</v>
      </c>
      <c r="H9" s="41">
        <f t="shared" si="3"/>
        <v>0</v>
      </c>
      <c r="I9" s="40">
        <f>if(OR($F9=1, $F9=2),VLOOKUP($B9,Courts!$B$2:$J$50,5,false),0)</f>
        <v>0</v>
      </c>
      <c r="J9" s="40">
        <f>if(OR($F9=1, $F9=2),VLOOKUP($B9,Courts!$B$2:$J$50,6,false),0)</f>
        <v>0</v>
      </c>
      <c r="K9" s="40">
        <f>if(OR($F9=1, $F9=2),VLOOKUP($B9,Courts!$B$2:$J$50,7,false),0)</f>
        <v>0</v>
      </c>
      <c r="L9" s="44">
        <f t="shared" si="4"/>
        <v>0</v>
      </c>
      <c r="M9" s="40">
        <f>if(OR($F9=1, $F9=2),VLOOKUP($B9,Courts!$B$2:$J$50,9,false),0)</f>
        <v>0</v>
      </c>
      <c r="N9" s="31">
        <f t="shared" ref="N9:O9" si="13">C9+L9</f>
        <v>311</v>
      </c>
      <c r="O9" s="31">
        <f t="shared" si="13"/>
        <v>29</v>
      </c>
      <c r="P9" s="45" t="s">
        <v>58</v>
      </c>
      <c r="Q9" s="45" t="s">
        <v>58</v>
      </c>
      <c r="R9" s="45" t="s">
        <v>58</v>
      </c>
      <c r="S9" s="46">
        <f t="shared" si="6"/>
        <v>0</v>
      </c>
      <c r="T9" s="46"/>
      <c r="U9" s="46">
        <f t="shared" si="7"/>
        <v>8</v>
      </c>
      <c r="V9" s="46">
        <f t="shared" si="8"/>
        <v>-1</v>
      </c>
      <c r="W9" s="30">
        <f t="shared" si="11"/>
        <v>5</v>
      </c>
    </row>
    <row r="10">
      <c r="A10" s="30">
        <f t="shared" si="9"/>
        <v>6</v>
      </c>
      <c r="B10" s="43" t="s">
        <v>87</v>
      </c>
      <c r="C10" s="47">
        <v>311.0</v>
      </c>
      <c r="D10" s="31">
        <v>27.0</v>
      </c>
      <c r="E10" s="36">
        <f t="shared" si="2"/>
        <v>14.58823529</v>
      </c>
      <c r="F10" s="39">
        <f>if(isna(VLOOKUP(B10,Checkin!A:B,2,false)),0,VLOOKUP(B10,Checkin!A:B,2,false))</f>
        <v>0</v>
      </c>
      <c r="G10" s="40">
        <f>if(OR($F10=1, $F10=2),VLOOKUP($B10,Courts!$B$2:$K$50,10,false),0)</f>
        <v>0</v>
      </c>
      <c r="H10" s="41">
        <f t="shared" si="3"/>
        <v>0</v>
      </c>
      <c r="I10" s="40">
        <f>if(OR($F10=1, $F10=2),VLOOKUP($B10,Courts!$B$2:$J$50,5,false),0)</f>
        <v>0</v>
      </c>
      <c r="J10" s="40">
        <f>if(OR($F10=1, $F10=2),VLOOKUP($B10,Courts!$B$2:$J$50,6,false),0)</f>
        <v>0</v>
      </c>
      <c r="K10" s="40">
        <f>if(OR($F10=1, $F10=2),VLOOKUP($B10,Courts!$B$2:$J$50,7,false),0)</f>
        <v>0</v>
      </c>
      <c r="L10" s="44">
        <f t="shared" si="4"/>
        <v>0</v>
      </c>
      <c r="M10" s="40">
        <f>if(OR($F10=1, $F10=2),VLOOKUP($B10,Courts!$B$2:$J$50,9,false),0)</f>
        <v>0</v>
      </c>
      <c r="N10" s="47">
        <f t="shared" ref="N10:O10" si="14">C10+L10</f>
        <v>311</v>
      </c>
      <c r="O10" s="31">
        <f t="shared" si="14"/>
        <v>27</v>
      </c>
      <c r="P10" s="45" t="s">
        <v>58</v>
      </c>
      <c r="Q10" s="45" t="s">
        <v>58</v>
      </c>
      <c r="R10" s="45" t="s">
        <v>58</v>
      </c>
      <c r="S10" s="46">
        <f t="shared" si="6"/>
        <v>0</v>
      </c>
      <c r="T10" s="46"/>
      <c r="U10" s="46">
        <f t="shared" si="7"/>
        <v>7</v>
      </c>
      <c r="V10" s="46">
        <f t="shared" si="8"/>
        <v>0</v>
      </c>
      <c r="W10" s="30">
        <f t="shared" si="11"/>
        <v>6</v>
      </c>
    </row>
    <row r="11">
      <c r="A11" s="30">
        <f t="shared" si="9"/>
        <v>7</v>
      </c>
      <c r="B11" s="28" t="s">
        <v>101</v>
      </c>
      <c r="C11" s="31">
        <v>308.0</v>
      </c>
      <c r="D11" s="31">
        <v>22.0</v>
      </c>
      <c r="E11" s="36">
        <f t="shared" si="2"/>
        <v>14.5</v>
      </c>
      <c r="F11" s="39">
        <f>if(isna(VLOOKUP(B11,Checkin!A:B,2,false)),0,VLOOKUP(B11,Checkin!A:B,2,false))</f>
        <v>0</v>
      </c>
      <c r="G11" s="40">
        <f>if(OR($F11=1, $F11=2),VLOOKUP($B11,Courts!$B$2:$K$50,10,false),0)</f>
        <v>0</v>
      </c>
      <c r="H11" s="41">
        <f t="shared" si="3"/>
        <v>0</v>
      </c>
      <c r="I11" s="40">
        <f>if(OR($F11=1, $F11=2),VLOOKUP($B11,Courts!$B$2:$J$50,5,false),0)</f>
        <v>0</v>
      </c>
      <c r="J11" s="40">
        <f>if(OR($F11=1, $F11=2),VLOOKUP($B11,Courts!$B$2:$J$50,6,false),0)</f>
        <v>0</v>
      </c>
      <c r="K11" s="40">
        <f>if(OR($F11=1, $F11=2),VLOOKUP($B11,Courts!$B$2:$J$50,7,false),0)</f>
        <v>0</v>
      </c>
      <c r="L11" s="44">
        <f t="shared" si="4"/>
        <v>0</v>
      </c>
      <c r="M11" s="40">
        <f>if(OR($F11=1, $F11=2),VLOOKUP($B11,Courts!$B$2:$J$50,9,false),0)</f>
        <v>0</v>
      </c>
      <c r="N11" s="31">
        <f t="shared" ref="N11:O11" si="15">C11+L11</f>
        <v>308</v>
      </c>
      <c r="O11" s="31">
        <f t="shared" si="15"/>
        <v>22</v>
      </c>
      <c r="P11" s="45" t="s">
        <v>58</v>
      </c>
      <c r="Q11" s="45" t="s">
        <v>58</v>
      </c>
      <c r="R11" s="45" t="s">
        <v>58</v>
      </c>
      <c r="S11" s="46">
        <f t="shared" si="6"/>
        <v>1</v>
      </c>
      <c r="T11" s="46"/>
      <c r="U11" s="46">
        <f t="shared" si="7"/>
        <v>7</v>
      </c>
      <c r="V11" s="46">
        <f t="shared" si="8"/>
        <v>-2</v>
      </c>
      <c r="W11" s="30">
        <f t="shared" si="11"/>
        <v>7</v>
      </c>
    </row>
    <row r="12">
      <c r="A12" s="30">
        <f t="shared" si="9"/>
        <v>8</v>
      </c>
      <c r="B12" s="28" t="s">
        <v>104</v>
      </c>
      <c r="C12" s="31">
        <v>305.0</v>
      </c>
      <c r="D12" s="31">
        <v>24.0</v>
      </c>
      <c r="E12" s="36">
        <f t="shared" si="2"/>
        <v>13.47368421</v>
      </c>
      <c r="F12" s="39">
        <f>if(isna(VLOOKUP(B12,Checkin!A:B,2,false)),0,VLOOKUP(B12,Checkin!A:B,2,false))</f>
        <v>0</v>
      </c>
      <c r="G12" s="40">
        <f>if(OR($F12=1, $F12=2),VLOOKUP($B12,Courts!$B$2:$K$50,10,false),0)</f>
        <v>0</v>
      </c>
      <c r="H12" s="41">
        <f t="shared" si="3"/>
        <v>0</v>
      </c>
      <c r="I12" s="40">
        <f>if(OR($F12=1, $F12=2),VLOOKUP($B12,Courts!$B$2:$J$50,5,false),0)</f>
        <v>0</v>
      </c>
      <c r="J12" s="40">
        <f>if(OR($F12=1, $F12=2),VLOOKUP($B12,Courts!$B$2:$J$50,6,false),0)</f>
        <v>0</v>
      </c>
      <c r="K12" s="40">
        <f>if(OR($F12=1, $F12=2),VLOOKUP($B12,Courts!$B$2:$J$50,7,false),0)</f>
        <v>0</v>
      </c>
      <c r="L12" s="44">
        <f t="shared" si="4"/>
        <v>0</v>
      </c>
      <c r="M12" s="40">
        <f>if(OR($F12=1, $F12=2),VLOOKUP($B12,Courts!$B$2:$J$50,9,false),0)</f>
        <v>0</v>
      </c>
      <c r="N12" s="31">
        <f t="shared" ref="N12:O12" si="16">C12+L12</f>
        <v>305</v>
      </c>
      <c r="O12" s="31">
        <f t="shared" si="16"/>
        <v>24</v>
      </c>
      <c r="P12" s="45" t="s">
        <v>58</v>
      </c>
      <c r="Q12" s="45" t="s">
        <v>58</v>
      </c>
      <c r="R12" s="45" t="s">
        <v>58</v>
      </c>
      <c r="S12" s="46">
        <f t="shared" si="6"/>
        <v>1</v>
      </c>
      <c r="T12" s="46"/>
      <c r="U12" s="46">
        <f t="shared" si="7"/>
        <v>4</v>
      </c>
      <c r="V12" s="46">
        <f t="shared" si="8"/>
        <v>2</v>
      </c>
      <c r="W12" s="30">
        <f t="shared" si="11"/>
        <v>8</v>
      </c>
    </row>
    <row r="13">
      <c r="A13" s="30">
        <f t="shared" si="9"/>
        <v>9</v>
      </c>
      <c r="B13" s="43" t="s">
        <v>106</v>
      </c>
      <c r="C13" s="31">
        <v>303.0</v>
      </c>
      <c r="D13" s="31">
        <v>29.0</v>
      </c>
      <c r="E13" s="36">
        <f t="shared" si="2"/>
        <v>14.1875</v>
      </c>
      <c r="F13" s="39">
        <f>if(isna(VLOOKUP(B13,Checkin!A:B,2,false)),0,VLOOKUP(B13,Checkin!A:B,2,false))</f>
        <v>0</v>
      </c>
      <c r="G13" s="40">
        <f>if(OR($F13=1, $F13=2),VLOOKUP($B13,Courts!$B$2:$K$50,10,false),0)</f>
        <v>0</v>
      </c>
      <c r="H13" s="41">
        <f t="shared" si="3"/>
        <v>0</v>
      </c>
      <c r="I13" s="40">
        <f>if(OR($F13=1, $F13=2),VLOOKUP($B13,Courts!$B$2:$J$50,5,false),0)</f>
        <v>0</v>
      </c>
      <c r="J13" s="40">
        <f>if(OR($F13=1, $F13=2),VLOOKUP($B13,Courts!$B$2:$J$50,6,false),0)</f>
        <v>0</v>
      </c>
      <c r="K13" s="40">
        <f>if(OR($F13=1, $F13=2),VLOOKUP($B13,Courts!$B$2:$J$50,7,false),0)</f>
        <v>0</v>
      </c>
      <c r="L13" s="44">
        <f t="shared" si="4"/>
        <v>0</v>
      </c>
      <c r="M13" s="40">
        <f>if(OR($F13=1, $F13=2),VLOOKUP($B13,Courts!$B$2:$J$50,9,false),0)</f>
        <v>0</v>
      </c>
      <c r="N13" s="31">
        <f t="shared" ref="N13:O13" si="17">C13+L13</f>
        <v>303</v>
      </c>
      <c r="O13" s="31">
        <f t="shared" si="17"/>
        <v>29</v>
      </c>
      <c r="P13" s="45" t="s">
        <v>58</v>
      </c>
      <c r="Q13" s="45" t="s">
        <v>58</v>
      </c>
      <c r="R13" s="45" t="s">
        <v>58</v>
      </c>
      <c r="S13" s="46">
        <f t="shared" si="6"/>
        <v>1</v>
      </c>
      <c r="T13" s="46"/>
      <c r="U13" s="46">
        <f t="shared" si="7"/>
        <v>7</v>
      </c>
      <c r="V13" s="46">
        <f t="shared" si="8"/>
        <v>8</v>
      </c>
      <c r="W13" s="30">
        <f t="shared" si="11"/>
        <v>9</v>
      </c>
    </row>
    <row r="14">
      <c r="A14" s="30">
        <f t="shared" si="9"/>
        <v>10</v>
      </c>
      <c r="B14" s="28" t="s">
        <v>97</v>
      </c>
      <c r="C14" s="31">
        <v>303.0</v>
      </c>
      <c r="D14" s="31">
        <v>24.0</v>
      </c>
      <c r="E14" s="36">
        <f t="shared" si="2"/>
        <v>13.64705882</v>
      </c>
      <c r="F14" s="39">
        <f>if(isna(VLOOKUP(B14,Checkin!A:B,2,false)),0,VLOOKUP(B14,Checkin!A:B,2,false))</f>
        <v>0</v>
      </c>
      <c r="G14" s="40">
        <f>if(OR($F14=1, $F14=2),VLOOKUP($B14,Courts!$B$2:$K$50,10,false),0)</f>
        <v>0</v>
      </c>
      <c r="H14" s="41">
        <f t="shared" si="3"/>
        <v>0</v>
      </c>
      <c r="I14" s="40">
        <f>if(OR($F14=1, $F14=2),VLOOKUP($B14,Courts!$B$2:$J$50,5,false),0)</f>
        <v>0</v>
      </c>
      <c r="J14" s="40">
        <f>if(OR($F14=1, $F14=2),VLOOKUP($B14,Courts!$B$2:$J$50,6,false),0)</f>
        <v>0</v>
      </c>
      <c r="K14" s="40">
        <f>if(OR($F14=1, $F14=2),VLOOKUP($B14,Courts!$B$2:$J$50,7,false),0)</f>
        <v>0</v>
      </c>
      <c r="L14" s="44">
        <f t="shared" si="4"/>
        <v>0</v>
      </c>
      <c r="M14" s="40">
        <f>if(OR($F14=1, $F14=2),VLOOKUP($B14,Courts!$B$2:$J$50,9,false),0)</f>
        <v>0</v>
      </c>
      <c r="N14" s="31">
        <f t="shared" ref="N14:O14" si="18">C14+L14</f>
        <v>303</v>
      </c>
      <c r="O14" s="31">
        <f t="shared" si="18"/>
        <v>24</v>
      </c>
      <c r="P14" s="45" t="s">
        <v>58</v>
      </c>
      <c r="Q14" s="45" t="s">
        <v>58</v>
      </c>
      <c r="R14" s="45" t="s">
        <v>58</v>
      </c>
      <c r="S14" s="46">
        <f t="shared" si="6"/>
        <v>2</v>
      </c>
      <c r="T14" s="46"/>
      <c r="U14" s="46">
        <f t="shared" si="7"/>
        <v>5</v>
      </c>
      <c r="V14" s="46">
        <f t="shared" si="8"/>
        <v>-3</v>
      </c>
      <c r="W14" s="30">
        <f t="shared" si="11"/>
        <v>10</v>
      </c>
    </row>
    <row r="15">
      <c r="A15" s="30">
        <f t="shared" si="9"/>
        <v>11</v>
      </c>
      <c r="B15" s="43" t="s">
        <v>107</v>
      </c>
      <c r="C15" s="31">
        <v>303.0</v>
      </c>
      <c r="D15" s="31">
        <v>20.0</v>
      </c>
      <c r="E15" s="36">
        <f t="shared" si="2"/>
        <v>13.88235294</v>
      </c>
      <c r="F15" s="39">
        <f>if(isna(VLOOKUP(B15,Checkin!A:B,2,false)),0,VLOOKUP(B15,Checkin!A:B,2,false))</f>
        <v>0</v>
      </c>
      <c r="G15" s="40">
        <f>if(OR($F15=1, $F15=2),VLOOKUP($B15,Courts!$B$2:$K$50,10,false),0)</f>
        <v>0</v>
      </c>
      <c r="H15" s="41">
        <f t="shared" si="3"/>
        <v>0</v>
      </c>
      <c r="I15" s="40">
        <f>if(OR($F15=1, $F15=2),VLOOKUP($B15,Courts!$B$2:$J$50,5,false),0)</f>
        <v>0</v>
      </c>
      <c r="J15" s="40">
        <f>if(OR($F15=1, $F15=2),VLOOKUP($B15,Courts!$B$2:$J$50,6,false),0)</f>
        <v>0</v>
      </c>
      <c r="K15" s="40">
        <f>if(OR($F15=1, $F15=2),VLOOKUP($B15,Courts!$B$2:$J$50,7,false),0)</f>
        <v>0</v>
      </c>
      <c r="L15" s="44">
        <f t="shared" si="4"/>
        <v>0</v>
      </c>
      <c r="M15" s="40">
        <f>if(OR($F15=1, $F15=2),VLOOKUP($B15,Courts!$B$2:$J$50,9,false),0)</f>
        <v>0</v>
      </c>
      <c r="N15" s="31">
        <f t="shared" ref="N15:O15" si="19">C15+L15</f>
        <v>303</v>
      </c>
      <c r="O15" s="31">
        <f t="shared" si="19"/>
        <v>20</v>
      </c>
      <c r="P15" s="45" t="s">
        <v>58</v>
      </c>
      <c r="Q15" s="45" t="s">
        <v>58</v>
      </c>
      <c r="R15" s="45" t="s">
        <v>58</v>
      </c>
      <c r="S15" s="46">
        <f t="shared" si="6"/>
        <v>1</v>
      </c>
      <c r="T15" s="46"/>
      <c r="U15" s="46">
        <f t="shared" si="7"/>
        <v>6</v>
      </c>
      <c r="V15" s="46">
        <f t="shared" si="8"/>
        <v>1</v>
      </c>
      <c r="W15" s="30">
        <f t="shared" si="11"/>
        <v>11</v>
      </c>
    </row>
    <row r="16">
      <c r="A16" s="30">
        <f t="shared" si="9"/>
        <v>12</v>
      </c>
      <c r="B16" s="48" t="s">
        <v>82</v>
      </c>
      <c r="C16" s="31">
        <v>301.0</v>
      </c>
      <c r="D16" s="31">
        <v>24.0</v>
      </c>
      <c r="E16" s="36">
        <f t="shared" si="2"/>
        <v>13.76470588</v>
      </c>
      <c r="F16" s="39">
        <f>if(isna(VLOOKUP(B16,Checkin!A:B,2,false)),0,VLOOKUP(B16,Checkin!A:B,2,false))</f>
        <v>0</v>
      </c>
      <c r="G16" s="40">
        <f>if(OR($F16=1, $F16=2),VLOOKUP($B16,Courts!$B$2:$K$50,10,false),0)</f>
        <v>0</v>
      </c>
      <c r="H16" s="41">
        <f t="shared" si="3"/>
        <v>0</v>
      </c>
      <c r="I16" s="40">
        <f>if(OR($F16=1, $F16=2),VLOOKUP($B16,Courts!$B$2:$J$50,5,false),0)</f>
        <v>0</v>
      </c>
      <c r="J16" s="40">
        <f>if(OR($F16=1, $F16=2),VLOOKUP($B16,Courts!$B$2:$J$50,6,false),0)</f>
        <v>0</v>
      </c>
      <c r="K16" s="40">
        <f>if(OR($F16=1, $F16=2),VLOOKUP($B16,Courts!$B$2:$J$50,7,false),0)</f>
        <v>0</v>
      </c>
      <c r="L16" s="44">
        <f t="shared" si="4"/>
        <v>0</v>
      </c>
      <c r="M16" s="40">
        <f>if(OR($F16=1, $F16=2),VLOOKUP($B16,Courts!$B$2:$J$50,9,false),0)</f>
        <v>0</v>
      </c>
      <c r="N16" s="31">
        <f t="shared" ref="N16:O16" si="20">C16+L16</f>
        <v>301</v>
      </c>
      <c r="O16" s="31">
        <f t="shared" si="20"/>
        <v>24</v>
      </c>
      <c r="P16" s="45" t="s">
        <v>58</v>
      </c>
      <c r="Q16" s="45" t="s">
        <v>58</v>
      </c>
      <c r="R16" s="45" t="s">
        <v>58</v>
      </c>
      <c r="S16" s="46">
        <f t="shared" si="6"/>
        <v>1</v>
      </c>
      <c r="T16" s="46"/>
      <c r="U16" s="46">
        <f t="shared" si="7"/>
        <v>6</v>
      </c>
      <c r="V16" s="46">
        <f t="shared" si="8"/>
        <v>-3</v>
      </c>
      <c r="W16" s="30">
        <f t="shared" si="11"/>
        <v>12</v>
      </c>
    </row>
    <row r="17">
      <c r="A17" s="30">
        <f t="shared" si="9"/>
        <v>13</v>
      </c>
      <c r="B17" s="28" t="s">
        <v>105</v>
      </c>
      <c r="C17" s="31">
        <v>299.0</v>
      </c>
      <c r="D17" s="31">
        <v>26.0</v>
      </c>
      <c r="E17" s="36">
        <f t="shared" si="2"/>
        <v>14.26666667</v>
      </c>
      <c r="F17" s="39">
        <f>if(isna(VLOOKUP(B17,Checkin!A:B,2,false)),0,VLOOKUP(B17,Checkin!A:B,2,false))</f>
        <v>0</v>
      </c>
      <c r="G17" s="40">
        <f>if(OR($F17=1, $F17=2),VLOOKUP($B17,Courts!$B$2:$K$50,10,false),0)</f>
        <v>0</v>
      </c>
      <c r="H17" s="41">
        <f t="shared" si="3"/>
        <v>0</v>
      </c>
      <c r="I17" s="40">
        <f>if(OR($F17=1, $F17=2),VLOOKUP($B17,Courts!$B$2:$J$50,5,false),0)</f>
        <v>0</v>
      </c>
      <c r="J17" s="40">
        <f>if(OR($F17=1, $F17=2),VLOOKUP($B17,Courts!$B$2:$J$50,6,false),0)</f>
        <v>0</v>
      </c>
      <c r="K17" s="40">
        <f>if(OR($F17=1, $F17=2),VLOOKUP($B17,Courts!$B$2:$J$50,7,false),0)</f>
        <v>0</v>
      </c>
      <c r="L17" s="44">
        <f t="shared" si="4"/>
        <v>0</v>
      </c>
      <c r="M17" s="40">
        <f>if(OR($F17=1, $F17=2),VLOOKUP($B17,Courts!$B$2:$J$50,9,false),0)</f>
        <v>0</v>
      </c>
      <c r="N17" s="31">
        <f t="shared" ref="N17:O17" si="21">C17+L17</f>
        <v>299</v>
      </c>
      <c r="O17" s="31">
        <f t="shared" si="21"/>
        <v>26</v>
      </c>
      <c r="P17" s="45" t="s">
        <v>58</v>
      </c>
      <c r="Q17" s="45" t="s">
        <v>58</v>
      </c>
      <c r="R17" s="45" t="s">
        <v>58</v>
      </c>
      <c r="S17" s="46">
        <f t="shared" si="6"/>
        <v>1</v>
      </c>
      <c r="T17" s="46"/>
      <c r="U17" s="46">
        <f t="shared" si="7"/>
        <v>8</v>
      </c>
      <c r="V17" s="46">
        <f t="shared" si="8"/>
        <v>-2</v>
      </c>
      <c r="W17" s="30">
        <f t="shared" si="11"/>
        <v>13</v>
      </c>
    </row>
    <row r="18">
      <c r="A18" s="30">
        <f t="shared" si="9"/>
        <v>14</v>
      </c>
      <c r="B18" s="28" t="s">
        <v>116</v>
      </c>
      <c r="C18" s="31">
        <v>298.0</v>
      </c>
      <c r="D18" s="31">
        <v>25.0</v>
      </c>
      <c r="E18" s="36">
        <f t="shared" si="2"/>
        <v>15.5</v>
      </c>
      <c r="F18" s="39">
        <f>if(isna(VLOOKUP(B18,Checkin!A:B,2,false)),0,VLOOKUP(B18,Checkin!A:B,2,false))</f>
        <v>0</v>
      </c>
      <c r="G18" s="40">
        <f>if(OR($F18=1, $F18=2),VLOOKUP($B18,Courts!$B$2:$K$50,10,false),0)</f>
        <v>0</v>
      </c>
      <c r="H18" s="41">
        <f t="shared" si="3"/>
        <v>0</v>
      </c>
      <c r="I18" s="40">
        <f>if(OR($F18=1, $F18=2),VLOOKUP($B18,Courts!$B$2:$J$50,5,false),0)</f>
        <v>0</v>
      </c>
      <c r="J18" s="40">
        <f>if(OR($F18=1, $F18=2),VLOOKUP($B18,Courts!$B$2:$J$50,6,false),0)</f>
        <v>0</v>
      </c>
      <c r="K18" s="40">
        <f>if(OR($F18=1, $F18=2),VLOOKUP($B18,Courts!$B$2:$J$50,7,false),0)</f>
        <v>0</v>
      </c>
      <c r="L18" s="44">
        <f t="shared" si="4"/>
        <v>0</v>
      </c>
      <c r="M18" s="40">
        <f>if(OR($F18=1, $F18=2),VLOOKUP($B18,Courts!$B$2:$J$50,9,false),0)</f>
        <v>0</v>
      </c>
      <c r="N18" s="31">
        <f t="shared" ref="N18:O18" si="22">C18+L18</f>
        <v>298</v>
      </c>
      <c r="O18" s="31">
        <f t="shared" si="22"/>
        <v>25</v>
      </c>
      <c r="P18" s="45" t="s">
        <v>58</v>
      </c>
      <c r="Q18" s="45" t="s">
        <v>58</v>
      </c>
      <c r="R18" s="45" t="s">
        <v>58</v>
      </c>
      <c r="S18" s="46">
        <f t="shared" si="6"/>
        <v>1</v>
      </c>
      <c r="T18" s="46"/>
      <c r="U18" s="46">
        <f t="shared" si="7"/>
        <v>11</v>
      </c>
      <c r="V18" s="46">
        <f t="shared" si="8"/>
        <v>13</v>
      </c>
      <c r="W18" s="30">
        <f t="shared" si="11"/>
        <v>14</v>
      </c>
    </row>
    <row r="19">
      <c r="A19" s="30">
        <f t="shared" si="9"/>
        <v>15</v>
      </c>
      <c r="B19" s="28" t="s">
        <v>95</v>
      </c>
      <c r="C19" s="31">
        <v>297.0</v>
      </c>
      <c r="D19" s="31">
        <v>26.0</v>
      </c>
      <c r="E19" s="36">
        <f t="shared" si="2"/>
        <v>14.0625</v>
      </c>
      <c r="F19" s="39">
        <f>if(isna(VLOOKUP(B19,Checkin!A:B,2,false)),0,VLOOKUP(B19,Checkin!A:B,2,false))</f>
        <v>0</v>
      </c>
      <c r="G19" s="40">
        <f>if(OR($F19=1, $F19=2),VLOOKUP($B19,Courts!$B$2:$K$50,10,false),0)</f>
        <v>0</v>
      </c>
      <c r="H19" s="41">
        <f t="shared" si="3"/>
        <v>0</v>
      </c>
      <c r="I19" s="40">
        <f>if(OR($F19=1, $F19=2),VLOOKUP($B19,Courts!$B$2:$J$50,5,false),0)</f>
        <v>0</v>
      </c>
      <c r="J19" s="40">
        <f>if(OR($F19=1, $F19=2),VLOOKUP($B19,Courts!$B$2:$J$50,6,false),0)</f>
        <v>0</v>
      </c>
      <c r="K19" s="40">
        <f>if(OR($F19=1, $F19=2),VLOOKUP($B19,Courts!$B$2:$J$50,7,false),0)</f>
        <v>0</v>
      </c>
      <c r="L19" s="44">
        <f t="shared" si="4"/>
        <v>0</v>
      </c>
      <c r="M19" s="40">
        <f>if(OR($F19=1, $F19=2),VLOOKUP($B19,Courts!$B$2:$J$50,9,false),0)</f>
        <v>0</v>
      </c>
      <c r="N19" s="31">
        <f t="shared" ref="N19:O19" si="23">C19+L19</f>
        <v>297</v>
      </c>
      <c r="O19" s="31">
        <f t="shared" si="23"/>
        <v>26</v>
      </c>
      <c r="P19" s="45" t="s">
        <v>58</v>
      </c>
      <c r="Q19" s="45" t="s">
        <v>58</v>
      </c>
      <c r="R19" s="45" t="s">
        <v>58</v>
      </c>
      <c r="S19" s="46">
        <f t="shared" si="6"/>
        <v>0</v>
      </c>
      <c r="T19" s="46"/>
      <c r="U19" s="46">
        <f t="shared" si="7"/>
        <v>8</v>
      </c>
      <c r="V19" s="46">
        <f t="shared" si="8"/>
        <v>6</v>
      </c>
      <c r="W19" s="30">
        <f t="shared" si="11"/>
        <v>15</v>
      </c>
    </row>
    <row r="20">
      <c r="A20" s="30">
        <f t="shared" si="9"/>
        <v>16</v>
      </c>
      <c r="B20" s="28" t="s">
        <v>67</v>
      </c>
      <c r="C20" s="31">
        <v>297.0</v>
      </c>
      <c r="D20" s="31">
        <v>25.0</v>
      </c>
      <c r="E20" s="36">
        <f t="shared" si="2"/>
        <v>16</v>
      </c>
      <c r="F20" s="39">
        <f>if(isna(VLOOKUP(B20,Checkin!A:B,2,false)),0,VLOOKUP(B20,Checkin!A:B,2,false))</f>
        <v>0</v>
      </c>
      <c r="G20" s="40">
        <f>if(OR($F20=1, $F20=2),VLOOKUP($B20,Courts!$B$2:$K$50,10,false),0)</f>
        <v>0</v>
      </c>
      <c r="H20" s="41">
        <f t="shared" si="3"/>
        <v>0</v>
      </c>
      <c r="I20" s="40">
        <f>if(OR($F20=1, $F20=2),VLOOKUP($B20,Courts!$B$2:$J$50,5,false),0)</f>
        <v>0</v>
      </c>
      <c r="J20" s="40">
        <f>if(OR($F20=1, $F20=2),VLOOKUP($B20,Courts!$B$2:$J$50,6,false),0)</f>
        <v>0</v>
      </c>
      <c r="K20" s="40">
        <f>if(OR($F20=1, $F20=2),VLOOKUP($B20,Courts!$B$2:$J$50,7,false),0)</f>
        <v>0</v>
      </c>
      <c r="L20" s="44">
        <f t="shared" si="4"/>
        <v>0</v>
      </c>
      <c r="M20" s="40">
        <f>if(OR($F20=1, $F20=2),VLOOKUP($B20,Courts!$B$2:$J$50,9,false),0)</f>
        <v>0</v>
      </c>
      <c r="N20" s="31">
        <f t="shared" ref="N20:O20" si="24">C20+L20</f>
        <v>297</v>
      </c>
      <c r="O20" s="31">
        <f t="shared" si="24"/>
        <v>25</v>
      </c>
      <c r="P20" s="45" t="s">
        <v>58</v>
      </c>
      <c r="Q20" s="45" t="s">
        <v>58</v>
      </c>
      <c r="R20" s="45" t="s">
        <v>58</v>
      </c>
      <c r="S20" s="46">
        <f t="shared" si="6"/>
        <v>1</v>
      </c>
      <c r="T20" s="46"/>
      <c r="U20" s="46">
        <f t="shared" si="7"/>
        <v>12</v>
      </c>
      <c r="V20" s="46">
        <f t="shared" si="8"/>
        <v>-3</v>
      </c>
      <c r="W20" s="30">
        <f t="shared" si="11"/>
        <v>16</v>
      </c>
    </row>
    <row r="21">
      <c r="A21" s="30">
        <f t="shared" si="9"/>
        <v>17</v>
      </c>
      <c r="B21" s="43" t="s">
        <v>121</v>
      </c>
      <c r="C21" s="31">
        <v>296.0</v>
      </c>
      <c r="D21" s="31">
        <v>22.0</v>
      </c>
      <c r="E21" s="36">
        <f t="shared" si="2"/>
        <v>16.6</v>
      </c>
      <c r="F21" s="39">
        <f>if(isna(VLOOKUP(B21,Checkin!A:B,2,false)),0,VLOOKUP(B21,Checkin!A:B,2,false))</f>
        <v>0</v>
      </c>
      <c r="G21" s="40">
        <f>if(OR($F21=1, $F21=2),VLOOKUP($B21,Courts!$B$2:$K$50,10,false),0)</f>
        <v>0</v>
      </c>
      <c r="H21" s="41">
        <f t="shared" si="3"/>
        <v>0</v>
      </c>
      <c r="I21" s="40">
        <f>if(OR($F21=1, $F21=2),VLOOKUP($B21,Courts!$B$2:$J$50,5,false),0)</f>
        <v>0</v>
      </c>
      <c r="J21" s="40">
        <f>if(OR($F21=1, $F21=2),VLOOKUP($B21,Courts!$B$2:$J$50,6,false),0)</f>
        <v>0</v>
      </c>
      <c r="K21" s="40">
        <f>if(OR($F21=1, $F21=2),VLOOKUP($B21,Courts!$B$2:$J$50,7,false),0)</f>
        <v>0</v>
      </c>
      <c r="L21" s="44">
        <f t="shared" si="4"/>
        <v>0</v>
      </c>
      <c r="M21" s="40">
        <f>if(OR($F21=1, $F21=2),VLOOKUP($B21,Courts!$B$2:$J$50,9,false),0)</f>
        <v>0</v>
      </c>
      <c r="N21" s="31">
        <f t="shared" ref="N21:O21" si="25">C21+L21</f>
        <v>296</v>
      </c>
      <c r="O21" s="31">
        <f t="shared" si="25"/>
        <v>22</v>
      </c>
      <c r="P21" s="45" t="s">
        <v>58</v>
      </c>
      <c r="Q21" s="45" t="s">
        <v>58</v>
      </c>
      <c r="R21" s="45" t="s">
        <v>58</v>
      </c>
      <c r="S21" s="46">
        <f t="shared" si="6"/>
        <v>1</v>
      </c>
      <c r="T21" s="46"/>
      <c r="U21" s="46">
        <f t="shared" si="7"/>
        <v>13</v>
      </c>
      <c r="V21" s="46">
        <f t="shared" si="8"/>
        <v>-3</v>
      </c>
      <c r="W21" s="30">
        <f t="shared" si="11"/>
        <v>17</v>
      </c>
    </row>
    <row r="22">
      <c r="A22" s="30">
        <f t="shared" si="9"/>
        <v>18</v>
      </c>
      <c r="B22" s="43" t="s">
        <v>94</v>
      </c>
      <c r="C22" s="31">
        <v>296.0</v>
      </c>
      <c r="D22" s="31">
        <v>22.0</v>
      </c>
      <c r="E22" s="36">
        <f t="shared" si="2"/>
        <v>15.33333333</v>
      </c>
      <c r="F22" s="39">
        <f>if(isna(VLOOKUP(B22,Checkin!A:B,2,false)),0,VLOOKUP(B22,Checkin!A:B,2,false))</f>
        <v>0</v>
      </c>
      <c r="G22" s="40">
        <f>if(OR($F22=1, $F22=2),VLOOKUP($B22,Courts!$B$2:$K$50,10,false),0)</f>
        <v>0</v>
      </c>
      <c r="H22" s="41">
        <f t="shared" si="3"/>
        <v>0</v>
      </c>
      <c r="I22" s="40">
        <f>if(OR($F22=1, $F22=2),VLOOKUP($B22,Courts!$B$2:$J$50,5,false),0)</f>
        <v>0</v>
      </c>
      <c r="J22" s="40">
        <f>if(OR($F22=1, $F22=2),VLOOKUP($B22,Courts!$B$2:$J$50,6,false),0)</f>
        <v>0</v>
      </c>
      <c r="K22" s="40">
        <f>if(OR($F22=1, $F22=2),VLOOKUP($B22,Courts!$B$2:$J$50,7,false),0)</f>
        <v>0</v>
      </c>
      <c r="L22" s="44">
        <f t="shared" si="4"/>
        <v>0</v>
      </c>
      <c r="M22" s="40">
        <f>if(OR($F22=1, $F22=2),VLOOKUP($B22,Courts!$B$2:$J$50,9,false),0)</f>
        <v>0</v>
      </c>
      <c r="N22" s="31">
        <f t="shared" ref="N22:O22" si="26">C22+L22</f>
        <v>296</v>
      </c>
      <c r="O22" s="31">
        <f t="shared" si="26"/>
        <v>22</v>
      </c>
      <c r="P22" s="45" t="s">
        <v>58</v>
      </c>
      <c r="Q22" s="45" t="s">
        <v>58</v>
      </c>
      <c r="R22" s="45" t="s">
        <v>58</v>
      </c>
      <c r="S22" s="46">
        <f t="shared" si="6"/>
        <v>1</v>
      </c>
      <c r="T22" s="46"/>
      <c r="U22" s="46">
        <f t="shared" si="7"/>
        <v>11</v>
      </c>
      <c r="V22" s="46">
        <f t="shared" si="8"/>
        <v>-3</v>
      </c>
      <c r="W22" s="30">
        <f t="shared" si="11"/>
        <v>18</v>
      </c>
    </row>
    <row r="23">
      <c r="A23" s="30">
        <f t="shared" si="9"/>
        <v>19</v>
      </c>
      <c r="B23" s="43" t="s">
        <v>56</v>
      </c>
      <c r="C23" s="31">
        <v>295.0</v>
      </c>
      <c r="D23" s="31">
        <v>28.0</v>
      </c>
      <c r="E23" s="36">
        <f t="shared" si="2"/>
        <v>12.29166667</v>
      </c>
      <c r="F23" s="39">
        <f>if(isna(VLOOKUP(B23,Checkin!A:B,2,false)),0,VLOOKUP(B23,Checkin!A:B,2,false))</f>
        <v>0</v>
      </c>
      <c r="G23" s="40">
        <f>if(OR($F23=1, $F23=2),VLOOKUP($B23,Courts!$B$2:$K$50,10,false),0)</f>
        <v>0</v>
      </c>
      <c r="H23" s="41">
        <f t="shared" si="3"/>
        <v>0</v>
      </c>
      <c r="I23" s="40">
        <f>if(OR($F23=1, $F23=2),VLOOKUP($B23,Courts!$B$2:$J$50,5,false),0)</f>
        <v>0</v>
      </c>
      <c r="J23" s="40">
        <f>if(OR($F23=1, $F23=2),VLOOKUP($B23,Courts!$B$2:$J$50,6,false),0)</f>
        <v>0</v>
      </c>
      <c r="K23" s="40">
        <f>if(OR($F23=1, $F23=2),VLOOKUP($B23,Courts!$B$2:$J$50,7,false),0)</f>
        <v>0</v>
      </c>
      <c r="L23" s="44">
        <f t="shared" si="4"/>
        <v>0</v>
      </c>
      <c r="M23" s="40">
        <f>if(OR($F23=1, $F23=2),VLOOKUP($B23,Courts!$B$2:$J$50,9,false),0)</f>
        <v>0</v>
      </c>
      <c r="N23" s="31">
        <f t="shared" ref="N23:O23" si="27">C23+L23</f>
        <v>295</v>
      </c>
      <c r="O23" s="31">
        <f t="shared" si="27"/>
        <v>28</v>
      </c>
      <c r="P23" s="45" t="s">
        <v>58</v>
      </c>
      <c r="Q23" s="45" t="s">
        <v>58</v>
      </c>
      <c r="R23" s="45" t="s">
        <v>58</v>
      </c>
      <c r="S23" s="46">
        <f t="shared" si="6"/>
        <v>0</v>
      </c>
      <c r="T23" s="46"/>
      <c r="U23" s="46">
        <f t="shared" si="7"/>
        <v>0</v>
      </c>
      <c r="V23" s="46">
        <f t="shared" si="8"/>
        <v>1</v>
      </c>
      <c r="W23" s="30">
        <f t="shared" si="11"/>
        <v>19</v>
      </c>
    </row>
    <row r="24">
      <c r="A24" s="30">
        <f t="shared" si="9"/>
        <v>20</v>
      </c>
      <c r="B24" s="43" t="s">
        <v>129</v>
      </c>
      <c r="C24" s="47">
        <v>295.0</v>
      </c>
      <c r="D24" s="31">
        <v>25.0</v>
      </c>
      <c r="E24" s="36">
        <f t="shared" si="2"/>
        <v>12.76190476</v>
      </c>
      <c r="F24" s="39">
        <f>if(isna(VLOOKUP(B24,Checkin!A:B,2,false)),0,VLOOKUP(B24,Checkin!A:B,2,false))</f>
        <v>0</v>
      </c>
      <c r="G24" s="40">
        <f>if(OR($F24=1, $F24=2),VLOOKUP($B24,Courts!$B$2:$K$50,10,false),0)</f>
        <v>0</v>
      </c>
      <c r="H24" s="41">
        <f t="shared" si="3"/>
        <v>0</v>
      </c>
      <c r="I24" s="40">
        <f>if(OR($F24=1, $F24=2),VLOOKUP($B24,Courts!$B$2:$J$50,5,false),0)</f>
        <v>0</v>
      </c>
      <c r="J24" s="40">
        <f>if(OR($F24=1, $F24=2),VLOOKUP($B24,Courts!$B$2:$J$50,6,false),0)</f>
        <v>0</v>
      </c>
      <c r="K24" s="40">
        <f>if(OR($F24=1, $F24=2),VLOOKUP($B24,Courts!$B$2:$J$50,7,false),0)</f>
        <v>0</v>
      </c>
      <c r="L24" s="44">
        <f t="shared" si="4"/>
        <v>0</v>
      </c>
      <c r="M24" s="40">
        <f>if(OR($F24=1, $F24=2),VLOOKUP($B24,Courts!$B$2:$J$50,9,false),0)</f>
        <v>0</v>
      </c>
      <c r="N24" s="47">
        <f t="shared" ref="N24:O24" si="28">C24+L24</f>
        <v>295</v>
      </c>
      <c r="O24" s="31">
        <f t="shared" si="28"/>
        <v>25</v>
      </c>
      <c r="P24" s="45" t="s">
        <v>58</v>
      </c>
      <c r="Q24" s="45" t="s">
        <v>58</v>
      </c>
      <c r="R24" s="45" t="s">
        <v>58</v>
      </c>
      <c r="S24" s="46">
        <f t="shared" si="6"/>
        <v>0</v>
      </c>
      <c r="T24" s="46"/>
      <c r="U24" s="46">
        <f t="shared" si="7"/>
        <v>3</v>
      </c>
      <c r="V24" s="46">
        <f t="shared" si="8"/>
        <v>2</v>
      </c>
      <c r="W24" s="30">
        <f t="shared" si="11"/>
        <v>20</v>
      </c>
    </row>
    <row r="25">
      <c r="A25" s="30">
        <f t="shared" si="9"/>
        <v>21</v>
      </c>
      <c r="B25" s="28" t="s">
        <v>117</v>
      </c>
      <c r="C25" s="31">
        <v>295.0</v>
      </c>
      <c r="D25" s="31">
        <v>24.0</v>
      </c>
      <c r="E25" s="36">
        <f t="shared" si="2"/>
        <v>16.5</v>
      </c>
      <c r="F25" s="39">
        <f>if(isna(VLOOKUP(B25,Checkin!A:B,2,false)),0,VLOOKUP(B25,Checkin!A:B,2,false))</f>
        <v>0</v>
      </c>
      <c r="G25" s="40">
        <f>if(OR($F25=1, $F25=2),VLOOKUP($B25,Courts!$B$2:$K$50,10,false),0)</f>
        <v>0</v>
      </c>
      <c r="H25" s="41">
        <f t="shared" si="3"/>
        <v>0</v>
      </c>
      <c r="I25" s="40">
        <f>if(OR($F25=1, $F25=2),VLOOKUP($B25,Courts!$B$2:$J$50,5,false),0)</f>
        <v>0</v>
      </c>
      <c r="J25" s="40">
        <f>if(OR($F25=1, $F25=2),VLOOKUP($B25,Courts!$B$2:$J$50,6,false),0)</f>
        <v>0</v>
      </c>
      <c r="K25" s="40">
        <f>if(OR($F25=1, $F25=2),VLOOKUP($B25,Courts!$B$2:$J$50,7,false),0)</f>
        <v>0</v>
      </c>
      <c r="L25" s="44">
        <f t="shared" si="4"/>
        <v>0</v>
      </c>
      <c r="M25" s="40">
        <f>if(OR($F25=1, $F25=2),VLOOKUP($B25,Courts!$B$2:$J$50,9,false),0)</f>
        <v>0</v>
      </c>
      <c r="N25" s="31">
        <f t="shared" ref="N25:O25" si="29">C25+L25</f>
        <v>295</v>
      </c>
      <c r="O25" s="31">
        <f t="shared" si="29"/>
        <v>24</v>
      </c>
      <c r="P25" s="45" t="s">
        <v>58</v>
      </c>
      <c r="Q25" s="45" t="s">
        <v>58</v>
      </c>
      <c r="R25" s="45" t="s">
        <v>58</v>
      </c>
      <c r="S25" s="46">
        <f t="shared" si="6"/>
        <v>1</v>
      </c>
      <c r="T25" s="46"/>
      <c r="U25" s="46">
        <f t="shared" si="7"/>
        <v>13</v>
      </c>
      <c r="V25" s="46">
        <f t="shared" si="8"/>
        <v>-5</v>
      </c>
      <c r="W25" s="30">
        <f t="shared" si="11"/>
        <v>21</v>
      </c>
    </row>
    <row r="26">
      <c r="A26" s="30">
        <f t="shared" si="9"/>
        <v>22</v>
      </c>
      <c r="B26" s="28" t="s">
        <v>128</v>
      </c>
      <c r="C26" s="31">
        <v>294.0</v>
      </c>
      <c r="D26" s="31">
        <v>25.0</v>
      </c>
      <c r="E26" s="36">
        <f t="shared" si="2"/>
        <v>16.09090909</v>
      </c>
      <c r="F26" s="39">
        <f>if(isna(VLOOKUP(B26,Checkin!A:B,2,false)),0,VLOOKUP(B26,Checkin!A:B,2,false))</f>
        <v>0</v>
      </c>
      <c r="G26" s="40">
        <f>if(OR($F26=1, $F26=2),VLOOKUP($B26,Courts!$B$2:$K$50,10,false),0)</f>
        <v>0</v>
      </c>
      <c r="H26" s="41">
        <f t="shared" si="3"/>
        <v>0</v>
      </c>
      <c r="I26" s="40">
        <f>if(OR($F26=1, $F26=2),VLOOKUP($B26,Courts!$B$2:$J$50,5,false),0)</f>
        <v>0</v>
      </c>
      <c r="J26" s="40">
        <f>if(OR($F26=1, $F26=2),VLOOKUP($B26,Courts!$B$2:$J$50,6,false),0)</f>
        <v>0</v>
      </c>
      <c r="K26" s="40">
        <f>if(OR($F26=1, $F26=2),VLOOKUP($B26,Courts!$B$2:$J$50,7,false),0)</f>
        <v>0</v>
      </c>
      <c r="L26" s="44">
        <f t="shared" si="4"/>
        <v>0</v>
      </c>
      <c r="M26" s="40">
        <f>if(OR($F26=1, $F26=2),VLOOKUP($B26,Courts!$B$2:$J$50,9,false),0)</f>
        <v>0</v>
      </c>
      <c r="N26" s="31">
        <f t="shared" ref="N26:O26" si="30">C26+L26</f>
        <v>294</v>
      </c>
      <c r="O26" s="31">
        <f t="shared" si="30"/>
        <v>25</v>
      </c>
      <c r="P26" s="45" t="s">
        <v>58</v>
      </c>
      <c r="Q26" s="45" t="s">
        <v>58</v>
      </c>
      <c r="R26" s="45" t="s">
        <v>58</v>
      </c>
      <c r="S26" s="46">
        <f t="shared" si="6"/>
        <v>0</v>
      </c>
      <c r="T26" s="46"/>
      <c r="U26" s="46">
        <f t="shared" si="7"/>
        <v>13</v>
      </c>
      <c r="V26" s="46">
        <f t="shared" si="8"/>
        <v>-4</v>
      </c>
      <c r="W26" s="30">
        <f t="shared" si="11"/>
        <v>22</v>
      </c>
    </row>
    <row r="27">
      <c r="A27" s="30">
        <f t="shared" si="9"/>
        <v>23</v>
      </c>
      <c r="B27" s="28" t="s">
        <v>98</v>
      </c>
      <c r="C27" s="31">
        <v>294.0</v>
      </c>
      <c r="D27" s="31">
        <v>21.0</v>
      </c>
      <c r="E27" s="36">
        <f t="shared" si="2"/>
        <v>14.28571429</v>
      </c>
      <c r="F27" s="39">
        <f>if(isna(VLOOKUP(B27,Checkin!A:B,2,false)),0,VLOOKUP(B27,Checkin!A:B,2,false))</f>
        <v>0</v>
      </c>
      <c r="G27" s="40">
        <f>if(OR($F27=1, $F27=2),VLOOKUP($B27,Courts!$B$2:$K$50,10,false),0)</f>
        <v>0</v>
      </c>
      <c r="H27" s="41">
        <f t="shared" si="3"/>
        <v>0</v>
      </c>
      <c r="I27" s="40">
        <f>if(OR($F27=1, $F27=2),VLOOKUP($B27,Courts!$B$2:$J$50,5,false),0)</f>
        <v>0</v>
      </c>
      <c r="J27" s="40">
        <f>if(OR($F27=1, $F27=2),VLOOKUP($B27,Courts!$B$2:$J$50,6,false),0)</f>
        <v>0</v>
      </c>
      <c r="K27" s="40">
        <f>if(OR($F27=1, $F27=2),VLOOKUP($B27,Courts!$B$2:$J$50,7,false),0)</f>
        <v>0</v>
      </c>
      <c r="L27" s="44">
        <f t="shared" si="4"/>
        <v>0</v>
      </c>
      <c r="M27" s="40">
        <f>if(OR($F27=1, $F27=2),VLOOKUP($B27,Courts!$B$2:$J$50,9,false),0)</f>
        <v>0</v>
      </c>
      <c r="N27" s="31">
        <f t="shared" ref="N27:O27" si="31">C27+L27</f>
        <v>294</v>
      </c>
      <c r="O27" s="31">
        <f t="shared" si="31"/>
        <v>21</v>
      </c>
      <c r="P27" s="45" t="s">
        <v>58</v>
      </c>
      <c r="Q27" s="45" t="s">
        <v>58</v>
      </c>
      <c r="R27" s="45" t="s">
        <v>58</v>
      </c>
      <c r="S27" s="46">
        <f t="shared" si="6"/>
        <v>1</v>
      </c>
      <c r="T27" s="46"/>
      <c r="U27" s="46">
        <f t="shared" si="7"/>
        <v>9</v>
      </c>
      <c r="V27" s="46">
        <f t="shared" si="8"/>
        <v>2</v>
      </c>
      <c r="W27" s="30">
        <f t="shared" si="11"/>
        <v>23</v>
      </c>
    </row>
    <row r="28">
      <c r="A28" s="30">
        <f t="shared" si="9"/>
        <v>24</v>
      </c>
      <c r="B28" s="43" t="s">
        <v>111</v>
      </c>
      <c r="C28" s="47">
        <v>293.0</v>
      </c>
      <c r="D28" s="31">
        <v>25.0</v>
      </c>
      <c r="E28" s="36">
        <f t="shared" si="2"/>
        <v>12.65</v>
      </c>
      <c r="F28" s="39">
        <f>if(isna(VLOOKUP(B28,Checkin!A:B,2,false)),0,VLOOKUP(B28,Checkin!A:B,2,false))</f>
        <v>0</v>
      </c>
      <c r="G28" s="40">
        <f>if(OR($F28=1, $F28=2),VLOOKUP($B28,Courts!$B$2:$K$50,10,false),0)</f>
        <v>0</v>
      </c>
      <c r="H28" s="41">
        <f t="shared" si="3"/>
        <v>0</v>
      </c>
      <c r="I28" s="40">
        <f>if(OR($F28=1, $F28=2),VLOOKUP($B28,Courts!$B$2:$J$50,5,false),0)</f>
        <v>0</v>
      </c>
      <c r="J28" s="40">
        <f>if(OR($F28=1, $F28=2),VLOOKUP($B28,Courts!$B$2:$J$50,6,false),0)</f>
        <v>0</v>
      </c>
      <c r="K28" s="40">
        <f>if(OR($F28=1, $F28=2),VLOOKUP($B28,Courts!$B$2:$J$50,7,false),0)</f>
        <v>0</v>
      </c>
      <c r="L28" s="44">
        <f t="shared" si="4"/>
        <v>0</v>
      </c>
      <c r="M28" s="40">
        <f>if(OR($F28=1, $F28=2),VLOOKUP($B28,Courts!$B$2:$J$50,9,false),0)</f>
        <v>0</v>
      </c>
      <c r="N28" s="47">
        <f t="shared" ref="N28:O28" si="32">C28+L28</f>
        <v>293</v>
      </c>
      <c r="O28" s="31">
        <f t="shared" si="32"/>
        <v>25</v>
      </c>
      <c r="P28" s="45" t="s">
        <v>58</v>
      </c>
      <c r="Q28" s="45" t="s">
        <v>58</v>
      </c>
      <c r="R28" s="45" t="s">
        <v>58</v>
      </c>
      <c r="S28" s="46">
        <f t="shared" si="6"/>
        <v>1</v>
      </c>
      <c r="T28" s="46"/>
      <c r="U28" s="46">
        <f t="shared" si="7"/>
        <v>3</v>
      </c>
      <c r="V28" s="46">
        <f t="shared" si="8"/>
        <v>-1</v>
      </c>
      <c r="W28" s="30">
        <f t="shared" si="11"/>
        <v>24</v>
      </c>
    </row>
    <row r="29">
      <c r="A29" s="30">
        <f t="shared" si="9"/>
        <v>25</v>
      </c>
      <c r="B29" s="43" t="s">
        <v>130</v>
      </c>
      <c r="C29" s="31">
        <v>293.0</v>
      </c>
      <c r="D29" s="31">
        <v>20.0</v>
      </c>
      <c r="E29" s="36">
        <f t="shared" si="2"/>
        <v>16</v>
      </c>
      <c r="F29" s="39">
        <f>if(isna(VLOOKUP(B29,Checkin!A:B,2,false)),0,VLOOKUP(B29,Checkin!A:B,2,false))</f>
        <v>0</v>
      </c>
      <c r="G29" s="40">
        <f>if(OR($F29=1, $F29=2),VLOOKUP($B29,Courts!$B$2:$K$50,10,false),0)</f>
        <v>0</v>
      </c>
      <c r="H29" s="41">
        <f t="shared" si="3"/>
        <v>0</v>
      </c>
      <c r="I29" s="40">
        <f>if(OR($F29=1, $F29=2),VLOOKUP($B29,Courts!$B$2:$J$50,5,false),0)</f>
        <v>0</v>
      </c>
      <c r="J29" s="40">
        <f>if(OR($F29=1, $F29=2),VLOOKUP($B29,Courts!$B$2:$J$50,6,false),0)</f>
        <v>0</v>
      </c>
      <c r="K29" s="40">
        <f>if(OR($F29=1, $F29=2),VLOOKUP($B29,Courts!$B$2:$J$50,7,false),0)</f>
        <v>0</v>
      </c>
      <c r="L29" s="44">
        <f t="shared" si="4"/>
        <v>0</v>
      </c>
      <c r="M29" s="40">
        <f>if(OR($F29=1, $F29=2),VLOOKUP($B29,Courts!$B$2:$J$50,9,false),0)</f>
        <v>0</v>
      </c>
      <c r="N29" s="31">
        <f t="shared" ref="N29:O29" si="33">C29+L29</f>
        <v>293</v>
      </c>
      <c r="O29" s="31">
        <f t="shared" si="33"/>
        <v>20</v>
      </c>
      <c r="P29" s="45" t="s">
        <v>58</v>
      </c>
      <c r="Q29" s="45" t="s">
        <v>58</v>
      </c>
      <c r="R29" s="45" t="s">
        <v>58</v>
      </c>
      <c r="S29" s="46">
        <f t="shared" si="6"/>
        <v>0</v>
      </c>
      <c r="T29" s="46"/>
      <c r="U29" s="46">
        <f t="shared" si="7"/>
        <v>13</v>
      </c>
      <c r="V29" s="46">
        <f t="shared" si="8"/>
        <v>-6</v>
      </c>
      <c r="W29" s="30">
        <f t="shared" si="11"/>
        <v>25</v>
      </c>
    </row>
    <row r="30">
      <c r="A30" s="30">
        <f t="shared" si="9"/>
        <v>26</v>
      </c>
      <c r="B30" s="28" t="s">
        <v>49</v>
      </c>
      <c r="C30" s="31">
        <v>291.0</v>
      </c>
      <c r="D30" s="31">
        <v>27.0</v>
      </c>
      <c r="E30" s="36">
        <f t="shared" si="2"/>
        <v>12.38095238</v>
      </c>
      <c r="F30" s="39">
        <f>if(isna(VLOOKUP(B30,Checkin!A:B,2,false)),0,VLOOKUP(B30,Checkin!A:B,2,false))</f>
        <v>0</v>
      </c>
      <c r="G30" s="40">
        <f>if(OR($F30=1, $F30=2),VLOOKUP($B30,Courts!$B$2:$K$50,10,false),0)</f>
        <v>0</v>
      </c>
      <c r="H30" s="41">
        <f t="shared" si="3"/>
        <v>0</v>
      </c>
      <c r="I30" s="40">
        <f>if(OR($F30=1, $F30=2),VLOOKUP($B30,Courts!$B$2:$J$50,5,false),0)</f>
        <v>0</v>
      </c>
      <c r="J30" s="40">
        <f>if(OR($F30=1, $F30=2),VLOOKUP($B30,Courts!$B$2:$J$50,6,false),0)</f>
        <v>0</v>
      </c>
      <c r="K30" s="40">
        <f>if(OR($F30=1, $F30=2),VLOOKUP($B30,Courts!$B$2:$J$50,7,false),0)</f>
        <v>0</v>
      </c>
      <c r="L30" s="44">
        <f t="shared" si="4"/>
        <v>0</v>
      </c>
      <c r="M30" s="40">
        <f>if(OR($F30=1, $F30=2),VLOOKUP($B30,Courts!$B$2:$J$50,9,false),0)</f>
        <v>0</v>
      </c>
      <c r="N30" s="31">
        <f t="shared" ref="N30:O30" si="34">C30+L30</f>
        <v>291</v>
      </c>
      <c r="O30" s="31">
        <f t="shared" si="34"/>
        <v>27</v>
      </c>
      <c r="P30" s="45" t="s">
        <v>58</v>
      </c>
      <c r="Q30" s="45" t="s">
        <v>58</v>
      </c>
      <c r="R30" s="45" t="s">
        <v>58</v>
      </c>
      <c r="S30" s="46">
        <f t="shared" si="6"/>
        <v>1</v>
      </c>
      <c r="T30" s="46"/>
      <c r="U30" s="46">
        <f t="shared" si="7"/>
        <v>2</v>
      </c>
      <c r="V30" s="46">
        <f t="shared" si="8"/>
        <v>8</v>
      </c>
      <c r="W30" s="30">
        <f t="shared" si="11"/>
        <v>26</v>
      </c>
    </row>
    <row r="31">
      <c r="A31" s="30">
        <f t="shared" si="9"/>
        <v>27</v>
      </c>
      <c r="B31" s="43" t="s">
        <v>132</v>
      </c>
      <c r="C31" s="31">
        <v>290.0</v>
      </c>
      <c r="D31" s="31">
        <v>28.0</v>
      </c>
      <c r="E31" s="36">
        <f t="shared" si="2"/>
        <v>12.08333333</v>
      </c>
      <c r="F31" s="39">
        <f>if(isna(VLOOKUP(B31,Checkin!A:B,2,false)),0,VLOOKUP(B31,Checkin!A:B,2,false))</f>
        <v>0</v>
      </c>
      <c r="G31" s="40">
        <f>if(OR($F31=1, $F31=2),VLOOKUP($B31,Courts!$B$2:$K$50,10,false),0)</f>
        <v>0</v>
      </c>
      <c r="H31" s="41">
        <f t="shared" si="3"/>
        <v>0</v>
      </c>
      <c r="I31" s="40">
        <f>if(OR($F31=1, $F31=2),VLOOKUP($B31,Courts!$B$2:$J$50,5,false),0)</f>
        <v>0</v>
      </c>
      <c r="J31" s="40">
        <f>if(OR($F31=1, $F31=2),VLOOKUP($B31,Courts!$B$2:$J$50,6,false),0)</f>
        <v>0</v>
      </c>
      <c r="K31" s="40">
        <f>if(OR($F31=1, $F31=2),VLOOKUP($B31,Courts!$B$2:$J$50,7,false),0)</f>
        <v>0</v>
      </c>
      <c r="L31" s="44">
        <f t="shared" si="4"/>
        <v>0</v>
      </c>
      <c r="M31" s="40">
        <f>if(OR($F31=1, $F31=2),VLOOKUP($B31,Courts!$B$2:$J$50,9,false),0)</f>
        <v>0</v>
      </c>
      <c r="N31" s="31">
        <f t="shared" ref="N31:O31" si="35">C31+L31</f>
        <v>290</v>
      </c>
      <c r="O31" s="31">
        <f t="shared" si="35"/>
        <v>28</v>
      </c>
      <c r="P31" s="45" t="s">
        <v>58</v>
      </c>
      <c r="Q31" s="45" t="s">
        <v>58</v>
      </c>
      <c r="R31" s="45" t="s">
        <v>58</v>
      </c>
      <c r="S31" s="46">
        <f t="shared" si="6"/>
        <v>0</v>
      </c>
      <c r="T31" s="46"/>
      <c r="U31" s="46">
        <f t="shared" si="7"/>
        <v>0</v>
      </c>
      <c r="V31" s="46">
        <f t="shared" si="8"/>
        <v>4</v>
      </c>
      <c r="W31" s="30">
        <f t="shared" si="11"/>
        <v>27</v>
      </c>
    </row>
    <row r="32">
      <c r="A32" s="30">
        <f t="shared" si="9"/>
        <v>28</v>
      </c>
      <c r="B32" s="43" t="s">
        <v>90</v>
      </c>
      <c r="C32" s="31">
        <v>290.0</v>
      </c>
      <c r="D32" s="31">
        <v>24.0</v>
      </c>
      <c r="E32" s="36">
        <f t="shared" si="2"/>
        <v>12.64705882</v>
      </c>
      <c r="F32" s="39">
        <f>if(isna(VLOOKUP(B32,Checkin!A:B,2,false)),0,VLOOKUP(B32,Checkin!A:B,2,false))</f>
        <v>0</v>
      </c>
      <c r="G32" s="40">
        <f>if(OR($F32=1, $F32=2),VLOOKUP($B32,Courts!$B$2:$K$50,10,false),0)</f>
        <v>0</v>
      </c>
      <c r="H32" s="41">
        <f t="shared" si="3"/>
        <v>0</v>
      </c>
      <c r="I32" s="40">
        <f>if(OR($F32=1, $F32=2),VLOOKUP($B32,Courts!$B$2:$J$50,5,false),0)</f>
        <v>0</v>
      </c>
      <c r="J32" s="40">
        <f>if(OR($F32=1, $F32=2),VLOOKUP($B32,Courts!$B$2:$J$50,6,false),0)</f>
        <v>0</v>
      </c>
      <c r="K32" s="40">
        <f>if(OR($F32=1, $F32=2),VLOOKUP($B32,Courts!$B$2:$J$50,7,false),0)</f>
        <v>0</v>
      </c>
      <c r="L32" s="44">
        <f t="shared" si="4"/>
        <v>0</v>
      </c>
      <c r="M32" s="40">
        <f>if(OR($F32=1, $F32=2),VLOOKUP($B32,Courts!$B$2:$J$50,9,false),0)</f>
        <v>0</v>
      </c>
      <c r="N32" s="31">
        <f t="shared" ref="N32:O32" si="36">C32+L32</f>
        <v>290</v>
      </c>
      <c r="O32" s="31">
        <f t="shared" si="36"/>
        <v>24</v>
      </c>
      <c r="P32" s="45" t="s">
        <v>58</v>
      </c>
      <c r="Q32" s="45" t="s">
        <v>58</v>
      </c>
      <c r="R32" s="45" t="s">
        <v>58</v>
      </c>
      <c r="S32" s="46">
        <f t="shared" si="6"/>
        <v>3</v>
      </c>
      <c r="T32" s="46"/>
      <c r="U32" s="46">
        <f t="shared" si="7"/>
        <v>4</v>
      </c>
      <c r="V32" s="46">
        <f t="shared" si="8"/>
        <v>-2</v>
      </c>
      <c r="W32" s="30">
        <f t="shared" si="11"/>
        <v>28</v>
      </c>
    </row>
    <row r="33">
      <c r="A33" s="30">
        <f t="shared" si="9"/>
        <v>29</v>
      </c>
      <c r="B33" s="28" t="s">
        <v>120</v>
      </c>
      <c r="C33" s="31">
        <v>290.0</v>
      </c>
      <c r="D33" s="31">
        <v>23.0</v>
      </c>
      <c r="E33" s="36">
        <f t="shared" si="2"/>
        <v>15.36363636</v>
      </c>
      <c r="F33" s="39">
        <f>if(isna(VLOOKUP(B33,Checkin!A:B,2,false)),0,VLOOKUP(B33,Checkin!A:B,2,false))</f>
        <v>0</v>
      </c>
      <c r="G33" s="40">
        <f>if(OR($F33=1, $F33=2),VLOOKUP($B33,Courts!$B$2:$K$50,10,false),0)</f>
        <v>0</v>
      </c>
      <c r="H33" s="41">
        <f t="shared" si="3"/>
        <v>0</v>
      </c>
      <c r="I33" s="40">
        <f>if(OR($F33=1, $F33=2),VLOOKUP($B33,Courts!$B$2:$J$50,5,false),0)</f>
        <v>0</v>
      </c>
      <c r="J33" s="40">
        <f>if(OR($F33=1, $F33=2),VLOOKUP($B33,Courts!$B$2:$J$50,6,false),0)</f>
        <v>0</v>
      </c>
      <c r="K33" s="40">
        <f>if(OR($F33=1, $F33=2),VLOOKUP($B33,Courts!$B$2:$J$50,7,false),0)</f>
        <v>0</v>
      </c>
      <c r="L33" s="44">
        <f t="shared" si="4"/>
        <v>0</v>
      </c>
      <c r="M33" s="40">
        <f>if(OR($F33=1, $F33=2),VLOOKUP($B33,Courts!$B$2:$J$50,9,false),0)</f>
        <v>0</v>
      </c>
      <c r="N33" s="31">
        <f t="shared" ref="N33:O33" si="37">C33+L33</f>
        <v>290</v>
      </c>
      <c r="O33" s="31">
        <f t="shared" si="37"/>
        <v>23</v>
      </c>
      <c r="P33" s="45" t="s">
        <v>58</v>
      </c>
      <c r="Q33" s="45" t="s">
        <v>58</v>
      </c>
      <c r="R33" s="45" t="s">
        <v>58</v>
      </c>
      <c r="S33" s="46">
        <f t="shared" si="6"/>
        <v>1</v>
      </c>
      <c r="T33" s="46"/>
      <c r="U33" s="46">
        <f t="shared" si="7"/>
        <v>12</v>
      </c>
      <c r="V33" s="46">
        <f t="shared" si="8"/>
        <v>-5</v>
      </c>
      <c r="W33" s="30">
        <f t="shared" si="11"/>
        <v>29</v>
      </c>
    </row>
    <row r="34">
      <c r="A34" s="30">
        <f t="shared" si="9"/>
        <v>30</v>
      </c>
      <c r="B34" s="43" t="s">
        <v>99</v>
      </c>
      <c r="C34" s="31">
        <v>290.0</v>
      </c>
      <c r="D34" s="31">
        <v>22.0</v>
      </c>
      <c r="E34" s="36">
        <f t="shared" si="2"/>
        <v>14.38461538</v>
      </c>
      <c r="F34" s="39">
        <f>if(isna(VLOOKUP(B34,Checkin!A:B,2,false)),0,VLOOKUP(B34,Checkin!A:B,2,false))</f>
        <v>0</v>
      </c>
      <c r="G34" s="40">
        <f>if(OR($F34=1, $F34=2),VLOOKUP($B34,Courts!$B$2:$K$50,10,false),0)</f>
        <v>0</v>
      </c>
      <c r="H34" s="41">
        <f t="shared" si="3"/>
        <v>0</v>
      </c>
      <c r="I34" s="40">
        <f>if(OR($F34=1, $F34=2),VLOOKUP($B34,Courts!$B$2:$J$50,5,false),0)</f>
        <v>0</v>
      </c>
      <c r="J34" s="40">
        <f>if(OR($F34=1, $F34=2),VLOOKUP($B34,Courts!$B$2:$J$50,6,false),0)</f>
        <v>0</v>
      </c>
      <c r="K34" s="40">
        <f>if(OR($F34=1, $F34=2),VLOOKUP($B34,Courts!$B$2:$J$50,7,false),0)</f>
        <v>0</v>
      </c>
      <c r="L34" s="44">
        <f t="shared" si="4"/>
        <v>0</v>
      </c>
      <c r="M34" s="40">
        <f>if(OR($F34=1, $F34=2),VLOOKUP($B34,Courts!$B$2:$J$50,9,false),0)</f>
        <v>0</v>
      </c>
      <c r="N34" s="31">
        <f t="shared" ref="N34:O34" si="38">C34+L34</f>
        <v>290</v>
      </c>
      <c r="O34" s="31">
        <f t="shared" si="38"/>
        <v>22</v>
      </c>
      <c r="P34" s="45" t="s">
        <v>58</v>
      </c>
      <c r="Q34" s="45" t="s">
        <v>58</v>
      </c>
      <c r="R34" s="45" t="s">
        <v>58</v>
      </c>
      <c r="S34" s="46">
        <f t="shared" si="6"/>
        <v>1</v>
      </c>
      <c r="T34" s="46"/>
      <c r="U34" s="46">
        <f t="shared" si="7"/>
        <v>10</v>
      </c>
      <c r="V34" s="46">
        <f t="shared" si="8"/>
        <v>0</v>
      </c>
      <c r="W34" s="30">
        <f t="shared" si="11"/>
        <v>30</v>
      </c>
    </row>
    <row r="35">
      <c r="A35" s="30">
        <f t="shared" si="9"/>
        <v>31</v>
      </c>
      <c r="B35" s="28" t="s">
        <v>34</v>
      </c>
      <c r="C35" s="31">
        <v>287.0</v>
      </c>
      <c r="D35" s="31">
        <v>23.0</v>
      </c>
      <c r="E35" s="36">
        <f t="shared" si="2"/>
        <v>17.875</v>
      </c>
      <c r="F35" s="39">
        <f>if(isna(VLOOKUP(B35,Checkin!A:B,2,false)),0,VLOOKUP(B35,Checkin!A:B,2,false))</f>
        <v>0</v>
      </c>
      <c r="G35" s="40">
        <f>if(OR($F35=1, $F35=2),VLOOKUP($B35,Courts!$B$2:$K$50,10,false),0)</f>
        <v>0</v>
      </c>
      <c r="H35" s="41">
        <f t="shared" si="3"/>
        <v>0</v>
      </c>
      <c r="I35" s="40">
        <f>if(OR($F35=1, $F35=2),VLOOKUP($B35,Courts!$B$2:$J$50,5,false),0)</f>
        <v>0</v>
      </c>
      <c r="J35" s="40">
        <f>if(OR($F35=1, $F35=2),VLOOKUP($B35,Courts!$B$2:$J$50,6,false),0)</f>
        <v>0</v>
      </c>
      <c r="K35" s="40">
        <f>if(OR($F35=1, $F35=2),VLOOKUP($B35,Courts!$B$2:$J$50,7,false),0)</f>
        <v>0</v>
      </c>
      <c r="L35" s="44">
        <f t="shared" si="4"/>
        <v>0</v>
      </c>
      <c r="M35" s="40">
        <f>if(OR($F35=1, $F35=2),VLOOKUP($B35,Courts!$B$2:$J$50,9,false),0)</f>
        <v>0</v>
      </c>
      <c r="N35" s="31">
        <f t="shared" ref="N35:O35" si="39">C35+L35</f>
        <v>287</v>
      </c>
      <c r="O35" s="31">
        <f t="shared" si="39"/>
        <v>23</v>
      </c>
      <c r="P35" s="45" t="s">
        <v>58</v>
      </c>
      <c r="Q35" s="45" t="s">
        <v>58</v>
      </c>
      <c r="R35" s="45" t="s">
        <v>58</v>
      </c>
      <c r="S35" s="46">
        <f t="shared" si="6"/>
        <v>0</v>
      </c>
      <c r="T35" s="46"/>
      <c r="U35" s="46">
        <f t="shared" si="7"/>
        <v>16</v>
      </c>
      <c r="V35" s="46">
        <f t="shared" si="8"/>
        <v>-3</v>
      </c>
      <c r="W35" s="30">
        <f t="shared" si="11"/>
        <v>31</v>
      </c>
    </row>
    <row r="36">
      <c r="A36" s="30">
        <f t="shared" si="9"/>
        <v>32</v>
      </c>
      <c r="B36" s="28" t="s">
        <v>44</v>
      </c>
      <c r="C36" s="31">
        <v>287.0</v>
      </c>
      <c r="D36" s="31">
        <v>22.0</v>
      </c>
      <c r="E36" s="36">
        <f t="shared" si="2"/>
        <v>15.45454545</v>
      </c>
      <c r="F36" s="39">
        <f>if(isna(VLOOKUP(B36,Checkin!A:B,2,false)),0,VLOOKUP(B36,Checkin!A:B,2,false))</f>
        <v>0</v>
      </c>
      <c r="G36" s="40">
        <f>if(OR($F36=1, $F36=2),VLOOKUP($B36,Courts!$B$2:$K$50,10,false),0)</f>
        <v>0</v>
      </c>
      <c r="H36" s="41">
        <f t="shared" si="3"/>
        <v>0</v>
      </c>
      <c r="I36" s="40">
        <f>if(OR($F36=1, $F36=2),VLOOKUP($B36,Courts!$B$2:$J$50,5,false),0)</f>
        <v>0</v>
      </c>
      <c r="J36" s="40">
        <f>if(OR($F36=1, $F36=2),VLOOKUP($B36,Courts!$B$2:$J$50,6,false),0)</f>
        <v>0</v>
      </c>
      <c r="K36" s="40">
        <f>if(OR($F36=1, $F36=2),VLOOKUP($B36,Courts!$B$2:$J$50,7,false),0)</f>
        <v>0</v>
      </c>
      <c r="L36" s="44">
        <f t="shared" si="4"/>
        <v>0</v>
      </c>
      <c r="M36" s="40">
        <f>if(OR($F36=1, $F36=2),VLOOKUP($B36,Courts!$B$2:$J$50,9,false),0)</f>
        <v>0</v>
      </c>
      <c r="N36" s="31">
        <f t="shared" ref="N36:O36" si="40">C36+L36</f>
        <v>287</v>
      </c>
      <c r="O36" s="31">
        <f t="shared" si="40"/>
        <v>22</v>
      </c>
      <c r="P36" s="45" t="s">
        <v>58</v>
      </c>
      <c r="Q36" s="45" t="s">
        <v>58</v>
      </c>
      <c r="R36" s="45" t="s">
        <v>58</v>
      </c>
      <c r="S36" s="46">
        <f t="shared" si="6"/>
        <v>0</v>
      </c>
      <c r="T36" s="46"/>
      <c r="U36" s="46">
        <f t="shared" si="7"/>
        <v>13</v>
      </c>
      <c r="V36" s="46">
        <f t="shared" si="8"/>
        <v>-3</v>
      </c>
      <c r="W36" s="30">
        <f t="shared" si="11"/>
        <v>32</v>
      </c>
    </row>
    <row r="37">
      <c r="A37" s="30">
        <f t="shared" si="9"/>
        <v>33</v>
      </c>
      <c r="B37" s="28" t="s">
        <v>119</v>
      </c>
      <c r="C37" s="31">
        <v>285.0</v>
      </c>
      <c r="D37" s="31">
        <v>24.0</v>
      </c>
      <c r="E37" s="36">
        <f t="shared" si="2"/>
        <v>13.64285714</v>
      </c>
      <c r="F37" s="39">
        <f>if(isna(VLOOKUP(B37,Checkin!A:B,2,false)),0,VLOOKUP(B37,Checkin!A:B,2,false))</f>
        <v>0</v>
      </c>
      <c r="G37" s="40">
        <f>if(OR($F37=1, $F37=2),VLOOKUP($B37,Courts!$B$2:$K$50,10,false),0)</f>
        <v>0</v>
      </c>
      <c r="H37" s="41">
        <f t="shared" si="3"/>
        <v>0</v>
      </c>
      <c r="I37" s="40">
        <f>if(OR($F37=1, $F37=2),VLOOKUP($B37,Courts!$B$2:$J$50,5,false),0)</f>
        <v>0</v>
      </c>
      <c r="J37" s="40">
        <f>if(OR($F37=1, $F37=2),VLOOKUP($B37,Courts!$B$2:$J$50,6,false),0)</f>
        <v>0</v>
      </c>
      <c r="K37" s="40">
        <f>if(OR($F37=1, $F37=2),VLOOKUP($B37,Courts!$B$2:$J$50,7,false),0)</f>
        <v>0</v>
      </c>
      <c r="L37" s="44">
        <f t="shared" si="4"/>
        <v>0</v>
      </c>
      <c r="M37" s="40">
        <f>if(OR($F37=1, $F37=2),VLOOKUP($B37,Courts!$B$2:$J$50,9,false),0)</f>
        <v>0</v>
      </c>
      <c r="N37" s="31">
        <f t="shared" ref="N37:O37" si="41">C37+L37</f>
        <v>285</v>
      </c>
      <c r="O37" s="31">
        <f t="shared" si="41"/>
        <v>24</v>
      </c>
      <c r="P37" s="45" t="s">
        <v>58</v>
      </c>
      <c r="Q37" s="45" t="s">
        <v>58</v>
      </c>
      <c r="R37" s="45" t="s">
        <v>58</v>
      </c>
      <c r="S37" s="46">
        <f t="shared" si="6"/>
        <v>1</v>
      </c>
      <c r="T37" s="46"/>
      <c r="U37" s="46">
        <f t="shared" si="7"/>
        <v>9</v>
      </c>
      <c r="V37" s="46">
        <f t="shared" si="8"/>
        <v>-1</v>
      </c>
      <c r="W37" s="30">
        <f t="shared" si="11"/>
        <v>33</v>
      </c>
    </row>
    <row r="38">
      <c r="A38" s="30">
        <f t="shared" si="9"/>
        <v>34</v>
      </c>
      <c r="B38" s="43" t="s">
        <v>61</v>
      </c>
      <c r="C38" s="47">
        <v>283.0</v>
      </c>
      <c r="D38" s="31">
        <v>32.0</v>
      </c>
      <c r="E38" s="36">
        <f t="shared" si="2"/>
        <v>11.91304348</v>
      </c>
      <c r="F38" s="39">
        <f>if(isna(VLOOKUP(B38,Checkin!A:B,2,false)),0,VLOOKUP(B38,Checkin!A:B,2,false))</f>
        <v>0</v>
      </c>
      <c r="G38" s="40">
        <f>if(OR($F38=1, $F38=2),VLOOKUP($B38,Courts!$B$2:$K$50,10,false),0)</f>
        <v>0</v>
      </c>
      <c r="H38" s="41">
        <f t="shared" si="3"/>
        <v>0</v>
      </c>
      <c r="I38" s="40">
        <f>if(OR($F38=1, $F38=2),VLOOKUP($B38,Courts!$B$2:$J$50,5,false),0)</f>
        <v>0</v>
      </c>
      <c r="J38" s="40">
        <f>if(OR($F38=1, $F38=2),VLOOKUP($B38,Courts!$B$2:$J$50,6,false),0)</f>
        <v>0</v>
      </c>
      <c r="K38" s="40">
        <f>if(OR($F38=1, $F38=2),VLOOKUP($B38,Courts!$B$2:$J$50,7,false),0)</f>
        <v>0</v>
      </c>
      <c r="L38" s="44">
        <f t="shared" si="4"/>
        <v>0</v>
      </c>
      <c r="M38" s="40">
        <f>if(OR($F38=1, $F38=2),VLOOKUP($B38,Courts!$B$2:$J$50,9,false),0)</f>
        <v>0</v>
      </c>
      <c r="N38" s="47">
        <f t="shared" ref="N38:O38" si="42">C38+L38</f>
        <v>283</v>
      </c>
      <c r="O38" s="31">
        <f t="shared" si="42"/>
        <v>32</v>
      </c>
      <c r="P38" s="45" t="s">
        <v>58</v>
      </c>
      <c r="Q38" s="45" t="s">
        <v>58</v>
      </c>
      <c r="R38" s="45" t="s">
        <v>58</v>
      </c>
      <c r="S38" s="46">
        <f t="shared" si="6"/>
        <v>0</v>
      </c>
      <c r="T38" s="46"/>
      <c r="U38" s="46">
        <f t="shared" si="7"/>
        <v>1</v>
      </c>
      <c r="V38" s="46">
        <f t="shared" si="8"/>
        <v>-1</v>
      </c>
      <c r="W38" s="30">
        <f t="shared" si="11"/>
        <v>34</v>
      </c>
    </row>
    <row r="39">
      <c r="A39" s="30">
        <f t="shared" si="9"/>
        <v>35</v>
      </c>
      <c r="B39" s="43" t="s">
        <v>133</v>
      </c>
      <c r="C39" s="31">
        <v>281.0</v>
      </c>
      <c r="D39" s="31">
        <v>22.0</v>
      </c>
      <c r="E39" s="36">
        <f t="shared" si="2"/>
        <v>12.0952381</v>
      </c>
      <c r="F39" s="39">
        <f>if(isna(VLOOKUP(B39,Checkin!A:B,2,false)),0,VLOOKUP(B39,Checkin!A:B,2,false))</f>
        <v>0</v>
      </c>
      <c r="G39" s="40">
        <f>if(OR($F39=1, $F39=2),VLOOKUP($B39,Courts!$B$2:$K$50,10,false),0)</f>
        <v>0</v>
      </c>
      <c r="H39" s="41">
        <f t="shared" si="3"/>
        <v>0</v>
      </c>
      <c r="I39" s="40">
        <f>if(OR($F39=1, $F39=2),VLOOKUP($B39,Courts!$B$2:$J$50,5,false),0)</f>
        <v>0</v>
      </c>
      <c r="J39" s="40">
        <f>if(OR($F39=1, $F39=2),VLOOKUP($B39,Courts!$B$2:$J$50,6,false),0)</f>
        <v>0</v>
      </c>
      <c r="K39" s="40">
        <f>if(OR($F39=1, $F39=2),VLOOKUP($B39,Courts!$B$2:$J$50,7,false),0)</f>
        <v>0</v>
      </c>
      <c r="L39" s="44">
        <f t="shared" si="4"/>
        <v>0</v>
      </c>
      <c r="M39" s="40">
        <f>if(OR($F39=1, $F39=2),VLOOKUP($B39,Courts!$B$2:$J$50,9,false),0)</f>
        <v>0</v>
      </c>
      <c r="N39" s="31">
        <f t="shared" ref="N39:O39" si="43">C39+L39</f>
        <v>281</v>
      </c>
      <c r="O39" s="31">
        <f t="shared" si="43"/>
        <v>22</v>
      </c>
      <c r="P39" s="45" t="s">
        <v>58</v>
      </c>
      <c r="Q39" s="45" t="s">
        <v>58</v>
      </c>
      <c r="R39" s="45" t="s">
        <v>58</v>
      </c>
      <c r="S39" s="46">
        <f t="shared" si="6"/>
        <v>0</v>
      </c>
      <c r="T39" s="46"/>
      <c r="U39" s="46">
        <f t="shared" si="7"/>
        <v>3</v>
      </c>
      <c r="V39" s="46">
        <f t="shared" si="8"/>
        <v>0</v>
      </c>
      <c r="W39" s="30">
        <f t="shared" si="11"/>
        <v>35</v>
      </c>
    </row>
    <row r="40">
      <c r="A40" s="30">
        <f t="shared" si="9"/>
        <v>36</v>
      </c>
      <c r="B40" s="48" t="s">
        <v>70</v>
      </c>
      <c r="C40" s="31">
        <v>280.0</v>
      </c>
      <c r="D40" s="31">
        <v>21.0</v>
      </c>
      <c r="E40" s="36">
        <f t="shared" si="2"/>
        <v>13</v>
      </c>
      <c r="F40" s="39">
        <f>if(isna(VLOOKUP(B40,Checkin!A:B,2,false)),0,VLOOKUP(B40,Checkin!A:B,2,false))</f>
        <v>0</v>
      </c>
      <c r="G40" s="40">
        <f>if(OR($F40=1, $F40=2),VLOOKUP($B40,Courts!$B$2:$K$50,10,false),0)</f>
        <v>0</v>
      </c>
      <c r="H40" s="41">
        <f t="shared" si="3"/>
        <v>0</v>
      </c>
      <c r="I40" s="40">
        <f>if(OR($F40=1, $F40=2),VLOOKUP($B40,Courts!$B$2:$J$50,5,false),0)</f>
        <v>0</v>
      </c>
      <c r="J40" s="40">
        <f>if(OR($F40=1, $F40=2),VLOOKUP($B40,Courts!$B$2:$J$50,6,false),0)</f>
        <v>0</v>
      </c>
      <c r="K40" s="40">
        <f>if(OR($F40=1, $F40=2),VLOOKUP($B40,Courts!$B$2:$J$50,7,false),0)</f>
        <v>0</v>
      </c>
      <c r="L40" s="44">
        <f t="shared" si="4"/>
        <v>0</v>
      </c>
      <c r="M40" s="40">
        <f>if(OR($F40=1, $F40=2),VLOOKUP($B40,Courts!$B$2:$J$50,9,false),0)</f>
        <v>0</v>
      </c>
      <c r="N40" s="31">
        <f t="shared" ref="N40:O40" si="44">C40+L40</f>
        <v>280</v>
      </c>
      <c r="O40" s="31">
        <f t="shared" si="44"/>
        <v>21</v>
      </c>
      <c r="P40" s="45" t="s">
        <v>58</v>
      </c>
      <c r="Q40" s="45" t="s">
        <v>58</v>
      </c>
      <c r="R40" s="45" t="s">
        <v>58</v>
      </c>
      <c r="S40" s="46">
        <f t="shared" si="6"/>
        <v>1</v>
      </c>
      <c r="T40" s="46"/>
      <c r="U40" s="46">
        <f t="shared" si="7"/>
        <v>8</v>
      </c>
      <c r="V40" s="46">
        <f t="shared" si="8"/>
        <v>0</v>
      </c>
      <c r="W40" s="30">
        <f t="shared" si="11"/>
        <v>36</v>
      </c>
    </row>
    <row r="41">
      <c r="A41" s="30">
        <f t="shared" si="9"/>
        <v>37</v>
      </c>
      <c r="B41" s="43" t="s">
        <v>122</v>
      </c>
      <c r="C41" s="31">
        <v>278.0</v>
      </c>
      <c r="D41" s="31">
        <v>20.0</v>
      </c>
      <c r="E41" s="36">
        <f t="shared" si="2"/>
        <v>14.16666667</v>
      </c>
      <c r="F41" s="39">
        <f>if(isna(VLOOKUP(B41,Checkin!A:B,2,false)),0,VLOOKUP(B41,Checkin!A:B,2,false))</f>
        <v>0</v>
      </c>
      <c r="G41" s="40">
        <f>if(OR($F41=1, $F41=2),VLOOKUP($B41,Courts!$B$2:$K$50,10,false),0)</f>
        <v>0</v>
      </c>
      <c r="H41" s="41">
        <f t="shared" si="3"/>
        <v>0</v>
      </c>
      <c r="I41" s="40">
        <f>if(OR($F41=1, $F41=2),VLOOKUP($B41,Courts!$B$2:$J$50,5,false),0)</f>
        <v>0</v>
      </c>
      <c r="J41" s="40">
        <f>if(OR($F41=1, $F41=2),VLOOKUP($B41,Courts!$B$2:$J$50,6,false),0)</f>
        <v>0</v>
      </c>
      <c r="K41" s="40">
        <f>if(OR($F41=1, $F41=2),VLOOKUP($B41,Courts!$B$2:$J$50,7,false),0)</f>
        <v>0</v>
      </c>
      <c r="L41" s="44">
        <f t="shared" si="4"/>
        <v>0</v>
      </c>
      <c r="M41" s="40">
        <f>if(OR($F41=1, $F41=2),VLOOKUP($B41,Courts!$B$2:$J$50,9,false),0)</f>
        <v>0</v>
      </c>
      <c r="N41" s="31">
        <f t="shared" ref="N41:O41" si="45">C41+L41</f>
        <v>278</v>
      </c>
      <c r="O41" s="31">
        <f t="shared" si="45"/>
        <v>20</v>
      </c>
      <c r="P41" s="45" t="s">
        <v>58</v>
      </c>
      <c r="Q41" s="45" t="s">
        <v>58</v>
      </c>
      <c r="R41" s="45" t="s">
        <v>58</v>
      </c>
      <c r="S41" s="46">
        <f t="shared" si="6"/>
        <v>0</v>
      </c>
      <c r="T41" s="46"/>
      <c r="U41" s="46">
        <f t="shared" si="7"/>
        <v>12</v>
      </c>
      <c r="V41" s="46">
        <f t="shared" si="8"/>
        <v>2</v>
      </c>
      <c r="W41" s="30">
        <f t="shared" si="11"/>
        <v>37</v>
      </c>
    </row>
    <row r="42">
      <c r="A42" s="30">
        <f t="shared" si="9"/>
        <v>38</v>
      </c>
      <c r="B42" s="28" t="s">
        <v>127</v>
      </c>
      <c r="C42" s="31">
        <v>275.0</v>
      </c>
      <c r="D42" s="31">
        <v>15.0</v>
      </c>
      <c r="E42" s="36">
        <f t="shared" si="2"/>
        <v>18.16666667</v>
      </c>
      <c r="F42" s="39">
        <f>if(isna(VLOOKUP(B42,Checkin!A:B,2,false)),0,VLOOKUP(B42,Checkin!A:B,2,false))</f>
        <v>0</v>
      </c>
      <c r="G42" s="40">
        <f>if(OR($F42=1, $F42=2),VLOOKUP($B42,Courts!$B$2:$K$50,10,false),0)</f>
        <v>0</v>
      </c>
      <c r="H42" s="41">
        <f t="shared" si="3"/>
        <v>0</v>
      </c>
      <c r="I42" s="40">
        <f>if(OR($F42=1, $F42=2),VLOOKUP($B42,Courts!$B$2:$J$50,5,false),0)</f>
        <v>0</v>
      </c>
      <c r="J42" s="40">
        <f>if(OR($F42=1, $F42=2),VLOOKUP($B42,Courts!$B$2:$J$50,6,false),0)</f>
        <v>0</v>
      </c>
      <c r="K42" s="40">
        <f>if(OR($F42=1, $F42=2),VLOOKUP($B42,Courts!$B$2:$J$50,7,false),0)</f>
        <v>0</v>
      </c>
      <c r="L42" s="44">
        <f t="shared" si="4"/>
        <v>0</v>
      </c>
      <c r="M42" s="40">
        <f>if(OR($F42=1, $F42=2),VLOOKUP($B42,Courts!$B$2:$J$50,9,false),0)</f>
        <v>0</v>
      </c>
      <c r="N42" s="31">
        <f t="shared" ref="N42:O42" si="46">C42+L42</f>
        <v>275</v>
      </c>
      <c r="O42" s="31">
        <f t="shared" si="46"/>
        <v>15</v>
      </c>
      <c r="P42" s="45" t="s">
        <v>58</v>
      </c>
      <c r="Q42" s="45" t="s">
        <v>58</v>
      </c>
      <c r="R42" s="45" t="s">
        <v>58</v>
      </c>
      <c r="S42" s="46">
        <f t="shared" si="6"/>
        <v>1</v>
      </c>
      <c r="T42" s="46"/>
      <c r="U42" s="46">
        <f t="shared" si="7"/>
        <v>17</v>
      </c>
      <c r="V42" s="46">
        <f t="shared" si="8"/>
        <v>5</v>
      </c>
      <c r="W42" s="30">
        <f t="shared" si="11"/>
        <v>38</v>
      </c>
    </row>
    <row r="43">
      <c r="A43" s="30">
        <f t="shared" si="9"/>
        <v>39</v>
      </c>
      <c r="B43" s="48" t="s">
        <v>134</v>
      </c>
      <c r="C43" s="31">
        <v>274.0</v>
      </c>
      <c r="D43" s="31">
        <v>18.0</v>
      </c>
      <c r="E43" s="36">
        <f t="shared" si="2"/>
        <v>13.90909091</v>
      </c>
      <c r="F43" s="39">
        <f>if(isna(VLOOKUP(B43,Checkin!A:B,2,false)),0,VLOOKUP(B43,Checkin!A:B,2,false))</f>
        <v>0</v>
      </c>
      <c r="G43" s="40">
        <f>if(OR($F43=1, $F43=2),VLOOKUP($B43,Courts!$B$2:$K$50,10,false),0)</f>
        <v>0</v>
      </c>
      <c r="H43" s="41">
        <f t="shared" si="3"/>
        <v>0</v>
      </c>
      <c r="I43" s="40">
        <f>if(OR($F43=1, $F43=2),VLOOKUP($B43,Courts!$B$2:$J$50,5,false),0)</f>
        <v>0</v>
      </c>
      <c r="J43" s="40">
        <f>if(OR($F43=1, $F43=2),VLOOKUP($B43,Courts!$B$2:$J$50,6,false),0)</f>
        <v>0</v>
      </c>
      <c r="K43" s="40">
        <f>if(OR($F43=1, $F43=2),VLOOKUP($B43,Courts!$B$2:$J$50,7,false),0)</f>
        <v>0</v>
      </c>
      <c r="L43" s="44">
        <f t="shared" si="4"/>
        <v>0</v>
      </c>
      <c r="M43" s="40">
        <f>if(OR($F43=1, $F43=2),VLOOKUP($B43,Courts!$B$2:$J$50,9,false),0)</f>
        <v>0</v>
      </c>
      <c r="N43" s="31">
        <f t="shared" ref="N43:O43" si="47">C43+L43</f>
        <v>274</v>
      </c>
      <c r="O43" s="31">
        <f t="shared" si="47"/>
        <v>18</v>
      </c>
      <c r="P43" s="45" t="s">
        <v>58</v>
      </c>
      <c r="Q43" s="45" t="s">
        <v>58</v>
      </c>
      <c r="R43" s="45" t="s">
        <v>58</v>
      </c>
      <c r="S43" s="46">
        <f t="shared" si="6"/>
        <v>1</v>
      </c>
      <c r="T43" s="46"/>
      <c r="U43" s="46">
        <f t="shared" si="7"/>
        <v>12</v>
      </c>
      <c r="V43" s="46">
        <f t="shared" si="8"/>
        <v>-2</v>
      </c>
      <c r="W43" s="30">
        <f t="shared" si="11"/>
        <v>39</v>
      </c>
    </row>
    <row r="44">
      <c r="A44" s="30">
        <f t="shared" si="9"/>
        <v>40</v>
      </c>
      <c r="B44" s="48" t="s">
        <v>103</v>
      </c>
      <c r="C44" s="31">
        <v>270.0</v>
      </c>
      <c r="D44" s="31">
        <v>25.0</v>
      </c>
      <c r="E44" s="36">
        <f t="shared" si="2"/>
        <v>11.7</v>
      </c>
      <c r="F44" s="39">
        <f>if(isna(VLOOKUP(B44,Checkin!A:B,2,false)),0,VLOOKUP(B44,Checkin!A:B,2,false))</f>
        <v>0</v>
      </c>
      <c r="G44" s="40">
        <f>if(OR($F44=1, $F44=2),VLOOKUP($B44,Courts!$B$2:$K$50,10,false),0)</f>
        <v>0</v>
      </c>
      <c r="H44" s="41">
        <f t="shared" si="3"/>
        <v>0</v>
      </c>
      <c r="I44" s="40">
        <f>if(OR($F44=1, $F44=2),VLOOKUP($B44,Courts!$B$2:$J$50,5,false),0)</f>
        <v>0</v>
      </c>
      <c r="J44" s="40">
        <f>if(OR($F44=1, $F44=2),VLOOKUP($B44,Courts!$B$2:$J$50,6,false),0)</f>
        <v>0</v>
      </c>
      <c r="K44" s="40">
        <f>if(OR($F44=1, $F44=2),VLOOKUP($B44,Courts!$B$2:$J$50,7,false),0)</f>
        <v>0</v>
      </c>
      <c r="L44" s="44">
        <f t="shared" si="4"/>
        <v>0</v>
      </c>
      <c r="M44" s="40">
        <f>if(OR($F44=1, $F44=2),VLOOKUP($B44,Courts!$B$2:$J$50,9,false),0)</f>
        <v>0</v>
      </c>
      <c r="N44" s="31">
        <f t="shared" ref="N44:O44" si="48">C44+L44</f>
        <v>270</v>
      </c>
      <c r="O44" s="31">
        <f t="shared" si="48"/>
        <v>25</v>
      </c>
      <c r="P44" s="45" t="s">
        <v>58</v>
      </c>
      <c r="Q44" s="45" t="s">
        <v>58</v>
      </c>
      <c r="R44" s="45" t="s">
        <v>58</v>
      </c>
      <c r="S44" s="46">
        <f t="shared" si="6"/>
        <v>0</v>
      </c>
      <c r="T44" s="46"/>
      <c r="U44" s="46">
        <f t="shared" si="7"/>
        <v>4</v>
      </c>
      <c r="V44" s="46">
        <f t="shared" si="8"/>
        <v>-2</v>
      </c>
      <c r="W44" s="30">
        <f t="shared" si="11"/>
        <v>40</v>
      </c>
    </row>
    <row r="45">
      <c r="A45" s="30">
        <f t="shared" si="9"/>
        <v>41</v>
      </c>
      <c r="B45" s="43" t="s">
        <v>131</v>
      </c>
      <c r="C45" s="31">
        <v>270.0</v>
      </c>
      <c r="D45" s="31">
        <v>13.0</v>
      </c>
      <c r="E45" s="36">
        <f t="shared" si="2"/>
        <v>14</v>
      </c>
      <c r="F45" s="39">
        <f>if(isna(VLOOKUP(B45,Checkin!A:B,2,false)),0,VLOOKUP(B45,Checkin!A:B,2,false))</f>
        <v>0</v>
      </c>
      <c r="G45" s="40">
        <f>if(OR($F45=1, $F45=2),VLOOKUP($B45,Courts!$B$2:$K$50,10,false),0)</f>
        <v>0</v>
      </c>
      <c r="H45" s="41">
        <f t="shared" si="3"/>
        <v>0</v>
      </c>
      <c r="I45" s="40">
        <f>if(OR($F45=1, $F45=2),VLOOKUP($B45,Courts!$B$2:$J$50,5,false),0)</f>
        <v>0</v>
      </c>
      <c r="J45" s="40">
        <f>if(OR($F45=1, $F45=2),VLOOKUP($B45,Courts!$B$2:$J$50,6,false),0)</f>
        <v>0</v>
      </c>
      <c r="K45" s="40">
        <f>if(OR($F45=1, $F45=2),VLOOKUP($B45,Courts!$B$2:$J$50,7,false),0)</f>
        <v>0</v>
      </c>
      <c r="L45" s="44">
        <f t="shared" si="4"/>
        <v>0</v>
      </c>
      <c r="M45" s="40">
        <f>if(OR($F45=1, $F45=2),VLOOKUP($B45,Courts!$B$2:$J$50,9,false),0)</f>
        <v>0</v>
      </c>
      <c r="N45" s="31">
        <f t="shared" ref="N45:O45" si="49">C45+L45</f>
        <v>270</v>
      </c>
      <c r="O45" s="31">
        <f t="shared" si="49"/>
        <v>13</v>
      </c>
      <c r="P45" s="45" t="s">
        <v>58</v>
      </c>
      <c r="Q45" s="45" t="s">
        <v>58</v>
      </c>
      <c r="R45" s="45" t="s">
        <v>58</v>
      </c>
      <c r="S45" s="46">
        <f t="shared" si="6"/>
        <v>1</v>
      </c>
      <c r="T45" s="46"/>
      <c r="U45" s="46">
        <f t="shared" si="7"/>
        <v>13</v>
      </c>
      <c r="V45" s="46">
        <f t="shared" si="8"/>
        <v>-1</v>
      </c>
      <c r="W45" s="30">
        <f t="shared" si="11"/>
        <v>41</v>
      </c>
    </row>
    <row r="46">
      <c r="A46" s="30">
        <f t="shared" si="9"/>
        <v>42</v>
      </c>
      <c r="B46" s="48" t="s">
        <v>125</v>
      </c>
      <c r="C46" s="31">
        <v>268.0</v>
      </c>
      <c r="D46" s="31">
        <v>18.0</v>
      </c>
      <c r="E46" s="36">
        <f t="shared" si="2"/>
        <v>11.47619048</v>
      </c>
      <c r="F46" s="39">
        <f>if(isna(VLOOKUP(B46,Checkin!A:B,2,false)),0,VLOOKUP(B46,Checkin!A:B,2,false))</f>
        <v>0</v>
      </c>
      <c r="G46" s="40">
        <f>if(OR($F46=1, $F46=2),VLOOKUP($B46,Courts!$B$2:$K$50,10,false),0)</f>
        <v>0</v>
      </c>
      <c r="H46" s="41">
        <f t="shared" si="3"/>
        <v>0</v>
      </c>
      <c r="I46" s="40">
        <f>if(OR($F46=1, $F46=2),VLOOKUP($B46,Courts!$B$2:$J$50,5,false),0)</f>
        <v>0</v>
      </c>
      <c r="J46" s="40">
        <f>if(OR($F46=1, $F46=2),VLOOKUP($B46,Courts!$B$2:$J$50,6,false),0)</f>
        <v>0</v>
      </c>
      <c r="K46" s="40">
        <f>if(OR($F46=1, $F46=2),VLOOKUP($B46,Courts!$B$2:$J$50,7,false),0)</f>
        <v>0</v>
      </c>
      <c r="L46" s="44">
        <f t="shared" si="4"/>
        <v>0</v>
      </c>
      <c r="M46" s="40">
        <f>if(OR($F46=1, $F46=2),VLOOKUP($B46,Courts!$B$2:$J$50,9,false),0)</f>
        <v>0</v>
      </c>
      <c r="N46" s="31">
        <f t="shared" ref="N46:O46" si="50">C46+L46</f>
        <v>268</v>
      </c>
      <c r="O46" s="31">
        <f t="shared" si="50"/>
        <v>18</v>
      </c>
      <c r="P46" s="45" t="s">
        <v>58</v>
      </c>
      <c r="Q46" s="45" t="s">
        <v>58</v>
      </c>
      <c r="R46" s="45" t="s">
        <v>58</v>
      </c>
      <c r="S46" s="46">
        <f t="shared" si="6"/>
        <v>0</v>
      </c>
      <c r="T46" s="46"/>
      <c r="U46" s="46">
        <f t="shared" si="7"/>
        <v>3</v>
      </c>
      <c r="V46" s="46">
        <f t="shared" si="8"/>
        <v>-1</v>
      </c>
      <c r="W46" s="30">
        <f t="shared" si="11"/>
        <v>42</v>
      </c>
    </row>
    <row r="47">
      <c r="A47" s="30">
        <f t="shared" si="9"/>
        <v>43</v>
      </c>
      <c r="B47" s="43" t="s">
        <v>136</v>
      </c>
      <c r="C47" s="31">
        <v>267.0</v>
      </c>
      <c r="D47" s="31">
        <v>22.0</v>
      </c>
      <c r="E47" s="36">
        <f t="shared" si="2"/>
        <v>11.83333333</v>
      </c>
      <c r="F47" s="39">
        <f>if(isna(VLOOKUP(B47,Checkin!A:B,2,false)),0,VLOOKUP(B47,Checkin!A:B,2,false))</f>
        <v>0</v>
      </c>
      <c r="G47" s="40">
        <f>if(OR($F47=1, $F47=2),VLOOKUP($B47,Courts!$B$2:$K$50,10,false),0)</f>
        <v>0</v>
      </c>
      <c r="H47" s="41">
        <f t="shared" si="3"/>
        <v>0</v>
      </c>
      <c r="I47" s="40">
        <f>if(OR($F47=1, $F47=2),VLOOKUP($B47,Courts!$B$2:$J$50,5,false),0)</f>
        <v>0</v>
      </c>
      <c r="J47" s="40">
        <f>if(OR($F47=1, $F47=2),VLOOKUP($B47,Courts!$B$2:$J$50,6,false),0)</f>
        <v>0</v>
      </c>
      <c r="K47" s="40">
        <f>if(OR($F47=1, $F47=2),VLOOKUP($B47,Courts!$B$2:$J$50,7,false),0)</f>
        <v>0</v>
      </c>
      <c r="L47" s="44">
        <f t="shared" si="4"/>
        <v>0</v>
      </c>
      <c r="M47" s="40">
        <f>if(OR($F47=1, $F47=2),VLOOKUP($B47,Courts!$B$2:$J$50,9,false),0)</f>
        <v>0</v>
      </c>
      <c r="N47" s="31">
        <f t="shared" ref="N47:O47" si="51">C47+L47</f>
        <v>267</v>
      </c>
      <c r="O47" s="31">
        <f t="shared" si="51"/>
        <v>22</v>
      </c>
      <c r="P47" s="45" t="s">
        <v>58</v>
      </c>
      <c r="Q47" s="45" t="s">
        <v>58</v>
      </c>
      <c r="R47" s="45" t="s">
        <v>58</v>
      </c>
      <c r="S47" s="46">
        <f t="shared" si="6"/>
        <v>0</v>
      </c>
      <c r="T47" s="46"/>
      <c r="U47" s="46">
        <f t="shared" si="7"/>
        <v>6</v>
      </c>
      <c r="V47" s="46">
        <f t="shared" si="8"/>
        <v>1</v>
      </c>
      <c r="W47" s="30">
        <f t="shared" si="11"/>
        <v>43</v>
      </c>
    </row>
    <row r="48">
      <c r="A48" s="30">
        <f t="shared" si="9"/>
        <v>44</v>
      </c>
      <c r="B48" s="28" t="s">
        <v>84</v>
      </c>
      <c r="C48" s="31">
        <v>266.0</v>
      </c>
      <c r="D48" s="31">
        <v>20.0</v>
      </c>
      <c r="E48" s="36">
        <f t="shared" si="2"/>
        <v>12.57142857</v>
      </c>
      <c r="F48" s="39">
        <f>if(isna(VLOOKUP(B48,Checkin!A:B,2,false)),0,VLOOKUP(B48,Checkin!A:B,2,false))</f>
        <v>0</v>
      </c>
      <c r="G48" s="40">
        <f>if(OR($F48=1, $F48=2),VLOOKUP($B48,Courts!$B$2:$K$50,10,false),0)</f>
        <v>0</v>
      </c>
      <c r="H48" s="41">
        <f t="shared" si="3"/>
        <v>0</v>
      </c>
      <c r="I48" s="40">
        <f>if(OR($F48=1, $F48=2),VLOOKUP($B48,Courts!$B$2:$J$50,5,false),0)</f>
        <v>0</v>
      </c>
      <c r="J48" s="40">
        <f>if(OR($F48=1, $F48=2),VLOOKUP($B48,Courts!$B$2:$J$50,6,false),0)</f>
        <v>0</v>
      </c>
      <c r="K48" s="40">
        <f>if(OR($F48=1, $F48=2),VLOOKUP($B48,Courts!$B$2:$J$50,7,false),0)</f>
        <v>0</v>
      </c>
      <c r="L48" s="44">
        <f t="shared" si="4"/>
        <v>0</v>
      </c>
      <c r="M48" s="40">
        <f>if(OR($F48=1, $F48=2),VLOOKUP($B48,Courts!$B$2:$J$50,9,false),0)</f>
        <v>0</v>
      </c>
      <c r="N48" s="31">
        <f t="shared" ref="N48:O48" si="52">C48+L48</f>
        <v>266</v>
      </c>
      <c r="O48" s="31">
        <f t="shared" si="52"/>
        <v>20</v>
      </c>
      <c r="P48" s="45" t="s">
        <v>58</v>
      </c>
      <c r="Q48" s="45" t="s">
        <v>58</v>
      </c>
      <c r="R48" s="45" t="s">
        <v>58</v>
      </c>
      <c r="S48" s="46">
        <f t="shared" si="6"/>
        <v>0</v>
      </c>
      <c r="T48" s="46"/>
      <c r="U48" s="46">
        <f t="shared" si="7"/>
        <v>10</v>
      </c>
      <c r="V48" s="46">
        <f t="shared" si="8"/>
        <v>-2</v>
      </c>
      <c r="W48" s="30">
        <f t="shared" si="11"/>
        <v>44</v>
      </c>
    </row>
    <row r="49">
      <c r="A49" s="30">
        <f t="shared" si="9"/>
        <v>45</v>
      </c>
      <c r="B49" s="28" t="s">
        <v>93</v>
      </c>
      <c r="C49" s="31">
        <v>261.0</v>
      </c>
      <c r="D49" s="31">
        <v>16.0</v>
      </c>
      <c r="E49" s="36">
        <f t="shared" si="2"/>
        <v>13.5</v>
      </c>
      <c r="F49" s="39">
        <f>if(isna(VLOOKUP(B49,Checkin!A:B,2,false)),0,VLOOKUP(B49,Checkin!A:B,2,false))</f>
        <v>0</v>
      </c>
      <c r="G49" s="40">
        <f>if(OR($F49=1, $F49=2),VLOOKUP($B49,Courts!$B$2:$K$50,10,false),0)</f>
        <v>0</v>
      </c>
      <c r="H49" s="41">
        <f t="shared" si="3"/>
        <v>0</v>
      </c>
      <c r="I49" s="40">
        <f>if(OR($F49=1, $F49=2),VLOOKUP($B49,Courts!$B$2:$J$50,5,false),0)</f>
        <v>0</v>
      </c>
      <c r="J49" s="40">
        <f>if(OR($F49=1, $F49=2),VLOOKUP($B49,Courts!$B$2:$J$50,6,false),0)</f>
        <v>0</v>
      </c>
      <c r="K49" s="40">
        <f>if(OR($F49=1, $F49=2),VLOOKUP($B49,Courts!$B$2:$J$50,7,false),0)</f>
        <v>0</v>
      </c>
      <c r="L49" s="44">
        <f t="shared" si="4"/>
        <v>0</v>
      </c>
      <c r="M49" s="40">
        <f>if(OR($F49=1, $F49=2),VLOOKUP($B49,Courts!$B$2:$J$50,9,false),0)</f>
        <v>0</v>
      </c>
      <c r="N49" s="31">
        <f t="shared" ref="N49:O49" si="53">C49+L49</f>
        <v>261</v>
      </c>
      <c r="O49" s="31">
        <f t="shared" si="53"/>
        <v>16</v>
      </c>
      <c r="P49" s="45" t="s">
        <v>58</v>
      </c>
      <c r="Q49" s="45" t="s">
        <v>58</v>
      </c>
      <c r="R49" s="45" t="s">
        <v>58</v>
      </c>
      <c r="S49" s="46">
        <f t="shared" si="6"/>
        <v>0</v>
      </c>
      <c r="T49" s="46"/>
      <c r="U49" s="46">
        <f t="shared" si="7"/>
        <v>14</v>
      </c>
      <c r="V49" s="46">
        <f t="shared" si="8"/>
        <v>0</v>
      </c>
      <c r="W49" s="30">
        <f t="shared" si="11"/>
        <v>45</v>
      </c>
    </row>
    <row r="50">
      <c r="A50" s="30">
        <f t="shared" si="9"/>
        <v>46</v>
      </c>
      <c r="B50" s="28" t="s">
        <v>89</v>
      </c>
      <c r="C50" s="31">
        <v>261.0</v>
      </c>
      <c r="D50" s="31">
        <v>14.0</v>
      </c>
      <c r="E50" s="36">
        <f t="shared" si="2"/>
        <v>13.11111111</v>
      </c>
      <c r="F50" s="39">
        <f>if(isna(VLOOKUP(B50,Checkin!A:B,2,false)),0,VLOOKUP(B50,Checkin!A:B,2,false))</f>
        <v>0</v>
      </c>
      <c r="G50" s="40">
        <f>if(OR($F50=1, $F50=2),VLOOKUP($B50,Courts!$B$2:$K$50,10,false),0)</f>
        <v>0</v>
      </c>
      <c r="H50" s="41">
        <f t="shared" si="3"/>
        <v>0</v>
      </c>
      <c r="I50" s="40">
        <f>if(OR($F50=1, $F50=2),VLOOKUP($B50,Courts!$B$2:$J$50,5,false),0)</f>
        <v>0</v>
      </c>
      <c r="J50" s="40">
        <f>if(OR($F50=1, $F50=2),VLOOKUP($B50,Courts!$B$2:$J$50,6,false),0)</f>
        <v>0</v>
      </c>
      <c r="K50" s="40">
        <f>if(OR($F50=1, $F50=2),VLOOKUP($B50,Courts!$B$2:$J$50,7,false),0)</f>
        <v>0</v>
      </c>
      <c r="L50" s="44">
        <f t="shared" si="4"/>
        <v>0</v>
      </c>
      <c r="M50" s="40">
        <f>if(OR($F50=1, $F50=2),VLOOKUP($B50,Courts!$B$2:$J$50,9,false),0)</f>
        <v>0</v>
      </c>
      <c r="N50" s="31">
        <f t="shared" ref="N50:O50" si="54">C50+L50</f>
        <v>261</v>
      </c>
      <c r="O50" s="31">
        <f t="shared" si="54"/>
        <v>14</v>
      </c>
      <c r="P50" s="45" t="s">
        <v>58</v>
      </c>
      <c r="Q50" s="45" t="s">
        <v>58</v>
      </c>
      <c r="R50" s="45" t="s">
        <v>58</v>
      </c>
      <c r="S50" s="46">
        <f t="shared" si="6"/>
        <v>2</v>
      </c>
      <c r="T50" s="46"/>
      <c r="U50" s="46">
        <f t="shared" si="7"/>
        <v>13</v>
      </c>
      <c r="V50" s="46">
        <f t="shared" si="8"/>
        <v>0</v>
      </c>
      <c r="W50" s="30">
        <f t="shared" si="11"/>
        <v>46</v>
      </c>
    </row>
    <row r="51">
      <c r="A51" s="30">
        <f t="shared" si="9"/>
        <v>47</v>
      </c>
      <c r="B51" s="43" t="s">
        <v>62</v>
      </c>
      <c r="C51" s="31">
        <v>260.0</v>
      </c>
      <c r="D51" s="31">
        <v>14.0</v>
      </c>
      <c r="E51" s="36">
        <f t="shared" si="2"/>
        <v>14.5</v>
      </c>
      <c r="F51" s="39">
        <f>if(isna(VLOOKUP(B51,Checkin!A:B,2,false)),0,VLOOKUP(B51,Checkin!A:B,2,false))</f>
        <v>0</v>
      </c>
      <c r="G51" s="40">
        <f>if(OR($F51=1, $F51=2),VLOOKUP($B51,Courts!$B$2:$K$50,10,false),0)</f>
        <v>0</v>
      </c>
      <c r="H51" s="41">
        <f t="shared" si="3"/>
        <v>0</v>
      </c>
      <c r="I51" s="40">
        <f>if(OR($F51=1, $F51=2),VLOOKUP($B51,Courts!$B$2:$J$50,5,false),0)</f>
        <v>0</v>
      </c>
      <c r="J51" s="40">
        <f>if(OR($F51=1, $F51=2),VLOOKUP($B51,Courts!$B$2:$J$50,6,false),0)</f>
        <v>0</v>
      </c>
      <c r="K51" s="40">
        <f>if(OR($F51=1, $F51=2),VLOOKUP($B51,Courts!$B$2:$J$50,7,false),0)</f>
        <v>0</v>
      </c>
      <c r="L51" s="44">
        <f t="shared" si="4"/>
        <v>0</v>
      </c>
      <c r="M51" s="40">
        <f>if(OR($F51=1, $F51=2),VLOOKUP($B51,Courts!$B$2:$J$50,9,false),0)</f>
        <v>0</v>
      </c>
      <c r="N51" s="31">
        <f t="shared" ref="N51:O51" si="55">C51+L51</f>
        <v>260</v>
      </c>
      <c r="O51" s="31">
        <f t="shared" si="55"/>
        <v>14</v>
      </c>
      <c r="P51" s="45" t="s">
        <v>58</v>
      </c>
      <c r="Q51" s="45" t="s">
        <v>58</v>
      </c>
      <c r="R51" s="45" t="s">
        <v>58</v>
      </c>
      <c r="S51" s="46">
        <f t="shared" si="6"/>
        <v>0</v>
      </c>
      <c r="T51" s="46"/>
      <c r="U51" s="46">
        <f t="shared" si="7"/>
        <v>16</v>
      </c>
      <c r="V51" s="46">
        <f t="shared" si="8"/>
        <v>0</v>
      </c>
      <c r="W51" s="30">
        <f t="shared" si="11"/>
        <v>47</v>
      </c>
    </row>
    <row r="52">
      <c r="A52" s="30">
        <f t="shared" si="9"/>
        <v>48</v>
      </c>
      <c r="B52" s="48" t="s">
        <v>54</v>
      </c>
      <c r="C52" s="31">
        <v>259.0</v>
      </c>
      <c r="D52" s="31">
        <v>17.0</v>
      </c>
      <c r="E52" s="36">
        <f t="shared" si="2"/>
        <v>11.4375</v>
      </c>
      <c r="F52" s="39">
        <f>if(isna(VLOOKUP(B52,Checkin!A:B,2,false)),0,VLOOKUP(B52,Checkin!A:B,2,false))</f>
        <v>0</v>
      </c>
      <c r="G52" s="40">
        <f>if(OR($F52=1, $F52=2),VLOOKUP($B52,Courts!$B$2:$K$50,10,false),0)</f>
        <v>0</v>
      </c>
      <c r="H52" s="41">
        <f t="shared" si="3"/>
        <v>0</v>
      </c>
      <c r="I52" s="40">
        <f>if(OR($F52=1, $F52=2),VLOOKUP($B52,Courts!$B$2:$J$50,5,false),0)</f>
        <v>0</v>
      </c>
      <c r="J52" s="40">
        <f>if(OR($F52=1, $F52=2),VLOOKUP($B52,Courts!$B$2:$J$50,6,false),0)</f>
        <v>0</v>
      </c>
      <c r="K52" s="40">
        <f>if(OR($F52=1, $F52=2),VLOOKUP($B52,Courts!$B$2:$J$50,7,false),0)</f>
        <v>0</v>
      </c>
      <c r="L52" s="44">
        <f t="shared" si="4"/>
        <v>0</v>
      </c>
      <c r="M52" s="40">
        <f>if(OR($F52=1, $F52=2),VLOOKUP($B52,Courts!$B$2:$J$50,9,false),0)</f>
        <v>0</v>
      </c>
      <c r="N52" s="31">
        <f t="shared" ref="N52:O52" si="56">C52+L52</f>
        <v>259</v>
      </c>
      <c r="O52" s="31">
        <f t="shared" si="56"/>
        <v>17</v>
      </c>
      <c r="P52" s="45" t="s">
        <v>58</v>
      </c>
      <c r="Q52" s="45" t="s">
        <v>58</v>
      </c>
      <c r="R52" s="45" t="s">
        <v>58</v>
      </c>
      <c r="S52" s="46">
        <f t="shared" si="6"/>
        <v>1</v>
      </c>
      <c r="T52" s="46"/>
      <c r="U52" s="46">
        <f t="shared" si="7"/>
        <v>7</v>
      </c>
      <c r="V52" s="46">
        <f t="shared" si="8"/>
        <v>0</v>
      </c>
      <c r="W52" s="30">
        <f t="shared" si="11"/>
        <v>48</v>
      </c>
    </row>
    <row r="53">
      <c r="A53" s="30">
        <f t="shared" si="9"/>
        <v>49</v>
      </c>
      <c r="B53" s="43" t="s">
        <v>96</v>
      </c>
      <c r="C53" s="31">
        <v>259.0</v>
      </c>
      <c r="D53" s="31">
        <v>12.0</v>
      </c>
      <c r="E53" s="36">
        <f t="shared" si="2"/>
        <v>11.5</v>
      </c>
      <c r="F53" s="39">
        <f>if(isna(VLOOKUP(B53,Checkin!A:B,2,false)),0,VLOOKUP(B53,Checkin!A:B,2,false))</f>
        <v>0</v>
      </c>
      <c r="G53" s="40">
        <f>if(OR($F53=1, $F53=2),VLOOKUP($B53,Courts!$B$2:$K$50,10,false),0)</f>
        <v>0</v>
      </c>
      <c r="H53" s="41">
        <f t="shared" si="3"/>
        <v>0</v>
      </c>
      <c r="I53" s="40">
        <f>if(OR($F53=1, $F53=2),VLOOKUP($B53,Courts!$B$2:$J$50,5,false),0)</f>
        <v>0</v>
      </c>
      <c r="J53" s="40">
        <f>if(OR($F53=1, $F53=2),VLOOKUP($B53,Courts!$B$2:$J$50,6,false),0)</f>
        <v>0</v>
      </c>
      <c r="K53" s="40">
        <f>if(OR($F53=1, $F53=2),VLOOKUP($B53,Courts!$B$2:$J$50,7,false),0)</f>
        <v>0</v>
      </c>
      <c r="L53" s="44">
        <f t="shared" si="4"/>
        <v>0</v>
      </c>
      <c r="M53" s="40">
        <f>if(OR($F53=1, $F53=2),VLOOKUP($B53,Courts!$B$2:$J$50,9,false),0)</f>
        <v>0</v>
      </c>
      <c r="N53" s="31">
        <f t="shared" ref="N53:O53" si="57">C53+L53</f>
        <v>259</v>
      </c>
      <c r="O53" s="31">
        <f t="shared" si="57"/>
        <v>12</v>
      </c>
      <c r="P53" s="45" t="s">
        <v>58</v>
      </c>
      <c r="Q53" s="45" t="s">
        <v>58</v>
      </c>
      <c r="R53" s="45" t="s">
        <v>58</v>
      </c>
      <c r="S53" s="46">
        <f t="shared" si="6"/>
        <v>2</v>
      </c>
      <c r="T53" s="46"/>
      <c r="U53" s="46">
        <f t="shared" si="7"/>
        <v>8</v>
      </c>
      <c r="V53" s="46">
        <f t="shared" si="8"/>
        <v>1</v>
      </c>
      <c r="W53" s="30">
        <f t="shared" si="11"/>
        <v>49</v>
      </c>
    </row>
    <row r="54">
      <c r="A54" s="30">
        <f t="shared" si="9"/>
        <v>50</v>
      </c>
      <c r="B54" s="28" t="s">
        <v>137</v>
      </c>
      <c r="C54" s="31">
        <v>259.0</v>
      </c>
      <c r="D54" s="31">
        <v>10.0</v>
      </c>
      <c r="E54" s="36">
        <f t="shared" si="2"/>
        <v>14.83333333</v>
      </c>
      <c r="F54" s="39">
        <f>if(isna(VLOOKUP(B54,Checkin!A:B,2,false)),0,VLOOKUP(B54,Checkin!A:B,2,false))</f>
        <v>0</v>
      </c>
      <c r="G54" s="40">
        <f>if(OR($F54=1, $F54=2),VLOOKUP($B54,Courts!$B$2:$K$50,10,false),0)</f>
        <v>0</v>
      </c>
      <c r="H54" s="41">
        <f t="shared" si="3"/>
        <v>0</v>
      </c>
      <c r="I54" s="40">
        <f>if(OR($F54=1, $F54=2),VLOOKUP($B54,Courts!$B$2:$J$50,5,false),0)</f>
        <v>0</v>
      </c>
      <c r="J54" s="40">
        <f>if(OR($F54=1, $F54=2),VLOOKUP($B54,Courts!$B$2:$J$50,6,false),0)</f>
        <v>0</v>
      </c>
      <c r="K54" s="40">
        <f>if(OR($F54=1, $F54=2),VLOOKUP($B54,Courts!$B$2:$J$50,7,false),0)</f>
        <v>0</v>
      </c>
      <c r="L54" s="44">
        <f t="shared" si="4"/>
        <v>0</v>
      </c>
      <c r="M54" s="40">
        <f>if(OR($F54=1, $F54=2),VLOOKUP($B54,Courts!$B$2:$J$50,9,false),0)</f>
        <v>0</v>
      </c>
      <c r="N54" s="31">
        <f t="shared" ref="N54:O54" si="58">C54+L54</f>
        <v>259</v>
      </c>
      <c r="O54" s="31">
        <f t="shared" si="58"/>
        <v>10</v>
      </c>
      <c r="P54" s="45" t="s">
        <v>58</v>
      </c>
      <c r="Q54" s="45" t="s">
        <v>58</v>
      </c>
      <c r="R54" s="45" t="s">
        <v>58</v>
      </c>
      <c r="S54" s="46">
        <f t="shared" si="6"/>
        <v>2</v>
      </c>
      <c r="T54" s="46"/>
      <c r="U54" s="46">
        <f t="shared" si="7"/>
        <v>16</v>
      </c>
      <c r="V54" s="46">
        <f t="shared" si="8"/>
        <v>-1</v>
      </c>
      <c r="W54" s="30">
        <f t="shared" si="11"/>
        <v>50</v>
      </c>
    </row>
    <row r="55">
      <c r="A55" s="30">
        <f t="shared" si="9"/>
        <v>51</v>
      </c>
      <c r="B55" s="48" t="s">
        <v>139</v>
      </c>
      <c r="C55" s="31">
        <v>253.0</v>
      </c>
      <c r="D55" s="31">
        <v>10.0</v>
      </c>
      <c r="E55" s="36">
        <f t="shared" si="2"/>
        <v>14.5</v>
      </c>
      <c r="F55" s="39">
        <f>if(isna(VLOOKUP(B55,Checkin!A:B,2,false)),0,VLOOKUP(B55,Checkin!A:B,2,false))</f>
        <v>0</v>
      </c>
      <c r="G55" s="40">
        <f>if(OR($F55=1, $F55=2),VLOOKUP($B55,Courts!$B$2:$K$50,10,false),0)</f>
        <v>0</v>
      </c>
      <c r="H55" s="41">
        <f t="shared" si="3"/>
        <v>0</v>
      </c>
      <c r="I55" s="40">
        <f>if(OR($F55=1, $F55=2),VLOOKUP($B55,Courts!$B$2:$J$50,5,false),0)</f>
        <v>0</v>
      </c>
      <c r="J55" s="40">
        <f>if(OR($F55=1, $F55=2),VLOOKUP($B55,Courts!$B$2:$J$50,6,false),0)</f>
        <v>0</v>
      </c>
      <c r="K55" s="40">
        <f>if(OR($F55=1, $F55=2),VLOOKUP($B55,Courts!$B$2:$J$50,7,false),0)</f>
        <v>0</v>
      </c>
      <c r="L55" s="44">
        <f t="shared" si="4"/>
        <v>0</v>
      </c>
      <c r="M55" s="40">
        <f>if(OR($F55=1, $F55=2),VLOOKUP($B55,Courts!$B$2:$J$50,9,false),0)</f>
        <v>0</v>
      </c>
      <c r="N55" s="31">
        <f t="shared" ref="N55:O55" si="59">C55+L55</f>
        <v>253</v>
      </c>
      <c r="O55" s="31">
        <f t="shared" si="59"/>
        <v>10</v>
      </c>
      <c r="P55" s="45" t="s">
        <v>58</v>
      </c>
      <c r="Q55" s="45" t="s">
        <v>58</v>
      </c>
      <c r="R55" s="45" t="s">
        <v>58</v>
      </c>
      <c r="S55" s="46">
        <f t="shared" si="6"/>
        <v>1</v>
      </c>
      <c r="T55" s="46"/>
      <c r="U55" s="46">
        <f t="shared" si="7"/>
        <v>17</v>
      </c>
      <c r="V55" s="46">
        <f t="shared" si="8"/>
        <v>1</v>
      </c>
      <c r="W55" s="30">
        <f t="shared" si="11"/>
        <v>51</v>
      </c>
    </row>
    <row r="56">
      <c r="A56" s="30">
        <f t="shared" si="9"/>
        <v>52</v>
      </c>
      <c r="B56" s="43" t="s">
        <v>138</v>
      </c>
      <c r="C56" s="47">
        <v>252.0</v>
      </c>
      <c r="D56" s="31">
        <v>18.0</v>
      </c>
      <c r="E56" s="36">
        <f t="shared" si="2"/>
        <v>12</v>
      </c>
      <c r="F56" s="39">
        <f>if(isna(VLOOKUP(B56,Checkin!A:B,2,false)),0,VLOOKUP(B56,Checkin!A:B,2,false))</f>
        <v>0</v>
      </c>
      <c r="G56" s="40">
        <f>if(OR($F56=1, $F56=2),VLOOKUP($B56,Courts!$B$2:$K$50,10,false),0)</f>
        <v>0</v>
      </c>
      <c r="H56" s="41">
        <f t="shared" si="3"/>
        <v>0</v>
      </c>
      <c r="I56" s="40">
        <f>if(OR($F56=1, $F56=2),VLOOKUP($B56,Courts!$B$2:$J$50,5,false),0)</f>
        <v>0</v>
      </c>
      <c r="J56" s="40">
        <f>if(OR($F56=1, $F56=2),VLOOKUP($B56,Courts!$B$2:$J$50,6,false),0)</f>
        <v>0</v>
      </c>
      <c r="K56" s="40">
        <f>if(OR($F56=1, $F56=2),VLOOKUP($B56,Courts!$B$2:$J$50,7,false),0)</f>
        <v>0</v>
      </c>
      <c r="L56" s="44">
        <f t="shared" si="4"/>
        <v>0</v>
      </c>
      <c r="M56" s="40">
        <f>if(OR($F56=1, $F56=2),VLOOKUP($B56,Courts!$B$2:$J$50,9,false),0)</f>
        <v>0</v>
      </c>
      <c r="N56" s="47">
        <f t="shared" ref="N56:O56" si="60">C56+L56</f>
        <v>252</v>
      </c>
      <c r="O56" s="31">
        <f t="shared" si="60"/>
        <v>18</v>
      </c>
      <c r="P56" s="45" t="s">
        <v>58</v>
      </c>
      <c r="Q56" s="45" t="s">
        <v>58</v>
      </c>
      <c r="R56" s="45" t="s">
        <v>58</v>
      </c>
      <c r="S56" s="46">
        <f t="shared" si="6"/>
        <v>0</v>
      </c>
      <c r="T56" s="46"/>
      <c r="U56" s="46">
        <f t="shared" si="7"/>
        <v>12</v>
      </c>
      <c r="V56" s="46">
        <f t="shared" si="8"/>
        <v>-1</v>
      </c>
      <c r="W56" s="30">
        <f t="shared" si="11"/>
        <v>52</v>
      </c>
    </row>
    <row r="57">
      <c r="A57" s="30">
        <f t="shared" si="9"/>
        <v>53</v>
      </c>
      <c r="B57" s="43" t="s">
        <v>140</v>
      </c>
      <c r="C57" s="31">
        <v>247.0</v>
      </c>
      <c r="D57" s="31">
        <v>11.0</v>
      </c>
      <c r="E57" s="36">
        <f t="shared" si="2"/>
        <v>12.375</v>
      </c>
      <c r="F57" s="39">
        <f>if(isna(VLOOKUP(B57,Checkin!A:B,2,false)),0,VLOOKUP(B57,Checkin!A:B,2,false))</f>
        <v>0</v>
      </c>
      <c r="G57" s="40">
        <f>if(OR($F57=1, $F57=2),VLOOKUP($B57,Courts!$B$2:$K$50,10,false),0)</f>
        <v>0</v>
      </c>
      <c r="H57" s="41">
        <f t="shared" si="3"/>
        <v>0</v>
      </c>
      <c r="I57" s="40">
        <f>if(OR($F57=1, $F57=2),VLOOKUP($B57,Courts!$B$2:$J$50,5,false),0)</f>
        <v>0</v>
      </c>
      <c r="J57" s="40">
        <f>if(OR($F57=1, $F57=2),VLOOKUP($B57,Courts!$B$2:$J$50,6,false),0)</f>
        <v>0</v>
      </c>
      <c r="K57" s="40">
        <f>if(OR($F57=1, $F57=2),VLOOKUP($B57,Courts!$B$2:$J$50,7,false),0)</f>
        <v>0</v>
      </c>
      <c r="L57" s="44">
        <f t="shared" si="4"/>
        <v>0</v>
      </c>
      <c r="M57" s="40">
        <f>if(OR($F57=1, $F57=2),VLOOKUP($B57,Courts!$B$2:$J$50,9,false),0)</f>
        <v>0</v>
      </c>
      <c r="N57" s="31">
        <f t="shared" ref="N57:O57" si="61">C57+L57</f>
        <v>247</v>
      </c>
      <c r="O57" s="31">
        <f t="shared" si="61"/>
        <v>11</v>
      </c>
      <c r="P57" s="45" t="s">
        <v>58</v>
      </c>
      <c r="Q57" s="45" t="s">
        <v>58</v>
      </c>
      <c r="R57" s="45" t="s">
        <v>58</v>
      </c>
      <c r="S57" s="46">
        <f t="shared" si="6"/>
        <v>1</v>
      </c>
      <c r="T57" s="46"/>
      <c r="U57" s="46">
        <f t="shared" si="7"/>
        <v>15</v>
      </c>
      <c r="V57" s="46">
        <f t="shared" si="8"/>
        <v>0</v>
      </c>
      <c r="W57" s="30">
        <f t="shared" si="11"/>
        <v>53</v>
      </c>
    </row>
    <row r="58">
      <c r="A58" s="30">
        <f t="shared" si="9"/>
        <v>54</v>
      </c>
      <c r="B58" s="28" t="s">
        <v>102</v>
      </c>
      <c r="C58" s="31">
        <v>247.0</v>
      </c>
      <c r="D58" s="31">
        <v>9.0</v>
      </c>
      <c r="E58" s="36">
        <f t="shared" si="2"/>
        <v>18</v>
      </c>
      <c r="F58" s="39">
        <f>if(isna(VLOOKUP(B58,Checkin!A:B,2,false)),0,VLOOKUP(B58,Checkin!A:B,2,false))</f>
        <v>0</v>
      </c>
      <c r="G58" s="40">
        <f>if(OR($F58=1, $F58=2),VLOOKUP($B58,Courts!$B$2:$K$50,10,false),0)</f>
        <v>0</v>
      </c>
      <c r="H58" s="41">
        <f t="shared" si="3"/>
        <v>0</v>
      </c>
      <c r="I58" s="40">
        <f>if(OR($F58=1, $F58=2),VLOOKUP($B58,Courts!$B$2:$J$50,5,false),0)</f>
        <v>0</v>
      </c>
      <c r="J58" s="40">
        <f>if(OR($F58=1, $F58=2),VLOOKUP($B58,Courts!$B$2:$J$50,6,false),0)</f>
        <v>0</v>
      </c>
      <c r="K58" s="40">
        <f>if(OR($F58=1, $F58=2),VLOOKUP($B58,Courts!$B$2:$J$50,7,false),0)</f>
        <v>0</v>
      </c>
      <c r="L58" s="44">
        <f t="shared" si="4"/>
        <v>0</v>
      </c>
      <c r="M58" s="40">
        <f>if(OR($F58=1, $F58=2),VLOOKUP($B58,Courts!$B$2:$J$50,9,false),0)</f>
        <v>0</v>
      </c>
      <c r="N58" s="31">
        <f t="shared" ref="N58:O58" si="62">C58+L58</f>
        <v>247</v>
      </c>
      <c r="O58" s="31">
        <f t="shared" si="62"/>
        <v>9</v>
      </c>
      <c r="P58" s="45" t="s">
        <v>58</v>
      </c>
      <c r="Q58" s="45" t="s">
        <v>58</v>
      </c>
      <c r="R58" s="45" t="s">
        <v>58</v>
      </c>
      <c r="S58" s="46">
        <f t="shared" si="6"/>
        <v>1</v>
      </c>
      <c r="T58" s="46"/>
      <c r="U58" s="46">
        <f t="shared" si="7"/>
        <v>20</v>
      </c>
      <c r="V58" s="46">
        <f t="shared" si="8"/>
        <v>0</v>
      </c>
      <c r="W58" s="30">
        <f t="shared" si="11"/>
        <v>54</v>
      </c>
    </row>
    <row r="59">
      <c r="A59" s="30">
        <f t="shared" si="9"/>
        <v>55</v>
      </c>
      <c r="B59" s="28" t="s">
        <v>141</v>
      </c>
      <c r="C59" s="31">
        <v>242.0</v>
      </c>
      <c r="D59" s="31">
        <v>9.0</v>
      </c>
      <c r="E59" s="36">
        <f t="shared" si="2"/>
        <v>13.4</v>
      </c>
      <c r="F59" s="39">
        <f>if(isna(VLOOKUP(B59,Checkin!A:B,2,false)),0,VLOOKUP(B59,Checkin!A:B,2,false))</f>
        <v>0</v>
      </c>
      <c r="G59" s="40">
        <f>if(OR($F59=1, $F59=2),VLOOKUP($B59,Courts!$B$2:$K$50,10,false),0)</f>
        <v>0</v>
      </c>
      <c r="H59" s="41">
        <f t="shared" si="3"/>
        <v>0</v>
      </c>
      <c r="I59" s="40">
        <f>if(OR($F59=1, $F59=2),VLOOKUP($B59,Courts!$B$2:$J$50,5,false),0)</f>
        <v>0</v>
      </c>
      <c r="J59" s="40">
        <f>if(OR($F59=1, $F59=2),VLOOKUP($B59,Courts!$B$2:$J$50,6,false),0)</f>
        <v>0</v>
      </c>
      <c r="K59" s="40">
        <f>if(OR($F59=1, $F59=2),VLOOKUP($B59,Courts!$B$2:$J$50,7,false),0)</f>
        <v>0</v>
      </c>
      <c r="L59" s="44">
        <f t="shared" si="4"/>
        <v>0</v>
      </c>
      <c r="M59" s="40">
        <f>if(OR($F59=1, $F59=2),VLOOKUP($B59,Courts!$B$2:$J$50,9,false),0)</f>
        <v>0</v>
      </c>
      <c r="N59" s="31">
        <f t="shared" ref="N59:O59" si="63">C59+L59</f>
        <v>242</v>
      </c>
      <c r="O59" s="31">
        <f t="shared" si="63"/>
        <v>9</v>
      </c>
      <c r="P59" s="45" t="s">
        <v>58</v>
      </c>
      <c r="Q59" s="45" t="s">
        <v>58</v>
      </c>
      <c r="R59" s="45" t="s">
        <v>58</v>
      </c>
      <c r="S59" s="46">
        <f t="shared" si="6"/>
        <v>1</v>
      </c>
      <c r="T59" s="46"/>
      <c r="U59" s="46">
        <f t="shared" si="7"/>
        <v>18</v>
      </c>
      <c r="V59" s="46">
        <f t="shared" si="8"/>
        <v>0</v>
      </c>
      <c r="W59" s="30">
        <f t="shared" si="11"/>
        <v>55</v>
      </c>
    </row>
    <row r="60">
      <c r="A60" s="30">
        <f t="shared" si="9"/>
        <v>56</v>
      </c>
      <c r="B60" s="43" t="s">
        <v>76</v>
      </c>
      <c r="C60" s="31">
        <v>237.0</v>
      </c>
      <c r="D60" s="31">
        <v>6.0</v>
      </c>
      <c r="E60" s="36">
        <f t="shared" si="2"/>
        <v>16</v>
      </c>
      <c r="F60" s="39">
        <f>if(isna(VLOOKUP(B60,Checkin!A:B,2,false)),0,VLOOKUP(B60,Checkin!A:B,2,false))</f>
        <v>0</v>
      </c>
      <c r="G60" s="40">
        <f>if(OR($F60=1, $F60=2),VLOOKUP($B60,Courts!$B$2:$K$50,10,false),0)</f>
        <v>0</v>
      </c>
      <c r="H60" s="41">
        <f t="shared" si="3"/>
        <v>0</v>
      </c>
      <c r="I60" s="40">
        <f>if(OR($F60=1, $F60=2),VLOOKUP($B60,Courts!$B$2:$J$50,5,false),0)</f>
        <v>0</v>
      </c>
      <c r="J60" s="40">
        <f>if(OR($F60=1, $F60=2),VLOOKUP($B60,Courts!$B$2:$J$50,6,false),0)</f>
        <v>0</v>
      </c>
      <c r="K60" s="40">
        <f>if(OR($F60=1, $F60=2),VLOOKUP($B60,Courts!$B$2:$J$50,7,false),0)</f>
        <v>0</v>
      </c>
      <c r="L60" s="44">
        <f t="shared" si="4"/>
        <v>0</v>
      </c>
      <c r="M60" s="40">
        <f>if(OR($F60=1, $F60=2),VLOOKUP($B60,Courts!$B$2:$J$50,9,false),0)</f>
        <v>0</v>
      </c>
      <c r="N60" s="31">
        <f t="shared" ref="N60:O60" si="64">C60+L60</f>
        <v>237</v>
      </c>
      <c r="O60" s="31">
        <f t="shared" si="64"/>
        <v>6</v>
      </c>
      <c r="P60" s="45" t="s">
        <v>58</v>
      </c>
      <c r="Q60" s="45" t="s">
        <v>58</v>
      </c>
      <c r="R60" s="45" t="s">
        <v>58</v>
      </c>
      <c r="S60" s="46">
        <f t="shared" si="6"/>
        <v>0</v>
      </c>
      <c r="T60" s="46"/>
      <c r="U60" s="46">
        <f t="shared" si="7"/>
        <v>21</v>
      </c>
      <c r="V60" s="46">
        <f t="shared" si="8"/>
        <v>2</v>
      </c>
      <c r="W60" s="30">
        <f t="shared" si="11"/>
        <v>56</v>
      </c>
    </row>
    <row r="61">
      <c r="A61" s="30">
        <f t="shared" si="9"/>
        <v>57</v>
      </c>
      <c r="B61" s="43" t="s">
        <v>100</v>
      </c>
      <c r="C61" s="31">
        <v>235.0</v>
      </c>
      <c r="D61" s="31">
        <v>14.0</v>
      </c>
      <c r="E61" s="36">
        <f t="shared" si="2"/>
        <v>10.35714286</v>
      </c>
      <c r="F61" s="39">
        <f>if(isna(VLOOKUP(B61,Checkin!A:B,2,false)),0,VLOOKUP(B61,Checkin!A:B,2,false))</f>
        <v>0</v>
      </c>
      <c r="G61" s="40">
        <f>if(OR($F61=1, $F61=2),VLOOKUP($B61,Courts!$B$2:$K$50,10,false),0)</f>
        <v>0</v>
      </c>
      <c r="H61" s="41">
        <f t="shared" si="3"/>
        <v>0</v>
      </c>
      <c r="I61" s="40">
        <f>if(OR($F61=1, $F61=2),VLOOKUP($B61,Courts!$B$2:$J$50,5,false),0)</f>
        <v>0</v>
      </c>
      <c r="J61" s="40">
        <f>if(OR($F61=1, $F61=2),VLOOKUP($B61,Courts!$B$2:$J$50,6,false),0)</f>
        <v>0</v>
      </c>
      <c r="K61" s="40">
        <f>if(OR($F61=1, $F61=2),VLOOKUP($B61,Courts!$B$2:$J$50,7,false),0)</f>
        <v>0</v>
      </c>
      <c r="L61" s="44">
        <f t="shared" si="4"/>
        <v>0</v>
      </c>
      <c r="M61" s="40">
        <f>if(OR($F61=1, $F61=2),VLOOKUP($B61,Courts!$B$2:$J$50,9,false),0)</f>
        <v>0</v>
      </c>
      <c r="N61" s="31">
        <f t="shared" ref="N61:O61" si="65">C61+L61</f>
        <v>235</v>
      </c>
      <c r="O61" s="31">
        <f t="shared" si="65"/>
        <v>14</v>
      </c>
      <c r="P61" s="45" t="s">
        <v>58</v>
      </c>
      <c r="Q61" s="45" t="s">
        <v>58</v>
      </c>
      <c r="R61" s="45" t="s">
        <v>58</v>
      </c>
      <c r="S61" s="46">
        <f t="shared" si="6"/>
        <v>0</v>
      </c>
      <c r="T61" s="46"/>
      <c r="U61" s="46">
        <f t="shared" si="7"/>
        <v>10</v>
      </c>
      <c r="V61" s="46">
        <f t="shared" si="8"/>
        <v>-1</v>
      </c>
      <c r="W61" s="30">
        <f t="shared" si="11"/>
        <v>57</v>
      </c>
    </row>
    <row r="62">
      <c r="A62" s="30">
        <f t="shared" si="9"/>
        <v>58</v>
      </c>
      <c r="B62" s="43" t="s">
        <v>79</v>
      </c>
      <c r="C62" s="31">
        <v>232.0</v>
      </c>
      <c r="D62" s="31">
        <v>4.0</v>
      </c>
      <c r="E62" s="36">
        <f t="shared" si="2"/>
        <v>11.66666667</v>
      </c>
      <c r="F62" s="39">
        <f>if(isna(VLOOKUP(B62,Checkin!A:B,2,false)),0,VLOOKUP(B62,Checkin!A:B,2,false))</f>
        <v>0</v>
      </c>
      <c r="G62" s="40">
        <f>if(OR($F62=1, $F62=2),VLOOKUP($B62,Courts!$B$2:$K$50,10,false),0)</f>
        <v>0</v>
      </c>
      <c r="H62" s="41">
        <f t="shared" si="3"/>
        <v>0</v>
      </c>
      <c r="I62" s="40">
        <f>if(OR($F62=1, $F62=2),VLOOKUP($B62,Courts!$B$2:$J$50,5,false),0)</f>
        <v>0</v>
      </c>
      <c r="J62" s="40">
        <f>if(OR($F62=1, $F62=2),VLOOKUP($B62,Courts!$B$2:$J$50,6,false),0)</f>
        <v>0</v>
      </c>
      <c r="K62" s="40">
        <f>if(OR($F62=1, $F62=2),VLOOKUP($B62,Courts!$B$2:$J$50,7,false),0)</f>
        <v>0</v>
      </c>
      <c r="L62" s="44">
        <f t="shared" si="4"/>
        <v>0</v>
      </c>
      <c r="M62" s="40">
        <f>if(OR($F62=1, $F62=2),VLOOKUP($B62,Courts!$B$2:$J$50,9,false),0)</f>
        <v>0</v>
      </c>
      <c r="N62" s="31">
        <f t="shared" ref="N62:O62" si="66">C62+L62</f>
        <v>232</v>
      </c>
      <c r="O62" s="31">
        <f t="shared" si="66"/>
        <v>4</v>
      </c>
      <c r="P62" s="45" t="s">
        <v>58</v>
      </c>
      <c r="Q62" s="45" t="s">
        <v>58</v>
      </c>
      <c r="R62" s="45" t="s">
        <v>58</v>
      </c>
      <c r="S62" s="46">
        <f t="shared" si="6"/>
        <v>0</v>
      </c>
      <c r="T62" s="46"/>
      <c r="U62" s="46">
        <f t="shared" si="7"/>
        <v>18</v>
      </c>
      <c r="V62" s="46">
        <f t="shared" si="8"/>
        <v>-1</v>
      </c>
      <c r="W62" s="30">
        <f t="shared" si="11"/>
        <v>58</v>
      </c>
    </row>
    <row r="63">
      <c r="A63" s="30">
        <f t="shared" si="9"/>
        <v>59</v>
      </c>
      <c r="B63" s="28" t="s">
        <v>72</v>
      </c>
      <c r="C63" s="31">
        <v>230.0</v>
      </c>
      <c r="D63" s="31">
        <v>5.0</v>
      </c>
      <c r="E63" s="36">
        <f t="shared" si="2"/>
        <v>12.33333333</v>
      </c>
      <c r="F63" s="39">
        <f>if(isna(VLOOKUP(B63,Checkin!A:B,2,false)),0,VLOOKUP(B63,Checkin!A:B,2,false))</f>
        <v>0</v>
      </c>
      <c r="G63" s="40">
        <f>if(OR($F63=1, $F63=2),VLOOKUP($B63,Courts!$B$2:$K$50,10,false),0)</f>
        <v>0</v>
      </c>
      <c r="H63" s="41">
        <f t="shared" si="3"/>
        <v>0</v>
      </c>
      <c r="I63" s="40">
        <f>if(OR($F63=1, $F63=2),VLOOKUP($B63,Courts!$B$2:$J$50,5,false),0)</f>
        <v>0</v>
      </c>
      <c r="J63" s="40">
        <f>if(OR($F63=1, $F63=2),VLOOKUP($B63,Courts!$B$2:$J$50,6,false),0)</f>
        <v>0</v>
      </c>
      <c r="K63" s="40">
        <f>if(OR($F63=1, $F63=2),VLOOKUP($B63,Courts!$B$2:$J$50,7,false),0)</f>
        <v>0</v>
      </c>
      <c r="L63" s="44">
        <f t="shared" si="4"/>
        <v>0</v>
      </c>
      <c r="M63" s="40">
        <f>if(OR($F63=1, $F63=2),VLOOKUP($B63,Courts!$B$2:$J$50,9,false),0)</f>
        <v>0</v>
      </c>
      <c r="N63" s="31">
        <f t="shared" ref="N63:O63" si="67">C63+L63</f>
        <v>230</v>
      </c>
      <c r="O63" s="31">
        <f t="shared" si="67"/>
        <v>5</v>
      </c>
      <c r="P63" s="45" t="s">
        <v>58</v>
      </c>
      <c r="Q63" s="45" t="s">
        <v>58</v>
      </c>
      <c r="R63" s="45" t="s">
        <v>58</v>
      </c>
      <c r="S63" s="46">
        <f t="shared" si="6"/>
        <v>1</v>
      </c>
      <c r="T63" s="46"/>
      <c r="U63" s="46">
        <f t="shared" si="7"/>
        <v>20</v>
      </c>
      <c r="V63" s="46">
        <f t="shared" si="8"/>
        <v>3</v>
      </c>
      <c r="W63" s="30">
        <f t="shared" si="11"/>
        <v>59</v>
      </c>
    </row>
    <row r="64">
      <c r="A64" s="30">
        <f t="shared" si="9"/>
        <v>60</v>
      </c>
      <c r="B64" s="43" t="s">
        <v>118</v>
      </c>
      <c r="C64" s="47">
        <v>226.0</v>
      </c>
      <c r="D64" s="31">
        <v>8.0</v>
      </c>
      <c r="E64" s="36">
        <f t="shared" si="2"/>
        <v>10.42857143</v>
      </c>
      <c r="F64" s="39">
        <f>if(isna(VLOOKUP(B64,Checkin!A:B,2,false)),0,VLOOKUP(B64,Checkin!A:B,2,false))</f>
        <v>0</v>
      </c>
      <c r="G64" s="40">
        <f>if(OR($F64=1, $F64=2),VLOOKUP($B64,Courts!$B$2:$K$50,10,false),0)</f>
        <v>0</v>
      </c>
      <c r="H64" s="41">
        <f t="shared" si="3"/>
        <v>0</v>
      </c>
      <c r="I64" s="40">
        <f>if(OR($F64=1, $F64=2),VLOOKUP($B64,Courts!$B$2:$J$50,5,false),0)</f>
        <v>0</v>
      </c>
      <c r="J64" s="40">
        <f>if(OR($F64=1, $F64=2),VLOOKUP($B64,Courts!$B$2:$J$50,6,false),0)</f>
        <v>0</v>
      </c>
      <c r="K64" s="40">
        <f>if(OR($F64=1, $F64=2),VLOOKUP($B64,Courts!$B$2:$J$50,7,false),0)</f>
        <v>0</v>
      </c>
      <c r="L64" s="44">
        <f t="shared" si="4"/>
        <v>0</v>
      </c>
      <c r="M64" s="40">
        <f>if(OR($F64=1, $F64=2),VLOOKUP($B64,Courts!$B$2:$J$50,9,false),0)</f>
        <v>0</v>
      </c>
      <c r="N64" s="47">
        <f t="shared" ref="N64:O64" si="68">C64+L64</f>
        <v>226</v>
      </c>
      <c r="O64" s="31">
        <f t="shared" si="68"/>
        <v>8</v>
      </c>
      <c r="P64" s="45" t="s">
        <v>58</v>
      </c>
      <c r="Q64" s="45" t="s">
        <v>58</v>
      </c>
      <c r="R64" s="45" t="s">
        <v>58</v>
      </c>
      <c r="S64" s="46">
        <f t="shared" si="6"/>
        <v>0</v>
      </c>
      <c r="T64" s="46"/>
      <c r="U64" s="46">
        <f t="shared" si="7"/>
        <v>17</v>
      </c>
      <c r="V64" s="46">
        <f t="shared" si="8"/>
        <v>-1</v>
      </c>
      <c r="W64" s="30">
        <f t="shared" si="11"/>
        <v>60</v>
      </c>
    </row>
    <row r="65">
      <c r="A65" s="30">
        <f t="shared" si="9"/>
        <v>61</v>
      </c>
      <c r="B65" s="43" t="s">
        <v>142</v>
      </c>
      <c r="C65" s="47">
        <v>225.0</v>
      </c>
      <c r="D65" s="31">
        <v>6.0</v>
      </c>
      <c r="E65" s="36">
        <f t="shared" si="2"/>
        <v>10</v>
      </c>
      <c r="F65" s="39">
        <f>if(isna(VLOOKUP(B65,Checkin!A:B,2,false)),0,VLOOKUP(B65,Checkin!A:B,2,false))</f>
        <v>0</v>
      </c>
      <c r="G65" s="40">
        <f>if(OR($F65=1, $F65=2),VLOOKUP($B65,Courts!$B$2:$K$50,10,false),0)</f>
        <v>0</v>
      </c>
      <c r="H65" s="41">
        <f t="shared" si="3"/>
        <v>0</v>
      </c>
      <c r="I65" s="40">
        <f>if(OR($F65=1, $F65=2),VLOOKUP($B65,Courts!$B$2:$J$50,5,false),0)</f>
        <v>0</v>
      </c>
      <c r="J65" s="40">
        <f>if(OR($F65=1, $F65=2),VLOOKUP($B65,Courts!$B$2:$J$50,6,false),0)</f>
        <v>0</v>
      </c>
      <c r="K65" s="40">
        <f>if(OR($F65=1, $F65=2),VLOOKUP($B65,Courts!$B$2:$J$50,7,false),0)</f>
        <v>0</v>
      </c>
      <c r="L65" s="44">
        <f t="shared" si="4"/>
        <v>0</v>
      </c>
      <c r="M65" s="40">
        <f>if(OR($F65=1, $F65=2),VLOOKUP($B65,Courts!$B$2:$J$50,9,false),0)</f>
        <v>0</v>
      </c>
      <c r="N65" s="47">
        <f t="shared" ref="N65:O65" si="69">C65+L65</f>
        <v>225</v>
      </c>
      <c r="O65" s="31">
        <f t="shared" si="69"/>
        <v>6</v>
      </c>
      <c r="P65" s="45" t="s">
        <v>58</v>
      </c>
      <c r="Q65" s="45" t="s">
        <v>58</v>
      </c>
      <c r="R65" s="45" t="s">
        <v>58</v>
      </c>
      <c r="S65" s="46">
        <f t="shared" si="6"/>
        <v>1</v>
      </c>
      <c r="T65" s="46"/>
      <c r="U65" s="46">
        <f t="shared" si="7"/>
        <v>18</v>
      </c>
      <c r="V65" s="46">
        <f t="shared" si="8"/>
        <v>-1</v>
      </c>
      <c r="W65" s="30">
        <f t="shared" si="11"/>
        <v>61</v>
      </c>
    </row>
    <row r="66">
      <c r="A66" s="30">
        <f t="shared" si="9"/>
        <v>62</v>
      </c>
      <c r="B66" s="43" t="s">
        <v>135</v>
      </c>
      <c r="C66" s="31">
        <v>223.0</v>
      </c>
      <c r="D66" s="31">
        <v>8.0</v>
      </c>
      <c r="E66" s="36">
        <f t="shared" si="2"/>
        <v>9.7</v>
      </c>
      <c r="F66" s="39">
        <f>if(isna(VLOOKUP(B66,Checkin!A:B,2,false)),0,VLOOKUP(B66,Checkin!A:B,2,false))</f>
        <v>0</v>
      </c>
      <c r="G66" s="40">
        <f>if(OR($F66=1, $F66=2),VLOOKUP($B66,Courts!$B$2:$K$50,10,false),0)</f>
        <v>0</v>
      </c>
      <c r="H66" s="41">
        <f t="shared" si="3"/>
        <v>0</v>
      </c>
      <c r="I66" s="40">
        <f>if(OR($F66=1, $F66=2),VLOOKUP($B66,Courts!$B$2:$J$50,5,false),0)</f>
        <v>0</v>
      </c>
      <c r="J66" s="40">
        <f>if(OR($F66=1, $F66=2),VLOOKUP($B66,Courts!$B$2:$J$50,6,false),0)</f>
        <v>0</v>
      </c>
      <c r="K66" s="40">
        <f>if(OR($F66=1, $F66=2),VLOOKUP($B66,Courts!$B$2:$J$50,7,false),0)</f>
        <v>0</v>
      </c>
      <c r="L66" s="44">
        <f t="shared" si="4"/>
        <v>0</v>
      </c>
      <c r="M66" s="40">
        <f>if(OR($F66=1, $F66=2),VLOOKUP($B66,Courts!$B$2:$J$50,9,false),0)</f>
        <v>0</v>
      </c>
      <c r="N66" s="31">
        <f t="shared" ref="N66:O66" si="70">C66+L66</f>
        <v>223</v>
      </c>
      <c r="O66" s="31">
        <f t="shared" si="70"/>
        <v>8</v>
      </c>
      <c r="P66" s="45" t="s">
        <v>58</v>
      </c>
      <c r="Q66" s="45" t="s">
        <v>58</v>
      </c>
      <c r="R66" s="45" t="s">
        <v>58</v>
      </c>
      <c r="S66" s="46">
        <f t="shared" si="6"/>
        <v>0</v>
      </c>
      <c r="T66" s="46"/>
      <c r="U66" s="46">
        <f t="shared" si="7"/>
        <v>14</v>
      </c>
      <c r="V66" s="46">
        <f t="shared" si="8"/>
        <v>-1</v>
      </c>
      <c r="W66" s="30">
        <f t="shared" si="11"/>
        <v>62</v>
      </c>
    </row>
    <row r="67">
      <c r="A67" s="30">
        <f t="shared" si="9"/>
        <v>63</v>
      </c>
      <c r="B67" s="28" t="s">
        <v>80</v>
      </c>
      <c r="C67" s="31">
        <v>220.0</v>
      </c>
      <c r="D67" s="31">
        <v>0.0</v>
      </c>
      <c r="E67" s="36">
        <f t="shared" si="2"/>
        <v>0</v>
      </c>
      <c r="F67" s="39">
        <f>if(isna(VLOOKUP(B67,Checkin!A:B,2,false)),0,VLOOKUP(B67,Checkin!A:B,2,false))</f>
        <v>0</v>
      </c>
      <c r="G67" s="40">
        <f>if(OR($F67=1, $F67=2),VLOOKUP($B67,Courts!$B$2:$K$50,10,false),0)</f>
        <v>0</v>
      </c>
      <c r="H67" s="41">
        <f t="shared" si="3"/>
        <v>0</v>
      </c>
      <c r="I67" s="40">
        <f>if(OR($F67=1, $F67=2),VLOOKUP($B67,Courts!$B$2:$J$50,5,false),0)</f>
        <v>0</v>
      </c>
      <c r="J67" s="40">
        <f>if(OR($F67=1, $F67=2),VLOOKUP($B67,Courts!$B$2:$J$50,6,false),0)</f>
        <v>0</v>
      </c>
      <c r="K67" s="40">
        <f>if(OR($F67=1, $F67=2),VLOOKUP($B67,Courts!$B$2:$J$50,7,false),0)</f>
        <v>0</v>
      </c>
      <c r="L67" s="44">
        <f t="shared" si="4"/>
        <v>0</v>
      </c>
      <c r="M67" s="40">
        <f>if(OR($F67=1, $F67=2),VLOOKUP($B67,Courts!$B$2:$J$50,9,false),0)</f>
        <v>0</v>
      </c>
      <c r="N67" s="31">
        <f t="shared" ref="N67:O67" si="71">C67+L67</f>
        <v>220</v>
      </c>
      <c r="O67" s="31">
        <f t="shared" si="71"/>
        <v>0</v>
      </c>
      <c r="P67" s="45" t="s">
        <v>58</v>
      </c>
      <c r="Q67" s="45" t="s">
        <v>58</v>
      </c>
      <c r="R67" s="45" t="s">
        <v>143</v>
      </c>
      <c r="S67" s="46">
        <f t="shared" si="6"/>
        <v>1</v>
      </c>
      <c r="T67" s="46"/>
      <c r="U67" s="46">
        <f t="shared" si="7"/>
        <v>23</v>
      </c>
      <c r="V67" s="46">
        <f t="shared" si="8"/>
        <v>0</v>
      </c>
      <c r="W67" s="30">
        <f t="shared" si="11"/>
        <v>63</v>
      </c>
    </row>
    <row r="68">
      <c r="A68" s="30">
        <f t="shared" si="9"/>
        <v>64</v>
      </c>
      <c r="B68" s="43" t="s">
        <v>126</v>
      </c>
      <c r="C68" s="31">
        <v>216.0</v>
      </c>
      <c r="D68" s="31">
        <v>0.0</v>
      </c>
      <c r="E68" s="36">
        <f t="shared" si="2"/>
        <v>0</v>
      </c>
      <c r="F68" s="39">
        <f>if(isna(VLOOKUP(B68,Checkin!A:B,2,false)),0,VLOOKUP(B68,Checkin!A:B,2,false))</f>
        <v>0</v>
      </c>
      <c r="G68" s="40">
        <f>if(OR($F68=1, $F68=2),VLOOKUP($B68,Courts!$B$2:$K$50,10,false),0)</f>
        <v>0</v>
      </c>
      <c r="H68" s="41">
        <f t="shared" si="3"/>
        <v>0</v>
      </c>
      <c r="I68" s="40">
        <f>if(OR($F68=1, $F68=2),VLOOKUP($B68,Courts!$B$2:$J$50,5,false),0)</f>
        <v>0</v>
      </c>
      <c r="J68" s="40">
        <f>if(OR($F68=1, $F68=2),VLOOKUP($B68,Courts!$B$2:$J$50,6,false),0)</f>
        <v>0</v>
      </c>
      <c r="K68" s="40">
        <f>if(OR($F68=1, $F68=2),VLOOKUP($B68,Courts!$B$2:$J$50,7,false),0)</f>
        <v>0</v>
      </c>
      <c r="L68" s="44">
        <f t="shared" si="4"/>
        <v>0</v>
      </c>
      <c r="M68" s="40">
        <f>if(OR($F68=1, $F68=2),VLOOKUP($B68,Courts!$B$2:$J$50,9,false),0)</f>
        <v>0</v>
      </c>
      <c r="N68" s="31">
        <f t="shared" ref="N68:O68" si="72">C68+L68</f>
        <v>216</v>
      </c>
      <c r="O68" s="31">
        <f t="shared" si="72"/>
        <v>0</v>
      </c>
      <c r="P68" s="45" t="s">
        <v>58</v>
      </c>
      <c r="Q68" s="45" t="s">
        <v>58</v>
      </c>
      <c r="R68" s="45" t="s">
        <v>58</v>
      </c>
      <c r="S68" s="46">
        <f t="shared" si="6"/>
        <v>0</v>
      </c>
      <c r="T68" s="46"/>
      <c r="U68" s="46">
        <f t="shared" si="7"/>
        <v>24</v>
      </c>
      <c r="V68" s="46">
        <f t="shared" si="8"/>
        <v>0</v>
      </c>
      <c r="W68" s="30">
        <f t="shared" si="11"/>
        <v>64</v>
      </c>
    </row>
    <row r="69">
      <c r="A69" s="30">
        <f t="shared" si="9"/>
        <v>65</v>
      </c>
      <c r="B69" s="43" t="s">
        <v>78</v>
      </c>
      <c r="C69" s="47">
        <v>196.0</v>
      </c>
      <c r="D69" s="31">
        <v>3.0</v>
      </c>
      <c r="E69" s="36">
        <f t="shared" si="2"/>
        <v>6.777777778</v>
      </c>
      <c r="F69" s="39">
        <f>if(isna(VLOOKUP(B69,Checkin!A:B,2,false)),0,VLOOKUP(B69,Checkin!A:B,2,false))</f>
        <v>0</v>
      </c>
      <c r="G69" s="40">
        <f>if(OR($F69=1, $F69=2),VLOOKUP($B69,Courts!$B$2:$K$50,10,false),0)</f>
        <v>0</v>
      </c>
      <c r="H69" s="41">
        <f t="shared" si="3"/>
        <v>0</v>
      </c>
      <c r="I69" s="40">
        <f>if(OR($F69=1, $F69=2),VLOOKUP($B69,Courts!$B$2:$J$50,5,false),0)</f>
        <v>0</v>
      </c>
      <c r="J69" s="40">
        <f>if(OR($F69=1, $F69=2),VLOOKUP($B69,Courts!$B$2:$J$50,6,false),0)</f>
        <v>0</v>
      </c>
      <c r="K69" s="40">
        <f>if(OR($F69=1, $F69=2),VLOOKUP($B69,Courts!$B$2:$J$50,7,false),0)</f>
        <v>0</v>
      </c>
      <c r="L69" s="44">
        <f t="shared" si="4"/>
        <v>0</v>
      </c>
      <c r="M69" s="40">
        <f>if(OR($F69=1, $F69=2),VLOOKUP($B69,Courts!$B$2:$J$50,9,false),0)</f>
        <v>0</v>
      </c>
      <c r="N69" s="47">
        <f t="shared" ref="N69:O69" si="73">C69+L69</f>
        <v>196</v>
      </c>
      <c r="O69" s="31">
        <f t="shared" si="73"/>
        <v>3</v>
      </c>
      <c r="P69" s="45" t="s">
        <v>58</v>
      </c>
      <c r="Q69" s="45" t="s">
        <v>58</v>
      </c>
      <c r="R69" s="45" t="s">
        <v>58</v>
      </c>
      <c r="S69" s="46">
        <f t="shared" si="6"/>
        <v>0</v>
      </c>
      <c r="T69" s="46"/>
      <c r="U69" s="46">
        <f t="shared" si="7"/>
        <v>15</v>
      </c>
      <c r="V69" s="46">
        <f t="shared" si="8"/>
        <v>0</v>
      </c>
      <c r="W69" s="30">
        <f t="shared" si="11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64</v>
      </c>
      <c r="S74" s="80">
        <f>R74/R78</f>
        <v>0.9846153846</v>
      </c>
    </row>
    <row r="75">
      <c r="A75" s="1"/>
      <c r="C75" s="1"/>
      <c r="D75" s="1"/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81" t="s">
        <v>146</v>
      </c>
      <c r="C76" s="82" t="s">
        <v>147</v>
      </c>
      <c r="D76" s="82" t="s">
        <v>148</v>
      </c>
      <c r="E76" s="82" t="s">
        <v>1</v>
      </c>
      <c r="F76" s="1"/>
      <c r="L76" s="77"/>
      <c r="M76" s="78"/>
      <c r="P76" s="79" t="s">
        <v>150</v>
      </c>
      <c r="Q76" s="24"/>
      <c r="R76" s="14">
        <v>1.0</v>
      </c>
    </row>
    <row r="77">
      <c r="A77" s="1"/>
      <c r="B77" s="43" t="str">
        <f>IFERROR(__xludf.DUMMYFUNCTION("QUERY(B5:M69,""Select B, L, M, G where L &gt;= 18 order by L desc,M desc"",0)"),"#N/A")</f>
        <v>#N/A</v>
      </c>
      <c r="C77" s="83"/>
      <c r="D77" s="83"/>
      <c r="E77" s="84"/>
      <c r="F77" s="1"/>
      <c r="L77" s="77"/>
      <c r="M77" s="78"/>
      <c r="P77" s="79" t="s">
        <v>151</v>
      </c>
      <c r="Q77" s="24"/>
      <c r="R77" s="18">
        <f>countif(R5:R69,"")</f>
        <v>0</v>
      </c>
    </row>
    <row r="78">
      <c r="A78" s="1"/>
      <c r="B78" s="43"/>
      <c r="C78" s="83"/>
      <c r="D78" s="83"/>
      <c r="E78" s="84"/>
      <c r="F78" s="1"/>
      <c r="M78" s="85"/>
      <c r="P78" s="79" t="s">
        <v>66</v>
      </c>
      <c r="Q78" s="24"/>
      <c r="R78" s="18">
        <f>sum(R74:R77)-R76</f>
        <v>65</v>
      </c>
    </row>
    <row r="79">
      <c r="A79" s="1"/>
      <c r="B79" s="43"/>
      <c r="C79" s="83"/>
      <c r="D79" s="83"/>
      <c r="E79" s="84"/>
      <c r="F79" s="1"/>
    </row>
    <row r="80">
      <c r="A80" s="1"/>
      <c r="B80" s="43"/>
      <c r="C80" s="83"/>
      <c r="D80" s="83"/>
      <c r="E80" s="84"/>
      <c r="F80" s="1"/>
    </row>
    <row r="81">
      <c r="A81" s="1"/>
      <c r="B81" s="43"/>
      <c r="C81" s="84"/>
      <c r="D81" s="84"/>
      <c r="E81" s="84"/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  <c r="L84" s="33"/>
    </row>
    <row r="85">
      <c r="A85" s="1"/>
      <c r="B85" s="43"/>
      <c r="C85" s="84"/>
      <c r="D85" s="84"/>
      <c r="E85" s="84"/>
      <c r="F85" s="1"/>
    </row>
    <row r="86">
      <c r="A86" s="1"/>
      <c r="B86" s="43"/>
      <c r="C86" s="84"/>
      <c r="D86" s="84"/>
      <c r="E86" s="84"/>
      <c r="F86" s="1"/>
    </row>
    <row r="87">
      <c r="A87" s="1"/>
      <c r="C87" s="1"/>
      <c r="D87" s="1"/>
      <c r="E87" s="1"/>
      <c r="F87" s="1"/>
    </row>
    <row r="88">
      <c r="A88" s="1"/>
      <c r="B88" s="33"/>
      <c r="C88" s="1"/>
      <c r="D88" s="1"/>
      <c r="E88" s="1"/>
      <c r="F88" s="1"/>
      <c r="G88" s="1"/>
      <c r="H88" s="1"/>
    </row>
    <row r="89">
      <c r="A89" s="1"/>
      <c r="B89" s="33"/>
      <c r="C89" s="1"/>
      <c r="D89" s="1"/>
      <c r="E89" s="1"/>
      <c r="F89" s="1"/>
    </row>
    <row r="90" ht="37.5" customHeight="1">
      <c r="A90" s="1"/>
      <c r="B90" s="86" t="s">
        <v>152</v>
      </c>
      <c r="C90" s="86" t="s">
        <v>153</v>
      </c>
      <c r="D90" s="87" t="s">
        <v>154</v>
      </c>
      <c r="E90" s="88" t="s">
        <v>155</v>
      </c>
      <c r="F90" s="89" t="s">
        <v>156</v>
      </c>
      <c r="G90" s="86" t="s">
        <v>157</v>
      </c>
      <c r="L90" s="86" t="s">
        <v>158</v>
      </c>
    </row>
    <row r="91">
      <c r="A91" s="1"/>
      <c r="B91" s="43" t="str">
        <f>IFERROR(__xludf.DUMMYFUNCTION("query(B5:V69,""select B, V order by V Desc Limit 10"")"),"Lam Bui")</f>
        <v>Lam Bui</v>
      </c>
      <c r="C91" s="84">
        <f>IFERROR(__xludf.DUMMYFUNCTION("""COMPUTED_VALUE"""),13.0)</f>
        <v>13</v>
      </c>
      <c r="D91" s="84">
        <f t="shared" ref="D91:D100" si="74">VLOOKUP(B91,indirect($AB$2&amp;"!B$5:w$70"),22, false)</f>
        <v>27</v>
      </c>
      <c r="E91" s="84">
        <f t="shared" ref="E91:E100" si="75">VLOOKUP(B91,B$5:W$69,22, false)</f>
        <v>14</v>
      </c>
      <c r="F91" s="84">
        <f t="shared" ref="F91:F100" si="76">VLOOKUP(B91,indirect($AB$2&amp;"!B$5:U$70"),11, false)</f>
        <v>18</v>
      </c>
      <c r="G91" s="84">
        <f t="shared" ref="G91:G100" si="77">VLOOKUP(B91,indirect($AB$2&amp;"!B$5:U$70"),6, false)</f>
        <v>4</v>
      </c>
      <c r="L91" s="84" t="str">
        <f t="shared" ref="L91:L100" si="78">if(D91-E91=C91,"ok","Error")</f>
        <v>ok</v>
      </c>
    </row>
    <row r="92">
      <c r="A92" s="1"/>
      <c r="B92" s="43" t="str">
        <f>IFERROR(__xludf.DUMMYFUNCTION("""COMPUTED_VALUE"""),"Lloyd Sagar")</f>
        <v>Lloyd Sagar</v>
      </c>
      <c r="C92" s="84">
        <f>IFERROR(__xludf.DUMMYFUNCTION("""COMPUTED_VALUE"""),8.0)</f>
        <v>8</v>
      </c>
      <c r="D92" s="84">
        <f t="shared" si="74"/>
        <v>17</v>
      </c>
      <c r="E92" s="84">
        <f t="shared" si="75"/>
        <v>9</v>
      </c>
      <c r="F92" s="84">
        <f t="shared" si="76"/>
        <v>18</v>
      </c>
      <c r="G92" s="84">
        <f t="shared" si="77"/>
        <v>3</v>
      </c>
      <c r="L92" s="84" t="str">
        <f t="shared" si="78"/>
        <v>ok</v>
      </c>
    </row>
    <row r="93">
      <c r="A93" s="1"/>
      <c r="B93" s="43" t="str">
        <f>IFERROR(__xludf.DUMMYFUNCTION("""COMPUTED_VALUE"""),"Jimmy Awolesi")</f>
        <v>Jimmy Awolesi</v>
      </c>
      <c r="C93" s="84">
        <f>IFERROR(__xludf.DUMMYFUNCTION("""COMPUTED_VALUE"""),8.0)</f>
        <v>8</v>
      </c>
      <c r="D93" s="84">
        <f t="shared" si="74"/>
        <v>34</v>
      </c>
      <c r="E93" s="84">
        <f t="shared" si="75"/>
        <v>26</v>
      </c>
      <c r="F93" s="84">
        <f t="shared" si="76"/>
        <v>19</v>
      </c>
      <c r="G93" s="84">
        <f t="shared" si="77"/>
        <v>5</v>
      </c>
      <c r="L93" s="84" t="str">
        <f t="shared" si="78"/>
        <v>ok</v>
      </c>
      <c r="Q93" s="90"/>
    </row>
    <row r="94">
      <c r="A94" s="1"/>
      <c r="B94" s="43" t="str">
        <f>IFERROR(__xludf.DUMMYFUNCTION("""COMPUTED_VALUE"""),"Ted Shen")</f>
        <v>Ted Shen</v>
      </c>
      <c r="C94" s="84">
        <f>IFERROR(__xludf.DUMMYFUNCTION("""COMPUTED_VALUE"""),6.0)</f>
        <v>6</v>
      </c>
      <c r="D94" s="84">
        <f t="shared" si="74"/>
        <v>21</v>
      </c>
      <c r="E94" s="84">
        <f t="shared" si="75"/>
        <v>15</v>
      </c>
      <c r="F94" s="84">
        <f t="shared" si="76"/>
        <v>14</v>
      </c>
      <c r="G94" s="84">
        <f t="shared" si="77"/>
        <v>3</v>
      </c>
      <c r="L94" s="84" t="str">
        <f t="shared" si="78"/>
        <v>ok</v>
      </c>
    </row>
    <row r="95">
      <c r="A95" s="1"/>
      <c r="B95" s="43" t="str">
        <f>IFERROR(__xludf.DUMMYFUNCTION("""COMPUTED_VALUE"""),"Matthew Huang")</f>
        <v>Matthew Huang</v>
      </c>
      <c r="C95" s="84">
        <f>IFERROR(__xludf.DUMMYFUNCTION("""COMPUTED_VALUE"""),5.0)</f>
        <v>5</v>
      </c>
      <c r="D95" s="84">
        <f t="shared" si="74"/>
        <v>43</v>
      </c>
      <c r="E95" s="84">
        <f t="shared" si="75"/>
        <v>38</v>
      </c>
      <c r="F95" s="84">
        <f t="shared" si="76"/>
        <v>18</v>
      </c>
      <c r="G95" s="84">
        <f t="shared" si="77"/>
        <v>7</v>
      </c>
      <c r="L95" s="84" t="str">
        <f t="shared" si="78"/>
        <v>ok</v>
      </c>
    </row>
    <row r="96">
      <c r="A96" s="1"/>
      <c r="B96" s="43" t="str">
        <f>IFERROR(__xludf.DUMMYFUNCTION("""COMPUTED_VALUE"""),"Sandeep Kamalon")</f>
        <v>Sandeep Kamalon</v>
      </c>
      <c r="C96" s="84">
        <f>IFERROR(__xludf.DUMMYFUNCTION("""COMPUTED_VALUE"""),4.0)</f>
        <v>4</v>
      </c>
      <c r="D96" s="84">
        <f t="shared" si="74"/>
        <v>8</v>
      </c>
      <c r="E96" s="84">
        <f t="shared" si="75"/>
        <v>4</v>
      </c>
      <c r="F96" s="84">
        <f t="shared" si="76"/>
        <v>18</v>
      </c>
      <c r="G96" s="84">
        <f t="shared" si="77"/>
        <v>2</v>
      </c>
      <c r="L96" s="84" t="str">
        <f t="shared" si="78"/>
        <v>ok</v>
      </c>
    </row>
    <row r="97">
      <c r="A97" s="1"/>
      <c r="B97" s="43" t="str">
        <f>IFERROR(__xludf.DUMMYFUNCTION("""COMPUTED_VALUE"""),"Wayne Liu")</f>
        <v>Wayne Liu</v>
      </c>
      <c r="C97" s="84">
        <f>IFERROR(__xludf.DUMMYFUNCTION("""COMPUTED_VALUE"""),4.0)</f>
        <v>4</v>
      </c>
      <c r="D97" s="84">
        <f t="shared" si="74"/>
        <v>31</v>
      </c>
      <c r="E97" s="84">
        <f t="shared" si="75"/>
        <v>27</v>
      </c>
      <c r="F97" s="84">
        <f t="shared" si="76"/>
        <v>14</v>
      </c>
      <c r="G97" s="84">
        <f t="shared" si="77"/>
        <v>5</v>
      </c>
      <c r="L97" s="84" t="str">
        <f t="shared" si="78"/>
        <v>ok</v>
      </c>
    </row>
    <row r="98">
      <c r="A98" s="1"/>
      <c r="B98" s="43" t="str">
        <f>IFERROR(__xludf.DUMMYFUNCTION("""COMPUTED_VALUE"""),"Balaji Alahari")</f>
        <v>Balaji Alahari</v>
      </c>
      <c r="C98" s="84">
        <f>IFERROR(__xludf.DUMMYFUNCTION("""COMPUTED_VALUE"""),3.0)</f>
        <v>3</v>
      </c>
      <c r="D98" s="84">
        <f t="shared" si="74"/>
        <v>62</v>
      </c>
      <c r="E98" s="84">
        <f t="shared" si="75"/>
        <v>59</v>
      </c>
      <c r="F98" s="84">
        <f t="shared" si="76"/>
        <v>15</v>
      </c>
      <c r="G98" s="84">
        <f t="shared" si="77"/>
        <v>8</v>
      </c>
      <c r="L98" s="84" t="str">
        <f t="shared" si="78"/>
        <v>ok</v>
      </c>
    </row>
    <row r="99">
      <c r="A99" s="1"/>
      <c r="B99" s="43" t="str">
        <f>IFERROR(__xludf.DUMMYFUNCTION("""COMPUTED_VALUE"""),"Joe Luzzi")</f>
        <v>Joe Luzzi</v>
      </c>
      <c r="C99" s="84">
        <f>IFERROR(__xludf.DUMMYFUNCTION("""COMPUTED_VALUE"""),2.0)</f>
        <v>2</v>
      </c>
      <c r="D99" s="84">
        <f t="shared" si="74"/>
        <v>10</v>
      </c>
      <c r="E99" s="84">
        <f t="shared" si="75"/>
        <v>8</v>
      </c>
      <c r="F99" s="84">
        <f t="shared" si="76"/>
        <v>14</v>
      </c>
      <c r="G99" s="84">
        <f t="shared" si="77"/>
        <v>2</v>
      </c>
      <c r="L99" s="84" t="str">
        <f t="shared" si="78"/>
        <v>ok</v>
      </c>
    </row>
    <row r="100">
      <c r="A100" s="1"/>
      <c r="B100" s="43" t="str">
        <f>IFERROR(__xludf.DUMMYFUNCTION("""COMPUTED_VALUE"""),"Tina Hanson")</f>
        <v>Tina Hanson</v>
      </c>
      <c r="C100" s="84">
        <f>IFERROR(__xludf.DUMMYFUNCTION("""COMPUTED_VALUE"""),2.0)</f>
        <v>2</v>
      </c>
      <c r="D100" s="84">
        <f t="shared" si="74"/>
        <v>22</v>
      </c>
      <c r="E100" s="84">
        <f t="shared" si="75"/>
        <v>20</v>
      </c>
      <c r="F100" s="84">
        <f t="shared" si="76"/>
        <v>12</v>
      </c>
      <c r="G100" s="84">
        <f t="shared" si="77"/>
        <v>3</v>
      </c>
      <c r="L100" s="84" t="str">
        <f t="shared" si="78"/>
        <v>ok</v>
      </c>
    </row>
    <row r="101">
      <c r="A101" s="1"/>
      <c r="B101" s="33"/>
      <c r="C101" s="1"/>
      <c r="E101" s="1"/>
      <c r="F101" s="1"/>
    </row>
    <row r="102">
      <c r="A102" s="1"/>
      <c r="B102" s="33"/>
      <c r="C102" s="1"/>
      <c r="E102" s="1"/>
      <c r="F102" s="1"/>
    </row>
    <row r="103">
      <c r="A103" s="1"/>
      <c r="B103" s="81" t="s">
        <v>159</v>
      </c>
      <c r="C103" s="81" t="s">
        <v>160</v>
      </c>
      <c r="D103" s="87" t="s">
        <v>154</v>
      </c>
      <c r="E103" s="88" t="s">
        <v>155</v>
      </c>
      <c r="F103" s="89" t="s">
        <v>156</v>
      </c>
      <c r="G103" s="86" t="s">
        <v>157</v>
      </c>
      <c r="L103" s="86" t="s">
        <v>158</v>
      </c>
    </row>
    <row r="104">
      <c r="A104" s="1"/>
      <c r="B104" s="43" t="str">
        <f>IFERROR(__xludf.DUMMYFUNCTION("query(B5:V69,""select B, V order by V asc Limit 10"")"),"Troy Wong")</f>
        <v>Troy Wong</v>
      </c>
      <c r="C104" s="84">
        <f>IFERROR(__xludf.DUMMYFUNCTION("""COMPUTED_VALUE"""),-6.0)</f>
        <v>-6</v>
      </c>
      <c r="D104" s="84">
        <f t="shared" ref="D104:D113" si="79">VLOOKUP(B104,indirect($AB$2&amp;"!B$5:w$70"),22, false)</f>
        <v>19</v>
      </c>
      <c r="E104" s="84">
        <f t="shared" ref="E104:E113" si="80">VLOOKUP(B104,B$5:W$69,22, false)</f>
        <v>25</v>
      </c>
      <c r="F104" s="84">
        <f t="shared" ref="F104:F113" si="81">VLOOKUP(B104,indirect($AB$2&amp;"!B$5:U$70"),11, false)</f>
        <v>9</v>
      </c>
      <c r="G104" s="84">
        <f t="shared" ref="G104:G113" si="82">VLOOKUP(B104,indirect($AB$2&amp;"!B$5:U$70"),6, false)</f>
        <v>0</v>
      </c>
      <c r="L104" s="84" t="str">
        <f t="shared" ref="L104:L113" si="83">if(D104-E104=C104,"ok","Error")</f>
        <v>ok</v>
      </c>
    </row>
    <row r="105">
      <c r="A105" s="1"/>
      <c r="B105" s="43" t="str">
        <f>IFERROR(__xludf.DUMMYFUNCTION("""COMPUTED_VALUE"""),"Robert Chang")</f>
        <v>Robert Chang</v>
      </c>
      <c r="C105" s="84">
        <f>IFERROR(__xludf.DUMMYFUNCTION("""COMPUTED_VALUE"""),-5.0)</f>
        <v>-5</v>
      </c>
      <c r="D105" s="84">
        <f t="shared" si="79"/>
        <v>16</v>
      </c>
      <c r="E105" s="84">
        <f t="shared" si="80"/>
        <v>21</v>
      </c>
      <c r="F105" s="84">
        <f t="shared" si="81"/>
        <v>9</v>
      </c>
      <c r="G105" s="84">
        <f t="shared" si="82"/>
        <v>0</v>
      </c>
      <c r="L105" s="84" t="str">
        <f t="shared" si="83"/>
        <v>ok</v>
      </c>
    </row>
    <row r="106">
      <c r="A106" s="1"/>
      <c r="B106" s="43" t="str">
        <f>IFERROR(__xludf.DUMMYFUNCTION("""COMPUTED_VALUE"""),"Tom Le")</f>
        <v>Tom Le</v>
      </c>
      <c r="C106" s="84">
        <f>IFERROR(__xludf.DUMMYFUNCTION("""COMPUTED_VALUE"""),-5.0)</f>
        <v>-5</v>
      </c>
      <c r="D106" s="84">
        <f t="shared" si="79"/>
        <v>24</v>
      </c>
      <c r="E106" s="84">
        <f t="shared" si="80"/>
        <v>29</v>
      </c>
      <c r="F106" s="84">
        <f t="shared" si="81"/>
        <v>9</v>
      </c>
      <c r="G106" s="84">
        <f t="shared" si="82"/>
        <v>0</v>
      </c>
      <c r="L106" s="84" t="str">
        <f t="shared" si="83"/>
        <v>ok</v>
      </c>
    </row>
    <row r="107">
      <c r="A107" s="1"/>
      <c r="B107" s="43" t="str">
        <f>IFERROR(__xludf.DUMMYFUNCTION("""COMPUTED_VALUE"""),"Oscar Bonilla")</f>
        <v>Oscar Bonilla</v>
      </c>
      <c r="C107" s="84">
        <f>IFERROR(__xludf.DUMMYFUNCTION("""COMPUTED_VALUE"""),-4.0)</f>
        <v>-4</v>
      </c>
      <c r="D107" s="84">
        <f t="shared" si="79"/>
        <v>18</v>
      </c>
      <c r="E107" s="84">
        <f t="shared" si="80"/>
        <v>22</v>
      </c>
      <c r="F107" s="84">
        <f t="shared" si="81"/>
        <v>9</v>
      </c>
      <c r="G107" s="84">
        <f t="shared" si="82"/>
        <v>0</v>
      </c>
      <c r="L107" s="84" t="str">
        <f t="shared" si="83"/>
        <v>ok</v>
      </c>
    </row>
    <row r="108">
      <c r="A108" s="1"/>
      <c r="B108" s="43" t="str">
        <f>IFERROR(__xludf.DUMMYFUNCTION("""COMPUTED_VALUE"""),"David Shin")</f>
        <v>David Shin</v>
      </c>
      <c r="C108" s="84">
        <f>IFERROR(__xludf.DUMMYFUNCTION("""COMPUTED_VALUE"""),-3.0)</f>
        <v>-3</v>
      </c>
      <c r="D108" s="84">
        <f t="shared" si="79"/>
        <v>7</v>
      </c>
      <c r="E108" s="84">
        <f t="shared" si="80"/>
        <v>10</v>
      </c>
      <c r="F108" s="84">
        <f t="shared" si="81"/>
        <v>9</v>
      </c>
      <c r="G108" s="84">
        <f t="shared" si="82"/>
        <v>0</v>
      </c>
      <c r="L108" s="84" t="str">
        <f t="shared" si="83"/>
        <v>ok</v>
      </c>
    </row>
    <row r="109">
      <c r="A109" s="1"/>
      <c r="B109" s="43" t="str">
        <f>IFERROR(__xludf.DUMMYFUNCTION("""COMPUTED_VALUE"""),"Scott Li")</f>
        <v>Scott Li</v>
      </c>
      <c r="C109" s="84">
        <f>IFERROR(__xludf.DUMMYFUNCTION("""COMPUTED_VALUE"""),-3.0)</f>
        <v>-3</v>
      </c>
      <c r="D109" s="84">
        <f t="shared" si="79"/>
        <v>9</v>
      </c>
      <c r="E109" s="84">
        <f t="shared" si="80"/>
        <v>12</v>
      </c>
      <c r="F109" s="84">
        <f t="shared" si="81"/>
        <v>9</v>
      </c>
      <c r="G109" s="84">
        <f t="shared" si="82"/>
        <v>0</v>
      </c>
      <c r="L109" s="84" t="str">
        <f t="shared" si="83"/>
        <v>ok</v>
      </c>
    </row>
    <row r="110">
      <c r="A110" s="1"/>
      <c r="B110" s="43" t="str">
        <f>IFERROR(__xludf.DUMMYFUNCTION("""COMPUTED_VALUE"""),"Susanta Mishra")</f>
        <v>Susanta Mishra</v>
      </c>
      <c r="C110" s="84">
        <f>IFERROR(__xludf.DUMMYFUNCTION("""COMPUTED_VALUE"""),-3.0)</f>
        <v>-3</v>
      </c>
      <c r="D110" s="84">
        <f t="shared" si="79"/>
        <v>13</v>
      </c>
      <c r="E110" s="84">
        <f t="shared" si="80"/>
        <v>16</v>
      </c>
      <c r="F110" s="84">
        <f t="shared" si="81"/>
        <v>9</v>
      </c>
      <c r="G110" s="84">
        <f t="shared" si="82"/>
        <v>0</v>
      </c>
      <c r="L110" s="84" t="str">
        <f t="shared" si="83"/>
        <v>ok</v>
      </c>
    </row>
    <row r="111">
      <c r="A111" s="1"/>
      <c r="B111" s="43" t="str">
        <f>IFERROR(__xludf.DUMMYFUNCTION("""COMPUTED_VALUE"""),"James Phan")</f>
        <v>James Phan</v>
      </c>
      <c r="C111" s="84">
        <f>IFERROR(__xludf.DUMMYFUNCTION("""COMPUTED_VALUE"""),-3.0)</f>
        <v>-3</v>
      </c>
      <c r="D111" s="84">
        <f t="shared" si="79"/>
        <v>14</v>
      </c>
      <c r="E111" s="84">
        <f t="shared" si="80"/>
        <v>17</v>
      </c>
      <c r="F111" s="84">
        <f t="shared" si="81"/>
        <v>9</v>
      </c>
      <c r="G111" s="84">
        <f t="shared" si="82"/>
        <v>0</v>
      </c>
      <c r="L111" s="84" t="str">
        <f t="shared" si="83"/>
        <v>ok</v>
      </c>
    </row>
    <row r="112">
      <c r="A112" s="1"/>
      <c r="B112" s="43" t="str">
        <f>IFERROR(__xludf.DUMMYFUNCTION("""COMPUTED_VALUE"""),"Cid Macaraeg")</f>
        <v>Cid Macaraeg</v>
      </c>
      <c r="C112" s="84">
        <f>IFERROR(__xludf.DUMMYFUNCTION("""COMPUTED_VALUE"""),-3.0)</f>
        <v>-3</v>
      </c>
      <c r="D112" s="84">
        <f t="shared" si="79"/>
        <v>15</v>
      </c>
      <c r="E112" s="84">
        <f t="shared" si="80"/>
        <v>18</v>
      </c>
      <c r="F112" s="84">
        <f t="shared" si="81"/>
        <v>9</v>
      </c>
      <c r="G112" s="84">
        <f t="shared" si="82"/>
        <v>0</v>
      </c>
      <c r="L112" s="84" t="str">
        <f t="shared" si="83"/>
        <v>ok</v>
      </c>
    </row>
    <row r="113">
      <c r="A113" s="1"/>
      <c r="B113" s="43" t="str">
        <f>IFERROR(__xludf.DUMMYFUNCTION("""COMPUTED_VALUE"""),"Adrian Tay")</f>
        <v>Adrian Tay</v>
      </c>
      <c r="C113" s="84">
        <f>IFERROR(__xludf.DUMMYFUNCTION("""COMPUTED_VALUE"""),-3.0)</f>
        <v>-3</v>
      </c>
      <c r="D113" s="84">
        <f t="shared" si="79"/>
        <v>28</v>
      </c>
      <c r="E113" s="84">
        <f t="shared" si="80"/>
        <v>31</v>
      </c>
      <c r="F113" s="84">
        <f t="shared" si="81"/>
        <v>9</v>
      </c>
      <c r="G113" s="84">
        <f t="shared" si="82"/>
        <v>0</v>
      </c>
      <c r="L113" s="84" t="str">
        <f t="shared" si="83"/>
        <v>ok</v>
      </c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E117" s="1"/>
      <c r="F117" s="1"/>
    </row>
    <row r="118">
      <c r="A118" s="1"/>
      <c r="B118" s="33"/>
      <c r="C118" s="1"/>
      <c r="D118" s="1"/>
      <c r="E118" s="1"/>
      <c r="F118" s="1"/>
    </row>
    <row r="119">
      <c r="A119" s="91" t="s">
        <v>161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4"/>
    </row>
    <row r="120">
      <c r="A120" s="92"/>
      <c r="B120" s="81" t="s">
        <v>162</v>
      </c>
      <c r="C120" s="93" t="s">
        <v>163</v>
      </c>
      <c r="D120" s="23"/>
      <c r="E120" s="24"/>
      <c r="F120" s="93" t="s">
        <v>164</v>
      </c>
      <c r="G120" s="23"/>
      <c r="H120" s="24"/>
      <c r="I120" s="94" t="s">
        <v>165</v>
      </c>
      <c r="J120" s="23"/>
      <c r="K120" s="23"/>
      <c r="L120" s="23"/>
      <c r="M120" s="24"/>
    </row>
    <row r="121">
      <c r="A121" s="83">
        <v>1.0</v>
      </c>
      <c r="B121" s="43" t="str">
        <f>IFERROR(__xludf.DUMMYFUNCTION("query(B5:V69,""select B where R = 'X' order by B asc"")"),"Adrian Tay")</f>
        <v>Adrian Tay</v>
      </c>
      <c r="C121" s="95" t="str">
        <f>IFERROR(__xludf.DUMMYFUNCTION("query(B5:V69,""select B where R = '' order by B asc"")"),"#N/A")</f>
        <v>#N/A</v>
      </c>
      <c r="D121" s="23"/>
      <c r="E121" s="24"/>
      <c r="F121" s="95" t="str">
        <f>IFERROR(__xludf.DUMMYFUNCTION("query(B5:V69,""select B where R = 'N' order by B asc"")"),"Trinath Goteti")</f>
        <v>Trinath Goteti</v>
      </c>
      <c r="G121" s="23"/>
      <c r="H121" s="24"/>
      <c r="I121" s="95" t="s">
        <v>166</v>
      </c>
      <c r="J121" s="23"/>
      <c r="K121" s="23"/>
      <c r="L121" s="23"/>
      <c r="M121" s="24"/>
    </row>
    <row r="122">
      <c r="A122" s="83">
        <f t="shared" ref="A122:A185" si="84">A121+1</f>
        <v>2</v>
      </c>
      <c r="B122" s="43" t="str">
        <f>IFERROR(__xludf.DUMMYFUNCTION("""COMPUTED_VALUE"""),"Alejandro Mejia")</f>
        <v>Alejandro Mejia</v>
      </c>
      <c r="C122" s="95"/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4"/>
        <v>3</v>
      </c>
      <c r="B123" s="43" t="str">
        <f>IFERROR(__xludf.DUMMYFUNCTION("""COMPUTED_VALUE"""),"Alex Hou")</f>
        <v>Alex Hou</v>
      </c>
      <c r="C123" s="95"/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4"/>
        <v>4</v>
      </c>
      <c r="B124" s="43" t="str">
        <f>IFERROR(__xludf.DUMMYFUNCTION("""COMPUTED_VALUE"""),"Allen Zhang")</f>
        <v>Allen Zhang</v>
      </c>
      <c r="C124" s="95"/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4"/>
        <v>5</v>
      </c>
      <c r="B125" s="43" t="str">
        <f>IFERROR(__xludf.DUMMYFUNCTION("""COMPUTED_VALUE"""),"Andrew Wen")</f>
        <v>Andrew Wen</v>
      </c>
      <c r="C125" s="95"/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4"/>
        <v>6</v>
      </c>
      <c r="B126" s="43" t="str">
        <f>IFERROR(__xludf.DUMMYFUNCTION("""COMPUTED_VALUE"""),"Balaji Alahari")</f>
        <v>Balaji Alahari</v>
      </c>
      <c r="C126" s="95"/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4"/>
        <v>7</v>
      </c>
      <c r="B127" s="43" t="str">
        <f>IFERROR(__xludf.DUMMYFUNCTION("""COMPUTED_VALUE"""),"Barathi Sundaram")</f>
        <v>Barathi Sundaram</v>
      </c>
      <c r="C127" s="95"/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4"/>
        <v>8</v>
      </c>
      <c r="B128" s="43" t="str">
        <f>IFERROR(__xludf.DUMMYFUNCTION("""COMPUTED_VALUE"""),"Basudev Thoppai Vidyasankar")</f>
        <v>Basudev Thoppai Vidyasankar</v>
      </c>
      <c r="C128" s="95"/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4"/>
        <v>9</v>
      </c>
      <c r="B129" s="43" t="str">
        <f>IFERROR(__xludf.DUMMYFUNCTION("""COMPUTED_VALUE"""),"Chinna Ponnaganti")</f>
        <v>Chinna Ponnaganti</v>
      </c>
      <c r="C129" s="95"/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4"/>
        <v>10</v>
      </c>
      <c r="B130" s="43" t="str">
        <f>IFERROR(__xludf.DUMMYFUNCTION("""COMPUTED_VALUE"""),"Cid Macaraeg")</f>
        <v>Cid Macaraeg</v>
      </c>
      <c r="C130" s="95"/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4"/>
        <v>11</v>
      </c>
      <c r="B131" s="43" t="str">
        <f>IFERROR(__xludf.DUMMYFUNCTION("""COMPUTED_VALUE"""),"Coco Yan")</f>
        <v>Coco Yan</v>
      </c>
      <c r="C131" s="95"/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4"/>
        <v>12</v>
      </c>
      <c r="B132" s="43" t="str">
        <f>IFERROR(__xludf.DUMMYFUNCTION("""COMPUTED_VALUE"""),"David Shin")</f>
        <v>David Shin</v>
      </c>
      <c r="C132" s="95"/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4"/>
        <v>13</v>
      </c>
      <c r="B133" s="43" t="str">
        <f>IFERROR(__xludf.DUMMYFUNCTION("""COMPUTED_VALUE"""),"Elayaraja Thangaraj ")</f>
        <v>Elayaraja Thangaraj </v>
      </c>
      <c r="C133" s="95"/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4"/>
        <v>14</v>
      </c>
      <c r="B134" s="43" t="str">
        <f>IFERROR(__xludf.DUMMYFUNCTION("""COMPUTED_VALUE"""),"Eric Pan")</f>
        <v>Eric Pan</v>
      </c>
      <c r="C134" s="95"/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4"/>
        <v>15</v>
      </c>
      <c r="B135" s="43" t="str">
        <f>IFERROR(__xludf.DUMMYFUNCTION("""COMPUTED_VALUE"""),"Eric Tan")</f>
        <v>Eric Tan</v>
      </c>
      <c r="C135" s="95"/>
      <c r="D135" s="23"/>
      <c r="E135" s="24"/>
      <c r="F135" s="95"/>
      <c r="G135" s="23"/>
      <c r="H135" s="24"/>
      <c r="I135" s="95"/>
      <c r="J135" s="23"/>
      <c r="K135" s="23"/>
      <c r="L135" s="23"/>
      <c r="M135" s="24"/>
    </row>
    <row r="136">
      <c r="A136" s="83">
        <f t="shared" si="84"/>
        <v>16</v>
      </c>
      <c r="B136" s="43" t="str">
        <f>IFERROR(__xludf.DUMMYFUNCTION("""COMPUTED_VALUE"""),"Erik Hoeckmann")</f>
        <v>Erik Hoeckmann</v>
      </c>
      <c r="C136" s="95"/>
      <c r="D136" s="23"/>
      <c r="E136" s="24"/>
      <c r="F136" s="95"/>
      <c r="G136" s="23"/>
      <c r="H136" s="24"/>
    </row>
    <row r="137">
      <c r="A137" s="83">
        <f t="shared" si="84"/>
        <v>17</v>
      </c>
      <c r="B137" s="43" t="str">
        <f>IFERROR(__xludf.DUMMYFUNCTION("""COMPUTED_VALUE"""),"Ethan Gu")</f>
        <v>Ethan Gu</v>
      </c>
      <c r="C137" s="95"/>
      <c r="D137" s="23"/>
      <c r="E137" s="24"/>
      <c r="F137" s="95"/>
      <c r="G137" s="23"/>
      <c r="H137" s="24"/>
    </row>
    <row r="138">
      <c r="A138" s="83">
        <f t="shared" si="84"/>
        <v>18</v>
      </c>
      <c r="B138" s="43" t="str">
        <f>IFERROR(__xludf.DUMMYFUNCTION("""COMPUTED_VALUE"""),"Frank Moon")</f>
        <v>Frank Moon</v>
      </c>
      <c r="C138" s="95"/>
      <c r="D138" s="23"/>
      <c r="E138" s="24"/>
      <c r="F138" s="95"/>
      <c r="G138" s="23"/>
      <c r="H138" s="24"/>
    </row>
    <row r="139">
      <c r="A139" s="83">
        <f t="shared" si="84"/>
        <v>19</v>
      </c>
      <c r="B139" s="43" t="str">
        <f>IFERROR(__xludf.DUMMYFUNCTION("""COMPUTED_VALUE"""),"Herman Au")</f>
        <v>Herman Au</v>
      </c>
      <c r="C139" s="95"/>
      <c r="D139" s="23"/>
      <c r="E139" s="24"/>
      <c r="F139" s="95"/>
      <c r="G139" s="23"/>
      <c r="H139" s="24"/>
    </row>
    <row r="140">
      <c r="A140" s="83">
        <f t="shared" si="84"/>
        <v>20</v>
      </c>
      <c r="B140" s="43" t="str">
        <f>IFERROR(__xludf.DUMMYFUNCTION("""COMPUTED_VALUE"""),"Hongyuan Wen")</f>
        <v>Hongyuan Wen</v>
      </c>
      <c r="C140" s="95"/>
      <c r="D140" s="23"/>
      <c r="E140" s="24"/>
      <c r="F140" s="95"/>
      <c r="G140" s="23"/>
      <c r="H140" s="24"/>
    </row>
    <row r="141">
      <c r="A141" s="83">
        <f t="shared" si="84"/>
        <v>21</v>
      </c>
      <c r="B141" s="43" t="str">
        <f>IFERROR(__xludf.DUMMYFUNCTION("""COMPUTED_VALUE"""),"Hubert J Sung")</f>
        <v>Hubert J Sung</v>
      </c>
      <c r="C141" s="95"/>
      <c r="D141" s="23"/>
      <c r="E141" s="24"/>
      <c r="F141" s="95"/>
      <c r="G141" s="23"/>
      <c r="H141" s="24"/>
    </row>
    <row r="142">
      <c r="A142" s="83">
        <f t="shared" si="84"/>
        <v>22</v>
      </c>
      <c r="B142" s="43" t="str">
        <f>IFERROR(__xludf.DUMMYFUNCTION("""COMPUTED_VALUE"""),"James Phan")</f>
        <v>James Phan</v>
      </c>
      <c r="C142" s="95"/>
      <c r="D142" s="23"/>
      <c r="E142" s="24"/>
      <c r="F142" s="95"/>
      <c r="G142" s="23"/>
      <c r="H142" s="24"/>
    </row>
    <row r="143">
      <c r="A143" s="83">
        <f t="shared" si="84"/>
        <v>23</v>
      </c>
      <c r="B143" s="43" t="str">
        <f>IFERROR(__xludf.DUMMYFUNCTION("""COMPUTED_VALUE"""),"Jim Miao")</f>
        <v>Jim Miao</v>
      </c>
      <c r="C143" s="95"/>
      <c r="D143" s="23"/>
      <c r="E143" s="24"/>
      <c r="F143" s="95"/>
      <c r="G143" s="23"/>
      <c r="H143" s="24"/>
    </row>
    <row r="144">
      <c r="A144" s="83">
        <f t="shared" si="84"/>
        <v>24</v>
      </c>
      <c r="B144" s="43" t="str">
        <f>IFERROR(__xludf.DUMMYFUNCTION("""COMPUTED_VALUE"""),"Jimmy Awolesi")</f>
        <v>Jimmy Awolesi</v>
      </c>
      <c r="C144" s="95"/>
      <c r="D144" s="23"/>
      <c r="E144" s="24"/>
      <c r="F144" s="95"/>
      <c r="G144" s="23"/>
      <c r="H144" s="24"/>
    </row>
    <row r="145">
      <c r="A145" s="83">
        <f t="shared" si="84"/>
        <v>25</v>
      </c>
      <c r="B145" s="43" t="str">
        <f>IFERROR(__xludf.DUMMYFUNCTION("""COMPUTED_VALUE"""),"Joe Luzzi")</f>
        <v>Joe Luzzi</v>
      </c>
      <c r="C145" s="95"/>
      <c r="D145" s="23"/>
      <c r="E145" s="24"/>
      <c r="F145" s="95"/>
      <c r="G145" s="23"/>
      <c r="H145" s="24"/>
    </row>
    <row r="146">
      <c r="A146" s="83">
        <f t="shared" si="84"/>
        <v>26</v>
      </c>
      <c r="B146" s="43" t="str">
        <f>IFERROR(__xludf.DUMMYFUNCTION("""COMPUTED_VALUE"""),"Jonathan Phan")</f>
        <v>Jonathan Phan</v>
      </c>
      <c r="C146" s="95"/>
      <c r="D146" s="23"/>
      <c r="E146" s="24"/>
      <c r="F146" s="95"/>
      <c r="G146" s="23"/>
      <c r="H146" s="24"/>
    </row>
    <row r="147">
      <c r="A147" s="83">
        <f t="shared" si="84"/>
        <v>27</v>
      </c>
      <c r="B147" s="43" t="str">
        <f>IFERROR(__xludf.DUMMYFUNCTION("""COMPUTED_VALUE"""),"Joyce Zhu")</f>
        <v>Joyce Zhu</v>
      </c>
      <c r="C147" s="95"/>
      <c r="D147" s="23"/>
      <c r="E147" s="24"/>
      <c r="F147" s="95"/>
      <c r="G147" s="23"/>
      <c r="H147" s="24"/>
    </row>
    <row r="148">
      <c r="A148" s="83">
        <f t="shared" si="84"/>
        <v>28</v>
      </c>
      <c r="B148" s="43" t="str">
        <f>IFERROR(__xludf.DUMMYFUNCTION("""COMPUTED_VALUE"""),"Kumar Palakeel")</f>
        <v>Kumar Palakeel</v>
      </c>
      <c r="C148" s="95"/>
      <c r="D148" s="23"/>
      <c r="E148" s="24"/>
      <c r="F148" s="95"/>
      <c r="G148" s="23"/>
      <c r="H148" s="24"/>
    </row>
    <row r="149">
      <c r="A149" s="83">
        <f t="shared" si="84"/>
        <v>29</v>
      </c>
      <c r="B149" s="43" t="str">
        <f>IFERROR(__xludf.DUMMYFUNCTION("""COMPUTED_VALUE"""),"Lam Bui")</f>
        <v>Lam Bui</v>
      </c>
      <c r="C149" s="95"/>
      <c r="D149" s="23"/>
      <c r="E149" s="24"/>
      <c r="F149" s="95"/>
      <c r="G149" s="23"/>
      <c r="H149" s="24"/>
    </row>
    <row r="150">
      <c r="A150" s="83">
        <f t="shared" si="84"/>
        <v>30</v>
      </c>
      <c r="B150" s="43" t="str">
        <f>IFERROR(__xludf.DUMMYFUNCTION("""COMPUTED_VALUE"""),"Leigh-Anh Nguyen")</f>
        <v>Leigh-Anh Nguyen</v>
      </c>
      <c r="C150" s="95"/>
      <c r="D150" s="23"/>
      <c r="E150" s="24"/>
      <c r="F150" s="95"/>
      <c r="G150" s="23"/>
      <c r="H150" s="24"/>
    </row>
    <row r="151">
      <c r="A151" s="83">
        <f t="shared" si="84"/>
        <v>31</v>
      </c>
      <c r="B151" s="43" t="str">
        <f>IFERROR(__xludf.DUMMYFUNCTION("""COMPUTED_VALUE"""),"Lloyd Sagar")</f>
        <v>Lloyd Sagar</v>
      </c>
      <c r="C151" s="95"/>
      <c r="D151" s="23"/>
      <c r="E151" s="24"/>
      <c r="F151" s="95"/>
      <c r="G151" s="23"/>
      <c r="H151" s="24"/>
    </row>
    <row r="152">
      <c r="A152" s="83">
        <f t="shared" si="84"/>
        <v>32</v>
      </c>
      <c r="B152" s="43" t="str">
        <f>IFERROR(__xludf.DUMMYFUNCTION("""COMPUTED_VALUE"""),"Luis Hsu")</f>
        <v>Luis Hsu</v>
      </c>
      <c r="C152" s="95"/>
      <c r="D152" s="23"/>
      <c r="E152" s="24"/>
      <c r="F152" s="95"/>
      <c r="G152" s="23"/>
      <c r="H152" s="24"/>
    </row>
    <row r="153">
      <c r="A153" s="83">
        <f t="shared" si="84"/>
        <v>33</v>
      </c>
      <c r="B153" s="43" t="str">
        <f>IFERROR(__xludf.DUMMYFUNCTION("""COMPUTED_VALUE"""),"Manish Anand")</f>
        <v>Manish Anand</v>
      </c>
      <c r="C153" s="95"/>
      <c r="D153" s="23"/>
      <c r="E153" s="24"/>
      <c r="F153" s="95"/>
      <c r="G153" s="23"/>
      <c r="H153" s="24"/>
    </row>
    <row r="154">
      <c r="A154" s="83">
        <f t="shared" si="84"/>
        <v>34</v>
      </c>
      <c r="B154" s="43" t="str">
        <f>IFERROR(__xludf.DUMMYFUNCTION("""COMPUTED_VALUE"""),"Manuel Rivera")</f>
        <v>Manuel Rivera</v>
      </c>
      <c r="C154" s="95"/>
      <c r="D154" s="23"/>
      <c r="E154" s="24"/>
      <c r="F154" s="95"/>
      <c r="G154" s="23"/>
      <c r="H154" s="24"/>
    </row>
    <row r="155">
      <c r="A155" s="83">
        <f t="shared" si="84"/>
        <v>35</v>
      </c>
      <c r="B155" s="43" t="str">
        <f>IFERROR(__xludf.DUMMYFUNCTION("""COMPUTED_VALUE"""),"Matthew Huang")</f>
        <v>Matthew Huang</v>
      </c>
      <c r="C155" s="95"/>
      <c r="D155" s="23"/>
      <c r="E155" s="24"/>
      <c r="F155" s="95"/>
      <c r="G155" s="23"/>
      <c r="H155" s="24"/>
    </row>
    <row r="156">
      <c r="A156" s="83">
        <f t="shared" si="84"/>
        <v>36</v>
      </c>
      <c r="B156" s="43" t="str">
        <f>IFERROR(__xludf.DUMMYFUNCTION("""COMPUTED_VALUE"""),"Mauricio Palacios")</f>
        <v>Mauricio Palacios</v>
      </c>
      <c r="C156" s="95"/>
      <c r="D156" s="23"/>
      <c r="E156" s="24"/>
      <c r="F156" s="95"/>
      <c r="G156" s="23"/>
      <c r="H156" s="24"/>
    </row>
    <row r="157">
      <c r="A157" s="83">
        <f t="shared" si="84"/>
        <v>37</v>
      </c>
      <c r="B157" s="43" t="str">
        <f>IFERROR(__xludf.DUMMYFUNCTION("""COMPUTED_VALUE"""),"Naveen Raj")</f>
        <v>Naveen Raj</v>
      </c>
      <c r="C157" s="95"/>
      <c r="D157" s="23"/>
      <c r="E157" s="24"/>
      <c r="F157" s="95"/>
      <c r="G157" s="23"/>
      <c r="H157" s="24"/>
    </row>
    <row r="158">
      <c r="A158" s="83">
        <f t="shared" si="84"/>
        <v>38</v>
      </c>
      <c r="B158" s="43" t="str">
        <f>IFERROR(__xludf.DUMMYFUNCTION("""COMPUTED_VALUE"""),"Nicole Ni")</f>
        <v>Nicole Ni</v>
      </c>
      <c r="C158" s="95"/>
      <c r="D158" s="23"/>
      <c r="E158" s="24"/>
      <c r="F158" s="95"/>
      <c r="G158" s="23"/>
      <c r="H158" s="24"/>
    </row>
    <row r="159">
      <c r="A159" s="83">
        <f t="shared" si="84"/>
        <v>39</v>
      </c>
      <c r="B159" s="43" t="str">
        <f>IFERROR(__xludf.DUMMYFUNCTION("""COMPUTED_VALUE"""),"Oscar Bonilla")</f>
        <v>Oscar Bonilla</v>
      </c>
      <c r="C159" s="95"/>
      <c r="D159" s="23"/>
      <c r="E159" s="24"/>
      <c r="F159" s="95"/>
      <c r="G159" s="23"/>
      <c r="H159" s="24"/>
    </row>
    <row r="160">
      <c r="A160" s="83">
        <f t="shared" si="84"/>
        <v>40</v>
      </c>
      <c r="B160" s="43" t="str">
        <f>IFERROR(__xludf.DUMMYFUNCTION("""COMPUTED_VALUE"""),"Pavan Akkimsetty")</f>
        <v>Pavan Akkimsetty</v>
      </c>
      <c r="C160" s="95"/>
      <c r="D160" s="23"/>
      <c r="E160" s="24"/>
      <c r="F160" s="95"/>
      <c r="G160" s="23"/>
      <c r="H160" s="24"/>
    </row>
    <row r="161">
      <c r="A161" s="83">
        <f t="shared" si="84"/>
        <v>41</v>
      </c>
      <c r="B161" s="43" t="str">
        <f>IFERROR(__xludf.DUMMYFUNCTION("""COMPUTED_VALUE"""),"Pulkit Mathur")</f>
        <v>Pulkit Mathur</v>
      </c>
      <c r="C161" s="95"/>
      <c r="D161" s="23"/>
      <c r="E161" s="24"/>
      <c r="F161" s="95"/>
      <c r="G161" s="23"/>
      <c r="H161" s="24"/>
    </row>
    <row r="162">
      <c r="A162" s="83">
        <f t="shared" si="84"/>
        <v>42</v>
      </c>
      <c r="B162" s="43" t="str">
        <f>IFERROR(__xludf.DUMMYFUNCTION("""COMPUTED_VALUE"""),"Rajasekar Ramasamy")</f>
        <v>Rajasekar Ramasamy</v>
      </c>
      <c r="C162" s="95"/>
      <c r="D162" s="23"/>
      <c r="E162" s="24"/>
      <c r="F162" s="95"/>
      <c r="G162" s="23"/>
      <c r="H162" s="24"/>
    </row>
    <row r="163">
      <c r="A163" s="83">
        <f t="shared" si="84"/>
        <v>43</v>
      </c>
      <c r="B163" s="43" t="str">
        <f>IFERROR(__xludf.DUMMYFUNCTION("""COMPUTED_VALUE"""),"Rajesh Dorairaj")</f>
        <v>Rajesh Dorairaj</v>
      </c>
      <c r="C163" s="95"/>
      <c r="D163" s="23"/>
      <c r="E163" s="24"/>
      <c r="F163" s="95"/>
      <c r="G163" s="23"/>
      <c r="H163" s="24"/>
    </row>
    <row r="164">
      <c r="A164" s="83">
        <f t="shared" si="84"/>
        <v>44</v>
      </c>
      <c r="B164" s="43" t="str">
        <f>IFERROR(__xludf.DUMMYFUNCTION("""COMPUTED_VALUE"""),"Ramesh Bandaru")</f>
        <v>Ramesh Bandaru</v>
      </c>
      <c r="C164" s="95"/>
      <c r="D164" s="23"/>
      <c r="E164" s="24"/>
      <c r="F164" s="95"/>
      <c r="G164" s="23"/>
      <c r="H164" s="24"/>
    </row>
    <row r="165">
      <c r="A165" s="83">
        <f t="shared" si="84"/>
        <v>45</v>
      </c>
      <c r="B165" s="43" t="str">
        <f>IFERROR(__xludf.DUMMYFUNCTION("""COMPUTED_VALUE"""),"Robert Chang")</f>
        <v>Robert Chang</v>
      </c>
      <c r="C165" s="95"/>
      <c r="D165" s="23"/>
      <c r="E165" s="24"/>
      <c r="F165" s="95"/>
      <c r="G165" s="23"/>
      <c r="H165" s="24"/>
    </row>
    <row r="166">
      <c r="A166" s="83">
        <f t="shared" si="84"/>
        <v>46</v>
      </c>
      <c r="B166" s="43" t="str">
        <f>IFERROR(__xludf.DUMMYFUNCTION("""COMPUTED_VALUE"""),"Sandeep Kamalon")</f>
        <v>Sandeep Kamalon</v>
      </c>
      <c r="C166" s="95"/>
      <c r="D166" s="23"/>
      <c r="E166" s="24"/>
      <c r="F166" s="95"/>
      <c r="G166" s="23"/>
      <c r="H166" s="24"/>
    </row>
    <row r="167">
      <c r="A167" s="83">
        <f t="shared" si="84"/>
        <v>47</v>
      </c>
      <c r="B167" s="43" t="str">
        <f>IFERROR(__xludf.DUMMYFUNCTION("""COMPUTED_VALUE"""),"Sandy Weyant")</f>
        <v>Sandy Weyant</v>
      </c>
      <c r="C167" s="95"/>
      <c r="D167" s="23"/>
      <c r="E167" s="24"/>
      <c r="F167" s="95"/>
      <c r="G167" s="23"/>
      <c r="H167" s="24"/>
    </row>
    <row r="168">
      <c r="A168" s="83">
        <f t="shared" si="84"/>
        <v>48</v>
      </c>
      <c r="B168" s="43" t="str">
        <f>IFERROR(__xludf.DUMMYFUNCTION("""COMPUTED_VALUE"""),"Sanjaye Elayattu")</f>
        <v>Sanjaye Elayattu</v>
      </c>
      <c r="C168" s="95"/>
      <c r="D168" s="23"/>
      <c r="E168" s="24"/>
      <c r="F168" s="95"/>
      <c r="G168" s="23"/>
      <c r="H168" s="24"/>
    </row>
    <row r="169">
      <c r="A169" s="83">
        <f t="shared" si="84"/>
        <v>49</v>
      </c>
      <c r="B169" s="43" t="str">
        <f>IFERROR(__xludf.DUMMYFUNCTION("""COMPUTED_VALUE"""),"Santosh Sundaresan ")</f>
        <v>Santosh Sundaresan </v>
      </c>
      <c r="C169" s="95"/>
      <c r="D169" s="23"/>
      <c r="E169" s="24"/>
      <c r="F169" s="95"/>
      <c r="G169" s="23"/>
      <c r="H169" s="24"/>
    </row>
    <row r="170">
      <c r="A170" s="83">
        <f t="shared" si="84"/>
        <v>50</v>
      </c>
      <c r="B170" s="43" t="str">
        <f>IFERROR(__xludf.DUMMYFUNCTION("""COMPUTED_VALUE"""),"Saravanan Veerapandian")</f>
        <v>Saravanan Veerapandian</v>
      </c>
      <c r="C170" s="95"/>
      <c r="D170" s="23"/>
      <c r="E170" s="24"/>
      <c r="F170" s="95"/>
      <c r="G170" s="23"/>
      <c r="H170" s="24"/>
    </row>
    <row r="171">
      <c r="A171" s="83">
        <f t="shared" si="84"/>
        <v>51</v>
      </c>
      <c r="B171" s="43" t="str">
        <f>IFERROR(__xludf.DUMMYFUNCTION("""COMPUTED_VALUE"""),"Scott Li")</f>
        <v>Scott Li</v>
      </c>
      <c r="C171" s="95"/>
      <c r="D171" s="23"/>
      <c r="E171" s="24"/>
      <c r="F171" s="95"/>
      <c r="G171" s="23"/>
      <c r="H171" s="24"/>
    </row>
    <row r="172">
      <c r="A172" s="83">
        <f t="shared" si="84"/>
        <v>52</v>
      </c>
      <c r="B172" s="43" t="str">
        <f>IFERROR(__xludf.DUMMYFUNCTION("""COMPUTED_VALUE"""),"Sean Chang")</f>
        <v>Sean Chang</v>
      </c>
      <c r="C172" s="95"/>
      <c r="D172" s="23"/>
      <c r="E172" s="24"/>
      <c r="F172" s="95"/>
      <c r="G172" s="23"/>
      <c r="H172" s="24"/>
    </row>
    <row r="173">
      <c r="A173" s="83">
        <f t="shared" si="84"/>
        <v>53</v>
      </c>
      <c r="B173" s="43" t="str">
        <f>IFERROR(__xludf.DUMMYFUNCTION("""COMPUTED_VALUE"""),"Suleman Alidina")</f>
        <v>Suleman Alidina</v>
      </c>
      <c r="C173" s="95"/>
      <c r="D173" s="23"/>
      <c r="E173" s="24"/>
      <c r="F173" s="95"/>
      <c r="G173" s="23"/>
      <c r="H173" s="24"/>
    </row>
    <row r="174">
      <c r="A174" s="83">
        <f t="shared" si="84"/>
        <v>54</v>
      </c>
      <c r="B174" s="43" t="str">
        <f>IFERROR(__xludf.DUMMYFUNCTION("""COMPUTED_VALUE"""),"Susanta Mishra")</f>
        <v>Susanta Mishra</v>
      </c>
      <c r="C174" s="95"/>
      <c r="D174" s="23"/>
      <c r="E174" s="24"/>
      <c r="F174" s="95"/>
      <c r="G174" s="23"/>
      <c r="H174" s="24"/>
    </row>
    <row r="175">
      <c r="A175" s="83">
        <f t="shared" si="84"/>
        <v>55</v>
      </c>
      <c r="B175" s="43" t="str">
        <f>IFERROR(__xludf.DUMMYFUNCTION("""COMPUTED_VALUE"""),"Ted Shen")</f>
        <v>Ted Shen</v>
      </c>
      <c r="C175" s="95"/>
      <c r="D175" s="23"/>
      <c r="E175" s="24"/>
      <c r="F175" s="95"/>
      <c r="G175" s="23"/>
      <c r="H175" s="24"/>
    </row>
    <row r="176">
      <c r="A176" s="83">
        <f t="shared" si="84"/>
        <v>56</v>
      </c>
      <c r="B176" s="43" t="str">
        <f>IFERROR(__xludf.DUMMYFUNCTION("""COMPUTED_VALUE"""),"Tina Hanson")</f>
        <v>Tina Hanson</v>
      </c>
      <c r="C176" s="95"/>
      <c r="D176" s="23"/>
      <c r="E176" s="24"/>
      <c r="F176" s="95"/>
      <c r="G176" s="23"/>
      <c r="H176" s="24"/>
    </row>
    <row r="177">
      <c r="A177" s="83">
        <f t="shared" si="84"/>
        <v>57</v>
      </c>
      <c r="B177" s="43" t="str">
        <f>IFERROR(__xludf.DUMMYFUNCTION("""COMPUTED_VALUE"""),"Tom Le")</f>
        <v>Tom Le</v>
      </c>
      <c r="C177" s="95"/>
      <c r="D177" s="23"/>
      <c r="E177" s="24"/>
      <c r="F177" s="95"/>
      <c r="G177" s="23"/>
      <c r="H177" s="24"/>
    </row>
    <row r="178">
      <c r="A178" s="83">
        <f t="shared" si="84"/>
        <v>58</v>
      </c>
      <c r="B178" s="43" t="str">
        <f>IFERROR(__xludf.DUMMYFUNCTION("""COMPUTED_VALUE"""),"Trish Newlin")</f>
        <v>Trish Newlin</v>
      </c>
      <c r="C178" s="95"/>
      <c r="D178" s="23"/>
      <c r="E178" s="24"/>
      <c r="F178" s="95"/>
      <c r="G178" s="23"/>
      <c r="H178" s="24"/>
    </row>
    <row r="179">
      <c r="A179" s="83">
        <f t="shared" si="84"/>
        <v>59</v>
      </c>
      <c r="B179" s="43" t="str">
        <f>IFERROR(__xludf.DUMMYFUNCTION("""COMPUTED_VALUE"""),"Troy Wong")</f>
        <v>Troy Wong</v>
      </c>
      <c r="C179" s="95"/>
      <c r="D179" s="23"/>
      <c r="E179" s="24"/>
      <c r="F179" s="95"/>
      <c r="G179" s="23"/>
      <c r="H179" s="24"/>
    </row>
    <row r="180">
      <c r="A180" s="83">
        <f t="shared" si="84"/>
        <v>60</v>
      </c>
      <c r="B180" s="43" t="str">
        <f>IFERROR(__xludf.DUMMYFUNCTION("""COMPUTED_VALUE"""),"Tyler Leong")</f>
        <v>Tyler Leong</v>
      </c>
      <c r="C180" s="95"/>
      <c r="D180" s="23"/>
      <c r="E180" s="24"/>
      <c r="F180" s="95"/>
      <c r="G180" s="23"/>
      <c r="H180" s="24"/>
    </row>
    <row r="181">
      <c r="A181" s="83">
        <f t="shared" si="84"/>
        <v>61</v>
      </c>
      <c r="B181" s="43" t="str">
        <f>IFERROR(__xludf.DUMMYFUNCTION("""COMPUTED_VALUE"""),"Vicki Martinet")</f>
        <v>Vicki Martinet</v>
      </c>
      <c r="C181" s="95"/>
      <c r="D181" s="23"/>
      <c r="E181" s="24"/>
      <c r="F181" s="95"/>
      <c r="G181" s="23"/>
      <c r="H181" s="24"/>
    </row>
    <row r="182">
      <c r="A182" s="83">
        <f t="shared" si="84"/>
        <v>62</v>
      </c>
      <c r="B182" s="43" t="str">
        <f>IFERROR(__xludf.DUMMYFUNCTION("""COMPUTED_VALUE"""),"Vinaya Kajla")</f>
        <v>Vinaya Kajla</v>
      </c>
      <c r="C182" s="95"/>
      <c r="D182" s="23"/>
      <c r="E182" s="24"/>
      <c r="F182" s="95"/>
      <c r="G182" s="23"/>
      <c r="H182" s="24"/>
    </row>
    <row r="183">
      <c r="A183" s="83">
        <f t="shared" si="84"/>
        <v>63</v>
      </c>
      <c r="B183" s="43" t="str">
        <f>IFERROR(__xludf.DUMMYFUNCTION("""COMPUTED_VALUE"""),"Vishnu Amarnath")</f>
        <v>Vishnu Amarnath</v>
      </c>
      <c r="C183" s="95"/>
      <c r="D183" s="23"/>
      <c r="E183" s="24"/>
      <c r="F183" s="95"/>
      <c r="G183" s="23"/>
      <c r="H183" s="24"/>
    </row>
    <row r="184">
      <c r="A184" s="83">
        <f t="shared" si="84"/>
        <v>64</v>
      </c>
      <c r="B184" s="43" t="str">
        <f>IFERROR(__xludf.DUMMYFUNCTION("""COMPUTED_VALUE"""),"Wayne Liu")</f>
        <v>Wayne Liu</v>
      </c>
      <c r="C184" s="95"/>
      <c r="D184" s="23"/>
      <c r="E184" s="24"/>
      <c r="F184" s="95"/>
      <c r="G184" s="23"/>
      <c r="H184" s="24"/>
    </row>
    <row r="185">
      <c r="A185" s="83">
        <f t="shared" si="84"/>
        <v>65</v>
      </c>
      <c r="B185" s="43"/>
      <c r="C185" s="95"/>
      <c r="D185" s="23"/>
      <c r="E185" s="24"/>
      <c r="F185" s="95"/>
      <c r="G185" s="23"/>
      <c r="H185" s="24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2" max="12" width="23.63"/>
    <col customWidth="1" min="13" max="13" width="18.0"/>
    <col customWidth="1" min="14" max="14" width="15.0"/>
    <col customWidth="1" min="16" max="16" width="16.0"/>
    <col customWidth="1" min="18" max="18" width="5.13"/>
    <col customWidth="1" min="20" max="20" width="13.0"/>
  </cols>
  <sheetData>
    <row r="1">
      <c r="A1" s="2" t="s">
        <v>1</v>
      </c>
      <c r="B1" s="5" t="s">
        <v>4</v>
      </c>
      <c r="C1" s="7" t="s">
        <v>5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7</v>
      </c>
      <c r="K1" s="5" t="s">
        <v>1</v>
      </c>
      <c r="L1" s="7" t="s">
        <v>13</v>
      </c>
      <c r="M1" s="7" t="s">
        <v>14</v>
      </c>
      <c r="O1" s="11" t="s">
        <v>9</v>
      </c>
      <c r="P1" s="11" t="s">
        <v>10</v>
      </c>
      <c r="Q1" s="11" t="s">
        <v>10</v>
      </c>
      <c r="R1" s="11"/>
      <c r="S1" s="11" t="s">
        <v>16</v>
      </c>
      <c r="V1" s="11" t="s">
        <v>9</v>
      </c>
      <c r="W1" s="11" t="s">
        <v>10</v>
      </c>
      <c r="X1" s="11" t="s">
        <v>10</v>
      </c>
    </row>
    <row r="2">
      <c r="A2" s="14">
        <v>1.0</v>
      </c>
      <c r="B2" s="18" t="str">
        <f>IFERROR(__xludf.DUMMYFUNCTION("QUERY(indirect(""'"" &amp; ""Current"" &amp; ""'!B5:F69""),""Select B, C, D, F where F = 1 or F = 2 "",0)"),"#N/A")</f>
        <v>#N/A</v>
      </c>
      <c r="C2" s="18"/>
      <c r="D2" s="18"/>
      <c r="E2" s="18"/>
      <c r="F2" s="14"/>
      <c r="G2" s="14"/>
      <c r="H2" s="14"/>
      <c r="I2" s="14">
        <f t="shared" ref="I2:I65" si="3">sum(F2:H2)</f>
        <v>0</v>
      </c>
      <c r="J2" s="14"/>
      <c r="K2" s="14">
        <f t="shared" ref="K2:K65" si="4">A2</f>
        <v>1</v>
      </c>
      <c r="L2" s="18"/>
      <c r="O2" s="22" t="str">
        <f t="shared" ref="O2:Q2" si="1">if(COUNTIF(V2:V4,"Good")=2,"Good","Error")</f>
        <v>Error</v>
      </c>
      <c r="P2" s="22" t="str">
        <f t="shared" si="1"/>
        <v>Error</v>
      </c>
      <c r="Q2" s="22" t="str">
        <f t="shared" si="1"/>
        <v>Error</v>
      </c>
      <c r="S2" s="22">
        <f>sum(J2:J5)</f>
        <v>0</v>
      </c>
      <c r="T2" s="22" t="str">
        <f>if(S2=0,"",if(S2=6,"Good","ERROR"))</f>
        <v/>
      </c>
      <c r="V2" s="22" t="str">
        <f t="shared" ref="V2:X2" si="2">if(isna(VLOOKUP(F2,F3:F5,1,false)),"Error","Good")</f>
        <v>Error</v>
      </c>
      <c r="W2" s="22" t="str">
        <f t="shared" si="2"/>
        <v>Error</v>
      </c>
      <c r="X2" s="22" t="str">
        <f t="shared" si="2"/>
        <v>Error</v>
      </c>
    </row>
    <row r="3">
      <c r="A3" s="14">
        <v>1.0</v>
      </c>
      <c r="B3" s="18"/>
      <c r="C3" s="18"/>
      <c r="D3" s="18"/>
      <c r="E3" s="18"/>
      <c r="F3" s="14"/>
      <c r="G3" s="14"/>
      <c r="H3" s="14"/>
      <c r="I3" s="14">
        <f t="shared" si="3"/>
        <v>0</v>
      </c>
      <c r="J3" s="14"/>
      <c r="K3" s="14">
        <f t="shared" si="4"/>
        <v>1</v>
      </c>
      <c r="L3" s="18"/>
      <c r="V3" s="22" t="str">
        <f t="shared" ref="V3:X3" si="5">if(isna(VLOOKUP(F3,F4:F5,1,false)),"Error","Good")</f>
        <v>Error</v>
      </c>
      <c r="W3" s="22" t="str">
        <f t="shared" si="5"/>
        <v>Error</v>
      </c>
      <c r="X3" s="22" t="str">
        <f t="shared" si="5"/>
        <v>Error</v>
      </c>
      <c r="AD3" s="22" t="s">
        <v>44</v>
      </c>
    </row>
    <row r="4">
      <c r="A4" s="14">
        <v>1.0</v>
      </c>
      <c r="B4" s="18"/>
      <c r="C4" s="18"/>
      <c r="D4" s="18"/>
      <c r="E4" s="18"/>
      <c r="F4" s="14"/>
      <c r="G4" s="14"/>
      <c r="H4" s="14"/>
      <c r="I4" s="14">
        <f t="shared" si="3"/>
        <v>0</v>
      </c>
      <c r="J4" s="14"/>
      <c r="K4" s="14">
        <f t="shared" si="4"/>
        <v>1</v>
      </c>
      <c r="L4" s="18"/>
      <c r="V4" s="22" t="str">
        <f t="shared" ref="V4:X4" si="6">if(F4=F5,"Good")</f>
        <v>Good</v>
      </c>
      <c r="W4" s="22" t="str">
        <f t="shared" si="6"/>
        <v>Good</v>
      </c>
      <c r="X4" s="22" t="str">
        <f t="shared" si="6"/>
        <v>Good</v>
      </c>
      <c r="Y4" s="33" t="s">
        <v>47</v>
      </c>
      <c r="Z4" s="33" t="s">
        <v>48</v>
      </c>
      <c r="AD4" s="22" t="s">
        <v>49</v>
      </c>
    </row>
    <row r="5">
      <c r="A5" s="14">
        <v>1.0</v>
      </c>
      <c r="B5" s="18"/>
      <c r="C5" s="18"/>
      <c r="D5" s="18"/>
      <c r="E5" s="18"/>
      <c r="F5" s="14"/>
      <c r="G5" s="14"/>
      <c r="H5" s="14"/>
      <c r="I5" s="14">
        <f t="shared" si="3"/>
        <v>0</v>
      </c>
      <c r="J5" s="14"/>
      <c r="K5" s="14">
        <f t="shared" si="4"/>
        <v>1</v>
      </c>
      <c r="L5" s="14"/>
      <c r="Y5" s="33" t="s">
        <v>47</v>
      </c>
      <c r="Z5" s="33" t="s">
        <v>51</v>
      </c>
      <c r="AD5" s="22" t="s">
        <v>52</v>
      </c>
    </row>
    <row r="6">
      <c r="A6" s="37">
        <v>2.0</v>
      </c>
      <c r="B6" s="38"/>
      <c r="C6" s="38"/>
      <c r="D6" s="38"/>
      <c r="E6" s="38"/>
      <c r="F6" s="37"/>
      <c r="G6" s="37"/>
      <c r="H6" s="37"/>
      <c r="I6" s="37">
        <f t="shared" si="3"/>
        <v>0</v>
      </c>
      <c r="J6" s="37"/>
      <c r="K6" s="37">
        <f t="shared" si="4"/>
        <v>2</v>
      </c>
      <c r="L6" s="38"/>
      <c r="O6" s="22" t="str">
        <f t="shared" ref="O6:Q6" si="7">if(COUNTIF(V6:V8,"Good")=2,"Good","Error")</f>
        <v>Error</v>
      </c>
      <c r="P6" s="22" t="str">
        <f t="shared" si="7"/>
        <v>Error</v>
      </c>
      <c r="Q6" s="22" t="str">
        <f t="shared" si="7"/>
        <v>Error</v>
      </c>
      <c r="S6" s="22">
        <f>sum(J6:J9)</f>
        <v>0</v>
      </c>
      <c r="T6" s="22" t="str">
        <f>if(S6=0,"",if(S6=6,"Good","ERROR"))</f>
        <v/>
      </c>
      <c r="V6" s="22" t="str">
        <f t="shared" ref="V6:X6" si="8">if(isna(VLOOKUP(F6,F7:F9,1,false)),"Error","Good")</f>
        <v>Error</v>
      </c>
      <c r="W6" s="22" t="str">
        <f t="shared" si="8"/>
        <v>Error</v>
      </c>
      <c r="X6" s="22" t="str">
        <f t="shared" si="8"/>
        <v>Error</v>
      </c>
      <c r="AD6" s="22" t="s">
        <v>54</v>
      </c>
    </row>
    <row r="7">
      <c r="A7" s="37">
        <v>2.0</v>
      </c>
      <c r="B7" s="38"/>
      <c r="C7" s="38"/>
      <c r="D7" s="38"/>
      <c r="E7" s="38"/>
      <c r="F7" s="37"/>
      <c r="G7" s="37"/>
      <c r="H7" s="37"/>
      <c r="I7" s="37">
        <f t="shared" si="3"/>
        <v>0</v>
      </c>
      <c r="J7" s="37"/>
      <c r="K7" s="37">
        <f t="shared" si="4"/>
        <v>2</v>
      </c>
      <c r="L7" s="38"/>
      <c r="V7" s="22" t="str">
        <f t="shared" ref="V7:X7" si="9">if(isna(VLOOKUP(F7,F8:F9,1,false)),"Error","Good")</f>
        <v>Error</v>
      </c>
      <c r="W7" s="22" t="str">
        <f t="shared" si="9"/>
        <v>Error</v>
      </c>
      <c r="X7" s="22" t="str">
        <f t="shared" si="9"/>
        <v>Error</v>
      </c>
    </row>
    <row r="8">
      <c r="A8" s="37">
        <v>2.0</v>
      </c>
      <c r="B8" s="38"/>
      <c r="C8" s="38"/>
      <c r="D8" s="38"/>
      <c r="E8" s="38"/>
      <c r="F8" s="37"/>
      <c r="G8" s="37"/>
      <c r="H8" s="37"/>
      <c r="I8" s="37">
        <f t="shared" si="3"/>
        <v>0</v>
      </c>
      <c r="J8" s="37"/>
      <c r="K8" s="37">
        <f t="shared" si="4"/>
        <v>2</v>
      </c>
      <c r="L8" s="38"/>
      <c r="M8" s="42"/>
      <c r="N8" s="42"/>
      <c r="V8" s="22" t="str">
        <f t="shared" ref="V8:X8" si="10">if(F8=F9,"Good")</f>
        <v>Good</v>
      </c>
      <c r="W8" s="22" t="str">
        <f t="shared" si="10"/>
        <v>Good</v>
      </c>
      <c r="X8" s="22" t="str">
        <f t="shared" si="10"/>
        <v>Good</v>
      </c>
    </row>
    <row r="9">
      <c r="A9" s="37">
        <v>2.0</v>
      </c>
      <c r="B9" s="38"/>
      <c r="C9" s="38"/>
      <c r="D9" s="38"/>
      <c r="E9" s="38"/>
      <c r="F9" s="37"/>
      <c r="G9" s="37"/>
      <c r="H9" s="37"/>
      <c r="I9" s="37">
        <f t="shared" si="3"/>
        <v>0</v>
      </c>
      <c r="J9" s="37"/>
      <c r="K9" s="37">
        <f t="shared" si="4"/>
        <v>2</v>
      </c>
      <c r="L9" s="37"/>
      <c r="M9" s="42"/>
      <c r="N9" s="42"/>
    </row>
    <row r="10">
      <c r="A10" s="14">
        <v>3.0</v>
      </c>
      <c r="B10" s="18"/>
      <c r="C10" s="18"/>
      <c r="D10" s="18"/>
      <c r="E10" s="18"/>
      <c r="F10" s="14"/>
      <c r="G10" s="14"/>
      <c r="H10" s="14"/>
      <c r="I10" s="14">
        <f t="shared" si="3"/>
        <v>0</v>
      </c>
      <c r="J10" s="14"/>
      <c r="K10" s="14">
        <f t="shared" si="4"/>
        <v>3</v>
      </c>
      <c r="L10" s="18"/>
      <c r="O10" s="22" t="str">
        <f t="shared" ref="O10:Q10" si="11">if(COUNTIF(V10:V12,"Good")=2,"Good","Error")</f>
        <v>Error</v>
      </c>
      <c r="P10" s="22" t="str">
        <f t="shared" si="11"/>
        <v>Error</v>
      </c>
      <c r="Q10" s="22" t="str">
        <f t="shared" si="11"/>
        <v>Error</v>
      </c>
      <c r="S10" s="22">
        <f>sum(J10:J13)</f>
        <v>0</v>
      </c>
      <c r="T10" s="22" t="str">
        <f>if(S10=0,"",if(S10=6,"Good","ERROR"))</f>
        <v/>
      </c>
      <c r="V10" s="22" t="str">
        <f t="shared" ref="V10:X10" si="12">if(isna(VLOOKUP(F10,F11:F13,1,false)),"Error","Good")</f>
        <v>Error</v>
      </c>
      <c r="W10" s="22" t="str">
        <f t="shared" si="12"/>
        <v>Error</v>
      </c>
      <c r="X10" s="22" t="str">
        <f t="shared" si="12"/>
        <v>Error</v>
      </c>
    </row>
    <row r="11">
      <c r="A11" s="14">
        <v>3.0</v>
      </c>
      <c r="B11" s="18"/>
      <c r="C11" s="18"/>
      <c r="D11" s="18"/>
      <c r="E11" s="18"/>
      <c r="F11" s="14"/>
      <c r="G11" s="14"/>
      <c r="H11" s="14"/>
      <c r="I11" s="14">
        <f t="shared" si="3"/>
        <v>0</v>
      </c>
      <c r="J11" s="14"/>
      <c r="K11" s="14">
        <f t="shared" si="4"/>
        <v>3</v>
      </c>
      <c r="L11" s="18"/>
      <c r="V11" s="22" t="str">
        <f t="shared" ref="V11:X11" si="13">if(isna(VLOOKUP(F11,F12:F13,1,false)),"Error","Good")</f>
        <v>Error</v>
      </c>
      <c r="W11" s="22" t="str">
        <f t="shared" si="13"/>
        <v>Error</v>
      </c>
      <c r="X11" s="22" t="str">
        <f t="shared" si="13"/>
        <v>Error</v>
      </c>
      <c r="AD11" s="22" t="s">
        <v>62</v>
      </c>
    </row>
    <row r="12">
      <c r="A12" s="14">
        <v>3.0</v>
      </c>
      <c r="B12" s="18"/>
      <c r="C12" s="18"/>
      <c r="D12" s="18"/>
      <c r="E12" s="18"/>
      <c r="F12" s="14"/>
      <c r="G12" s="14"/>
      <c r="H12" s="14"/>
      <c r="I12" s="14">
        <f t="shared" si="3"/>
        <v>0</v>
      </c>
      <c r="J12" s="14"/>
      <c r="K12" s="14">
        <f t="shared" si="4"/>
        <v>3</v>
      </c>
      <c r="L12" s="18"/>
      <c r="V12" s="22" t="str">
        <f t="shared" ref="V12:X12" si="14">if(F12=F13,"Good")</f>
        <v>Good</v>
      </c>
      <c r="W12" s="22" t="str">
        <f t="shared" si="14"/>
        <v>Good</v>
      </c>
      <c r="X12" s="22" t="str">
        <f t="shared" si="14"/>
        <v>Good</v>
      </c>
      <c r="AD12" s="22" t="s">
        <v>65</v>
      </c>
    </row>
    <row r="13">
      <c r="A13" s="14">
        <v>3.0</v>
      </c>
      <c r="B13" s="18"/>
      <c r="C13" s="18"/>
      <c r="D13" s="18"/>
      <c r="E13" s="18"/>
      <c r="F13" s="14"/>
      <c r="G13" s="14"/>
      <c r="H13" s="14"/>
      <c r="I13" s="14">
        <f t="shared" si="3"/>
        <v>0</v>
      </c>
      <c r="J13" s="14"/>
      <c r="K13" s="14">
        <f t="shared" si="4"/>
        <v>3</v>
      </c>
      <c r="L13" s="14"/>
      <c r="AD13" s="22" t="s">
        <v>67</v>
      </c>
    </row>
    <row r="14">
      <c r="A14" s="37">
        <v>4.0</v>
      </c>
      <c r="B14" s="38"/>
      <c r="C14" s="38"/>
      <c r="D14" s="38"/>
      <c r="E14" s="38"/>
      <c r="F14" s="37"/>
      <c r="G14" s="37"/>
      <c r="H14" s="37"/>
      <c r="I14" s="37">
        <f t="shared" si="3"/>
        <v>0</v>
      </c>
      <c r="J14" s="37"/>
      <c r="K14" s="37">
        <f t="shared" si="4"/>
        <v>4</v>
      </c>
      <c r="L14" s="37"/>
      <c r="O14" s="22" t="str">
        <f t="shared" ref="O14:Q14" si="15">if(COUNTIF(V14:V16,"Good")=2,"Good","Error")</f>
        <v>Error</v>
      </c>
      <c r="P14" s="22" t="str">
        <f t="shared" si="15"/>
        <v>Error</v>
      </c>
      <c r="Q14" s="22" t="str">
        <f t="shared" si="15"/>
        <v>Error</v>
      </c>
      <c r="S14" s="22">
        <f>sum(J14:J17)</f>
        <v>0</v>
      </c>
      <c r="T14" s="22" t="str">
        <f>if(S14=0,"",if(S14=6,"Good","ERROR"))</f>
        <v/>
      </c>
      <c r="V14" s="22" t="str">
        <f t="shared" ref="V14:X14" si="16">if(isna(VLOOKUP(F14,F15:F17,1,false)),"Error","Good")</f>
        <v>Error</v>
      </c>
      <c r="W14" s="22" t="str">
        <f t="shared" si="16"/>
        <v>Error</v>
      </c>
      <c r="X14" s="22" t="str">
        <f t="shared" si="16"/>
        <v>Error</v>
      </c>
      <c r="AD14" s="22" t="s">
        <v>71</v>
      </c>
    </row>
    <row r="15">
      <c r="A15" s="37">
        <v>4.0</v>
      </c>
      <c r="B15" s="38"/>
      <c r="C15" s="38"/>
      <c r="D15" s="38"/>
      <c r="E15" s="38"/>
      <c r="F15" s="37"/>
      <c r="G15" s="37"/>
      <c r="H15" s="37"/>
      <c r="I15" s="37">
        <f t="shared" si="3"/>
        <v>0</v>
      </c>
      <c r="J15" s="37"/>
      <c r="K15" s="37">
        <f t="shared" si="4"/>
        <v>4</v>
      </c>
      <c r="L15" s="38"/>
      <c r="U15" s="50"/>
      <c r="V15" s="22" t="str">
        <f t="shared" ref="V15:X15" si="17">if(isna(VLOOKUP(F15,F16:F17,1,false)),"Error","Good")</f>
        <v>Error</v>
      </c>
      <c r="W15" s="22" t="str">
        <f t="shared" si="17"/>
        <v>Error</v>
      </c>
      <c r="X15" s="22" t="str">
        <f t="shared" si="17"/>
        <v>Error</v>
      </c>
    </row>
    <row r="16">
      <c r="A16" s="37">
        <v>4.0</v>
      </c>
      <c r="B16" s="38"/>
      <c r="C16" s="38"/>
      <c r="D16" s="38"/>
      <c r="E16" s="38"/>
      <c r="F16" s="37"/>
      <c r="G16" s="37"/>
      <c r="H16" s="37"/>
      <c r="I16" s="37">
        <f t="shared" si="3"/>
        <v>0</v>
      </c>
      <c r="J16" s="37"/>
      <c r="K16" s="37">
        <f t="shared" si="4"/>
        <v>4</v>
      </c>
      <c r="L16" s="38"/>
      <c r="V16" s="22" t="str">
        <f t="shared" ref="V16:X16" si="18">if(F16=F17,"Good")</f>
        <v>Good</v>
      </c>
      <c r="W16" s="22" t="str">
        <f t="shared" si="18"/>
        <v>Good</v>
      </c>
      <c r="X16" s="22" t="str">
        <f t="shared" si="18"/>
        <v>Good</v>
      </c>
    </row>
    <row r="17">
      <c r="A17" s="37">
        <v>4.0</v>
      </c>
      <c r="B17" s="38"/>
      <c r="C17" s="38"/>
      <c r="D17" s="38"/>
      <c r="E17" s="38"/>
      <c r="F17" s="37"/>
      <c r="G17" s="37"/>
      <c r="H17" s="37"/>
      <c r="I17" s="37">
        <f t="shared" si="3"/>
        <v>0</v>
      </c>
      <c r="J17" s="37"/>
      <c r="K17" s="37">
        <f t="shared" si="4"/>
        <v>4</v>
      </c>
      <c r="L17" s="38"/>
    </row>
    <row r="18">
      <c r="A18" s="14">
        <v>5.0</v>
      </c>
      <c r="B18" s="18"/>
      <c r="C18" s="18"/>
      <c r="D18" s="18"/>
      <c r="E18" s="18"/>
      <c r="F18" s="14"/>
      <c r="G18" s="14"/>
      <c r="H18" s="14"/>
      <c r="I18" s="14">
        <f t="shared" si="3"/>
        <v>0</v>
      </c>
      <c r="J18" s="14"/>
      <c r="K18" s="14">
        <f t="shared" si="4"/>
        <v>5</v>
      </c>
      <c r="L18" s="14"/>
      <c r="O18" s="22" t="str">
        <f t="shared" ref="O18:Q18" si="19">if(COUNTIF(V18:V20,"Good")=2,"Good","Error")</f>
        <v>Error</v>
      </c>
      <c r="P18" s="22" t="str">
        <f t="shared" si="19"/>
        <v>Error</v>
      </c>
      <c r="Q18" s="22" t="str">
        <f t="shared" si="19"/>
        <v>Error</v>
      </c>
      <c r="S18" s="22">
        <f>sum(J18:J21)</f>
        <v>0</v>
      </c>
      <c r="T18" s="22" t="str">
        <f>if(S18=0,"",if(S18=6,"Good","ERROR"))</f>
        <v/>
      </c>
      <c r="V18" s="22" t="str">
        <f t="shared" ref="V18:X18" si="20">if(isna(VLOOKUP(F18,F19:F21,1,false)),"Error","Good")</f>
        <v>Error</v>
      </c>
      <c r="W18" s="22" t="str">
        <f t="shared" si="20"/>
        <v>Error</v>
      </c>
      <c r="X18" s="22" t="str">
        <f t="shared" si="20"/>
        <v>Error</v>
      </c>
      <c r="AD18" s="22" t="s">
        <v>45</v>
      </c>
    </row>
    <row r="19">
      <c r="A19" s="14">
        <v>5.0</v>
      </c>
      <c r="B19" s="18"/>
      <c r="C19" s="18"/>
      <c r="D19" s="18"/>
      <c r="E19" s="18"/>
      <c r="F19" s="14"/>
      <c r="G19" s="14"/>
      <c r="H19" s="14"/>
      <c r="I19" s="14">
        <f t="shared" si="3"/>
        <v>0</v>
      </c>
      <c r="J19" s="14"/>
      <c r="K19" s="14">
        <f t="shared" si="4"/>
        <v>5</v>
      </c>
      <c r="L19" s="18"/>
      <c r="V19" s="22" t="str">
        <f t="shared" ref="V19:X19" si="21">if(isna(VLOOKUP(F19,F20:F21,1,false)),"Error","Good")</f>
        <v>Error</v>
      </c>
      <c r="W19" s="22" t="str">
        <f t="shared" si="21"/>
        <v>Error</v>
      </c>
      <c r="X19" s="22" t="str">
        <f t="shared" si="21"/>
        <v>Error</v>
      </c>
      <c r="AD19" s="22" t="s">
        <v>83</v>
      </c>
    </row>
    <row r="20">
      <c r="A20" s="14">
        <v>5.0</v>
      </c>
      <c r="B20" s="18"/>
      <c r="C20" s="18"/>
      <c r="D20" s="18"/>
      <c r="E20" s="18"/>
      <c r="F20" s="14"/>
      <c r="G20" s="14"/>
      <c r="H20" s="14"/>
      <c r="I20" s="14">
        <f t="shared" si="3"/>
        <v>0</v>
      </c>
      <c r="J20" s="14"/>
      <c r="K20" s="14">
        <f t="shared" si="4"/>
        <v>5</v>
      </c>
      <c r="L20" s="18"/>
      <c r="V20" s="22" t="str">
        <f t="shared" ref="V20:X20" si="22">if(F20=F21,"Good")</f>
        <v>Good</v>
      </c>
      <c r="W20" s="22" t="str">
        <f t="shared" si="22"/>
        <v>Good</v>
      </c>
      <c r="X20" s="22" t="str">
        <f t="shared" si="22"/>
        <v>Good</v>
      </c>
      <c r="AD20" s="22" t="s">
        <v>82</v>
      </c>
    </row>
    <row r="21">
      <c r="A21" s="14">
        <v>5.0</v>
      </c>
      <c r="B21" s="18"/>
      <c r="C21" s="18"/>
      <c r="D21" s="18"/>
      <c r="E21" s="18"/>
      <c r="F21" s="14"/>
      <c r="G21" s="14"/>
      <c r="H21" s="14"/>
      <c r="I21" s="14">
        <f t="shared" si="3"/>
        <v>0</v>
      </c>
      <c r="J21" s="14"/>
      <c r="K21" s="14">
        <f t="shared" si="4"/>
        <v>5</v>
      </c>
      <c r="L21" s="14"/>
      <c r="AD21" s="22" t="s">
        <v>86</v>
      </c>
    </row>
    <row r="22">
      <c r="A22" s="37">
        <v>6.0</v>
      </c>
      <c r="B22" s="38"/>
      <c r="C22" s="38"/>
      <c r="D22" s="38"/>
      <c r="E22" s="38"/>
      <c r="F22" s="37"/>
      <c r="G22" s="37"/>
      <c r="H22" s="37"/>
      <c r="I22" s="37">
        <f t="shared" si="3"/>
        <v>0</v>
      </c>
      <c r="J22" s="37"/>
      <c r="K22" s="37">
        <f t="shared" si="4"/>
        <v>6</v>
      </c>
      <c r="L22" s="38"/>
      <c r="O22" s="22" t="str">
        <f t="shared" ref="O22:Q22" si="23">if(COUNTIF(V22:V24,"Good")=2,"Good","Error")</f>
        <v>Error</v>
      </c>
      <c r="P22" s="22" t="str">
        <f t="shared" si="23"/>
        <v>Error</v>
      </c>
      <c r="Q22" s="22" t="str">
        <f t="shared" si="23"/>
        <v>Error</v>
      </c>
      <c r="S22" s="22">
        <f>sum(J22:J25)</f>
        <v>0</v>
      </c>
      <c r="T22" s="22" t="str">
        <f>if(S22=0,"",if(S22=6,"Good","ERROR"))</f>
        <v/>
      </c>
      <c r="V22" s="22" t="str">
        <f t="shared" ref="V22:X22" si="24">if(isna(VLOOKUP(F22,F23:F25,1,false)),"Error","Good")</f>
        <v>Error</v>
      </c>
      <c r="W22" s="22" t="str">
        <f t="shared" si="24"/>
        <v>Error</v>
      </c>
      <c r="X22" s="22" t="str">
        <f t="shared" si="24"/>
        <v>Error</v>
      </c>
    </row>
    <row r="23">
      <c r="A23" s="37">
        <v>6.0</v>
      </c>
      <c r="B23" s="38"/>
      <c r="C23" s="38"/>
      <c r="D23" s="38"/>
      <c r="E23" s="38"/>
      <c r="F23" s="37"/>
      <c r="G23" s="37"/>
      <c r="H23" s="37"/>
      <c r="I23" s="37">
        <f t="shared" si="3"/>
        <v>0</v>
      </c>
      <c r="J23" s="37"/>
      <c r="K23" s="37">
        <f t="shared" si="4"/>
        <v>6</v>
      </c>
      <c r="L23" s="38"/>
      <c r="V23" s="22" t="str">
        <f t="shared" ref="V23:X23" si="25">if(isna(VLOOKUP(F23,F24:F25,1,false)),"Error","Good")</f>
        <v>Error</v>
      </c>
      <c r="W23" s="22" t="str">
        <f t="shared" si="25"/>
        <v>Error</v>
      </c>
      <c r="X23" s="22" t="str">
        <f t="shared" si="25"/>
        <v>Error</v>
      </c>
    </row>
    <row r="24">
      <c r="A24" s="37">
        <v>6.0</v>
      </c>
      <c r="B24" s="38"/>
      <c r="C24" s="38"/>
      <c r="D24" s="38"/>
      <c r="E24" s="38"/>
      <c r="F24" s="37"/>
      <c r="G24" s="37"/>
      <c r="H24" s="37"/>
      <c r="I24" s="37">
        <f t="shared" si="3"/>
        <v>0</v>
      </c>
      <c r="J24" s="37"/>
      <c r="K24" s="37">
        <f t="shared" si="4"/>
        <v>6</v>
      </c>
      <c r="L24" s="38"/>
      <c r="V24" s="22" t="str">
        <f t="shared" ref="V24:X24" si="26">if(F24=F25,"Good")</f>
        <v>Good</v>
      </c>
      <c r="W24" s="22" t="str">
        <f t="shared" si="26"/>
        <v>Good</v>
      </c>
      <c r="X24" s="22" t="str">
        <f t="shared" si="26"/>
        <v>Good</v>
      </c>
      <c r="AD24" s="22" t="s">
        <v>89</v>
      </c>
    </row>
    <row r="25">
      <c r="A25" s="37">
        <v>6.0</v>
      </c>
      <c r="B25" s="38"/>
      <c r="C25" s="38"/>
      <c r="D25" s="38"/>
      <c r="E25" s="38"/>
      <c r="F25" s="37"/>
      <c r="G25" s="37"/>
      <c r="H25" s="37"/>
      <c r="I25" s="37">
        <f t="shared" si="3"/>
        <v>0</v>
      </c>
      <c r="J25" s="37"/>
      <c r="K25" s="37">
        <f t="shared" si="4"/>
        <v>6</v>
      </c>
      <c r="L25" s="37"/>
      <c r="AD25" s="22" t="s">
        <v>91</v>
      </c>
    </row>
    <row r="26">
      <c r="A26" s="14">
        <v>7.0</v>
      </c>
      <c r="B26" s="18"/>
      <c r="C26" s="18"/>
      <c r="D26" s="18"/>
      <c r="E26" s="18"/>
      <c r="F26" s="14"/>
      <c r="G26" s="14"/>
      <c r="H26" s="14"/>
      <c r="I26" s="14">
        <f t="shared" si="3"/>
        <v>0</v>
      </c>
      <c r="J26" s="14"/>
      <c r="K26" s="14">
        <f t="shared" si="4"/>
        <v>7</v>
      </c>
      <c r="L26" s="18"/>
      <c r="O26" s="22" t="str">
        <f t="shared" ref="O26:Q26" si="27">if(COUNTIF(V26:V28,"Good")=2,"Good","Error")</f>
        <v>Error</v>
      </c>
      <c r="P26" s="22" t="str">
        <f t="shared" si="27"/>
        <v>Error</v>
      </c>
      <c r="Q26" s="22" t="str">
        <f t="shared" si="27"/>
        <v>Error</v>
      </c>
      <c r="S26" s="22">
        <f>sum(J26:J29)</f>
        <v>0</v>
      </c>
      <c r="T26" s="22" t="str">
        <f>if(S26=0,"",if(S26=6,"Good","ERROR"))</f>
        <v/>
      </c>
      <c r="V26" s="22" t="str">
        <f t="shared" ref="V26:X26" si="28">if(isna(VLOOKUP(F26,F27:F29,1,false)),"Error","Good")</f>
        <v>Error</v>
      </c>
      <c r="W26" s="22" t="str">
        <f t="shared" si="28"/>
        <v>Error</v>
      </c>
      <c r="X26" s="22" t="str">
        <f t="shared" si="28"/>
        <v>Error</v>
      </c>
      <c r="AD26" s="22" t="s">
        <v>93</v>
      </c>
    </row>
    <row r="27">
      <c r="A27" s="14">
        <v>7.0</v>
      </c>
      <c r="B27" s="18"/>
      <c r="C27" s="18"/>
      <c r="D27" s="18"/>
      <c r="E27" s="18"/>
      <c r="F27" s="14"/>
      <c r="G27" s="14"/>
      <c r="H27" s="14"/>
      <c r="I27" s="14">
        <f t="shared" si="3"/>
        <v>0</v>
      </c>
      <c r="J27" s="14"/>
      <c r="K27" s="14">
        <f t="shared" si="4"/>
        <v>7</v>
      </c>
      <c r="L27" s="18"/>
      <c r="V27" s="22" t="str">
        <f t="shared" ref="V27:X27" si="29">if(isna(VLOOKUP(F27,F28:F29,1,false)),"Error","Good")</f>
        <v>Error</v>
      </c>
      <c r="W27" s="22" t="str">
        <f t="shared" si="29"/>
        <v>Error</v>
      </c>
      <c r="X27" s="22" t="str">
        <f t="shared" si="29"/>
        <v>Error</v>
      </c>
      <c r="AD27" s="22" t="s">
        <v>95</v>
      </c>
    </row>
    <row r="28">
      <c r="A28" s="14">
        <v>7.0</v>
      </c>
      <c r="B28" s="18"/>
      <c r="C28" s="18"/>
      <c r="D28" s="18"/>
      <c r="E28" s="18"/>
      <c r="F28" s="14"/>
      <c r="G28" s="14"/>
      <c r="H28" s="14"/>
      <c r="I28" s="14">
        <f t="shared" si="3"/>
        <v>0</v>
      </c>
      <c r="J28" s="14"/>
      <c r="K28" s="14">
        <f t="shared" si="4"/>
        <v>7</v>
      </c>
      <c r="L28" s="18"/>
      <c r="V28" s="22" t="str">
        <f t="shared" ref="V28:X28" si="30">if(F28=F29,"Good")</f>
        <v>Good</v>
      </c>
      <c r="W28" s="22" t="str">
        <f t="shared" si="30"/>
        <v>Good</v>
      </c>
      <c r="X28" s="22" t="str">
        <f t="shared" si="30"/>
        <v>Good</v>
      </c>
    </row>
    <row r="29">
      <c r="A29" s="14">
        <v>7.0</v>
      </c>
      <c r="B29" s="18"/>
      <c r="C29" s="18"/>
      <c r="D29" s="18"/>
      <c r="E29" s="18"/>
      <c r="F29" s="14"/>
      <c r="G29" s="14"/>
      <c r="H29" s="14"/>
      <c r="I29" s="14">
        <f t="shared" si="3"/>
        <v>0</v>
      </c>
      <c r="J29" s="14"/>
      <c r="K29" s="14">
        <f t="shared" si="4"/>
        <v>7</v>
      </c>
      <c r="L29" s="14"/>
    </row>
    <row r="30">
      <c r="A30" s="37">
        <v>8.0</v>
      </c>
      <c r="B30" s="38"/>
      <c r="C30" s="38"/>
      <c r="D30" s="38"/>
      <c r="E30" s="38"/>
      <c r="F30" s="37"/>
      <c r="G30" s="37"/>
      <c r="H30" s="37"/>
      <c r="I30" s="37">
        <f t="shared" si="3"/>
        <v>0</v>
      </c>
      <c r="J30" s="37"/>
      <c r="K30" s="37">
        <f t="shared" si="4"/>
        <v>8</v>
      </c>
      <c r="L30" s="38"/>
      <c r="O30" s="22" t="str">
        <f t="shared" ref="O30:Q30" si="31">if(COUNTIF(V30:V32,"Good")=2,"Good","Error")</f>
        <v>Error</v>
      </c>
      <c r="P30" s="22" t="str">
        <f t="shared" si="31"/>
        <v>Error</v>
      </c>
      <c r="Q30" s="22" t="str">
        <f t="shared" si="31"/>
        <v>Error</v>
      </c>
      <c r="S30" s="22">
        <f>sum(J30:J33)</f>
        <v>0</v>
      </c>
      <c r="T30" s="22" t="str">
        <f>if(S30=0,"",if(S30=6,"Good","ERROR"))</f>
        <v/>
      </c>
      <c r="V30" s="22" t="str">
        <f t="shared" ref="V30:X30" si="32">if(isna(VLOOKUP(F30,F31:F33,1,false)),"Error","Good")</f>
        <v>Error</v>
      </c>
      <c r="W30" s="22" t="str">
        <f t="shared" si="32"/>
        <v>Error</v>
      </c>
      <c r="X30" s="22" t="str">
        <f t="shared" si="32"/>
        <v>Error</v>
      </c>
    </row>
    <row r="31">
      <c r="A31" s="37">
        <v>8.0</v>
      </c>
      <c r="B31" s="38"/>
      <c r="C31" s="38"/>
      <c r="D31" s="38"/>
      <c r="E31" s="38"/>
      <c r="F31" s="37"/>
      <c r="G31" s="37"/>
      <c r="H31" s="37"/>
      <c r="I31" s="37">
        <f t="shared" si="3"/>
        <v>0</v>
      </c>
      <c r="J31" s="37"/>
      <c r="K31" s="37">
        <f t="shared" si="4"/>
        <v>8</v>
      </c>
      <c r="L31" s="38"/>
      <c r="V31" s="22" t="str">
        <f t="shared" ref="V31:X31" si="33">if(isna(VLOOKUP(F31,F32:F33,1,false)),"Error","Good")</f>
        <v>Error</v>
      </c>
      <c r="W31" s="22" t="str">
        <f t="shared" si="33"/>
        <v>Error</v>
      </c>
      <c r="X31" s="22" t="str">
        <f t="shared" si="33"/>
        <v>Error</v>
      </c>
    </row>
    <row r="32">
      <c r="A32" s="37">
        <v>8.0</v>
      </c>
      <c r="B32" s="38"/>
      <c r="C32" s="38"/>
      <c r="D32" s="38"/>
      <c r="E32" s="38"/>
      <c r="F32" s="37"/>
      <c r="G32" s="37"/>
      <c r="H32" s="37"/>
      <c r="I32" s="37">
        <f t="shared" si="3"/>
        <v>0</v>
      </c>
      <c r="J32" s="37"/>
      <c r="K32" s="37">
        <f t="shared" si="4"/>
        <v>8</v>
      </c>
      <c r="L32" s="38"/>
      <c r="V32" s="22" t="str">
        <f t="shared" ref="V32:X32" si="34">if(F32=F33,"Good")</f>
        <v>Good</v>
      </c>
      <c r="W32" s="22" t="str">
        <f t="shared" si="34"/>
        <v>Good</v>
      </c>
      <c r="X32" s="22" t="str">
        <f t="shared" si="34"/>
        <v>Good</v>
      </c>
    </row>
    <row r="33">
      <c r="A33" s="37">
        <v>8.0</v>
      </c>
      <c r="B33" s="38"/>
      <c r="C33" s="38"/>
      <c r="D33" s="38"/>
      <c r="E33" s="38"/>
      <c r="F33" s="37"/>
      <c r="G33" s="37"/>
      <c r="H33" s="37"/>
      <c r="I33" s="37">
        <f t="shared" si="3"/>
        <v>0</v>
      </c>
      <c r="J33" s="37"/>
      <c r="K33" s="37">
        <f t="shared" si="4"/>
        <v>8</v>
      </c>
      <c r="L33" s="37"/>
      <c r="AD33" s="22" t="s">
        <v>90</v>
      </c>
    </row>
    <row r="34">
      <c r="A34" s="14">
        <v>9.0</v>
      </c>
      <c r="B34" s="18"/>
      <c r="C34" s="18"/>
      <c r="D34" s="18"/>
      <c r="E34" s="18"/>
      <c r="F34" s="14"/>
      <c r="G34" s="14"/>
      <c r="H34" s="14"/>
      <c r="I34" s="14">
        <f t="shared" si="3"/>
        <v>0</v>
      </c>
      <c r="J34" s="14"/>
      <c r="K34" s="14">
        <f t="shared" si="4"/>
        <v>9</v>
      </c>
      <c r="L34" s="18"/>
      <c r="O34" s="22" t="str">
        <f t="shared" ref="O34:Q34" si="35">if(COUNTIF(V34:V36,"Good")=2,"Good","Error")</f>
        <v>Error</v>
      </c>
      <c r="P34" s="22" t="str">
        <f t="shared" si="35"/>
        <v>Error</v>
      </c>
      <c r="Q34" s="22" t="str">
        <f t="shared" si="35"/>
        <v>Error</v>
      </c>
      <c r="S34" s="22">
        <f>sum(J34:J37)</f>
        <v>0</v>
      </c>
      <c r="T34" s="22" t="str">
        <f>if(S34=0,"",if(S34=6,"Good","ERROR"))</f>
        <v/>
      </c>
      <c r="V34" s="22" t="str">
        <f t="shared" ref="V34:X34" si="36">if(isna(VLOOKUP(F34,F35:F37,1,false)),"Error","Good")</f>
        <v>Error</v>
      </c>
      <c r="W34" s="22" t="str">
        <f t="shared" si="36"/>
        <v>Error</v>
      </c>
      <c r="X34" s="22" t="str">
        <f t="shared" si="36"/>
        <v>Error</v>
      </c>
      <c r="AD34" s="22" t="s">
        <v>98</v>
      </c>
    </row>
    <row r="35">
      <c r="A35" s="14">
        <v>9.0</v>
      </c>
      <c r="B35" s="18"/>
      <c r="C35" s="18"/>
      <c r="D35" s="18"/>
      <c r="E35" s="18"/>
      <c r="F35" s="14"/>
      <c r="G35" s="14"/>
      <c r="H35" s="14"/>
      <c r="I35" s="14">
        <f t="shared" si="3"/>
        <v>0</v>
      </c>
      <c r="J35" s="14"/>
      <c r="K35" s="14">
        <f t="shared" si="4"/>
        <v>9</v>
      </c>
      <c r="L35" s="18"/>
      <c r="V35" s="22" t="str">
        <f t="shared" ref="V35:X35" si="37">if(isna(VLOOKUP(F35,F36:F37,1,false)),"Error","Good")</f>
        <v>Error</v>
      </c>
      <c r="W35" s="22" t="str">
        <f t="shared" si="37"/>
        <v>Error</v>
      </c>
      <c r="X35" s="22" t="str">
        <f t="shared" si="37"/>
        <v>Error</v>
      </c>
      <c r="AD35" s="22" t="s">
        <v>100</v>
      </c>
    </row>
    <row r="36">
      <c r="A36" s="14">
        <v>9.0</v>
      </c>
      <c r="B36" s="18"/>
      <c r="C36" s="18"/>
      <c r="D36" s="18"/>
      <c r="E36" s="18"/>
      <c r="F36" s="14"/>
      <c r="G36" s="14"/>
      <c r="H36" s="14"/>
      <c r="I36" s="14">
        <f t="shared" si="3"/>
        <v>0</v>
      </c>
      <c r="J36" s="14"/>
      <c r="K36" s="14">
        <f t="shared" si="4"/>
        <v>9</v>
      </c>
      <c r="L36" s="18"/>
      <c r="V36" s="22" t="str">
        <f t="shared" ref="V36:X36" si="38">if(F36=F37,"Good")</f>
        <v>Good</v>
      </c>
      <c r="W36" s="22" t="str">
        <f t="shared" si="38"/>
        <v>Good</v>
      </c>
      <c r="X36" s="22" t="str">
        <f t="shared" si="38"/>
        <v>Good</v>
      </c>
      <c r="AD36" s="22" t="s">
        <v>72</v>
      </c>
    </row>
    <row r="37">
      <c r="A37" s="14">
        <v>9.0</v>
      </c>
      <c r="B37" s="18"/>
      <c r="C37" s="18"/>
      <c r="D37" s="18"/>
      <c r="E37" s="18"/>
      <c r="F37" s="14"/>
      <c r="G37" s="14"/>
      <c r="H37" s="14"/>
      <c r="I37" s="14">
        <f t="shared" si="3"/>
        <v>0</v>
      </c>
      <c r="J37" s="14"/>
      <c r="K37" s="14">
        <f t="shared" si="4"/>
        <v>9</v>
      </c>
      <c r="L37" s="14"/>
    </row>
    <row r="38">
      <c r="A38" s="37">
        <v>10.0</v>
      </c>
      <c r="B38" s="38"/>
      <c r="C38" s="57"/>
      <c r="D38" s="57"/>
      <c r="E38" s="58"/>
      <c r="F38" s="37"/>
      <c r="G38" s="37"/>
      <c r="H38" s="37"/>
      <c r="I38" s="37">
        <f t="shared" si="3"/>
        <v>0</v>
      </c>
      <c r="J38" s="37"/>
      <c r="K38" s="37">
        <f t="shared" si="4"/>
        <v>10</v>
      </c>
      <c r="L38" s="38"/>
      <c r="O38" s="22" t="str">
        <f t="shared" ref="O38:Q38" si="39">if(COUNTIF(V38:V40,"Good")=2,"Good","Error")</f>
        <v>Error</v>
      </c>
      <c r="P38" s="22" t="str">
        <f t="shared" si="39"/>
        <v>Error</v>
      </c>
      <c r="Q38" s="22" t="str">
        <f t="shared" si="39"/>
        <v>Error</v>
      </c>
      <c r="S38" s="22">
        <f>sum(J38:J41)</f>
        <v>0</v>
      </c>
      <c r="T38" s="22" t="str">
        <f>if(S38=0,"",if(S38=6,"Good","ERROR"))</f>
        <v/>
      </c>
      <c r="V38" s="22" t="str">
        <f t="shared" ref="V38:X38" si="40">if(isna(VLOOKUP(F38,F39:F41,1,false)),"Error","Good")</f>
        <v>Error</v>
      </c>
      <c r="W38" s="22" t="str">
        <f t="shared" si="40"/>
        <v>Error</v>
      </c>
      <c r="X38" s="22" t="str">
        <f t="shared" si="40"/>
        <v>Error</v>
      </c>
    </row>
    <row r="39">
      <c r="A39" s="37">
        <v>10.0</v>
      </c>
      <c r="B39" s="38"/>
      <c r="C39" s="57"/>
      <c r="D39" s="57"/>
      <c r="E39" s="58"/>
      <c r="F39" s="37"/>
      <c r="G39" s="37"/>
      <c r="H39" s="37"/>
      <c r="I39" s="37">
        <f t="shared" si="3"/>
        <v>0</v>
      </c>
      <c r="J39" s="37"/>
      <c r="K39" s="37">
        <f t="shared" si="4"/>
        <v>10</v>
      </c>
      <c r="L39" s="38"/>
      <c r="V39" s="22" t="str">
        <f t="shared" ref="V39:X39" si="41">if(isna(VLOOKUP(F39,F40:F41,1,false)),"Error","Good")</f>
        <v>Error</v>
      </c>
      <c r="W39" s="22" t="str">
        <f t="shared" si="41"/>
        <v>Error</v>
      </c>
      <c r="X39" s="22" t="str">
        <f t="shared" si="41"/>
        <v>Error</v>
      </c>
    </row>
    <row r="40">
      <c r="A40" s="37">
        <v>10.0</v>
      </c>
      <c r="B40" s="38"/>
      <c r="C40" s="57"/>
      <c r="D40" s="57"/>
      <c r="E40" s="58"/>
      <c r="F40" s="37"/>
      <c r="G40" s="37"/>
      <c r="H40" s="37"/>
      <c r="I40" s="37">
        <f t="shared" si="3"/>
        <v>0</v>
      </c>
      <c r="J40" s="37"/>
      <c r="K40" s="37">
        <f t="shared" si="4"/>
        <v>10</v>
      </c>
      <c r="L40" s="38"/>
      <c r="V40" s="22" t="str">
        <f t="shared" ref="V40:X40" si="42">if(F40=F41,"Good")</f>
        <v>Good</v>
      </c>
      <c r="W40" s="22" t="str">
        <f t="shared" si="42"/>
        <v>Good</v>
      </c>
      <c r="X40" s="22" t="str">
        <f t="shared" si="42"/>
        <v>Good</v>
      </c>
    </row>
    <row r="41">
      <c r="A41" s="37">
        <v>10.0</v>
      </c>
      <c r="B41" s="38"/>
      <c r="C41" s="57"/>
      <c r="D41" s="57"/>
      <c r="E41" s="58"/>
      <c r="F41" s="37"/>
      <c r="G41" s="37"/>
      <c r="H41" s="37"/>
      <c r="I41" s="37">
        <f t="shared" si="3"/>
        <v>0</v>
      </c>
      <c r="J41" s="37"/>
      <c r="K41" s="37">
        <f t="shared" si="4"/>
        <v>10</v>
      </c>
      <c r="L41" s="37"/>
    </row>
    <row r="42">
      <c r="A42" s="14">
        <v>11.0</v>
      </c>
      <c r="B42" s="18"/>
      <c r="C42" s="18"/>
      <c r="D42" s="18"/>
      <c r="E42" s="18"/>
      <c r="F42" s="14"/>
      <c r="G42" s="14"/>
      <c r="H42" s="14"/>
      <c r="I42" s="14">
        <f t="shared" si="3"/>
        <v>0</v>
      </c>
      <c r="J42" s="14"/>
      <c r="K42" s="14">
        <f t="shared" si="4"/>
        <v>11</v>
      </c>
      <c r="L42" s="18"/>
      <c r="O42" s="22" t="str">
        <f t="shared" ref="O42:Q42" si="43">if(COUNTIF(V42:V44,"Good")=2,"Good","Error")</f>
        <v>Error</v>
      </c>
      <c r="P42" s="22" t="str">
        <f t="shared" si="43"/>
        <v>Error</v>
      </c>
      <c r="Q42" s="22" t="str">
        <f t="shared" si="43"/>
        <v>Error</v>
      </c>
      <c r="S42" s="22">
        <f>sum(J42:J45)</f>
        <v>0</v>
      </c>
      <c r="T42" s="22" t="str">
        <f>if(S42=0,"",if(S42=6,"Good","ERROR"))</f>
        <v/>
      </c>
      <c r="V42" s="22" t="str">
        <f t="shared" ref="V42:X42" si="44">if(isna(VLOOKUP(F42,F43:F45,1,false)),"Error","Good")</f>
        <v>Error</v>
      </c>
      <c r="W42" s="22" t="str">
        <f t="shared" si="44"/>
        <v>Error</v>
      </c>
      <c r="X42" s="22" t="str">
        <f t="shared" si="44"/>
        <v>Error</v>
      </c>
    </row>
    <row r="43">
      <c r="A43" s="14">
        <v>11.0</v>
      </c>
      <c r="B43" s="18"/>
      <c r="C43" s="18"/>
      <c r="D43" s="18"/>
      <c r="E43" s="18"/>
      <c r="F43" s="14"/>
      <c r="G43" s="14"/>
      <c r="H43" s="14"/>
      <c r="I43" s="14">
        <f t="shared" si="3"/>
        <v>0</v>
      </c>
      <c r="J43" s="14"/>
      <c r="K43" s="14">
        <f t="shared" si="4"/>
        <v>11</v>
      </c>
      <c r="L43" s="18"/>
      <c r="V43" s="22" t="str">
        <f t="shared" ref="V43:X43" si="45">if(isna(VLOOKUP(F43,F44:F45,1,false)),"Error","Good")</f>
        <v>Error</v>
      </c>
      <c r="W43" s="22" t="str">
        <f t="shared" si="45"/>
        <v>Error</v>
      </c>
      <c r="X43" s="22" t="str">
        <f t="shared" si="45"/>
        <v>Error</v>
      </c>
    </row>
    <row r="44">
      <c r="A44" s="14">
        <v>11.0</v>
      </c>
      <c r="B44" s="18"/>
      <c r="C44" s="18"/>
      <c r="D44" s="18"/>
      <c r="E44" s="18"/>
      <c r="F44" s="14"/>
      <c r="G44" s="14"/>
      <c r="H44" s="14"/>
      <c r="I44" s="14">
        <f t="shared" si="3"/>
        <v>0</v>
      </c>
      <c r="J44" s="14"/>
      <c r="K44" s="14">
        <f t="shared" si="4"/>
        <v>11</v>
      </c>
      <c r="L44" s="18"/>
      <c r="V44" s="22" t="str">
        <f t="shared" ref="V44:X44" si="46">if(F44=F45,"Good")</f>
        <v>Good</v>
      </c>
      <c r="W44" s="22" t="str">
        <f t="shared" si="46"/>
        <v>Good</v>
      </c>
      <c r="X44" s="22" t="str">
        <f t="shared" si="46"/>
        <v>Good</v>
      </c>
    </row>
    <row r="45">
      <c r="A45" s="14">
        <v>11.0</v>
      </c>
      <c r="B45" s="18"/>
      <c r="C45" s="18"/>
      <c r="D45" s="18"/>
      <c r="E45" s="18"/>
      <c r="F45" s="14"/>
      <c r="G45" s="14"/>
      <c r="H45" s="14"/>
      <c r="I45" s="14">
        <f t="shared" si="3"/>
        <v>0</v>
      </c>
      <c r="J45" s="14"/>
      <c r="K45" s="14">
        <f t="shared" si="4"/>
        <v>11</v>
      </c>
      <c r="L45" s="14"/>
    </row>
    <row r="46">
      <c r="A46" s="59">
        <v>12.0</v>
      </c>
      <c r="B46" s="60"/>
      <c r="C46" s="60"/>
      <c r="D46" s="60"/>
      <c r="E46" s="60"/>
      <c r="F46" s="60"/>
      <c r="G46" s="60"/>
      <c r="H46" s="60"/>
      <c r="I46" s="60">
        <f t="shared" si="3"/>
        <v>0</v>
      </c>
      <c r="J46" s="60"/>
      <c r="K46" s="59">
        <f t="shared" si="4"/>
        <v>12</v>
      </c>
      <c r="L46" s="60"/>
    </row>
    <row r="47">
      <c r="A47" s="59">
        <v>12.0</v>
      </c>
      <c r="B47" s="60"/>
      <c r="C47" s="60"/>
      <c r="D47" s="60"/>
      <c r="E47" s="60"/>
      <c r="F47" s="60"/>
      <c r="G47" s="60"/>
      <c r="H47" s="60"/>
      <c r="I47" s="60">
        <f t="shared" si="3"/>
        <v>0</v>
      </c>
      <c r="J47" s="60"/>
      <c r="K47" s="59">
        <f t="shared" si="4"/>
        <v>12</v>
      </c>
      <c r="L47" s="60"/>
    </row>
    <row r="48">
      <c r="A48" s="59">
        <v>12.0</v>
      </c>
      <c r="B48" s="60"/>
      <c r="C48" s="60"/>
      <c r="D48" s="60"/>
      <c r="E48" s="60"/>
      <c r="F48" s="60"/>
      <c r="G48" s="60"/>
      <c r="H48" s="60"/>
      <c r="I48" s="60">
        <f t="shared" si="3"/>
        <v>0</v>
      </c>
      <c r="J48" s="60"/>
      <c r="K48" s="59">
        <f t="shared" si="4"/>
        <v>12</v>
      </c>
      <c r="L48" s="60"/>
    </row>
    <row r="49">
      <c r="A49" s="59">
        <v>12.0</v>
      </c>
      <c r="B49" s="60"/>
      <c r="C49" s="60"/>
      <c r="D49" s="60"/>
      <c r="E49" s="60"/>
      <c r="F49" s="60"/>
      <c r="G49" s="60"/>
      <c r="H49" s="60"/>
      <c r="I49" s="60">
        <f t="shared" si="3"/>
        <v>0</v>
      </c>
      <c r="J49" s="60"/>
      <c r="K49" s="59">
        <f t="shared" si="4"/>
        <v>12</v>
      </c>
      <c r="L49" s="60"/>
    </row>
    <row r="50">
      <c r="A50" s="59">
        <v>13.0</v>
      </c>
      <c r="B50" s="60"/>
      <c r="C50" s="60"/>
      <c r="D50" s="60"/>
      <c r="E50" s="60"/>
      <c r="F50" s="60"/>
      <c r="G50" s="60"/>
      <c r="H50" s="60"/>
      <c r="I50" s="60">
        <f t="shared" si="3"/>
        <v>0</v>
      </c>
      <c r="J50" s="60"/>
      <c r="K50" s="59">
        <f t="shared" si="4"/>
        <v>13</v>
      </c>
      <c r="L50" s="60"/>
    </row>
    <row r="51">
      <c r="A51" s="59">
        <v>13.0</v>
      </c>
      <c r="B51" s="60"/>
      <c r="C51" s="60"/>
      <c r="D51" s="60"/>
      <c r="E51" s="60"/>
      <c r="F51" s="60"/>
      <c r="G51" s="60"/>
      <c r="H51" s="60"/>
      <c r="I51" s="60">
        <f t="shared" si="3"/>
        <v>0</v>
      </c>
      <c r="J51" s="60"/>
      <c r="K51" s="59">
        <f t="shared" si="4"/>
        <v>13</v>
      </c>
      <c r="L51" s="60"/>
    </row>
    <row r="52">
      <c r="A52" s="59">
        <v>13.0</v>
      </c>
      <c r="B52" s="60"/>
      <c r="C52" s="60"/>
      <c r="D52" s="60"/>
      <c r="E52" s="60"/>
      <c r="F52" s="60"/>
      <c r="G52" s="60"/>
      <c r="H52" s="60"/>
      <c r="I52" s="60">
        <f t="shared" si="3"/>
        <v>0</v>
      </c>
      <c r="J52" s="60"/>
      <c r="K52" s="59">
        <f t="shared" si="4"/>
        <v>13</v>
      </c>
      <c r="L52" s="60"/>
    </row>
    <row r="53">
      <c r="A53" s="59">
        <v>13.0</v>
      </c>
      <c r="B53" s="60"/>
      <c r="C53" s="60"/>
      <c r="D53" s="60"/>
      <c r="E53" s="60"/>
      <c r="F53" s="60"/>
      <c r="G53" s="60"/>
      <c r="H53" s="60"/>
      <c r="I53" s="60">
        <f t="shared" si="3"/>
        <v>0</v>
      </c>
      <c r="J53" s="60"/>
      <c r="K53" s="59">
        <f t="shared" si="4"/>
        <v>13</v>
      </c>
      <c r="L53" s="60"/>
    </row>
    <row r="54">
      <c r="A54" s="59">
        <v>14.0</v>
      </c>
      <c r="B54" s="60"/>
      <c r="C54" s="60"/>
      <c r="D54" s="60"/>
      <c r="E54" s="60"/>
      <c r="F54" s="60"/>
      <c r="G54" s="60"/>
      <c r="H54" s="60"/>
      <c r="I54" s="60">
        <f t="shared" si="3"/>
        <v>0</v>
      </c>
      <c r="J54" s="60"/>
      <c r="K54" s="59">
        <f t="shared" si="4"/>
        <v>14</v>
      </c>
      <c r="L54" s="60"/>
    </row>
    <row r="55">
      <c r="A55" s="59">
        <v>14.0</v>
      </c>
      <c r="B55" s="60"/>
      <c r="C55" s="60"/>
      <c r="D55" s="60"/>
      <c r="E55" s="60"/>
      <c r="F55" s="60"/>
      <c r="G55" s="60"/>
      <c r="H55" s="60"/>
      <c r="I55" s="60">
        <f t="shared" si="3"/>
        <v>0</v>
      </c>
      <c r="J55" s="60"/>
      <c r="K55" s="59">
        <f t="shared" si="4"/>
        <v>14</v>
      </c>
      <c r="L55" s="60"/>
    </row>
    <row r="56">
      <c r="A56" s="59">
        <v>14.0</v>
      </c>
      <c r="B56" s="60"/>
      <c r="C56" s="60"/>
      <c r="D56" s="60"/>
      <c r="E56" s="60"/>
      <c r="F56" s="60"/>
      <c r="G56" s="60"/>
      <c r="H56" s="60"/>
      <c r="I56" s="60">
        <f t="shared" si="3"/>
        <v>0</v>
      </c>
      <c r="J56" s="60"/>
      <c r="K56" s="59">
        <f t="shared" si="4"/>
        <v>14</v>
      </c>
      <c r="L56" s="60"/>
    </row>
    <row r="57">
      <c r="A57" s="59">
        <v>14.0</v>
      </c>
      <c r="B57" s="60"/>
      <c r="C57" s="60"/>
      <c r="D57" s="60"/>
      <c r="E57" s="60"/>
      <c r="F57" s="60"/>
      <c r="G57" s="60"/>
      <c r="H57" s="60"/>
      <c r="I57" s="60">
        <f t="shared" si="3"/>
        <v>0</v>
      </c>
      <c r="J57" s="60"/>
      <c r="K57" s="59">
        <f t="shared" si="4"/>
        <v>14</v>
      </c>
      <c r="L57" s="60"/>
    </row>
    <row r="58">
      <c r="A58" s="59">
        <v>15.0</v>
      </c>
      <c r="B58" s="60"/>
      <c r="C58" s="60"/>
      <c r="D58" s="60"/>
      <c r="E58" s="60"/>
      <c r="F58" s="60"/>
      <c r="G58" s="60"/>
      <c r="H58" s="60"/>
      <c r="I58" s="60">
        <f t="shared" si="3"/>
        <v>0</v>
      </c>
      <c r="J58" s="60"/>
      <c r="K58" s="59">
        <f t="shared" si="4"/>
        <v>15</v>
      </c>
      <c r="L58" s="60"/>
    </row>
    <row r="59">
      <c r="A59" s="59">
        <v>15.0</v>
      </c>
      <c r="B59" s="60"/>
      <c r="C59" s="60"/>
      <c r="D59" s="60"/>
      <c r="E59" s="60"/>
      <c r="F59" s="60"/>
      <c r="G59" s="60"/>
      <c r="H59" s="60"/>
      <c r="I59" s="60">
        <f t="shared" si="3"/>
        <v>0</v>
      </c>
      <c r="J59" s="60"/>
      <c r="K59" s="59">
        <f t="shared" si="4"/>
        <v>15</v>
      </c>
      <c r="L59" s="60"/>
    </row>
    <row r="60">
      <c r="A60" s="59">
        <v>15.0</v>
      </c>
      <c r="B60" s="60"/>
      <c r="C60" s="60"/>
      <c r="D60" s="60"/>
      <c r="E60" s="60"/>
      <c r="F60" s="60"/>
      <c r="G60" s="60"/>
      <c r="H60" s="60"/>
      <c r="I60" s="60">
        <f t="shared" si="3"/>
        <v>0</v>
      </c>
      <c r="J60" s="60"/>
      <c r="K60" s="59">
        <f t="shared" si="4"/>
        <v>15</v>
      </c>
      <c r="L60" s="60"/>
    </row>
    <row r="61">
      <c r="A61" s="59">
        <v>15.0</v>
      </c>
      <c r="B61" s="60"/>
      <c r="C61" s="60"/>
      <c r="D61" s="60"/>
      <c r="E61" s="60"/>
      <c r="F61" s="60"/>
      <c r="G61" s="60"/>
      <c r="H61" s="60"/>
      <c r="I61" s="60">
        <f t="shared" si="3"/>
        <v>0</v>
      </c>
      <c r="J61" s="60"/>
      <c r="K61" s="59">
        <f t="shared" si="4"/>
        <v>15</v>
      </c>
      <c r="L61" s="60"/>
    </row>
    <row r="62">
      <c r="A62" s="59">
        <v>16.0</v>
      </c>
      <c r="B62" s="60"/>
      <c r="C62" s="60"/>
      <c r="D62" s="60"/>
      <c r="E62" s="60"/>
      <c r="F62" s="60"/>
      <c r="G62" s="60"/>
      <c r="H62" s="60"/>
      <c r="I62" s="60">
        <f t="shared" si="3"/>
        <v>0</v>
      </c>
      <c r="J62" s="60"/>
      <c r="K62" s="59">
        <f t="shared" si="4"/>
        <v>16</v>
      </c>
      <c r="L62" s="60"/>
    </row>
    <row r="63">
      <c r="A63" s="59">
        <v>16.0</v>
      </c>
      <c r="B63" s="60"/>
      <c r="C63" s="60"/>
      <c r="D63" s="60"/>
      <c r="E63" s="60"/>
      <c r="F63" s="60"/>
      <c r="G63" s="60"/>
      <c r="H63" s="60"/>
      <c r="I63" s="60">
        <f t="shared" si="3"/>
        <v>0</v>
      </c>
      <c r="J63" s="60"/>
      <c r="K63" s="59">
        <f t="shared" si="4"/>
        <v>16</v>
      </c>
      <c r="L63" s="60"/>
    </row>
    <row r="64">
      <c r="A64" s="59">
        <v>16.0</v>
      </c>
      <c r="B64" s="60"/>
      <c r="C64" s="60"/>
      <c r="D64" s="60"/>
      <c r="E64" s="60"/>
      <c r="F64" s="60"/>
      <c r="G64" s="60"/>
      <c r="H64" s="60"/>
      <c r="I64" s="60">
        <f t="shared" si="3"/>
        <v>0</v>
      </c>
      <c r="J64" s="60"/>
      <c r="K64" s="59">
        <f t="shared" si="4"/>
        <v>16</v>
      </c>
      <c r="L64" s="60"/>
    </row>
    <row r="65">
      <c r="A65" s="59">
        <v>16.0</v>
      </c>
      <c r="B65" s="60"/>
      <c r="C65" s="60"/>
      <c r="D65" s="60"/>
      <c r="E65" s="60"/>
      <c r="F65" s="60"/>
      <c r="G65" s="60"/>
      <c r="H65" s="60"/>
      <c r="I65" s="60">
        <f t="shared" si="3"/>
        <v>0</v>
      </c>
      <c r="J65" s="60"/>
      <c r="K65" s="59">
        <f t="shared" si="4"/>
        <v>16</v>
      </c>
      <c r="L65" s="60"/>
    </row>
    <row r="69">
      <c r="A69" s="61" t="s">
        <v>108</v>
      </c>
    </row>
    <row r="70">
      <c r="A70" s="62" t="s">
        <v>109</v>
      </c>
      <c r="E70" s="63"/>
      <c r="F70" s="63"/>
      <c r="G70" s="63"/>
      <c r="H70" s="63"/>
      <c r="I70" s="63"/>
      <c r="J70" s="63"/>
      <c r="K70" s="64"/>
    </row>
    <row r="71">
      <c r="A71" s="5" t="s">
        <v>1</v>
      </c>
      <c r="B71" s="5" t="s">
        <v>4</v>
      </c>
      <c r="C71" s="7" t="s">
        <v>5</v>
      </c>
      <c r="D71" s="65" t="s">
        <v>7</v>
      </c>
      <c r="E71" s="63"/>
      <c r="F71" s="63"/>
      <c r="G71" s="63"/>
      <c r="H71" s="63"/>
      <c r="I71" s="63"/>
      <c r="J71" s="63"/>
      <c r="K71" s="64"/>
      <c r="M71" s="66" t="s">
        <v>110</v>
      </c>
      <c r="N71" s="24"/>
      <c r="O71" s="62"/>
    </row>
    <row r="72">
      <c r="A72" s="18">
        <f>IFERROR(__xludf.DUMMYFUNCTION("QUERY(A2:D45,""Select A, B, C, D where A &gt; 0 and A &lt;= 8"",0)"),1.0)</f>
        <v>1</v>
      </c>
      <c r="B72" s="18" t="str">
        <f>IFERROR(__xludf.DUMMYFUNCTION("""COMPUTED_VALUE"""),"#N/A")</f>
        <v>#N/A</v>
      </c>
      <c r="C72" s="18"/>
      <c r="D72" s="18"/>
      <c r="M72" s="68" t="s">
        <v>113</v>
      </c>
      <c r="N72" s="68" t="s">
        <v>115</v>
      </c>
    </row>
    <row r="73">
      <c r="A73" s="18">
        <f>IFERROR(__xludf.DUMMYFUNCTION("""COMPUTED_VALUE"""),1.0)</f>
        <v>1</v>
      </c>
      <c r="B73" s="18"/>
      <c r="C73" s="18"/>
      <c r="D73" s="18"/>
      <c r="M73" s="69">
        <v>45766.0</v>
      </c>
      <c r="N73" s="18" t="s">
        <v>90</v>
      </c>
      <c r="P73" s="18" t="s">
        <v>90</v>
      </c>
    </row>
    <row r="74">
      <c r="A74" s="18">
        <f>IFERROR(__xludf.DUMMYFUNCTION("""COMPUTED_VALUE"""),1.0)</f>
        <v>1</v>
      </c>
      <c r="B74" s="18"/>
      <c r="C74" s="18"/>
      <c r="D74" s="18"/>
      <c r="M74" s="70">
        <f t="shared" ref="M74:M109" si="47">M73+7</f>
        <v>45773</v>
      </c>
      <c r="N74" s="18" t="s">
        <v>104</v>
      </c>
      <c r="P74" s="18" t="s">
        <v>104</v>
      </c>
    </row>
    <row r="75">
      <c r="A75" s="18">
        <f>IFERROR(__xludf.DUMMYFUNCTION("""COMPUTED_VALUE"""),1.0)</f>
        <v>1</v>
      </c>
      <c r="B75" s="18"/>
      <c r="C75" s="18"/>
      <c r="D75" s="18"/>
      <c r="M75" s="70">
        <f t="shared" si="47"/>
        <v>45780</v>
      </c>
      <c r="N75" s="18" t="s">
        <v>116</v>
      </c>
      <c r="P75" s="18" t="s">
        <v>116</v>
      </c>
    </row>
    <row r="76">
      <c r="A76" s="38">
        <f>IFERROR(__xludf.DUMMYFUNCTION("""COMPUTED_VALUE"""),2.0)</f>
        <v>2</v>
      </c>
      <c r="B76" s="38"/>
      <c r="C76" s="38"/>
      <c r="D76" s="38"/>
      <c r="M76" s="70">
        <f t="shared" si="47"/>
        <v>45787</v>
      </c>
      <c r="N76" s="18" t="s">
        <v>117</v>
      </c>
      <c r="P76" s="18" t="s">
        <v>117</v>
      </c>
    </row>
    <row r="77">
      <c r="A77" s="38">
        <f>IFERROR(__xludf.DUMMYFUNCTION("""COMPUTED_VALUE"""),2.0)</f>
        <v>2</v>
      </c>
      <c r="B77" s="38"/>
      <c r="C77" s="38"/>
      <c r="D77" s="38"/>
      <c r="M77" s="70">
        <f t="shared" si="47"/>
        <v>45794</v>
      </c>
      <c r="N77" s="18" t="s">
        <v>119</v>
      </c>
      <c r="P77" s="18" t="s">
        <v>119</v>
      </c>
    </row>
    <row r="78">
      <c r="A78" s="38">
        <f>IFERROR(__xludf.DUMMYFUNCTION("""COMPUTED_VALUE"""),2.0)</f>
        <v>2</v>
      </c>
      <c r="B78" s="38"/>
      <c r="C78" s="38"/>
      <c r="D78" s="38"/>
      <c r="M78" s="70">
        <f t="shared" si="47"/>
        <v>45801</v>
      </c>
      <c r="N78" s="18" t="s">
        <v>120</v>
      </c>
      <c r="P78" s="18" t="s">
        <v>120</v>
      </c>
    </row>
    <row r="79">
      <c r="A79" s="38">
        <f>IFERROR(__xludf.DUMMYFUNCTION("""COMPUTED_VALUE"""),2.0)</f>
        <v>2</v>
      </c>
      <c r="B79" s="38"/>
      <c r="C79" s="38"/>
      <c r="D79" s="38"/>
      <c r="M79" s="70">
        <f t="shared" si="47"/>
        <v>45808</v>
      </c>
      <c r="N79" s="18" t="s">
        <v>90</v>
      </c>
    </row>
    <row r="80">
      <c r="A80" s="18">
        <f>IFERROR(__xludf.DUMMYFUNCTION("""COMPUTED_VALUE"""),3.0)</f>
        <v>3</v>
      </c>
      <c r="B80" s="18"/>
      <c r="C80" s="18"/>
      <c r="D80" s="18"/>
      <c r="M80" s="70">
        <f t="shared" si="47"/>
        <v>45815</v>
      </c>
      <c r="N80" s="18" t="s">
        <v>104</v>
      </c>
    </row>
    <row r="81">
      <c r="A81" s="18">
        <f>IFERROR(__xludf.DUMMYFUNCTION("""COMPUTED_VALUE"""),3.0)</f>
        <v>3</v>
      </c>
      <c r="B81" s="18"/>
      <c r="C81" s="18"/>
      <c r="D81" s="18"/>
      <c r="M81" s="70">
        <f t="shared" si="47"/>
        <v>45822</v>
      </c>
      <c r="N81" s="18" t="s">
        <v>116</v>
      </c>
    </row>
    <row r="82">
      <c r="A82" s="18">
        <f>IFERROR(__xludf.DUMMYFUNCTION("""COMPUTED_VALUE"""),3.0)</f>
        <v>3</v>
      </c>
      <c r="B82" s="18"/>
      <c r="C82" s="18"/>
      <c r="D82" s="18"/>
      <c r="M82" s="70">
        <f t="shared" si="47"/>
        <v>45829</v>
      </c>
      <c r="N82" s="18" t="s">
        <v>117</v>
      </c>
    </row>
    <row r="83">
      <c r="A83" s="18">
        <f>IFERROR(__xludf.DUMMYFUNCTION("""COMPUTED_VALUE"""),3.0)</f>
        <v>3</v>
      </c>
      <c r="B83" s="18"/>
      <c r="C83" s="18"/>
      <c r="D83" s="18"/>
      <c r="M83" s="70">
        <f t="shared" si="47"/>
        <v>45836</v>
      </c>
      <c r="N83" s="18" t="s">
        <v>119</v>
      </c>
    </row>
    <row r="84">
      <c r="A84" s="38">
        <f>IFERROR(__xludf.DUMMYFUNCTION("""COMPUTED_VALUE"""),4.0)</f>
        <v>4</v>
      </c>
      <c r="B84" s="38"/>
      <c r="C84" s="38"/>
      <c r="D84" s="38"/>
      <c r="M84" s="70">
        <f t="shared" si="47"/>
        <v>45843</v>
      </c>
      <c r="N84" s="18" t="s">
        <v>120</v>
      </c>
    </row>
    <row r="85">
      <c r="A85" s="38">
        <f>IFERROR(__xludf.DUMMYFUNCTION("""COMPUTED_VALUE"""),4.0)</f>
        <v>4</v>
      </c>
      <c r="B85" s="38"/>
      <c r="C85" s="38"/>
      <c r="D85" s="38"/>
      <c r="M85" s="70">
        <f t="shared" si="47"/>
        <v>45850</v>
      </c>
      <c r="N85" s="18" t="s">
        <v>90</v>
      </c>
    </row>
    <row r="86">
      <c r="A86" s="38">
        <f>IFERROR(__xludf.DUMMYFUNCTION("""COMPUTED_VALUE"""),4.0)</f>
        <v>4</v>
      </c>
      <c r="B86" s="38"/>
      <c r="C86" s="38"/>
      <c r="D86" s="38"/>
      <c r="M86" s="70">
        <f t="shared" si="47"/>
        <v>45857</v>
      </c>
      <c r="N86" s="18" t="s">
        <v>104</v>
      </c>
    </row>
    <row r="87">
      <c r="A87" s="38">
        <f>IFERROR(__xludf.DUMMYFUNCTION("""COMPUTED_VALUE"""),4.0)</f>
        <v>4</v>
      </c>
      <c r="B87" s="38"/>
      <c r="C87" s="38"/>
      <c r="D87" s="38"/>
      <c r="M87" s="70">
        <f t="shared" si="47"/>
        <v>45864</v>
      </c>
      <c r="N87" s="18" t="s">
        <v>116</v>
      </c>
    </row>
    <row r="88">
      <c r="A88" s="18">
        <f>IFERROR(__xludf.DUMMYFUNCTION("""COMPUTED_VALUE"""),5.0)</f>
        <v>5</v>
      </c>
      <c r="B88" s="18"/>
      <c r="C88" s="18"/>
      <c r="D88" s="18"/>
      <c r="M88" s="70">
        <f t="shared" si="47"/>
        <v>45871</v>
      </c>
      <c r="N88" s="18" t="s">
        <v>117</v>
      </c>
    </row>
    <row r="89">
      <c r="A89" s="18">
        <f>IFERROR(__xludf.DUMMYFUNCTION("""COMPUTED_VALUE"""),5.0)</f>
        <v>5</v>
      </c>
      <c r="B89" s="18"/>
      <c r="C89" s="18"/>
      <c r="D89" s="18"/>
      <c r="M89" s="70">
        <f t="shared" si="47"/>
        <v>45878</v>
      </c>
      <c r="N89" s="18" t="s">
        <v>119</v>
      </c>
    </row>
    <row r="90">
      <c r="A90" s="18">
        <f>IFERROR(__xludf.DUMMYFUNCTION("""COMPUTED_VALUE"""),5.0)</f>
        <v>5</v>
      </c>
      <c r="B90" s="18"/>
      <c r="C90" s="18"/>
      <c r="D90" s="18"/>
      <c r="M90" s="70">
        <f t="shared" si="47"/>
        <v>45885</v>
      </c>
      <c r="N90" s="18" t="s">
        <v>120</v>
      </c>
    </row>
    <row r="91">
      <c r="A91" s="18">
        <f>IFERROR(__xludf.DUMMYFUNCTION("""COMPUTED_VALUE"""),5.0)</f>
        <v>5</v>
      </c>
      <c r="B91" s="18"/>
      <c r="C91" s="18"/>
      <c r="D91" s="18"/>
      <c r="M91" s="70">
        <f t="shared" si="47"/>
        <v>45892</v>
      </c>
      <c r="N91" s="18" t="s">
        <v>90</v>
      </c>
    </row>
    <row r="92">
      <c r="A92" s="38">
        <f>IFERROR(__xludf.DUMMYFUNCTION("""COMPUTED_VALUE"""),6.0)</f>
        <v>6</v>
      </c>
      <c r="B92" s="38"/>
      <c r="C92" s="38"/>
      <c r="D92" s="38"/>
      <c r="M92" s="70">
        <f t="shared" si="47"/>
        <v>45899</v>
      </c>
      <c r="N92" s="18" t="s">
        <v>104</v>
      </c>
    </row>
    <row r="93">
      <c r="A93" s="38">
        <f>IFERROR(__xludf.DUMMYFUNCTION("""COMPUTED_VALUE"""),6.0)</f>
        <v>6</v>
      </c>
      <c r="B93" s="38"/>
      <c r="C93" s="38"/>
      <c r="D93" s="38"/>
      <c r="M93" s="70">
        <f t="shared" si="47"/>
        <v>45906</v>
      </c>
      <c r="N93" s="18" t="s">
        <v>116</v>
      </c>
    </row>
    <row r="94">
      <c r="A94" s="38">
        <f>IFERROR(__xludf.DUMMYFUNCTION("""COMPUTED_VALUE"""),6.0)</f>
        <v>6</v>
      </c>
      <c r="B94" s="38"/>
      <c r="C94" s="38"/>
      <c r="D94" s="38"/>
      <c r="M94" s="70">
        <f t="shared" si="47"/>
        <v>45913</v>
      </c>
      <c r="N94" s="18" t="s">
        <v>117</v>
      </c>
    </row>
    <row r="95">
      <c r="A95" s="38">
        <f>IFERROR(__xludf.DUMMYFUNCTION("""COMPUTED_VALUE"""),6.0)</f>
        <v>6</v>
      </c>
      <c r="B95" s="38"/>
      <c r="C95" s="38"/>
      <c r="D95" s="38"/>
      <c r="M95" s="70">
        <f t="shared" si="47"/>
        <v>45920</v>
      </c>
      <c r="N95" s="18" t="s">
        <v>119</v>
      </c>
    </row>
    <row r="96">
      <c r="A96" s="18">
        <f>IFERROR(__xludf.DUMMYFUNCTION("""COMPUTED_VALUE"""),7.0)</f>
        <v>7</v>
      </c>
      <c r="B96" s="18"/>
      <c r="C96" s="18"/>
      <c r="D96" s="18"/>
      <c r="M96" s="70">
        <f t="shared" si="47"/>
        <v>45927</v>
      </c>
      <c r="N96" s="18" t="s">
        <v>120</v>
      </c>
    </row>
    <row r="97">
      <c r="A97" s="18">
        <f>IFERROR(__xludf.DUMMYFUNCTION("""COMPUTED_VALUE"""),7.0)</f>
        <v>7</v>
      </c>
      <c r="B97" s="18"/>
      <c r="C97" s="18"/>
      <c r="D97" s="18"/>
      <c r="M97" s="70">
        <f t="shared" si="47"/>
        <v>45934</v>
      </c>
      <c r="N97" s="18" t="s">
        <v>90</v>
      </c>
    </row>
    <row r="98">
      <c r="A98" s="18">
        <f>IFERROR(__xludf.DUMMYFUNCTION("""COMPUTED_VALUE"""),7.0)</f>
        <v>7</v>
      </c>
      <c r="B98" s="18"/>
      <c r="C98" s="18"/>
      <c r="D98" s="18"/>
      <c r="M98" s="70">
        <f t="shared" si="47"/>
        <v>45941</v>
      </c>
      <c r="N98" s="18" t="s">
        <v>104</v>
      </c>
    </row>
    <row r="99">
      <c r="A99" s="18">
        <f>IFERROR(__xludf.DUMMYFUNCTION("""COMPUTED_VALUE"""),7.0)</f>
        <v>7</v>
      </c>
      <c r="B99" s="18"/>
      <c r="C99" s="18"/>
      <c r="D99" s="18"/>
      <c r="M99" s="70">
        <f t="shared" si="47"/>
        <v>45948</v>
      </c>
      <c r="N99" s="18" t="s">
        <v>116</v>
      </c>
    </row>
    <row r="100">
      <c r="A100" s="38">
        <f>IFERROR(__xludf.DUMMYFUNCTION("""COMPUTED_VALUE"""),8.0)</f>
        <v>8</v>
      </c>
      <c r="B100" s="38"/>
      <c r="C100" s="38"/>
      <c r="D100" s="38"/>
      <c r="M100" s="70">
        <f t="shared" si="47"/>
        <v>45955</v>
      </c>
      <c r="N100" s="18" t="s">
        <v>117</v>
      </c>
    </row>
    <row r="101">
      <c r="A101" s="38">
        <f>IFERROR(__xludf.DUMMYFUNCTION("""COMPUTED_VALUE"""),8.0)</f>
        <v>8</v>
      </c>
      <c r="B101" s="38"/>
      <c r="C101" s="38"/>
      <c r="D101" s="38"/>
      <c r="M101" s="70">
        <f t="shared" si="47"/>
        <v>45962</v>
      </c>
      <c r="N101" s="18" t="s">
        <v>119</v>
      </c>
    </row>
    <row r="102">
      <c r="A102" s="38">
        <f>IFERROR(__xludf.DUMMYFUNCTION("""COMPUTED_VALUE"""),8.0)</f>
        <v>8</v>
      </c>
      <c r="B102" s="38"/>
      <c r="C102" s="38"/>
      <c r="D102" s="38"/>
      <c r="M102" s="70">
        <f t="shared" si="47"/>
        <v>45969</v>
      </c>
      <c r="N102" s="18" t="s">
        <v>120</v>
      </c>
    </row>
    <row r="103">
      <c r="A103" s="38">
        <f>IFERROR(__xludf.DUMMYFUNCTION("""COMPUTED_VALUE"""),8.0)</f>
        <v>8</v>
      </c>
      <c r="B103" s="38"/>
      <c r="C103" s="38"/>
      <c r="D103" s="38"/>
      <c r="M103" s="70">
        <f t="shared" si="47"/>
        <v>45976</v>
      </c>
      <c r="N103" s="18" t="s">
        <v>90</v>
      </c>
    </row>
    <row r="104">
      <c r="M104" s="70">
        <f t="shared" si="47"/>
        <v>45983</v>
      </c>
      <c r="N104" s="18" t="s">
        <v>104</v>
      </c>
    </row>
    <row r="105">
      <c r="M105" s="70">
        <f t="shared" si="47"/>
        <v>45990</v>
      </c>
      <c r="N105" s="18" t="s">
        <v>116</v>
      </c>
    </row>
    <row r="106">
      <c r="M106" s="70">
        <f t="shared" si="47"/>
        <v>45997</v>
      </c>
      <c r="N106" s="18" t="s">
        <v>117</v>
      </c>
    </row>
    <row r="107">
      <c r="M107" s="70">
        <f t="shared" si="47"/>
        <v>46004</v>
      </c>
      <c r="N107" s="18" t="s">
        <v>119</v>
      </c>
    </row>
    <row r="108">
      <c r="A108" s="61" t="s">
        <v>123</v>
      </c>
      <c r="M108" s="70">
        <f t="shared" si="47"/>
        <v>46011</v>
      </c>
      <c r="N108" s="18" t="s">
        <v>120</v>
      </c>
    </row>
    <row r="109">
      <c r="A109" s="72" t="s">
        <v>124</v>
      </c>
      <c r="M109" s="70">
        <f t="shared" si="47"/>
        <v>46018</v>
      </c>
      <c r="N109" s="18" t="s">
        <v>90</v>
      </c>
    </row>
    <row r="110">
      <c r="A110" s="5" t="s">
        <v>1</v>
      </c>
      <c r="B110" s="5" t="s">
        <v>4</v>
      </c>
      <c r="C110" s="7" t="s">
        <v>5</v>
      </c>
      <c r="D110" s="65" t="s">
        <v>7</v>
      </c>
    </row>
    <row r="111">
      <c r="A111" s="18">
        <f>IFERROR(__xludf.DUMMYFUNCTION("QUERY(A2:D45,""Select A, B, C, D where A &gt;= 9 "",0)"),9.0)</f>
        <v>9</v>
      </c>
      <c r="B111" s="18"/>
      <c r="C111" s="18"/>
      <c r="D111" s="18"/>
    </row>
    <row r="112">
      <c r="A112" s="18">
        <f>IFERROR(__xludf.DUMMYFUNCTION("""COMPUTED_VALUE"""),9.0)</f>
        <v>9</v>
      </c>
      <c r="B112" s="18"/>
      <c r="C112" s="18"/>
      <c r="D112" s="18"/>
    </row>
    <row r="113">
      <c r="A113" s="18">
        <f>IFERROR(__xludf.DUMMYFUNCTION("""COMPUTED_VALUE"""),9.0)</f>
        <v>9</v>
      </c>
      <c r="B113" s="18"/>
      <c r="C113" s="18"/>
      <c r="D113" s="18"/>
    </row>
    <row r="114">
      <c r="A114" s="18">
        <f>IFERROR(__xludf.DUMMYFUNCTION("""COMPUTED_VALUE"""),9.0)</f>
        <v>9</v>
      </c>
      <c r="B114" s="18"/>
      <c r="C114" s="18"/>
      <c r="D114" s="18"/>
    </row>
    <row r="115">
      <c r="A115" s="38">
        <f>IFERROR(__xludf.DUMMYFUNCTION("""COMPUTED_VALUE"""),10.0)</f>
        <v>10</v>
      </c>
      <c r="B115" s="38"/>
      <c r="C115" s="38"/>
      <c r="D115" s="38"/>
    </row>
    <row r="116">
      <c r="A116" s="38">
        <f>IFERROR(__xludf.DUMMYFUNCTION("""COMPUTED_VALUE"""),10.0)</f>
        <v>10</v>
      </c>
      <c r="B116" s="38"/>
      <c r="C116" s="38"/>
      <c r="D116" s="38"/>
    </row>
    <row r="117">
      <c r="A117" s="38">
        <f>IFERROR(__xludf.DUMMYFUNCTION("""COMPUTED_VALUE"""),10.0)</f>
        <v>10</v>
      </c>
      <c r="B117" s="38"/>
      <c r="C117" s="38"/>
      <c r="D117" s="38"/>
    </row>
    <row r="118">
      <c r="A118" s="38">
        <f>IFERROR(__xludf.DUMMYFUNCTION("""COMPUTED_VALUE"""),10.0)</f>
        <v>10</v>
      </c>
      <c r="B118" s="38"/>
      <c r="C118" s="38"/>
      <c r="D118" s="38"/>
    </row>
    <row r="119">
      <c r="A119" s="18">
        <f>IFERROR(__xludf.DUMMYFUNCTION("""COMPUTED_VALUE"""),11.0)</f>
        <v>11</v>
      </c>
      <c r="B119" s="18"/>
      <c r="C119" s="18"/>
      <c r="D119" s="18"/>
    </row>
    <row r="120">
      <c r="A120" s="18">
        <f>IFERROR(__xludf.DUMMYFUNCTION("""COMPUTED_VALUE"""),11.0)</f>
        <v>11</v>
      </c>
      <c r="B120" s="18"/>
      <c r="C120" s="18"/>
      <c r="D120" s="18"/>
    </row>
    <row r="121">
      <c r="A121" s="18">
        <f>IFERROR(__xludf.DUMMYFUNCTION("""COMPUTED_VALUE"""),11.0)</f>
        <v>11</v>
      </c>
      <c r="B121" s="18"/>
      <c r="C121" s="18"/>
      <c r="D121" s="18"/>
    </row>
    <row r="122">
      <c r="A122" s="18">
        <f>IFERROR(__xludf.DUMMYFUNCTION("""COMPUTED_VALUE"""),11.0)</f>
        <v>11</v>
      </c>
      <c r="B122" s="18"/>
      <c r="C122" s="18"/>
      <c r="D122" s="18"/>
    </row>
  </sheetData>
  <mergeCells count="6">
    <mergeCell ref="S1:T1"/>
    <mergeCell ref="A69:D69"/>
    <mergeCell ref="A70:D70"/>
    <mergeCell ref="M71:N71"/>
    <mergeCell ref="A108:D108"/>
    <mergeCell ref="A109:D109"/>
  </mergeCells>
  <conditionalFormatting sqref="O2:Q2 T2 O6:Q6 T6 O10:Q10 T10 O14:Q15 T14 O18:Q18 T18 O22:Q22 T22 O26:Q26 T26 O30:Q30 T30 O34:Q34 T34 O38:Q38 T38 O42:Q42 T42">
    <cfRule type="containsText" dxfId="2" priority="1" operator="containsText" text="ERROR">
      <formula>NOT(ISERROR(SEARCH(("ERROR"),(O2))))</formula>
    </cfRule>
  </conditionalFormatting>
  <dataValidations>
    <dataValidation type="list" allowBlank="1" showErrorMessage="1" sqref="Y4:Y5">
      <formula1>"Y,  N"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4" width="8.88"/>
    <col customWidth="1" min="5" max="5" width="5.13"/>
    <col customWidth="1" min="6" max="6" width="26.63"/>
    <col customWidth="1" min="7" max="7" width="23.63"/>
    <col customWidth="1" min="8" max="8" width="16.0"/>
    <col customWidth="1" min="9" max="9" width="23.75"/>
    <col customWidth="1" min="10" max="10" width="17.25"/>
    <col customWidth="1" min="11" max="11" width="17.38"/>
    <col customWidth="1" min="12" max="12" width="8.5"/>
    <col customWidth="1" min="13" max="13" width="10.25"/>
    <col customWidth="1" min="14" max="14" width="6.0"/>
    <col customWidth="1" min="15" max="15" width="17.25"/>
    <col customWidth="1" min="16" max="16" width="14.88"/>
    <col customWidth="1" min="17" max="17" width="15.88"/>
    <col customWidth="1" min="18" max="18" width="17.88"/>
  </cols>
  <sheetData>
    <row r="1">
      <c r="A1" s="13" t="s">
        <v>2</v>
      </c>
      <c r="B1" s="13" t="s">
        <v>17</v>
      </c>
      <c r="C1" s="15" t="s">
        <v>18</v>
      </c>
      <c r="E1" s="16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5" t="s">
        <v>25</v>
      </c>
      <c r="L1" s="15" t="s">
        <v>18</v>
      </c>
      <c r="M1" s="15" t="s">
        <v>26</v>
      </c>
    </row>
    <row r="2">
      <c r="A2" s="18" t="str">
        <f>IFERROR(__xludf.DUMMYFUNCTION("IMPORTRANGE(""1uZFF2o7rrfB0YZtASdZnP52Ef50ZinvtOPb1Tbuq8J4"",""CheckIn!C1:D99"")"),"#REF!")</f>
        <v>#REF!</v>
      </c>
      <c r="B2" s="18"/>
      <c r="C2" s="18" t="str">
        <f t="shared" ref="C2:C66" si="1">iferror(VLOOKUP(A2,indirect("'" &amp; "Current" &amp; "'!$B:$S"),18,false),"")</f>
        <v/>
      </c>
      <c r="E2" s="14">
        <v>1.0</v>
      </c>
      <c r="F2" s="18" t="str">
        <f>IFERROR(__xludf.DUMMYFUNCTION("QUERY(A2:B98, ""Select A  where B = 1   order by A"")"),"#N/A")</f>
        <v>#N/A</v>
      </c>
      <c r="G2" s="18" t="str">
        <f>IFERROR(__xludf.DUMMYFUNCTION("QUERY($A2:$B98, ""Select A where B = 3 order by A"")"),"#N/A")</f>
        <v>#N/A</v>
      </c>
      <c r="H2" s="18" t="str">
        <f>IFERROR(__xludf.DUMMYFUNCTION("QUERY($A2:$B98, ""Select A where B = 4"")"),"#N/A")</f>
        <v>#N/A</v>
      </c>
      <c r="I2" s="18" t="str">
        <f>IFERROR(__xludf.DUMMYFUNCTION("QUERY(Current!B5:F69, ""Select B  where F = 0 order by B"")"),"Adrian Tay")</f>
        <v>Adrian Tay</v>
      </c>
      <c r="J2" s="18" t="str">
        <f>IFERROR(__xludf.DUMMYFUNCTION("QUERY($A2:$C98, ""Select A where B = 5 order by C"")"),"#N/A")</f>
        <v>#N/A</v>
      </c>
      <c r="K2" s="18" t="str">
        <f>IFERROR(__xludf.DUMMYFUNCTION("QUERY($A2:$C98, ""Select A,C where B = 2 order by C"")"),"#N/A")</f>
        <v>#N/A</v>
      </c>
      <c r="L2" s="18"/>
      <c r="M2" s="18" t="str">
        <f>if(P21&gt;0,1,"")</f>
        <v/>
      </c>
    </row>
    <row r="3">
      <c r="A3" s="18"/>
      <c r="B3" s="18"/>
      <c r="C3" s="18" t="str">
        <f t="shared" si="1"/>
        <v/>
      </c>
      <c r="E3" s="18">
        <f t="shared" ref="E3:E66" si="2">E2+1</f>
        <v>2</v>
      </c>
      <c r="F3" s="18"/>
      <c r="G3" s="18"/>
      <c r="H3" s="18"/>
      <c r="I3" s="18" t="str">
        <f>IFERROR(__xludf.DUMMYFUNCTION("""COMPUTED_VALUE"""),"Alejandro Mejia")</f>
        <v>Alejandro Mejia</v>
      </c>
      <c r="J3" s="18"/>
      <c r="K3" s="18"/>
      <c r="L3" s="18"/>
      <c r="M3" s="18" t="str">
        <f t="shared" ref="M3:M26" si="3">if(AND(M2&gt;0, counta($K$2:K3)&lt;=$P$21),M2+1,"")</f>
        <v/>
      </c>
    </row>
    <row r="4">
      <c r="A4" s="18"/>
      <c r="B4" s="18"/>
      <c r="C4" s="18" t="str">
        <f t="shared" si="1"/>
        <v/>
      </c>
      <c r="E4" s="18">
        <f t="shared" si="2"/>
        <v>3</v>
      </c>
      <c r="F4" s="18"/>
      <c r="G4" s="18"/>
      <c r="H4" s="18"/>
      <c r="I4" s="18" t="str">
        <f>IFERROR(__xludf.DUMMYFUNCTION("""COMPUTED_VALUE"""),"Alex Hou")</f>
        <v>Alex Hou</v>
      </c>
      <c r="J4" s="18"/>
      <c r="K4" s="18"/>
      <c r="L4" s="18"/>
      <c r="M4" s="18" t="str">
        <f t="shared" si="3"/>
        <v/>
      </c>
      <c r="O4" s="32" t="s">
        <v>46</v>
      </c>
      <c r="P4" s="34">
        <f>now()</f>
        <v>46311.56387</v>
      </c>
      <c r="R4" s="35" t="s">
        <v>50</v>
      </c>
    </row>
    <row r="5">
      <c r="A5" s="18"/>
      <c r="B5" s="18"/>
      <c r="C5" s="18" t="str">
        <f t="shared" si="1"/>
        <v/>
      </c>
      <c r="E5" s="18">
        <f t="shared" si="2"/>
        <v>4</v>
      </c>
      <c r="F5" s="18"/>
      <c r="G5" s="18"/>
      <c r="H5" s="18"/>
      <c r="I5" s="18" t="str">
        <f>IFERROR(__xludf.DUMMYFUNCTION("""COMPUTED_VALUE"""),"Allen Zhang")</f>
        <v>Allen Zhang</v>
      </c>
      <c r="J5" s="18"/>
      <c r="K5" s="18"/>
      <c r="L5" s="18"/>
      <c r="M5" s="18" t="str">
        <f t="shared" si="3"/>
        <v/>
      </c>
    </row>
    <row r="6">
      <c r="A6" s="18"/>
      <c r="B6" s="18"/>
      <c r="C6" s="18" t="str">
        <f t="shared" si="1"/>
        <v/>
      </c>
      <c r="E6" s="18">
        <f t="shared" si="2"/>
        <v>5</v>
      </c>
      <c r="F6" s="18"/>
      <c r="G6" s="18"/>
      <c r="H6" s="18"/>
      <c r="I6" s="18" t="str">
        <f>IFERROR(__xludf.DUMMYFUNCTION("""COMPUTED_VALUE"""),"Andrew Wen")</f>
        <v>Andrew Wen</v>
      </c>
      <c r="J6" s="18"/>
      <c r="K6" s="18"/>
      <c r="L6" s="18"/>
      <c r="M6" s="18" t="str">
        <f t="shared" si="3"/>
        <v/>
      </c>
      <c r="O6" s="14" t="s">
        <v>53</v>
      </c>
      <c r="P6" s="18">
        <f>if(isna(F2),0,COUNTA(F$2:F$58))</f>
        <v>0</v>
      </c>
      <c r="R6" s="22" t="str">
        <f>CONCATENATE( " *",P$15," Courts Full*")</f>
        <v> *0 Courts Full*</v>
      </c>
    </row>
    <row r="7">
      <c r="A7" s="18"/>
      <c r="B7" s="18"/>
      <c r="C7" s="18" t="str">
        <f t="shared" si="1"/>
        <v/>
      </c>
      <c r="E7" s="18">
        <f t="shared" si="2"/>
        <v>6</v>
      </c>
      <c r="F7" s="18"/>
      <c r="G7" s="18"/>
      <c r="H7" s="18"/>
      <c r="I7" s="18" t="str">
        <f>IFERROR(__xludf.DUMMYFUNCTION("""COMPUTED_VALUE"""),"Balaji Alahari")</f>
        <v>Balaji Alahari</v>
      </c>
      <c r="J7" s="18"/>
      <c r="K7" s="18"/>
      <c r="L7" s="18"/>
      <c r="M7" s="18" t="str">
        <f t="shared" si="3"/>
        <v/>
      </c>
      <c r="O7" s="14" t="s">
        <v>55</v>
      </c>
      <c r="P7" s="18">
        <f>if(isna(K2),0,COUNTA(K2:K98))</f>
        <v>0</v>
      </c>
    </row>
    <row r="8">
      <c r="A8" s="18"/>
      <c r="B8" s="18"/>
      <c r="C8" s="18" t="str">
        <f t="shared" si="1"/>
        <v/>
      </c>
      <c r="E8" s="18">
        <f t="shared" si="2"/>
        <v>7</v>
      </c>
      <c r="F8" s="18"/>
      <c r="G8" s="18"/>
      <c r="H8" s="18"/>
      <c r="I8" s="18" t="str">
        <f>IFERROR(__xludf.DUMMYFUNCTION("""COMPUTED_VALUE"""),"Barathi Sundaram")</f>
        <v>Barathi Sundaram</v>
      </c>
      <c r="J8" s="18"/>
      <c r="K8" s="18"/>
      <c r="L8" s="18"/>
      <c r="M8" s="18" t="str">
        <f t="shared" si="3"/>
        <v/>
      </c>
      <c r="O8" s="14" t="s">
        <v>57</v>
      </c>
      <c r="P8" s="18">
        <f>if(isna(H2),0,COUNTA(H$2:H$58))</f>
        <v>0</v>
      </c>
      <c r="R8" s="22" t="str">
        <f>CONCATENATE(O$16," -- *",P$16,"*")</f>
        <v>Playing -- *0*</v>
      </c>
    </row>
    <row r="9">
      <c r="A9" s="18"/>
      <c r="B9" s="18"/>
      <c r="C9" s="18" t="str">
        <f t="shared" si="1"/>
        <v/>
      </c>
      <c r="E9" s="18">
        <f t="shared" si="2"/>
        <v>8</v>
      </c>
      <c r="F9" s="18"/>
      <c r="G9" s="18"/>
      <c r="H9" s="18"/>
      <c r="I9" s="18" t="str">
        <f>IFERROR(__xludf.DUMMYFUNCTION("""COMPUTED_VALUE"""),"Basudev Thoppai Vidyasankar")</f>
        <v>Basudev Thoppai Vidyasankar</v>
      </c>
      <c r="J9" s="18"/>
      <c r="K9" s="18"/>
      <c r="L9" s="18"/>
      <c r="M9" s="18" t="str">
        <f t="shared" si="3"/>
        <v/>
      </c>
      <c r="O9" s="14" t="s">
        <v>59</v>
      </c>
      <c r="P9" s="18">
        <f>if(isna(G2),0,COUNTA(G$2:G$58))</f>
        <v>0</v>
      </c>
      <c r="R9" s="22" t="str">
        <f>CONCATENATE(O$17," ------ ",P$17)</f>
        <v>Out ------ 0</v>
      </c>
    </row>
    <row r="10">
      <c r="A10" s="18"/>
      <c r="B10" s="18"/>
      <c r="C10" s="18" t="str">
        <f t="shared" si="1"/>
        <v/>
      </c>
      <c r="E10" s="18">
        <f t="shared" si="2"/>
        <v>9</v>
      </c>
      <c r="F10" s="18"/>
      <c r="G10" s="18"/>
      <c r="H10" s="18"/>
      <c r="I10" s="18" t="str">
        <f>IFERROR(__xludf.DUMMYFUNCTION("""COMPUTED_VALUE"""),"Chinna Ponnaganti")</f>
        <v>Chinna Ponnaganti</v>
      </c>
      <c r="J10" s="18"/>
      <c r="K10" s="18"/>
      <c r="L10" s="18"/>
      <c r="M10" s="18" t="str">
        <f t="shared" si="3"/>
        <v/>
      </c>
      <c r="O10" s="14" t="s">
        <v>60</v>
      </c>
      <c r="P10" s="18">
        <f>if(isna(J2),0,COUNTA(J$2:J$29))</f>
        <v>0</v>
      </c>
      <c r="R10" s="22" t="str">
        <f>CONCATENATE(O$18," ------ ",P$18)</f>
        <v>TBD ------ 65</v>
      </c>
    </row>
    <row r="11">
      <c r="A11" s="18"/>
      <c r="B11" s="18"/>
      <c r="C11" s="18" t="str">
        <f t="shared" si="1"/>
        <v/>
      </c>
      <c r="E11" s="18">
        <f t="shared" si="2"/>
        <v>10</v>
      </c>
      <c r="F11" s="18"/>
      <c r="G11" s="18"/>
      <c r="H11" s="18"/>
      <c r="I11" s="18" t="str">
        <f>IFERROR(__xludf.DUMMYFUNCTION("""COMPUTED_VALUE"""),"Cid Macaraeg")</f>
        <v>Cid Macaraeg</v>
      </c>
      <c r="J11" s="18"/>
      <c r="K11" s="18"/>
      <c r="L11" s="18"/>
      <c r="M11" s="18" t="str">
        <f t="shared" si="3"/>
        <v/>
      </c>
      <c r="O11" s="14" t="s">
        <v>63</v>
      </c>
      <c r="P11" s="18">
        <f>if(isna(I2),0,COUNTA(I$2:I$98))</f>
        <v>65</v>
      </c>
    </row>
    <row r="12">
      <c r="A12" s="18"/>
      <c r="B12" s="18"/>
      <c r="C12" s="18" t="str">
        <f t="shared" si="1"/>
        <v/>
      </c>
      <c r="E12" s="18">
        <f t="shared" si="2"/>
        <v>11</v>
      </c>
      <c r="F12" s="18"/>
      <c r="G12" s="18"/>
      <c r="H12" s="18"/>
      <c r="I12" s="18" t="str">
        <f>IFERROR(__xludf.DUMMYFUNCTION("""COMPUTED_VALUE"""),"Coco Yan")</f>
        <v>Coco Yan</v>
      </c>
      <c r="J12" s="18"/>
      <c r="K12" s="18"/>
      <c r="L12" s="18"/>
      <c r="M12" s="18" t="str">
        <f t="shared" si="3"/>
        <v/>
      </c>
      <c r="O12" s="14" t="s">
        <v>66</v>
      </c>
      <c r="P12" s="18">
        <f>sum(P6:P11)</f>
        <v>65</v>
      </c>
      <c r="R12" s="33" t="s">
        <v>68</v>
      </c>
    </row>
    <row r="13">
      <c r="A13" s="18"/>
      <c r="B13" s="18"/>
      <c r="C13" s="18" t="str">
        <f t="shared" si="1"/>
        <v/>
      </c>
      <c r="E13" s="18">
        <f t="shared" si="2"/>
        <v>12</v>
      </c>
      <c r="F13" s="18"/>
      <c r="G13" s="18"/>
      <c r="H13" s="18"/>
      <c r="I13" s="18" t="str">
        <f>IFERROR(__xludf.DUMMYFUNCTION("""COMPUTED_VALUE"""),"David Shin")</f>
        <v>David Shin</v>
      </c>
      <c r="J13" s="18"/>
      <c r="K13" s="18"/>
      <c r="L13" s="18"/>
      <c r="M13" s="18" t="str">
        <f t="shared" si="3"/>
        <v/>
      </c>
    </row>
    <row r="14">
      <c r="A14" s="18"/>
      <c r="B14" s="18"/>
      <c r="C14" s="18" t="str">
        <f t="shared" si="1"/>
        <v/>
      </c>
      <c r="E14" s="18">
        <f t="shared" si="2"/>
        <v>13</v>
      </c>
      <c r="F14" s="18"/>
      <c r="G14" s="18"/>
      <c r="H14" s="18"/>
      <c r="I14" s="18" t="str">
        <f>IFERROR(__xludf.DUMMYFUNCTION("""COMPUTED_VALUE"""),"Elayaraja Thangaraj ")</f>
        <v>Elayaraja Thangaraj </v>
      </c>
      <c r="J14" s="18"/>
      <c r="K14" s="18"/>
      <c r="L14" s="18"/>
      <c r="M14" s="18" t="str">
        <f t="shared" si="3"/>
        <v/>
      </c>
    </row>
    <row r="15">
      <c r="A15" s="18"/>
      <c r="B15" s="18"/>
      <c r="C15" s="18" t="str">
        <f t="shared" si="1"/>
        <v/>
      </c>
      <c r="E15" s="18">
        <f t="shared" si="2"/>
        <v>14</v>
      </c>
      <c r="F15" s="18"/>
      <c r="G15" s="18"/>
      <c r="H15" s="18"/>
      <c r="I15" s="18" t="str">
        <f>IFERROR(__xludf.DUMMYFUNCTION("""COMPUTED_VALUE"""),"Eric Pan")</f>
        <v>Eric Pan</v>
      </c>
      <c r="J15" s="18"/>
      <c r="K15" s="18"/>
      <c r="L15" s="18"/>
      <c r="M15" s="18" t="str">
        <f t="shared" si="3"/>
        <v/>
      </c>
      <c r="O15" s="14" t="s">
        <v>69</v>
      </c>
      <c r="P15" s="18">
        <f>rounddown(P16/4,0)</f>
        <v>0</v>
      </c>
      <c r="T15" s="49"/>
    </row>
    <row r="16">
      <c r="A16" s="18"/>
      <c r="B16" s="18"/>
      <c r="C16" s="18" t="str">
        <f t="shared" si="1"/>
        <v/>
      </c>
      <c r="E16" s="18">
        <f t="shared" si="2"/>
        <v>15</v>
      </c>
      <c r="F16" s="18"/>
      <c r="G16" s="18"/>
      <c r="H16" s="18"/>
      <c r="I16" s="18" t="str">
        <f>IFERROR(__xludf.DUMMYFUNCTION("""COMPUTED_VALUE"""),"Eric Tan")</f>
        <v>Eric Tan</v>
      </c>
      <c r="J16" s="18"/>
      <c r="K16" s="18"/>
      <c r="L16" s="18"/>
      <c r="M16" s="18" t="str">
        <f t="shared" si="3"/>
        <v/>
      </c>
      <c r="O16" s="14" t="s">
        <v>53</v>
      </c>
      <c r="P16" s="18">
        <f>sum(P6:P7)</f>
        <v>0</v>
      </c>
      <c r="Q16" s="49"/>
      <c r="T16" s="49"/>
    </row>
    <row r="17">
      <c r="A17" s="14"/>
      <c r="B17" s="18"/>
      <c r="C17" s="18" t="str">
        <f t="shared" si="1"/>
        <v/>
      </c>
      <c r="E17" s="18">
        <f t="shared" si="2"/>
        <v>16</v>
      </c>
      <c r="F17" s="18"/>
      <c r="G17" s="18"/>
      <c r="H17" s="18"/>
      <c r="I17" s="18" t="str">
        <f>IFERROR(__xludf.DUMMYFUNCTION("""COMPUTED_VALUE"""),"Erik Hoeckmann")</f>
        <v>Erik Hoeckmann</v>
      </c>
      <c r="J17" s="18"/>
      <c r="K17" s="18"/>
      <c r="L17" s="18"/>
      <c r="M17" s="18" t="str">
        <f t="shared" si="3"/>
        <v/>
      </c>
      <c r="O17" s="14" t="s">
        <v>59</v>
      </c>
      <c r="P17" s="18">
        <f>P9+P8</f>
        <v>0</v>
      </c>
      <c r="Q17" s="49"/>
    </row>
    <row r="18">
      <c r="A18" s="18"/>
      <c r="B18" s="18"/>
      <c r="C18" s="18" t="str">
        <f t="shared" si="1"/>
        <v/>
      </c>
      <c r="E18" s="18">
        <f t="shared" si="2"/>
        <v>17</v>
      </c>
      <c r="F18" s="18"/>
      <c r="G18" s="18"/>
      <c r="H18" s="18"/>
      <c r="I18" s="18" t="str">
        <f>IFERROR(__xludf.DUMMYFUNCTION("""COMPUTED_VALUE"""),"Ethan Gu")</f>
        <v>Ethan Gu</v>
      </c>
      <c r="J18" s="18"/>
      <c r="K18" s="18"/>
      <c r="L18" s="18"/>
      <c r="M18" s="18" t="str">
        <f t="shared" si="3"/>
        <v/>
      </c>
      <c r="O18" s="14" t="s">
        <v>63</v>
      </c>
      <c r="P18" s="18">
        <f>P11</f>
        <v>65</v>
      </c>
      <c r="Q18" s="49"/>
    </row>
    <row r="19">
      <c r="A19" s="18"/>
      <c r="B19" s="18"/>
      <c r="C19" s="18" t="str">
        <f t="shared" si="1"/>
        <v/>
      </c>
      <c r="E19" s="18">
        <f t="shared" si="2"/>
        <v>18</v>
      </c>
      <c r="F19" s="18"/>
      <c r="G19" s="18"/>
      <c r="H19" s="18"/>
      <c r="I19" s="18" t="str">
        <f>IFERROR(__xludf.DUMMYFUNCTION("""COMPUTED_VALUE"""),"Frank Moon")</f>
        <v>Frank Moon</v>
      </c>
      <c r="J19" s="18"/>
      <c r="K19" s="18"/>
      <c r="L19" s="18"/>
      <c r="M19" s="18" t="str">
        <f t="shared" si="3"/>
        <v/>
      </c>
      <c r="O19" s="14" t="s">
        <v>66</v>
      </c>
      <c r="P19" s="18">
        <f>sum(P16:P18)</f>
        <v>65</v>
      </c>
      <c r="Q19" s="22" t="str">
        <f>if(P19&gt;65,"Check duplicates","")</f>
        <v/>
      </c>
    </row>
    <row r="20">
      <c r="A20" s="18"/>
      <c r="B20" s="18"/>
      <c r="C20" s="18" t="str">
        <f t="shared" si="1"/>
        <v/>
      </c>
      <c r="E20" s="18">
        <f t="shared" si="2"/>
        <v>19</v>
      </c>
      <c r="F20" s="18"/>
      <c r="G20" s="18"/>
      <c r="H20" s="18"/>
      <c r="I20" s="18" t="str">
        <f>IFERROR(__xludf.DUMMYFUNCTION("""COMPUTED_VALUE"""),"Herman Au")</f>
        <v>Herman Au</v>
      </c>
      <c r="J20" s="18"/>
      <c r="K20" s="18"/>
      <c r="L20" s="18"/>
      <c r="M20" s="18" t="str">
        <f t="shared" si="3"/>
        <v/>
      </c>
      <c r="R20" s="33"/>
    </row>
    <row r="21">
      <c r="A21" s="18"/>
      <c r="B21" s="18"/>
      <c r="C21" s="18" t="str">
        <f t="shared" si="1"/>
        <v/>
      </c>
      <c r="E21" s="18">
        <f t="shared" si="2"/>
        <v>20</v>
      </c>
      <c r="F21" s="18"/>
      <c r="G21" s="18"/>
      <c r="H21" s="18"/>
      <c r="I21" s="18" t="str">
        <f>IFERROR(__xludf.DUMMYFUNCTION("""COMPUTED_VALUE"""),"Hongyuan Wen")</f>
        <v>Hongyuan Wen</v>
      </c>
      <c r="J21" s="18"/>
      <c r="K21" s="18"/>
      <c r="L21" s="18"/>
      <c r="M21" s="18" t="str">
        <f t="shared" si="3"/>
        <v/>
      </c>
      <c r="O21" s="14" t="s">
        <v>73</v>
      </c>
      <c r="P21" s="18">
        <f>max(mod(P16,4),P16-44)</f>
        <v>0</v>
      </c>
    </row>
    <row r="22">
      <c r="A22" s="18"/>
      <c r="B22" s="18"/>
      <c r="C22" s="18" t="str">
        <f t="shared" si="1"/>
        <v/>
      </c>
      <c r="E22" s="18">
        <f t="shared" si="2"/>
        <v>21</v>
      </c>
      <c r="F22" s="18"/>
      <c r="G22" s="18"/>
      <c r="H22" s="18"/>
      <c r="I22" s="18" t="str">
        <f>IFERROR(__xludf.DUMMYFUNCTION("""COMPUTED_VALUE"""),"Hubert J Sung")</f>
        <v>Hubert J Sung</v>
      </c>
      <c r="J22" s="18"/>
      <c r="K22" s="18"/>
      <c r="L22" s="18"/>
      <c r="M22" s="18" t="str">
        <f t="shared" si="3"/>
        <v/>
      </c>
    </row>
    <row r="23">
      <c r="A23" s="18"/>
      <c r="B23" s="18"/>
      <c r="C23" s="18" t="str">
        <f t="shared" si="1"/>
        <v/>
      </c>
      <c r="E23" s="18">
        <f t="shared" si="2"/>
        <v>22</v>
      </c>
      <c r="F23" s="18"/>
      <c r="G23" s="18"/>
      <c r="H23" s="18"/>
      <c r="I23" s="18" t="str">
        <f>IFERROR(__xludf.DUMMYFUNCTION("""COMPUTED_VALUE"""),"James Phan")</f>
        <v>James Phan</v>
      </c>
      <c r="J23" s="18"/>
      <c r="K23" s="18"/>
      <c r="L23" s="18"/>
      <c r="M23" s="18" t="str">
        <f t="shared" si="3"/>
        <v/>
      </c>
      <c r="O23" s="51" t="s">
        <v>75</v>
      </c>
      <c r="P23" s="18"/>
      <c r="Q23" s="18"/>
    </row>
    <row r="24">
      <c r="A24" s="18"/>
      <c r="B24" s="18"/>
      <c r="C24" s="18" t="str">
        <f t="shared" si="1"/>
        <v/>
      </c>
      <c r="E24" s="18">
        <f t="shared" si="2"/>
        <v>23</v>
      </c>
      <c r="F24" s="18"/>
      <c r="G24" s="18"/>
      <c r="H24" s="18"/>
      <c r="I24" s="18" t="str">
        <f>IFERROR(__xludf.DUMMYFUNCTION("""COMPUTED_VALUE"""),"Jim Miao")</f>
        <v>Jim Miao</v>
      </c>
      <c r="J24" s="18"/>
      <c r="K24" s="52"/>
      <c r="L24" s="53"/>
      <c r="M24" s="18" t="str">
        <f t="shared" si="3"/>
        <v/>
      </c>
      <c r="O24" s="18" t="s">
        <v>76</v>
      </c>
      <c r="P24" s="54">
        <v>9.098000351E9</v>
      </c>
      <c r="Q24" s="14" t="s">
        <v>77</v>
      </c>
    </row>
    <row r="25">
      <c r="A25" s="18"/>
      <c r="B25" s="18"/>
      <c r="C25" s="18" t="str">
        <f t="shared" si="1"/>
        <v/>
      </c>
      <c r="E25" s="18">
        <f t="shared" si="2"/>
        <v>24</v>
      </c>
      <c r="F25" s="18"/>
      <c r="G25" s="18"/>
      <c r="H25" s="18"/>
      <c r="I25" s="18" t="str">
        <f>IFERROR(__xludf.DUMMYFUNCTION("""COMPUTED_VALUE"""),"Jimmy Awolesi")</f>
        <v>Jimmy Awolesi</v>
      </c>
      <c r="J25" s="18"/>
      <c r="K25" s="18"/>
      <c r="L25" s="18"/>
      <c r="M25" s="18" t="str">
        <f t="shared" si="3"/>
        <v/>
      </c>
      <c r="O25" s="14" t="s">
        <v>79</v>
      </c>
      <c r="P25" s="55">
        <v>6.266794225E9</v>
      </c>
      <c r="Q25" s="14" t="s">
        <v>77</v>
      </c>
    </row>
    <row r="26">
      <c r="A26" s="18"/>
      <c r="B26" s="18"/>
      <c r="C26" s="18" t="str">
        <f t="shared" si="1"/>
        <v/>
      </c>
      <c r="E26" s="18">
        <f t="shared" si="2"/>
        <v>25</v>
      </c>
      <c r="F26" s="18"/>
      <c r="G26" s="18"/>
      <c r="H26" s="18"/>
      <c r="I26" s="18" t="str">
        <f>IFERROR(__xludf.DUMMYFUNCTION("""COMPUTED_VALUE"""),"Joe Luzzi")</f>
        <v>Joe Luzzi</v>
      </c>
      <c r="J26" s="18"/>
      <c r="K26" s="18"/>
      <c r="L26" s="18"/>
      <c r="M26" s="18" t="str">
        <f t="shared" si="3"/>
        <v/>
      </c>
      <c r="O26" s="18" t="s">
        <v>80</v>
      </c>
      <c r="P26" s="18">
        <v>7.142673763E9</v>
      </c>
      <c r="Q26" s="14" t="s">
        <v>81</v>
      </c>
    </row>
    <row r="27">
      <c r="A27" s="18"/>
      <c r="B27" s="18"/>
      <c r="C27" s="18" t="str">
        <f t="shared" si="1"/>
        <v/>
      </c>
      <c r="E27" s="18">
        <f t="shared" si="2"/>
        <v>26</v>
      </c>
      <c r="F27" s="18"/>
      <c r="G27" s="18"/>
      <c r="H27" s="18"/>
      <c r="I27" s="18" t="str">
        <f>IFERROR(__xludf.DUMMYFUNCTION("""COMPUTED_VALUE"""),"Jonathan Phan")</f>
        <v>Jonathan Phan</v>
      </c>
      <c r="J27" s="18"/>
      <c r="K27" s="18"/>
      <c r="O27" s="18" t="s">
        <v>82</v>
      </c>
      <c r="P27" s="22">
        <v>6.503070756E9</v>
      </c>
      <c r="Q27" s="14" t="s">
        <v>77</v>
      </c>
    </row>
    <row r="28">
      <c r="A28" s="18"/>
      <c r="B28" s="18"/>
      <c r="C28" s="18" t="str">
        <f t="shared" si="1"/>
        <v/>
      </c>
      <c r="E28" s="18">
        <f t="shared" si="2"/>
        <v>27</v>
      </c>
      <c r="F28" s="18"/>
      <c r="G28" s="18"/>
      <c r="H28" s="18"/>
      <c r="I28" s="18" t="str">
        <f>IFERROR(__xludf.DUMMYFUNCTION("""COMPUTED_VALUE"""),"Joyce Zhu")</f>
        <v>Joyce Zhu</v>
      </c>
      <c r="J28" s="18"/>
      <c r="K28" s="18"/>
      <c r="O28" s="18" t="s">
        <v>84</v>
      </c>
      <c r="P28" s="52">
        <v>9.493096136E9</v>
      </c>
      <c r="Q28" s="14" t="s">
        <v>85</v>
      </c>
    </row>
    <row r="29">
      <c r="A29" s="18"/>
      <c r="B29" s="18"/>
      <c r="C29" s="18" t="str">
        <f t="shared" si="1"/>
        <v/>
      </c>
      <c r="E29" s="18">
        <f t="shared" si="2"/>
        <v>28</v>
      </c>
      <c r="F29" s="18"/>
      <c r="G29" s="18"/>
      <c r="H29" s="18"/>
      <c r="I29" s="18" t="str">
        <f>IFERROR(__xludf.DUMMYFUNCTION("""COMPUTED_VALUE"""),"Kumar Palakeel")</f>
        <v>Kumar Palakeel</v>
      </c>
      <c r="J29" s="18"/>
      <c r="K29" s="18"/>
      <c r="O29" s="18"/>
      <c r="P29" s="52"/>
      <c r="Q29" s="14"/>
    </row>
    <row r="30">
      <c r="A30" s="18"/>
      <c r="B30" s="18"/>
      <c r="C30" s="18" t="str">
        <f t="shared" si="1"/>
        <v/>
      </c>
      <c r="E30" s="18">
        <f t="shared" si="2"/>
        <v>29</v>
      </c>
      <c r="F30" s="18"/>
      <c r="G30" s="18"/>
      <c r="H30" s="18"/>
      <c r="I30" s="18" t="str">
        <f>IFERROR(__xludf.DUMMYFUNCTION("""COMPUTED_VALUE"""),"Lam Bui")</f>
        <v>Lam Bui</v>
      </c>
      <c r="J30" s="18"/>
      <c r="K30" s="18"/>
      <c r="O30" s="14"/>
      <c r="P30" s="18"/>
      <c r="Q30" s="18"/>
    </row>
    <row r="31">
      <c r="A31" s="18"/>
      <c r="B31" s="18"/>
      <c r="C31" s="18" t="str">
        <f t="shared" si="1"/>
        <v/>
      </c>
      <c r="E31" s="18">
        <f t="shared" si="2"/>
        <v>30</v>
      </c>
      <c r="F31" s="18"/>
      <c r="G31" s="18"/>
      <c r="H31" s="18"/>
      <c r="I31" s="18" t="str">
        <f>IFERROR(__xludf.DUMMYFUNCTION("""COMPUTED_VALUE"""),"Leigh-Anh Nguyen")</f>
        <v>Leigh-Anh Nguyen</v>
      </c>
      <c r="J31" s="18"/>
      <c r="K31" s="18"/>
      <c r="O31" s="18"/>
      <c r="P31" s="18"/>
      <c r="Q31" s="18"/>
    </row>
    <row r="32">
      <c r="A32" s="18"/>
      <c r="B32" s="18"/>
      <c r="C32" s="18" t="str">
        <f t="shared" si="1"/>
        <v/>
      </c>
      <c r="E32" s="18">
        <f t="shared" si="2"/>
        <v>31</v>
      </c>
      <c r="F32" s="18"/>
      <c r="G32" s="18"/>
      <c r="H32" s="18"/>
      <c r="I32" s="18" t="str">
        <f>IFERROR(__xludf.DUMMYFUNCTION("""COMPUTED_VALUE"""),"Lloyd Sagar")</f>
        <v>Lloyd Sagar</v>
      </c>
      <c r="J32" s="18"/>
      <c r="K32" s="18"/>
      <c r="O32" s="18"/>
      <c r="P32" s="18"/>
      <c r="Q32" s="18"/>
    </row>
    <row r="33">
      <c r="A33" s="18"/>
      <c r="B33" s="18"/>
      <c r="C33" s="18" t="str">
        <f t="shared" si="1"/>
        <v/>
      </c>
      <c r="E33" s="18">
        <f t="shared" si="2"/>
        <v>32</v>
      </c>
      <c r="F33" s="18"/>
      <c r="G33" s="18"/>
      <c r="H33" s="18"/>
      <c r="I33" s="18" t="str">
        <f>IFERROR(__xludf.DUMMYFUNCTION("""COMPUTED_VALUE"""),"Luis Hsu")</f>
        <v>Luis Hsu</v>
      </c>
      <c r="J33" s="18"/>
      <c r="K33" s="18"/>
      <c r="O33" s="18"/>
      <c r="P33" s="18"/>
      <c r="Q33" s="18"/>
    </row>
    <row r="34">
      <c r="A34" s="18"/>
      <c r="B34" s="18"/>
      <c r="C34" s="18" t="str">
        <f t="shared" si="1"/>
        <v/>
      </c>
      <c r="E34" s="18">
        <f t="shared" si="2"/>
        <v>33</v>
      </c>
      <c r="F34" s="18"/>
      <c r="G34" s="18"/>
      <c r="H34" s="18"/>
      <c r="I34" s="18" t="str">
        <f>IFERROR(__xludf.DUMMYFUNCTION("""COMPUTED_VALUE"""),"Manish Anand")</f>
        <v>Manish Anand</v>
      </c>
      <c r="J34" s="18"/>
      <c r="K34" s="18"/>
      <c r="O34" s="18"/>
      <c r="P34" s="18"/>
      <c r="Q34" s="18"/>
    </row>
    <row r="35">
      <c r="A35" s="18"/>
      <c r="B35" s="18"/>
      <c r="C35" s="18" t="str">
        <f t="shared" si="1"/>
        <v/>
      </c>
      <c r="E35" s="18">
        <f t="shared" si="2"/>
        <v>34</v>
      </c>
      <c r="F35" s="18"/>
      <c r="G35" s="18"/>
      <c r="H35" s="18"/>
      <c r="I35" s="18" t="str">
        <f>IFERROR(__xludf.DUMMYFUNCTION("""COMPUTED_VALUE"""),"Manuel Rivera")</f>
        <v>Manuel Rivera</v>
      </c>
      <c r="J35" s="18"/>
      <c r="K35" s="18"/>
    </row>
    <row r="36">
      <c r="A36" s="18"/>
      <c r="B36" s="18"/>
      <c r="C36" s="18" t="str">
        <f t="shared" si="1"/>
        <v/>
      </c>
      <c r="E36" s="18">
        <f t="shared" si="2"/>
        <v>35</v>
      </c>
      <c r="F36" s="18"/>
      <c r="G36" s="18"/>
      <c r="H36" s="18"/>
      <c r="I36" s="18" t="str">
        <f>IFERROR(__xludf.DUMMYFUNCTION("""COMPUTED_VALUE"""),"Matthew Huang")</f>
        <v>Matthew Huang</v>
      </c>
      <c r="J36" s="18"/>
      <c r="K36" s="18"/>
      <c r="O36" s="33"/>
    </row>
    <row r="37">
      <c r="A37" s="18"/>
      <c r="B37" s="18"/>
      <c r="C37" s="18" t="str">
        <f t="shared" si="1"/>
        <v/>
      </c>
      <c r="E37" s="18">
        <f t="shared" si="2"/>
        <v>36</v>
      </c>
      <c r="F37" s="18"/>
      <c r="G37" s="18"/>
      <c r="H37" s="18"/>
      <c r="I37" s="18" t="str">
        <f>IFERROR(__xludf.DUMMYFUNCTION("""COMPUTED_VALUE"""),"Mauricio Palacios")</f>
        <v>Mauricio Palacios</v>
      </c>
      <c r="J37" s="18"/>
      <c r="K37" s="18"/>
    </row>
    <row r="38">
      <c r="A38" s="18"/>
      <c r="B38" s="18"/>
      <c r="C38" s="18" t="str">
        <f t="shared" si="1"/>
        <v/>
      </c>
      <c r="E38" s="18">
        <f t="shared" si="2"/>
        <v>37</v>
      </c>
      <c r="F38" s="18"/>
      <c r="G38" s="18"/>
      <c r="H38" s="18"/>
      <c r="I38" s="18" t="str">
        <f>IFERROR(__xludf.DUMMYFUNCTION("""COMPUTED_VALUE"""),"Naveen Raj")</f>
        <v>Naveen Raj</v>
      </c>
      <c r="J38" s="18"/>
      <c r="K38" s="18"/>
    </row>
    <row r="39">
      <c r="A39" s="18"/>
      <c r="B39" s="18"/>
      <c r="C39" s="18" t="str">
        <f t="shared" si="1"/>
        <v/>
      </c>
      <c r="E39" s="18">
        <f t="shared" si="2"/>
        <v>38</v>
      </c>
      <c r="F39" s="18"/>
      <c r="G39" s="18"/>
      <c r="H39" s="18"/>
      <c r="I39" s="18" t="str">
        <f>IFERROR(__xludf.DUMMYFUNCTION("""COMPUTED_VALUE"""),"Nicole Ni")</f>
        <v>Nicole Ni</v>
      </c>
      <c r="J39" s="18"/>
      <c r="K39" s="18"/>
      <c r="O39" s="33"/>
    </row>
    <row r="40">
      <c r="A40" s="18"/>
      <c r="B40" s="18"/>
      <c r="C40" s="18" t="str">
        <f t="shared" si="1"/>
        <v/>
      </c>
      <c r="E40" s="18">
        <f t="shared" si="2"/>
        <v>39</v>
      </c>
      <c r="F40" s="18"/>
      <c r="G40" s="18"/>
      <c r="H40" s="18"/>
      <c r="I40" s="18" t="str">
        <f>IFERROR(__xludf.DUMMYFUNCTION("""COMPUTED_VALUE"""),"Oscar Bonilla")</f>
        <v>Oscar Bonilla</v>
      </c>
      <c r="J40" s="18"/>
      <c r="K40" s="18"/>
      <c r="P40" s="56"/>
    </row>
    <row r="41">
      <c r="A41" s="18"/>
      <c r="B41" s="18"/>
      <c r="C41" s="18" t="str">
        <f t="shared" si="1"/>
        <v/>
      </c>
      <c r="E41" s="18">
        <f t="shared" si="2"/>
        <v>40</v>
      </c>
      <c r="F41" s="18"/>
      <c r="G41" s="18"/>
      <c r="H41" s="18"/>
      <c r="I41" s="18" t="str">
        <f>IFERROR(__xludf.DUMMYFUNCTION("""COMPUTED_VALUE"""),"Pavan Akkimsetty")</f>
        <v>Pavan Akkimsetty</v>
      </c>
      <c r="J41" s="18"/>
      <c r="K41" s="18"/>
    </row>
    <row r="42">
      <c r="A42" s="18"/>
      <c r="B42" s="18"/>
      <c r="C42" s="18" t="str">
        <f t="shared" si="1"/>
        <v/>
      </c>
      <c r="E42" s="18">
        <f t="shared" si="2"/>
        <v>41</v>
      </c>
      <c r="F42" s="18"/>
      <c r="G42" s="18"/>
      <c r="H42" s="18"/>
      <c r="I42" s="18" t="str">
        <f>IFERROR(__xludf.DUMMYFUNCTION("""COMPUTED_VALUE"""),"Pulkit Mathur")</f>
        <v>Pulkit Mathur</v>
      </c>
      <c r="J42" s="18"/>
      <c r="K42" s="18"/>
    </row>
    <row r="43">
      <c r="A43" s="18"/>
      <c r="B43" s="18"/>
      <c r="C43" s="18" t="str">
        <f t="shared" si="1"/>
        <v/>
      </c>
      <c r="E43" s="18">
        <f t="shared" si="2"/>
        <v>42</v>
      </c>
      <c r="F43" s="18"/>
      <c r="G43" s="18"/>
      <c r="H43" s="18"/>
      <c r="I43" s="18" t="str">
        <f>IFERROR(__xludf.DUMMYFUNCTION("""COMPUTED_VALUE"""),"Rajasekar Ramasamy")</f>
        <v>Rajasekar Ramasamy</v>
      </c>
      <c r="J43" s="18"/>
      <c r="K43" s="18"/>
    </row>
    <row r="44">
      <c r="A44" s="18"/>
      <c r="B44" s="18"/>
      <c r="C44" s="18" t="str">
        <f t="shared" si="1"/>
        <v/>
      </c>
      <c r="E44" s="18">
        <f t="shared" si="2"/>
        <v>43</v>
      </c>
      <c r="F44" s="18"/>
      <c r="G44" s="18"/>
      <c r="H44" s="18"/>
      <c r="I44" s="18" t="str">
        <f>IFERROR(__xludf.DUMMYFUNCTION("""COMPUTED_VALUE"""),"Rajesh Dorairaj")</f>
        <v>Rajesh Dorairaj</v>
      </c>
      <c r="J44" s="18"/>
      <c r="K44" s="18"/>
    </row>
    <row r="45">
      <c r="A45" s="18"/>
      <c r="B45" s="18"/>
      <c r="C45" s="18" t="str">
        <f t="shared" si="1"/>
        <v/>
      </c>
      <c r="E45" s="18">
        <f t="shared" si="2"/>
        <v>44</v>
      </c>
      <c r="F45" s="18"/>
      <c r="G45" s="18"/>
      <c r="H45" s="18"/>
      <c r="I45" s="18" t="str">
        <f>IFERROR(__xludf.DUMMYFUNCTION("""COMPUTED_VALUE"""),"Ramesh Bandaru")</f>
        <v>Ramesh Bandaru</v>
      </c>
      <c r="J45" s="18"/>
      <c r="K45" s="18"/>
    </row>
    <row r="46">
      <c r="A46" s="18"/>
      <c r="B46" s="18"/>
      <c r="C46" s="18" t="str">
        <f t="shared" si="1"/>
        <v/>
      </c>
      <c r="E46" s="18">
        <f t="shared" si="2"/>
        <v>45</v>
      </c>
      <c r="F46" s="18"/>
      <c r="G46" s="18"/>
      <c r="H46" s="18"/>
      <c r="I46" s="18" t="str">
        <f>IFERROR(__xludf.DUMMYFUNCTION("""COMPUTED_VALUE"""),"Robert Chang")</f>
        <v>Robert Chang</v>
      </c>
      <c r="J46" s="18"/>
      <c r="K46" s="18"/>
    </row>
    <row r="47">
      <c r="A47" s="18"/>
      <c r="B47" s="18"/>
      <c r="C47" s="18" t="str">
        <f t="shared" si="1"/>
        <v/>
      </c>
      <c r="E47" s="18">
        <f t="shared" si="2"/>
        <v>46</v>
      </c>
      <c r="F47" s="18"/>
      <c r="G47" s="18"/>
      <c r="H47" s="18"/>
      <c r="I47" s="18" t="str">
        <f>IFERROR(__xludf.DUMMYFUNCTION("""COMPUTED_VALUE"""),"Sandeep Kamalon")</f>
        <v>Sandeep Kamalon</v>
      </c>
      <c r="J47" s="18"/>
      <c r="K47" s="18"/>
    </row>
    <row r="48">
      <c r="A48" s="18"/>
      <c r="B48" s="18"/>
      <c r="C48" s="18" t="str">
        <f t="shared" si="1"/>
        <v/>
      </c>
      <c r="E48" s="18">
        <f t="shared" si="2"/>
        <v>47</v>
      </c>
      <c r="F48" s="18"/>
      <c r="G48" s="18"/>
      <c r="H48" s="18"/>
      <c r="I48" s="18" t="str">
        <f>IFERROR(__xludf.DUMMYFUNCTION("""COMPUTED_VALUE"""),"Sandy Weyant")</f>
        <v>Sandy Weyant</v>
      </c>
      <c r="J48" s="18"/>
      <c r="K48" s="18"/>
    </row>
    <row r="49">
      <c r="A49" s="18"/>
      <c r="B49" s="18"/>
      <c r="C49" s="18" t="str">
        <f t="shared" si="1"/>
        <v/>
      </c>
      <c r="E49" s="18">
        <f t="shared" si="2"/>
        <v>48</v>
      </c>
      <c r="F49" s="18"/>
      <c r="G49" s="18"/>
      <c r="H49" s="18"/>
      <c r="I49" s="18" t="str">
        <f>IFERROR(__xludf.DUMMYFUNCTION("""COMPUTED_VALUE"""),"Sanjaye Elayattu")</f>
        <v>Sanjaye Elayattu</v>
      </c>
      <c r="J49" s="18"/>
      <c r="K49" s="18"/>
    </row>
    <row r="50">
      <c r="A50" s="18"/>
      <c r="B50" s="18"/>
      <c r="C50" s="18" t="str">
        <f t="shared" si="1"/>
        <v/>
      </c>
      <c r="E50" s="18">
        <f t="shared" si="2"/>
        <v>49</v>
      </c>
      <c r="F50" s="18"/>
      <c r="G50" s="18"/>
      <c r="H50" s="18"/>
      <c r="I50" s="18" t="str">
        <f>IFERROR(__xludf.DUMMYFUNCTION("""COMPUTED_VALUE"""),"Santosh Sundaresan ")</f>
        <v>Santosh Sundaresan </v>
      </c>
      <c r="J50" s="18"/>
      <c r="K50" s="18"/>
    </row>
    <row r="51">
      <c r="A51" s="18"/>
      <c r="B51" s="18"/>
      <c r="C51" s="18" t="str">
        <f t="shared" si="1"/>
        <v/>
      </c>
      <c r="E51" s="18">
        <f t="shared" si="2"/>
        <v>50</v>
      </c>
      <c r="F51" s="18"/>
      <c r="G51" s="18"/>
      <c r="H51" s="18"/>
      <c r="I51" s="18" t="str">
        <f>IFERROR(__xludf.DUMMYFUNCTION("""COMPUTED_VALUE"""),"Saravanan Veerapandian")</f>
        <v>Saravanan Veerapandian</v>
      </c>
      <c r="J51" s="18"/>
      <c r="K51" s="18"/>
    </row>
    <row r="52">
      <c r="A52" s="18"/>
      <c r="B52" s="18"/>
      <c r="C52" s="18" t="str">
        <f t="shared" si="1"/>
        <v/>
      </c>
      <c r="E52" s="18">
        <f t="shared" si="2"/>
        <v>51</v>
      </c>
      <c r="F52" s="18"/>
      <c r="G52" s="18"/>
      <c r="H52" s="18"/>
      <c r="I52" s="18" t="str">
        <f>IFERROR(__xludf.DUMMYFUNCTION("""COMPUTED_VALUE"""),"Scott Li")</f>
        <v>Scott Li</v>
      </c>
      <c r="J52" s="18"/>
      <c r="K52" s="18"/>
    </row>
    <row r="53">
      <c r="A53" s="18"/>
      <c r="B53" s="18"/>
      <c r="C53" s="18" t="str">
        <f t="shared" si="1"/>
        <v/>
      </c>
      <c r="E53" s="18">
        <f t="shared" si="2"/>
        <v>52</v>
      </c>
      <c r="F53" s="18"/>
      <c r="G53" s="18"/>
      <c r="H53" s="18"/>
      <c r="I53" s="18" t="str">
        <f>IFERROR(__xludf.DUMMYFUNCTION("""COMPUTED_VALUE"""),"Sean Chang")</f>
        <v>Sean Chang</v>
      </c>
      <c r="J53" s="18"/>
      <c r="K53" s="18"/>
    </row>
    <row r="54">
      <c r="A54" s="18"/>
      <c r="B54" s="18"/>
      <c r="C54" s="18" t="str">
        <f t="shared" si="1"/>
        <v/>
      </c>
      <c r="E54" s="18">
        <f t="shared" si="2"/>
        <v>53</v>
      </c>
      <c r="F54" s="18"/>
      <c r="G54" s="18"/>
      <c r="H54" s="18"/>
      <c r="I54" s="18" t="str">
        <f>IFERROR(__xludf.DUMMYFUNCTION("""COMPUTED_VALUE"""),"Suleman Alidina")</f>
        <v>Suleman Alidina</v>
      </c>
      <c r="J54" s="18"/>
      <c r="K54" s="18"/>
    </row>
    <row r="55">
      <c r="A55" s="18"/>
      <c r="B55" s="18"/>
      <c r="C55" s="18" t="str">
        <f t="shared" si="1"/>
        <v/>
      </c>
      <c r="E55" s="18">
        <f t="shared" si="2"/>
        <v>54</v>
      </c>
      <c r="F55" s="18"/>
      <c r="G55" s="18"/>
      <c r="H55" s="18"/>
      <c r="I55" s="18" t="str">
        <f>IFERROR(__xludf.DUMMYFUNCTION("""COMPUTED_VALUE"""),"Susanta Mishra")</f>
        <v>Susanta Mishra</v>
      </c>
      <c r="J55" s="18"/>
      <c r="K55" s="18"/>
    </row>
    <row r="56">
      <c r="A56" s="18"/>
      <c r="B56" s="18"/>
      <c r="C56" s="18" t="str">
        <f t="shared" si="1"/>
        <v/>
      </c>
      <c r="E56" s="18">
        <f t="shared" si="2"/>
        <v>55</v>
      </c>
      <c r="F56" s="18"/>
      <c r="G56" s="18"/>
      <c r="H56" s="18"/>
      <c r="I56" s="18" t="str">
        <f>IFERROR(__xludf.DUMMYFUNCTION("""COMPUTED_VALUE"""),"Ted Shen")</f>
        <v>Ted Shen</v>
      </c>
      <c r="J56" s="18"/>
      <c r="K56" s="18"/>
    </row>
    <row r="57">
      <c r="A57" s="18"/>
      <c r="B57" s="18"/>
      <c r="C57" s="18" t="str">
        <f t="shared" si="1"/>
        <v/>
      </c>
      <c r="E57" s="18">
        <f t="shared" si="2"/>
        <v>56</v>
      </c>
      <c r="F57" s="18"/>
      <c r="G57" s="18"/>
      <c r="H57" s="18"/>
      <c r="I57" s="18" t="str">
        <f>IFERROR(__xludf.DUMMYFUNCTION("""COMPUTED_VALUE"""),"Tina Hanson")</f>
        <v>Tina Hanson</v>
      </c>
      <c r="J57" s="18"/>
      <c r="K57" s="18"/>
    </row>
    <row r="58">
      <c r="A58" s="18"/>
      <c r="B58" s="18"/>
      <c r="C58" s="18" t="str">
        <f t="shared" si="1"/>
        <v/>
      </c>
      <c r="E58" s="18">
        <f t="shared" si="2"/>
        <v>57</v>
      </c>
      <c r="F58" s="18"/>
      <c r="G58" s="18"/>
      <c r="H58" s="18"/>
      <c r="I58" s="18" t="str">
        <f>IFERROR(__xludf.DUMMYFUNCTION("""COMPUTED_VALUE"""),"Tom Le")</f>
        <v>Tom Le</v>
      </c>
      <c r="J58" s="18"/>
      <c r="K58" s="18"/>
    </row>
    <row r="59">
      <c r="A59" s="18"/>
      <c r="B59" s="18"/>
      <c r="C59" s="18" t="str">
        <f t="shared" si="1"/>
        <v/>
      </c>
      <c r="E59" s="18">
        <f t="shared" si="2"/>
        <v>58</v>
      </c>
      <c r="F59" s="18"/>
      <c r="G59" s="18"/>
      <c r="H59" s="18"/>
      <c r="I59" s="18" t="str">
        <f>IFERROR(__xludf.DUMMYFUNCTION("""COMPUTED_VALUE"""),"Trinath Goteti")</f>
        <v>Trinath Goteti</v>
      </c>
      <c r="J59" s="18"/>
      <c r="K59" s="18"/>
    </row>
    <row r="60">
      <c r="A60" s="18"/>
      <c r="B60" s="18"/>
      <c r="C60" s="18" t="str">
        <f t="shared" si="1"/>
        <v/>
      </c>
      <c r="E60" s="18">
        <f t="shared" si="2"/>
        <v>59</v>
      </c>
      <c r="F60" s="18"/>
      <c r="G60" s="18"/>
      <c r="H60" s="18"/>
      <c r="I60" s="18" t="str">
        <f>IFERROR(__xludf.DUMMYFUNCTION("""COMPUTED_VALUE"""),"Trish Newlin")</f>
        <v>Trish Newlin</v>
      </c>
      <c r="J60" s="18"/>
      <c r="K60" s="18"/>
    </row>
    <row r="61">
      <c r="A61" s="18"/>
      <c r="B61" s="18"/>
      <c r="C61" s="18" t="str">
        <f t="shared" si="1"/>
        <v/>
      </c>
      <c r="E61" s="18">
        <f t="shared" si="2"/>
        <v>60</v>
      </c>
      <c r="F61" s="18"/>
      <c r="G61" s="18"/>
      <c r="H61" s="18"/>
      <c r="I61" s="18" t="str">
        <f>IFERROR(__xludf.DUMMYFUNCTION("""COMPUTED_VALUE"""),"Troy Wong")</f>
        <v>Troy Wong</v>
      </c>
      <c r="J61" s="18"/>
      <c r="K61" s="18"/>
    </row>
    <row r="62">
      <c r="A62" s="18"/>
      <c r="B62" s="18"/>
      <c r="C62" s="18" t="str">
        <f t="shared" si="1"/>
        <v/>
      </c>
      <c r="E62" s="18">
        <f t="shared" si="2"/>
        <v>61</v>
      </c>
      <c r="F62" s="18"/>
      <c r="G62" s="18"/>
      <c r="H62" s="18"/>
      <c r="I62" s="18" t="str">
        <f>IFERROR(__xludf.DUMMYFUNCTION("""COMPUTED_VALUE"""),"Tyler Leong")</f>
        <v>Tyler Leong</v>
      </c>
      <c r="J62" s="18"/>
      <c r="K62" s="18"/>
    </row>
    <row r="63">
      <c r="A63" s="18"/>
      <c r="B63" s="18"/>
      <c r="C63" s="18" t="str">
        <f t="shared" si="1"/>
        <v/>
      </c>
      <c r="E63" s="18">
        <f t="shared" si="2"/>
        <v>62</v>
      </c>
      <c r="F63" s="18"/>
      <c r="G63" s="18"/>
      <c r="H63" s="18"/>
      <c r="I63" s="18" t="str">
        <f>IFERROR(__xludf.DUMMYFUNCTION("""COMPUTED_VALUE"""),"Vicki Martinet")</f>
        <v>Vicki Martinet</v>
      </c>
      <c r="J63" s="18"/>
      <c r="K63" s="18"/>
    </row>
    <row r="64">
      <c r="A64" s="18"/>
      <c r="B64" s="18"/>
      <c r="C64" s="18" t="str">
        <f t="shared" si="1"/>
        <v/>
      </c>
      <c r="E64" s="18">
        <f t="shared" si="2"/>
        <v>63</v>
      </c>
      <c r="F64" s="18"/>
      <c r="G64" s="18"/>
      <c r="H64" s="18"/>
      <c r="I64" s="18" t="str">
        <f>IFERROR(__xludf.DUMMYFUNCTION("""COMPUTED_VALUE"""),"Vinaya Kajla")</f>
        <v>Vinaya Kajla</v>
      </c>
      <c r="J64" s="18"/>
      <c r="K64" s="18"/>
    </row>
    <row r="65">
      <c r="A65" s="18"/>
      <c r="B65" s="18"/>
      <c r="C65" s="18" t="str">
        <f t="shared" si="1"/>
        <v/>
      </c>
      <c r="E65" s="18">
        <f t="shared" si="2"/>
        <v>64</v>
      </c>
      <c r="F65" s="18"/>
      <c r="G65" s="18"/>
      <c r="H65" s="18"/>
      <c r="I65" s="18" t="str">
        <f>IFERROR(__xludf.DUMMYFUNCTION("""COMPUTED_VALUE"""),"Vishnu Amarnath")</f>
        <v>Vishnu Amarnath</v>
      </c>
      <c r="J65" s="18"/>
      <c r="K65" s="18"/>
    </row>
    <row r="66">
      <c r="A66" s="18"/>
      <c r="B66" s="18"/>
      <c r="C66" s="18" t="str">
        <f t="shared" si="1"/>
        <v/>
      </c>
      <c r="E66" s="18">
        <f t="shared" si="2"/>
        <v>65</v>
      </c>
      <c r="F66" s="18"/>
      <c r="G66" s="18"/>
      <c r="H66" s="18"/>
      <c r="I66" s="18" t="str">
        <f>IFERROR(__xludf.DUMMYFUNCTION("""COMPUTED_VALUE"""),"Wayne Liu")</f>
        <v>Wayne Liu</v>
      </c>
      <c r="J66" s="18"/>
      <c r="K66" s="18"/>
    </row>
  </sheetData>
  <conditionalFormatting sqref="J2:K2">
    <cfRule type="expression" dxfId="0" priority="1">
      <formula>L2&lt;&gt;""</formula>
    </cfRule>
  </conditionalFormatting>
  <conditionalFormatting sqref="K3">
    <cfRule type="expression" dxfId="0" priority="2">
      <formula>M3&lt;&gt;""</formula>
    </cfRule>
  </conditionalFormatting>
  <conditionalFormatting sqref="K4">
    <cfRule type="expression" dxfId="0" priority="3">
      <formula>M4&lt;&gt;""</formula>
    </cfRule>
  </conditionalFormatting>
  <conditionalFormatting sqref="K5">
    <cfRule type="expression" dxfId="0" priority="4">
      <formula>M5&lt;&gt;""</formula>
    </cfRule>
  </conditionalFormatting>
  <conditionalFormatting sqref="K6">
    <cfRule type="expression" dxfId="0" priority="5">
      <formula>M6&lt;&gt;""</formula>
    </cfRule>
  </conditionalFormatting>
  <conditionalFormatting sqref="K7">
    <cfRule type="expression" dxfId="0" priority="6">
      <formula>M7&lt;&gt;""</formula>
    </cfRule>
  </conditionalFormatting>
  <conditionalFormatting sqref="K8">
    <cfRule type="expression" dxfId="0" priority="7">
      <formula>M8&lt;&gt;""</formula>
    </cfRule>
  </conditionalFormatting>
  <conditionalFormatting sqref="K9">
    <cfRule type="expression" dxfId="0" priority="8">
      <formula>M9&lt;&gt;""</formula>
    </cfRule>
  </conditionalFormatting>
  <conditionalFormatting sqref="K10:K20">
    <cfRule type="expression" dxfId="0" priority="9">
      <formula>M10&lt;&gt;""</formula>
    </cfRule>
  </conditionalFormatting>
  <conditionalFormatting sqref="K11">
    <cfRule type="expression" dxfId="0" priority="10">
      <formula>M11&lt;&gt;""</formula>
    </cfRule>
  </conditionalFormatting>
  <conditionalFormatting sqref="K12">
    <cfRule type="expression" dxfId="0" priority="11">
      <formula>M12&lt;&gt;""</formula>
    </cfRule>
  </conditionalFormatting>
  <conditionalFormatting sqref="K13">
    <cfRule type="expression" dxfId="0" priority="12">
      <formula>M13&lt;&gt;""</formula>
    </cfRule>
  </conditionalFormatting>
  <conditionalFormatting sqref="K14">
    <cfRule type="expression" dxfId="0" priority="13">
      <formula>M14&lt;&gt;""</formula>
    </cfRule>
  </conditionalFormatting>
  <conditionalFormatting sqref="K15">
    <cfRule type="expression" dxfId="1" priority="14">
      <formula>M15&lt;&gt;""</formula>
    </cfRule>
  </conditionalFormatting>
  <conditionalFormatting sqref="K16">
    <cfRule type="expression" dxfId="0" priority="15">
      <formula>M16&lt;&gt;""</formula>
    </cfRule>
  </conditionalFormatting>
  <conditionalFormatting sqref="K17">
    <cfRule type="expression" dxfId="0" priority="16">
      <formula>M17&lt;&gt;""</formula>
    </cfRule>
  </conditionalFormatting>
  <conditionalFormatting sqref="K18">
    <cfRule type="expression" dxfId="0" priority="17">
      <formula>M18&lt;&gt;""</formula>
    </cfRule>
  </conditionalFormatting>
  <conditionalFormatting sqref="K19">
    <cfRule type="expression" dxfId="0" priority="18">
      <formula>M19&lt;&gt;""</formula>
    </cfRule>
  </conditionalFormatting>
  <conditionalFormatting sqref="K20">
    <cfRule type="expression" dxfId="0" priority="19">
      <formula>M20&lt;&gt;""</formula>
    </cfRule>
  </conditionalFormatting>
  <conditionalFormatting sqref="A2:A66">
    <cfRule type="expression" dxfId="2" priority="20">
      <formula>COUNTIF(A:A, A1) &gt; 1</formula>
    </cfRule>
  </conditionalFormatting>
  <conditionalFormatting sqref="Q19">
    <cfRule type="notContainsBlanks" dxfId="2" priority="21">
      <formula>LEN(TRIM(Q19))&gt;0</formula>
    </cfRule>
  </conditionalFormatting>
  <conditionalFormatting sqref="P8">
    <cfRule type="cellIs" dxfId="3" priority="22" operator="greaterThan">
      <formula>0</formula>
    </cfRule>
  </conditionalFormatting>
  <conditionalFormatting sqref="H2:H21">
    <cfRule type="notContainsBlanks" dxfId="3" priority="23">
      <formula>LEN(TRIM(H2))&gt;0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13" max="13" width="10.13"/>
    <col customWidth="1" min="15" max="15" width="10.13"/>
    <col customWidth="1" min="24" max="24" width="12.13"/>
    <col customWidth="1" min="28" max="28" width="12.13"/>
  </cols>
  <sheetData>
    <row r="1">
      <c r="A1" s="3" t="s">
        <v>0</v>
      </c>
      <c r="B1" s="3" t="s">
        <v>6</v>
      </c>
      <c r="C1" s="9">
        <v>45661.0</v>
      </c>
      <c r="D1" s="9">
        <f t="shared" ref="D1:AB1" si="1">C1+7</f>
        <v>45668</v>
      </c>
      <c r="E1" s="9">
        <f t="shared" si="1"/>
        <v>45675</v>
      </c>
      <c r="F1" s="9">
        <f t="shared" si="1"/>
        <v>45682</v>
      </c>
      <c r="G1" s="9">
        <f t="shared" si="1"/>
        <v>45689</v>
      </c>
      <c r="H1" s="9">
        <f t="shared" si="1"/>
        <v>45696</v>
      </c>
      <c r="I1" s="9">
        <f t="shared" si="1"/>
        <v>45703</v>
      </c>
      <c r="J1" s="9">
        <f t="shared" si="1"/>
        <v>45710</v>
      </c>
      <c r="K1" s="9">
        <f t="shared" si="1"/>
        <v>45717</v>
      </c>
      <c r="L1" s="9">
        <f t="shared" si="1"/>
        <v>45724</v>
      </c>
      <c r="M1" s="9">
        <f t="shared" si="1"/>
        <v>45731</v>
      </c>
      <c r="N1" s="9">
        <f t="shared" si="1"/>
        <v>45738</v>
      </c>
      <c r="O1" s="9">
        <f t="shared" si="1"/>
        <v>45745</v>
      </c>
      <c r="P1" s="9">
        <f t="shared" si="1"/>
        <v>45752</v>
      </c>
      <c r="Q1" s="9">
        <f t="shared" si="1"/>
        <v>45759</v>
      </c>
      <c r="R1" s="9">
        <f t="shared" si="1"/>
        <v>45766</v>
      </c>
      <c r="S1" s="9">
        <f t="shared" si="1"/>
        <v>45773</v>
      </c>
      <c r="T1" s="9">
        <f t="shared" si="1"/>
        <v>45780</v>
      </c>
      <c r="U1" s="9">
        <f t="shared" si="1"/>
        <v>45787</v>
      </c>
      <c r="V1" s="9">
        <f t="shared" si="1"/>
        <v>45794</v>
      </c>
      <c r="W1" s="9">
        <f t="shared" si="1"/>
        <v>45801</v>
      </c>
      <c r="X1" s="9">
        <f t="shared" si="1"/>
        <v>45808</v>
      </c>
      <c r="Y1" s="9">
        <f t="shared" si="1"/>
        <v>45815</v>
      </c>
      <c r="Z1" s="9">
        <f t="shared" si="1"/>
        <v>45822</v>
      </c>
      <c r="AA1" s="9">
        <f t="shared" si="1"/>
        <v>45829</v>
      </c>
      <c r="AB1" s="9">
        <f t="shared" si="1"/>
        <v>45836</v>
      </c>
    </row>
    <row r="2">
      <c r="A2" s="28">
        <v>1.0</v>
      </c>
      <c r="B2" s="28" t="s">
        <v>34</v>
      </c>
      <c r="C2" s="30">
        <f t="shared" ref="C2:AB2" si="2">IFERROR(VLOOKUP($B2,indirect(text(C$1,"mm/dd/yy")&amp;"!B:L"),11,false),"Not played")</f>
        <v>18</v>
      </c>
      <c r="D2" s="30">
        <f t="shared" si="2"/>
        <v>9</v>
      </c>
      <c r="E2" s="30">
        <f t="shared" si="2"/>
        <v>9</v>
      </c>
      <c r="F2" s="30">
        <f t="shared" si="2"/>
        <v>18</v>
      </c>
      <c r="G2" s="30">
        <f t="shared" si="2"/>
        <v>9</v>
      </c>
      <c r="H2" s="30">
        <f t="shared" si="2"/>
        <v>9</v>
      </c>
      <c r="I2" s="30">
        <f t="shared" si="2"/>
        <v>18</v>
      </c>
      <c r="J2" s="30">
        <f t="shared" si="2"/>
        <v>9</v>
      </c>
      <c r="K2" s="30">
        <f t="shared" si="2"/>
        <v>9</v>
      </c>
      <c r="L2" s="30">
        <f t="shared" si="2"/>
        <v>9</v>
      </c>
      <c r="M2" s="30">
        <f t="shared" si="2"/>
        <v>18</v>
      </c>
      <c r="N2" s="30">
        <f t="shared" si="2"/>
        <v>9</v>
      </c>
      <c r="O2" s="30">
        <f t="shared" si="2"/>
        <v>9</v>
      </c>
      <c r="P2" s="30">
        <f t="shared" si="2"/>
        <v>9</v>
      </c>
      <c r="Q2" s="30">
        <f t="shared" si="2"/>
        <v>18</v>
      </c>
      <c r="R2" s="30">
        <f t="shared" si="2"/>
        <v>18</v>
      </c>
      <c r="S2" s="30" t="str">
        <f t="shared" si="2"/>
        <v>Not played</v>
      </c>
      <c r="T2" s="30" t="str">
        <f t="shared" si="2"/>
        <v>Not played</v>
      </c>
      <c r="U2" s="30">
        <f t="shared" si="2"/>
        <v>17</v>
      </c>
      <c r="V2" s="30">
        <f t="shared" si="2"/>
        <v>9</v>
      </c>
      <c r="W2" s="30">
        <f t="shared" si="2"/>
        <v>9</v>
      </c>
      <c r="X2" s="30">
        <f t="shared" si="2"/>
        <v>9</v>
      </c>
      <c r="Y2" s="30">
        <f t="shared" si="2"/>
        <v>9</v>
      </c>
      <c r="Z2" s="30">
        <f t="shared" si="2"/>
        <v>18</v>
      </c>
      <c r="AA2" s="30">
        <f t="shared" si="2"/>
        <v>9</v>
      </c>
      <c r="AB2" s="30">
        <f t="shared" si="2"/>
        <v>9</v>
      </c>
    </row>
    <row r="3">
      <c r="A3" s="28">
        <f t="shared" ref="A3:A66" si="4">A2+1</f>
        <v>2</v>
      </c>
      <c r="B3" s="28" t="s">
        <v>44</v>
      </c>
      <c r="C3" s="30">
        <f t="shared" ref="C3:AB3" si="3">IFERROR(VLOOKUP($B3,indirect(text(C$1,"mm/dd/yy")&amp;"!B:L"),11,false),"Not played")</f>
        <v>19</v>
      </c>
      <c r="D3" s="30">
        <f t="shared" si="3"/>
        <v>19</v>
      </c>
      <c r="E3" s="30">
        <f t="shared" si="3"/>
        <v>9</v>
      </c>
      <c r="F3" s="30">
        <f t="shared" si="3"/>
        <v>9</v>
      </c>
      <c r="G3" s="30">
        <f t="shared" si="3"/>
        <v>18</v>
      </c>
      <c r="H3" s="30">
        <f t="shared" si="3"/>
        <v>18</v>
      </c>
      <c r="I3" s="30">
        <f t="shared" si="3"/>
        <v>12</v>
      </c>
      <c r="J3" s="30">
        <f t="shared" si="3"/>
        <v>9</v>
      </c>
      <c r="K3" s="30">
        <f t="shared" si="3"/>
        <v>12</v>
      </c>
      <c r="L3" s="30">
        <f t="shared" si="3"/>
        <v>16</v>
      </c>
      <c r="M3" s="30">
        <f t="shared" si="3"/>
        <v>11</v>
      </c>
      <c r="N3" s="30">
        <f t="shared" si="3"/>
        <v>15</v>
      </c>
      <c r="O3" s="30">
        <f t="shared" si="3"/>
        <v>11</v>
      </c>
      <c r="P3" s="30">
        <f t="shared" si="3"/>
        <v>19</v>
      </c>
      <c r="Q3" s="30">
        <f t="shared" si="3"/>
        <v>9</v>
      </c>
      <c r="R3" s="30">
        <f t="shared" si="3"/>
        <v>9</v>
      </c>
      <c r="S3" s="30" t="str">
        <f t="shared" si="3"/>
        <v>Not played</v>
      </c>
      <c r="T3" s="30" t="str">
        <f t="shared" si="3"/>
        <v>Not played</v>
      </c>
      <c r="U3" s="30">
        <f t="shared" si="3"/>
        <v>9</v>
      </c>
      <c r="V3" s="30">
        <f t="shared" si="3"/>
        <v>9</v>
      </c>
      <c r="W3" s="30">
        <f t="shared" si="3"/>
        <v>9</v>
      </c>
      <c r="X3" s="30">
        <f t="shared" si="3"/>
        <v>9</v>
      </c>
      <c r="Y3" s="30">
        <f t="shared" si="3"/>
        <v>9</v>
      </c>
      <c r="Z3" s="30">
        <f t="shared" si="3"/>
        <v>9</v>
      </c>
      <c r="AA3" s="30">
        <f t="shared" si="3"/>
        <v>9</v>
      </c>
      <c r="AB3" s="30">
        <f t="shared" si="3"/>
        <v>9</v>
      </c>
    </row>
    <row r="4">
      <c r="A4" s="28">
        <f t="shared" si="4"/>
        <v>3</v>
      </c>
      <c r="B4" s="43" t="s">
        <v>56</v>
      </c>
      <c r="C4" s="30">
        <f t="shared" ref="C4:AB4" si="5">IFERROR(VLOOKUP($B4,indirect(text(C$1,"mm/dd/yy")&amp;"!B:L"),11,false),"Not played")</f>
        <v>12</v>
      </c>
      <c r="D4" s="30">
        <f t="shared" si="5"/>
        <v>15</v>
      </c>
      <c r="E4" s="30">
        <f t="shared" si="5"/>
        <v>14</v>
      </c>
      <c r="F4" s="30">
        <f t="shared" si="5"/>
        <v>12</v>
      </c>
      <c r="G4" s="30">
        <f t="shared" si="5"/>
        <v>15</v>
      </c>
      <c r="H4" s="30">
        <f t="shared" si="5"/>
        <v>10</v>
      </c>
      <c r="I4" s="30">
        <f t="shared" si="5"/>
        <v>15</v>
      </c>
      <c r="J4" s="30">
        <f t="shared" si="5"/>
        <v>16</v>
      </c>
      <c r="K4" s="30">
        <f t="shared" si="5"/>
        <v>14</v>
      </c>
      <c r="L4" s="30">
        <f t="shared" si="5"/>
        <v>8</v>
      </c>
      <c r="M4" s="30">
        <f t="shared" si="5"/>
        <v>11</v>
      </c>
      <c r="N4" s="30">
        <f t="shared" si="5"/>
        <v>17</v>
      </c>
      <c r="O4" s="30">
        <f t="shared" si="5"/>
        <v>14</v>
      </c>
      <c r="P4" s="30">
        <f t="shared" si="5"/>
        <v>4</v>
      </c>
      <c r="Q4" s="30">
        <f t="shared" si="5"/>
        <v>11</v>
      </c>
      <c r="R4" s="30">
        <f t="shared" si="5"/>
        <v>14</v>
      </c>
      <c r="S4" s="30" t="str">
        <f t="shared" si="5"/>
        <v>Not played</v>
      </c>
      <c r="T4" s="30" t="str">
        <f t="shared" si="5"/>
        <v>Not played</v>
      </c>
      <c r="U4" s="30">
        <f t="shared" si="5"/>
        <v>7</v>
      </c>
      <c r="V4" s="30">
        <f t="shared" si="5"/>
        <v>5</v>
      </c>
      <c r="W4" s="30">
        <f t="shared" si="5"/>
        <v>10</v>
      </c>
      <c r="X4" s="30">
        <f t="shared" si="5"/>
        <v>18</v>
      </c>
      <c r="Y4" s="30">
        <f t="shared" si="5"/>
        <v>16</v>
      </c>
      <c r="Z4" s="30">
        <f t="shared" si="5"/>
        <v>10</v>
      </c>
      <c r="AA4" s="30">
        <f t="shared" si="5"/>
        <v>15</v>
      </c>
      <c r="AB4" s="30">
        <f t="shared" si="5"/>
        <v>12</v>
      </c>
    </row>
    <row r="5">
      <c r="A5" s="28">
        <f t="shared" si="4"/>
        <v>4</v>
      </c>
      <c r="B5" s="43" t="s">
        <v>61</v>
      </c>
      <c r="C5" s="30">
        <f t="shared" ref="C5:AB5" si="6">IFERROR(VLOOKUP($B5,indirect(text(C$1,"mm/dd/yy")&amp;"!B:L"),11,false),"Not played")</f>
        <v>12</v>
      </c>
      <c r="D5" s="30">
        <f t="shared" si="6"/>
        <v>8</v>
      </c>
      <c r="E5" s="30">
        <f t="shared" si="6"/>
        <v>8</v>
      </c>
      <c r="F5" s="30">
        <f t="shared" si="6"/>
        <v>13</v>
      </c>
      <c r="G5" s="30">
        <f t="shared" si="6"/>
        <v>10</v>
      </c>
      <c r="H5" s="30">
        <f t="shared" si="6"/>
        <v>18</v>
      </c>
      <c r="I5" s="30">
        <f t="shared" si="6"/>
        <v>10</v>
      </c>
      <c r="J5" s="30">
        <f t="shared" si="6"/>
        <v>14</v>
      </c>
      <c r="K5" s="30">
        <f t="shared" si="6"/>
        <v>16</v>
      </c>
      <c r="L5" s="30">
        <f t="shared" si="6"/>
        <v>7</v>
      </c>
      <c r="M5" s="30">
        <f t="shared" si="6"/>
        <v>8</v>
      </c>
      <c r="N5" s="30">
        <f t="shared" si="6"/>
        <v>15</v>
      </c>
      <c r="O5" s="30">
        <f t="shared" si="6"/>
        <v>14</v>
      </c>
      <c r="P5" s="30">
        <f t="shared" si="6"/>
        <v>14</v>
      </c>
      <c r="Q5" s="30">
        <f t="shared" si="6"/>
        <v>17</v>
      </c>
      <c r="R5" s="30">
        <f t="shared" si="6"/>
        <v>5</v>
      </c>
      <c r="S5" s="30" t="str">
        <f t="shared" si="6"/>
        <v>Not played</v>
      </c>
      <c r="T5" s="30" t="str">
        <f t="shared" si="6"/>
        <v>Not played</v>
      </c>
      <c r="U5" s="30">
        <f t="shared" si="6"/>
        <v>12</v>
      </c>
      <c r="V5" s="30">
        <f t="shared" si="6"/>
        <v>9</v>
      </c>
      <c r="W5" s="30">
        <f t="shared" si="6"/>
        <v>14</v>
      </c>
      <c r="X5" s="30">
        <f t="shared" si="6"/>
        <v>10</v>
      </c>
      <c r="Y5" s="30">
        <f t="shared" si="6"/>
        <v>13</v>
      </c>
      <c r="Z5" s="30">
        <f t="shared" si="6"/>
        <v>12</v>
      </c>
      <c r="AA5" s="30">
        <f t="shared" si="6"/>
        <v>14</v>
      </c>
      <c r="AB5" s="30">
        <f t="shared" si="6"/>
        <v>10</v>
      </c>
    </row>
    <row r="6">
      <c r="A6" s="28">
        <f t="shared" si="4"/>
        <v>5</v>
      </c>
      <c r="B6" s="48" t="s">
        <v>70</v>
      </c>
      <c r="C6" s="30">
        <f t="shared" ref="C6:AB6" si="7">IFERROR(VLOOKUP($B6,indirect(text(C$1,"mm/dd/yy")&amp;"!B:L"),11,false),"Not played")</f>
        <v>13</v>
      </c>
      <c r="D6" s="30">
        <f t="shared" si="7"/>
        <v>13</v>
      </c>
      <c r="E6" s="30">
        <f t="shared" si="7"/>
        <v>13</v>
      </c>
      <c r="F6" s="30">
        <f t="shared" si="7"/>
        <v>12</v>
      </c>
      <c r="G6" s="30">
        <f t="shared" si="7"/>
        <v>9</v>
      </c>
      <c r="H6" s="30">
        <f t="shared" si="7"/>
        <v>8</v>
      </c>
      <c r="I6" s="30">
        <f t="shared" si="7"/>
        <v>11</v>
      </c>
      <c r="J6" s="30">
        <f t="shared" si="7"/>
        <v>8</v>
      </c>
      <c r="K6" s="30">
        <f t="shared" si="7"/>
        <v>9</v>
      </c>
      <c r="L6" s="30">
        <f t="shared" si="7"/>
        <v>9</v>
      </c>
      <c r="M6" s="30">
        <f t="shared" si="7"/>
        <v>9</v>
      </c>
      <c r="N6" s="30">
        <f t="shared" si="7"/>
        <v>9</v>
      </c>
      <c r="O6" s="30">
        <f t="shared" si="7"/>
        <v>9</v>
      </c>
      <c r="P6" s="30">
        <f t="shared" si="7"/>
        <v>17</v>
      </c>
      <c r="Q6" s="30">
        <f t="shared" si="7"/>
        <v>9</v>
      </c>
      <c r="R6" s="30">
        <f t="shared" si="7"/>
        <v>9</v>
      </c>
      <c r="S6" s="30" t="str">
        <f t="shared" si="7"/>
        <v>Not played</v>
      </c>
      <c r="T6" s="30" t="str">
        <f t="shared" si="7"/>
        <v>Not played</v>
      </c>
      <c r="U6" s="30">
        <f t="shared" si="7"/>
        <v>9</v>
      </c>
      <c r="V6" s="30">
        <f t="shared" si="7"/>
        <v>12</v>
      </c>
      <c r="W6" s="30">
        <f t="shared" si="7"/>
        <v>17</v>
      </c>
      <c r="X6" s="30">
        <f t="shared" si="7"/>
        <v>18</v>
      </c>
      <c r="Y6" s="30">
        <f t="shared" si="7"/>
        <v>18</v>
      </c>
      <c r="Z6" s="30">
        <f t="shared" si="7"/>
        <v>12</v>
      </c>
      <c r="AA6" s="30">
        <f t="shared" si="7"/>
        <v>15</v>
      </c>
      <c r="AB6" s="30">
        <f t="shared" si="7"/>
        <v>12</v>
      </c>
    </row>
    <row r="7">
      <c r="A7" s="28">
        <f t="shared" si="4"/>
        <v>6</v>
      </c>
      <c r="B7" s="28" t="s">
        <v>72</v>
      </c>
      <c r="C7" s="30">
        <f t="shared" ref="C7:AB7" si="8">IFERROR(VLOOKUP($B7,indirect(text(C$1,"mm/dd/yy")&amp;"!B:L"),11,false),"Not played")</f>
        <v>13</v>
      </c>
      <c r="D7" s="30">
        <f t="shared" si="8"/>
        <v>9</v>
      </c>
      <c r="E7" s="30">
        <f t="shared" si="8"/>
        <v>9</v>
      </c>
      <c r="F7" s="30">
        <f t="shared" si="8"/>
        <v>9</v>
      </c>
      <c r="G7" s="30">
        <f t="shared" si="8"/>
        <v>9</v>
      </c>
      <c r="H7" s="30">
        <f t="shared" si="8"/>
        <v>9</v>
      </c>
      <c r="I7" s="30">
        <f t="shared" si="8"/>
        <v>9</v>
      </c>
      <c r="J7" s="30">
        <f t="shared" si="8"/>
        <v>9</v>
      </c>
      <c r="K7" s="30">
        <f t="shared" si="8"/>
        <v>9</v>
      </c>
      <c r="L7" s="30">
        <f t="shared" si="8"/>
        <v>9</v>
      </c>
      <c r="M7" s="30">
        <f t="shared" si="8"/>
        <v>9</v>
      </c>
      <c r="N7" s="30">
        <f t="shared" si="8"/>
        <v>9</v>
      </c>
      <c r="O7" s="30">
        <f t="shared" si="8"/>
        <v>9</v>
      </c>
      <c r="P7" s="30">
        <f t="shared" si="8"/>
        <v>9</v>
      </c>
      <c r="Q7" s="30">
        <f t="shared" si="8"/>
        <v>9</v>
      </c>
      <c r="R7" s="30">
        <f t="shared" si="8"/>
        <v>9</v>
      </c>
      <c r="S7" s="30" t="str">
        <f t="shared" si="8"/>
        <v>Not played</v>
      </c>
      <c r="T7" s="30" t="str">
        <f t="shared" si="8"/>
        <v>Not played</v>
      </c>
      <c r="U7" s="30">
        <f t="shared" si="8"/>
        <v>9</v>
      </c>
      <c r="V7" s="30">
        <f t="shared" si="8"/>
        <v>9</v>
      </c>
      <c r="W7" s="30">
        <f t="shared" si="8"/>
        <v>9</v>
      </c>
      <c r="X7" s="30">
        <f t="shared" si="8"/>
        <v>9</v>
      </c>
      <c r="Y7" s="30">
        <f t="shared" si="8"/>
        <v>8</v>
      </c>
      <c r="Z7" s="30">
        <f t="shared" si="8"/>
        <v>9</v>
      </c>
      <c r="AA7" s="30">
        <f t="shared" si="8"/>
        <v>14</v>
      </c>
      <c r="AB7" s="30">
        <f t="shared" si="8"/>
        <v>15</v>
      </c>
    </row>
    <row r="8">
      <c r="A8" s="28">
        <f t="shared" si="4"/>
        <v>7</v>
      </c>
      <c r="B8" s="43" t="s">
        <v>78</v>
      </c>
      <c r="C8" s="30">
        <f t="shared" ref="C8:AB8" si="9">IFERROR(VLOOKUP($B8,indirect(text(C$1,"mm/dd/yy")&amp;"!B:L"),11,false),"Not played")</f>
        <v>9</v>
      </c>
      <c r="D8" s="30">
        <f t="shared" si="9"/>
        <v>7</v>
      </c>
      <c r="E8" s="30">
        <f t="shared" si="9"/>
        <v>10</v>
      </c>
      <c r="F8" s="30">
        <f t="shared" si="9"/>
        <v>9</v>
      </c>
      <c r="G8" s="30">
        <f t="shared" si="9"/>
        <v>2</v>
      </c>
      <c r="H8" s="30">
        <f t="shared" si="9"/>
        <v>9</v>
      </c>
      <c r="I8" s="30">
        <f t="shared" si="9"/>
        <v>11</v>
      </c>
      <c r="J8" s="30">
        <f t="shared" si="9"/>
        <v>9</v>
      </c>
      <c r="K8" s="30">
        <f t="shared" si="9"/>
        <v>9</v>
      </c>
      <c r="L8" s="30">
        <f t="shared" si="9"/>
        <v>9</v>
      </c>
      <c r="M8" s="30">
        <f t="shared" si="9"/>
        <v>9</v>
      </c>
      <c r="N8" s="30">
        <f t="shared" si="9"/>
        <v>8</v>
      </c>
      <c r="O8" s="30">
        <f t="shared" si="9"/>
        <v>9</v>
      </c>
      <c r="P8" s="30">
        <f t="shared" si="9"/>
        <v>9</v>
      </c>
      <c r="Q8" s="30">
        <f t="shared" si="9"/>
        <v>9</v>
      </c>
      <c r="R8" s="30">
        <f t="shared" si="9"/>
        <v>9</v>
      </c>
      <c r="S8" s="30" t="str">
        <f t="shared" si="9"/>
        <v>Not played</v>
      </c>
      <c r="T8" s="30" t="str">
        <f t="shared" si="9"/>
        <v>Not played</v>
      </c>
      <c r="U8" s="30">
        <f t="shared" si="9"/>
        <v>9</v>
      </c>
      <c r="V8" s="30">
        <f t="shared" si="9"/>
        <v>1</v>
      </c>
      <c r="W8" s="30">
        <f t="shared" si="9"/>
        <v>9</v>
      </c>
      <c r="X8" s="30">
        <f t="shared" si="9"/>
        <v>9</v>
      </c>
      <c r="Y8" s="30">
        <f t="shared" si="9"/>
        <v>9</v>
      </c>
      <c r="Z8" s="30">
        <f t="shared" si="9"/>
        <v>9</v>
      </c>
      <c r="AA8" s="30">
        <f t="shared" si="9"/>
        <v>4</v>
      </c>
      <c r="AB8" s="30">
        <f t="shared" si="9"/>
        <v>9</v>
      </c>
    </row>
    <row r="9">
      <c r="A9" s="28">
        <f t="shared" si="4"/>
        <v>8</v>
      </c>
      <c r="B9" s="43" t="s">
        <v>87</v>
      </c>
      <c r="C9" s="30">
        <f t="shared" ref="C9:AB9" si="10">IFERROR(VLOOKUP($B9,indirect(text(C$1,"mm/dd/yy")&amp;"!B:L"),11,false),"Not played")</f>
        <v>16</v>
      </c>
      <c r="D9" s="30">
        <f t="shared" si="10"/>
        <v>19</v>
      </c>
      <c r="E9" s="30">
        <f t="shared" si="10"/>
        <v>15</v>
      </c>
      <c r="F9" s="30">
        <f t="shared" si="10"/>
        <v>8</v>
      </c>
      <c r="G9" s="30">
        <f t="shared" si="10"/>
        <v>9</v>
      </c>
      <c r="H9" s="30">
        <f t="shared" si="10"/>
        <v>14</v>
      </c>
      <c r="I9" s="30">
        <f t="shared" si="10"/>
        <v>19</v>
      </c>
      <c r="J9" s="30">
        <f t="shared" si="10"/>
        <v>9</v>
      </c>
      <c r="K9" s="30">
        <f t="shared" si="10"/>
        <v>16</v>
      </c>
      <c r="L9" s="30">
        <f t="shared" si="10"/>
        <v>16</v>
      </c>
      <c r="M9" s="30">
        <f t="shared" si="10"/>
        <v>12</v>
      </c>
      <c r="N9" s="30">
        <f t="shared" si="10"/>
        <v>10</v>
      </c>
      <c r="O9" s="30">
        <f t="shared" si="10"/>
        <v>9</v>
      </c>
      <c r="P9" s="30">
        <f t="shared" si="10"/>
        <v>14</v>
      </c>
      <c r="Q9" s="30">
        <f t="shared" si="10"/>
        <v>15</v>
      </c>
      <c r="R9" s="30">
        <f t="shared" si="10"/>
        <v>18</v>
      </c>
      <c r="S9" s="30" t="str">
        <f t="shared" si="10"/>
        <v>Not played</v>
      </c>
      <c r="T9" s="30" t="str">
        <f t="shared" si="10"/>
        <v>Not played</v>
      </c>
      <c r="U9" s="30">
        <f t="shared" si="10"/>
        <v>13</v>
      </c>
      <c r="V9" s="30">
        <f t="shared" si="10"/>
        <v>9</v>
      </c>
      <c r="W9" s="30">
        <f t="shared" si="10"/>
        <v>9</v>
      </c>
      <c r="X9" s="30">
        <f t="shared" si="10"/>
        <v>11</v>
      </c>
      <c r="Y9" s="30">
        <f t="shared" si="10"/>
        <v>18</v>
      </c>
      <c r="Z9" s="30">
        <f t="shared" si="10"/>
        <v>9</v>
      </c>
      <c r="AA9" s="30">
        <f t="shared" si="10"/>
        <v>9</v>
      </c>
      <c r="AB9" s="30">
        <f t="shared" si="10"/>
        <v>14</v>
      </c>
    </row>
    <row r="10">
      <c r="A10" s="28">
        <f t="shared" si="4"/>
        <v>9</v>
      </c>
      <c r="B10" s="43" t="s">
        <v>90</v>
      </c>
      <c r="C10" s="30">
        <f t="shared" ref="C10:AB10" si="11">IFERROR(VLOOKUP($B10,indirect(text(C$1,"mm/dd/yy")&amp;"!B:L"),11,false),"Not played")</f>
        <v>13</v>
      </c>
      <c r="D10" s="30">
        <f t="shared" si="11"/>
        <v>13</v>
      </c>
      <c r="E10" s="30">
        <f t="shared" si="11"/>
        <v>18</v>
      </c>
      <c r="F10" s="30">
        <f t="shared" si="11"/>
        <v>10</v>
      </c>
      <c r="G10" s="30">
        <f t="shared" si="11"/>
        <v>9</v>
      </c>
      <c r="H10" s="30">
        <f t="shared" si="11"/>
        <v>13</v>
      </c>
      <c r="I10" s="30">
        <f t="shared" si="11"/>
        <v>9</v>
      </c>
      <c r="J10" s="30">
        <f t="shared" si="11"/>
        <v>7</v>
      </c>
      <c r="K10" s="30">
        <f t="shared" si="11"/>
        <v>9</v>
      </c>
      <c r="L10" s="30">
        <f t="shared" si="11"/>
        <v>11</v>
      </c>
      <c r="M10" s="30">
        <f t="shared" si="11"/>
        <v>19</v>
      </c>
      <c r="N10" s="30">
        <f t="shared" si="11"/>
        <v>12</v>
      </c>
      <c r="O10" s="30">
        <f t="shared" si="11"/>
        <v>18</v>
      </c>
      <c r="P10" s="30">
        <f t="shared" si="11"/>
        <v>15</v>
      </c>
      <c r="Q10" s="30">
        <f t="shared" si="11"/>
        <v>10</v>
      </c>
      <c r="R10" s="30">
        <f t="shared" si="11"/>
        <v>14</v>
      </c>
      <c r="S10" s="30" t="str">
        <f t="shared" si="11"/>
        <v>Not played</v>
      </c>
      <c r="T10" s="30" t="str">
        <f t="shared" si="11"/>
        <v>Not played</v>
      </c>
      <c r="U10" s="30">
        <f t="shared" si="11"/>
        <v>6</v>
      </c>
      <c r="V10" s="30">
        <f t="shared" si="11"/>
        <v>15</v>
      </c>
      <c r="W10" s="30">
        <f t="shared" si="11"/>
        <v>9</v>
      </c>
      <c r="X10" s="30">
        <f t="shared" si="11"/>
        <v>13</v>
      </c>
      <c r="Y10" s="30">
        <f t="shared" si="11"/>
        <v>13</v>
      </c>
      <c r="Z10" s="30">
        <f t="shared" si="11"/>
        <v>7</v>
      </c>
      <c r="AA10" s="30">
        <f t="shared" si="11"/>
        <v>17</v>
      </c>
      <c r="AB10" s="30">
        <f t="shared" si="11"/>
        <v>10</v>
      </c>
    </row>
    <row r="11">
      <c r="A11" s="28">
        <f t="shared" si="4"/>
        <v>10</v>
      </c>
      <c r="B11" s="43" t="s">
        <v>94</v>
      </c>
      <c r="C11" s="30">
        <f t="shared" ref="C11:AB11" si="12">IFERROR(VLOOKUP($B11,indirect(text(C$1,"mm/dd/yy")&amp;"!B:L"),11,false),"Not played")</f>
        <v>19</v>
      </c>
      <c r="D11" s="30">
        <f t="shared" si="12"/>
        <v>13</v>
      </c>
      <c r="E11" s="30">
        <f t="shared" si="12"/>
        <v>9</v>
      </c>
      <c r="F11" s="30">
        <f t="shared" si="12"/>
        <v>12</v>
      </c>
      <c r="G11" s="30">
        <f t="shared" si="12"/>
        <v>9</v>
      </c>
      <c r="H11" s="30">
        <f t="shared" si="12"/>
        <v>18</v>
      </c>
      <c r="I11" s="30">
        <f t="shared" si="12"/>
        <v>15</v>
      </c>
      <c r="J11" s="30">
        <f t="shared" si="12"/>
        <v>16</v>
      </c>
      <c r="K11" s="30">
        <f t="shared" si="12"/>
        <v>9</v>
      </c>
      <c r="L11" s="30">
        <f t="shared" si="12"/>
        <v>9</v>
      </c>
      <c r="M11" s="30">
        <f t="shared" si="12"/>
        <v>17</v>
      </c>
      <c r="N11" s="30">
        <f t="shared" si="12"/>
        <v>17</v>
      </c>
      <c r="O11" s="30">
        <f t="shared" si="12"/>
        <v>21</v>
      </c>
      <c r="P11" s="30">
        <f t="shared" si="12"/>
        <v>8</v>
      </c>
      <c r="Q11" s="30">
        <f t="shared" si="12"/>
        <v>9</v>
      </c>
      <c r="R11" s="30">
        <f t="shared" si="12"/>
        <v>14</v>
      </c>
      <c r="S11" s="30" t="str">
        <f t="shared" si="12"/>
        <v>Not played</v>
      </c>
      <c r="T11" s="30" t="str">
        <f t="shared" si="12"/>
        <v>Not played</v>
      </c>
      <c r="U11" s="30">
        <f t="shared" si="12"/>
        <v>16</v>
      </c>
      <c r="V11" s="30">
        <f t="shared" si="12"/>
        <v>9</v>
      </c>
      <c r="W11" s="30">
        <f t="shared" si="12"/>
        <v>11</v>
      </c>
      <c r="X11" s="30">
        <f t="shared" si="12"/>
        <v>9</v>
      </c>
      <c r="Y11" s="30">
        <f t="shared" si="12"/>
        <v>9</v>
      </c>
      <c r="Z11" s="30">
        <f t="shared" si="12"/>
        <v>9</v>
      </c>
      <c r="AA11" s="30">
        <f t="shared" si="12"/>
        <v>9</v>
      </c>
      <c r="AB11" s="30">
        <f t="shared" si="12"/>
        <v>9</v>
      </c>
    </row>
    <row r="12">
      <c r="A12" s="28">
        <f t="shared" si="4"/>
        <v>11</v>
      </c>
      <c r="B12" s="43" t="s">
        <v>96</v>
      </c>
      <c r="C12" s="30">
        <f t="shared" ref="C12:AB12" si="13">IFERROR(VLOOKUP($B12,indirect(text(C$1,"mm/dd/yy")&amp;"!B:L"),11,false),"Not played")</f>
        <v>13</v>
      </c>
      <c r="D12" s="30">
        <f t="shared" si="13"/>
        <v>9</v>
      </c>
      <c r="E12" s="30">
        <f t="shared" si="13"/>
        <v>11</v>
      </c>
      <c r="F12" s="30">
        <f t="shared" si="13"/>
        <v>13</v>
      </c>
      <c r="G12" s="30">
        <f t="shared" si="13"/>
        <v>11</v>
      </c>
      <c r="H12" s="30">
        <f t="shared" si="13"/>
        <v>13</v>
      </c>
      <c r="I12" s="30">
        <f t="shared" si="13"/>
        <v>12</v>
      </c>
      <c r="J12" s="30">
        <f t="shared" si="13"/>
        <v>9</v>
      </c>
      <c r="K12" s="30">
        <f t="shared" si="13"/>
        <v>9</v>
      </c>
      <c r="L12" s="30">
        <f t="shared" si="13"/>
        <v>9</v>
      </c>
      <c r="M12" s="30">
        <f t="shared" si="13"/>
        <v>13</v>
      </c>
      <c r="N12" s="30">
        <f t="shared" si="13"/>
        <v>9</v>
      </c>
      <c r="O12" s="30">
        <f t="shared" si="13"/>
        <v>11</v>
      </c>
      <c r="P12" s="30">
        <f t="shared" si="13"/>
        <v>14</v>
      </c>
      <c r="Q12" s="30">
        <f t="shared" si="13"/>
        <v>14</v>
      </c>
      <c r="R12" s="30">
        <f t="shared" si="13"/>
        <v>7</v>
      </c>
      <c r="S12" s="30" t="str">
        <f t="shared" si="13"/>
        <v>Not played</v>
      </c>
      <c r="T12" s="30" t="str">
        <f t="shared" si="13"/>
        <v>Not played</v>
      </c>
      <c r="U12" s="30">
        <f t="shared" si="13"/>
        <v>9</v>
      </c>
      <c r="V12" s="30">
        <f t="shared" si="13"/>
        <v>9</v>
      </c>
      <c r="W12" s="30">
        <f t="shared" si="13"/>
        <v>9</v>
      </c>
      <c r="X12" s="30">
        <f t="shared" si="13"/>
        <v>11</v>
      </c>
      <c r="Y12" s="30">
        <f t="shared" si="13"/>
        <v>9</v>
      </c>
      <c r="Z12" s="30">
        <f t="shared" si="13"/>
        <v>10</v>
      </c>
      <c r="AA12" s="30">
        <f t="shared" si="13"/>
        <v>15</v>
      </c>
      <c r="AB12" s="30">
        <f t="shared" si="13"/>
        <v>10</v>
      </c>
    </row>
    <row r="13">
      <c r="A13" s="28">
        <f t="shared" si="4"/>
        <v>12</v>
      </c>
      <c r="B13" s="28" t="s">
        <v>97</v>
      </c>
      <c r="C13" s="30">
        <f t="shared" ref="C13:AB13" si="14">IFERROR(VLOOKUP($B13,indirect(text(C$1,"mm/dd/yy")&amp;"!B:L"),11,false),"Not played")</f>
        <v>13</v>
      </c>
      <c r="D13" s="30">
        <f t="shared" si="14"/>
        <v>9</v>
      </c>
      <c r="E13" s="30">
        <f t="shared" si="14"/>
        <v>18</v>
      </c>
      <c r="F13" s="30">
        <f t="shared" si="14"/>
        <v>12</v>
      </c>
      <c r="G13" s="30">
        <f t="shared" si="14"/>
        <v>13</v>
      </c>
      <c r="H13" s="30">
        <f t="shared" si="14"/>
        <v>13</v>
      </c>
      <c r="I13" s="30">
        <f t="shared" si="14"/>
        <v>19</v>
      </c>
      <c r="J13" s="30">
        <f t="shared" si="14"/>
        <v>16</v>
      </c>
      <c r="K13" s="30">
        <f t="shared" si="14"/>
        <v>13</v>
      </c>
      <c r="L13" s="30">
        <f t="shared" si="14"/>
        <v>16</v>
      </c>
      <c r="M13" s="30">
        <f t="shared" si="14"/>
        <v>9</v>
      </c>
      <c r="N13" s="30">
        <f t="shared" si="14"/>
        <v>16</v>
      </c>
      <c r="O13" s="30">
        <f t="shared" si="14"/>
        <v>11</v>
      </c>
      <c r="P13" s="30">
        <f t="shared" si="14"/>
        <v>15</v>
      </c>
      <c r="Q13" s="30">
        <f t="shared" si="14"/>
        <v>12</v>
      </c>
      <c r="R13" s="30">
        <f t="shared" si="14"/>
        <v>15</v>
      </c>
      <c r="S13" s="30" t="str">
        <f t="shared" si="14"/>
        <v>Not played</v>
      </c>
      <c r="T13" s="30" t="str">
        <f t="shared" si="14"/>
        <v>Not played</v>
      </c>
      <c r="U13" s="30">
        <f t="shared" si="14"/>
        <v>13</v>
      </c>
      <c r="V13" s="30">
        <f t="shared" si="14"/>
        <v>12</v>
      </c>
      <c r="W13" s="30">
        <f t="shared" si="14"/>
        <v>12</v>
      </c>
      <c r="X13" s="30">
        <f t="shared" si="14"/>
        <v>9</v>
      </c>
      <c r="Y13" s="30">
        <f t="shared" si="14"/>
        <v>10</v>
      </c>
      <c r="Z13" s="30">
        <f t="shared" si="14"/>
        <v>9</v>
      </c>
      <c r="AA13" s="30">
        <f t="shared" si="14"/>
        <v>9</v>
      </c>
      <c r="AB13" s="30">
        <f t="shared" si="14"/>
        <v>9</v>
      </c>
    </row>
    <row r="14">
      <c r="A14" s="28">
        <f t="shared" si="4"/>
        <v>13</v>
      </c>
      <c r="B14" s="43" t="s">
        <v>99</v>
      </c>
      <c r="C14" s="30">
        <f t="shared" ref="C14:AB14" si="15">IFERROR(VLOOKUP($B14,indirect(text(C$1,"mm/dd/yy")&amp;"!B:L"),11,false),"Not played")</f>
        <v>11</v>
      </c>
      <c r="D14" s="30">
        <f t="shared" si="15"/>
        <v>14</v>
      </c>
      <c r="E14" s="30">
        <f t="shared" si="15"/>
        <v>9</v>
      </c>
      <c r="F14" s="30">
        <f t="shared" si="15"/>
        <v>9</v>
      </c>
      <c r="G14" s="30">
        <f t="shared" si="15"/>
        <v>16</v>
      </c>
      <c r="H14" s="30">
        <f t="shared" si="15"/>
        <v>9</v>
      </c>
      <c r="I14" s="30">
        <f t="shared" si="15"/>
        <v>9</v>
      </c>
      <c r="J14" s="30">
        <f t="shared" si="15"/>
        <v>9</v>
      </c>
      <c r="K14" s="30">
        <f t="shared" si="15"/>
        <v>9</v>
      </c>
      <c r="L14" s="30">
        <f t="shared" si="15"/>
        <v>19</v>
      </c>
      <c r="M14" s="30">
        <f t="shared" si="15"/>
        <v>16</v>
      </c>
      <c r="N14" s="30">
        <f t="shared" si="15"/>
        <v>11</v>
      </c>
      <c r="O14" s="30">
        <f t="shared" si="15"/>
        <v>9</v>
      </c>
      <c r="P14" s="30">
        <f t="shared" si="15"/>
        <v>14</v>
      </c>
      <c r="Q14" s="30">
        <f t="shared" si="15"/>
        <v>19</v>
      </c>
      <c r="R14" s="30">
        <f t="shared" si="15"/>
        <v>9</v>
      </c>
      <c r="S14" s="30" t="str">
        <f t="shared" si="15"/>
        <v>Not played</v>
      </c>
      <c r="T14" s="30" t="str">
        <f t="shared" si="15"/>
        <v>Not played</v>
      </c>
      <c r="U14" s="30">
        <f t="shared" si="15"/>
        <v>13</v>
      </c>
      <c r="V14" s="30">
        <f t="shared" si="15"/>
        <v>15</v>
      </c>
      <c r="W14" s="30">
        <f t="shared" si="15"/>
        <v>9</v>
      </c>
      <c r="X14" s="30">
        <f t="shared" si="15"/>
        <v>9</v>
      </c>
      <c r="Y14" s="30">
        <f t="shared" si="15"/>
        <v>14</v>
      </c>
      <c r="Z14" s="30">
        <f t="shared" si="15"/>
        <v>10</v>
      </c>
      <c r="AA14" s="30">
        <f t="shared" si="15"/>
        <v>15</v>
      </c>
      <c r="AB14" s="30">
        <f t="shared" si="15"/>
        <v>13</v>
      </c>
    </row>
    <row r="15">
      <c r="A15" s="28">
        <f t="shared" si="4"/>
        <v>14</v>
      </c>
      <c r="B15" s="28" t="s">
        <v>102</v>
      </c>
      <c r="C15" s="30">
        <f t="shared" ref="C15:AB15" si="16">IFERROR(VLOOKUP($B15,indirect(text(C$1,"mm/dd/yy")&amp;"!B:L"),11,false),"Not played")</f>
        <v>9</v>
      </c>
      <c r="D15" s="30">
        <f t="shared" si="16"/>
        <v>13</v>
      </c>
      <c r="E15" s="30">
        <f t="shared" si="16"/>
        <v>9</v>
      </c>
      <c r="F15" s="30">
        <f t="shared" si="16"/>
        <v>9</v>
      </c>
      <c r="G15" s="30">
        <f t="shared" si="16"/>
        <v>9</v>
      </c>
      <c r="H15" s="30">
        <f t="shared" si="16"/>
        <v>18</v>
      </c>
      <c r="I15" s="30">
        <f t="shared" si="16"/>
        <v>18</v>
      </c>
      <c r="J15" s="30">
        <f t="shared" si="16"/>
        <v>18</v>
      </c>
      <c r="K15" s="30">
        <f t="shared" si="16"/>
        <v>9</v>
      </c>
      <c r="L15" s="30">
        <f t="shared" si="16"/>
        <v>9</v>
      </c>
      <c r="M15" s="30">
        <f t="shared" si="16"/>
        <v>9</v>
      </c>
      <c r="N15" s="30">
        <f t="shared" si="16"/>
        <v>9</v>
      </c>
      <c r="O15" s="30">
        <f t="shared" si="16"/>
        <v>9</v>
      </c>
      <c r="P15" s="30">
        <f t="shared" si="16"/>
        <v>9</v>
      </c>
      <c r="Q15" s="30">
        <f t="shared" si="16"/>
        <v>9</v>
      </c>
      <c r="R15" s="30">
        <f t="shared" si="16"/>
        <v>9</v>
      </c>
      <c r="S15" s="30" t="str">
        <f t="shared" si="16"/>
        <v>Not played</v>
      </c>
      <c r="T15" s="30" t="str">
        <f t="shared" si="16"/>
        <v>Not played</v>
      </c>
      <c r="U15" s="30">
        <f t="shared" si="16"/>
        <v>9</v>
      </c>
      <c r="V15" s="30">
        <f t="shared" si="16"/>
        <v>9</v>
      </c>
      <c r="W15" s="30">
        <f t="shared" si="16"/>
        <v>9</v>
      </c>
      <c r="X15" s="30">
        <f t="shared" si="16"/>
        <v>9</v>
      </c>
      <c r="Y15" s="30">
        <f t="shared" si="16"/>
        <v>9</v>
      </c>
      <c r="Z15" s="30">
        <f t="shared" si="16"/>
        <v>9</v>
      </c>
      <c r="AA15" s="30">
        <f t="shared" si="16"/>
        <v>9</v>
      </c>
      <c r="AB15" s="30">
        <f t="shared" si="16"/>
        <v>9</v>
      </c>
    </row>
    <row r="16">
      <c r="A16" s="28">
        <f t="shared" si="4"/>
        <v>15</v>
      </c>
      <c r="B16" s="48" t="s">
        <v>103</v>
      </c>
      <c r="C16" s="30">
        <f t="shared" ref="C16:AB16" si="17">IFERROR(VLOOKUP($B16,indirect(text(C$1,"mm/dd/yy")&amp;"!B:L"),11,false),"Not played")</f>
        <v>9</v>
      </c>
      <c r="D16" s="30">
        <f t="shared" si="17"/>
        <v>9</v>
      </c>
      <c r="E16" s="30">
        <f t="shared" si="17"/>
        <v>9</v>
      </c>
      <c r="F16" s="30">
        <f t="shared" si="17"/>
        <v>9</v>
      </c>
      <c r="G16" s="30">
        <f t="shared" si="17"/>
        <v>12</v>
      </c>
      <c r="H16" s="30">
        <f t="shared" si="17"/>
        <v>7</v>
      </c>
      <c r="I16" s="30">
        <f t="shared" si="17"/>
        <v>16</v>
      </c>
      <c r="J16" s="30">
        <f t="shared" si="17"/>
        <v>13</v>
      </c>
      <c r="K16" s="30">
        <f t="shared" si="17"/>
        <v>9</v>
      </c>
      <c r="L16" s="30">
        <f t="shared" si="17"/>
        <v>14</v>
      </c>
      <c r="M16" s="30">
        <f t="shared" si="17"/>
        <v>12</v>
      </c>
      <c r="N16" s="30">
        <f t="shared" si="17"/>
        <v>14</v>
      </c>
      <c r="O16" s="30">
        <f t="shared" si="17"/>
        <v>9</v>
      </c>
      <c r="P16" s="30">
        <f t="shared" si="17"/>
        <v>8</v>
      </c>
      <c r="Q16" s="30">
        <f t="shared" si="17"/>
        <v>16</v>
      </c>
      <c r="R16" s="30">
        <f t="shared" si="17"/>
        <v>15</v>
      </c>
      <c r="S16" s="30" t="str">
        <f t="shared" si="17"/>
        <v>Not played</v>
      </c>
      <c r="T16" s="30" t="str">
        <f t="shared" si="17"/>
        <v>Not played</v>
      </c>
      <c r="U16" s="30">
        <f t="shared" si="17"/>
        <v>11</v>
      </c>
      <c r="V16" s="30">
        <f t="shared" si="17"/>
        <v>10</v>
      </c>
      <c r="W16" s="30">
        <f t="shared" si="17"/>
        <v>13</v>
      </c>
      <c r="X16" s="30">
        <f t="shared" si="17"/>
        <v>9</v>
      </c>
      <c r="Y16" s="30">
        <f t="shared" si="17"/>
        <v>11</v>
      </c>
      <c r="Z16" s="30">
        <f t="shared" si="17"/>
        <v>10</v>
      </c>
      <c r="AA16" s="30">
        <f t="shared" si="17"/>
        <v>15</v>
      </c>
      <c r="AB16" s="30">
        <f t="shared" si="17"/>
        <v>10</v>
      </c>
    </row>
    <row r="17">
      <c r="A17" s="28">
        <f t="shared" si="4"/>
        <v>16</v>
      </c>
      <c r="B17" s="28" t="s">
        <v>105</v>
      </c>
      <c r="C17" s="30">
        <f t="shared" ref="C17:AB17" si="18">IFERROR(VLOOKUP($B17,indirect(text(C$1,"mm/dd/yy")&amp;"!B:L"),11,false),"Not played")</f>
        <v>13</v>
      </c>
      <c r="D17" s="30">
        <f t="shared" si="18"/>
        <v>13</v>
      </c>
      <c r="E17" s="30">
        <f t="shared" si="18"/>
        <v>11</v>
      </c>
      <c r="F17" s="30">
        <f t="shared" si="18"/>
        <v>15</v>
      </c>
      <c r="G17" s="30">
        <f t="shared" si="18"/>
        <v>9</v>
      </c>
      <c r="H17" s="30">
        <f t="shared" si="18"/>
        <v>9</v>
      </c>
      <c r="I17" s="30">
        <f t="shared" si="18"/>
        <v>15</v>
      </c>
      <c r="J17" s="30">
        <f t="shared" si="18"/>
        <v>9</v>
      </c>
      <c r="K17" s="30">
        <f t="shared" si="18"/>
        <v>14</v>
      </c>
      <c r="L17" s="30">
        <f t="shared" si="18"/>
        <v>9</v>
      </c>
      <c r="M17" s="30">
        <f t="shared" si="18"/>
        <v>9</v>
      </c>
      <c r="N17" s="30">
        <f t="shared" si="18"/>
        <v>16</v>
      </c>
      <c r="O17" s="30">
        <f t="shared" si="18"/>
        <v>17</v>
      </c>
      <c r="P17" s="30">
        <f t="shared" si="18"/>
        <v>18</v>
      </c>
      <c r="Q17" s="30">
        <f t="shared" si="18"/>
        <v>9</v>
      </c>
      <c r="R17" s="30">
        <f t="shared" si="18"/>
        <v>13</v>
      </c>
      <c r="S17" s="30" t="str">
        <f t="shared" si="18"/>
        <v>Not played</v>
      </c>
      <c r="T17" s="30" t="str">
        <f t="shared" si="18"/>
        <v>Not played</v>
      </c>
      <c r="U17" s="30">
        <f t="shared" si="18"/>
        <v>13</v>
      </c>
      <c r="V17" s="30">
        <f t="shared" si="18"/>
        <v>12</v>
      </c>
      <c r="W17" s="30">
        <f t="shared" si="18"/>
        <v>17</v>
      </c>
      <c r="X17" s="30">
        <f t="shared" si="18"/>
        <v>12</v>
      </c>
      <c r="Y17" s="30">
        <f t="shared" si="18"/>
        <v>9</v>
      </c>
      <c r="Z17" s="30">
        <f t="shared" si="18"/>
        <v>9</v>
      </c>
      <c r="AA17" s="30">
        <f t="shared" si="18"/>
        <v>19</v>
      </c>
      <c r="AB17" s="30">
        <f t="shared" si="18"/>
        <v>9</v>
      </c>
    </row>
    <row r="18">
      <c r="A18" s="28">
        <f t="shared" si="4"/>
        <v>17</v>
      </c>
      <c r="B18" s="43" t="s">
        <v>64</v>
      </c>
      <c r="C18" s="30">
        <f t="shared" ref="C18:AB18" si="19">IFERROR(VLOOKUP($B18,indirect(text(C$1,"mm/dd/yy")&amp;"!B:L"),11,false),"Not played")</f>
        <v>13</v>
      </c>
      <c r="D18" s="30">
        <f t="shared" si="19"/>
        <v>19</v>
      </c>
      <c r="E18" s="30">
        <f t="shared" si="19"/>
        <v>9</v>
      </c>
      <c r="F18" s="30">
        <f t="shared" si="19"/>
        <v>9</v>
      </c>
      <c r="G18" s="30">
        <f t="shared" si="19"/>
        <v>10</v>
      </c>
      <c r="H18" s="30">
        <f t="shared" si="19"/>
        <v>9</v>
      </c>
      <c r="I18" s="30">
        <f t="shared" si="19"/>
        <v>18</v>
      </c>
      <c r="J18" s="30">
        <f t="shared" si="19"/>
        <v>16</v>
      </c>
      <c r="K18" s="30">
        <f t="shared" si="19"/>
        <v>11</v>
      </c>
      <c r="L18" s="30">
        <f t="shared" si="19"/>
        <v>19</v>
      </c>
      <c r="M18" s="30">
        <f t="shared" si="19"/>
        <v>10</v>
      </c>
      <c r="N18" s="30">
        <f t="shared" si="19"/>
        <v>17</v>
      </c>
      <c r="O18" s="30">
        <f t="shared" si="19"/>
        <v>19</v>
      </c>
      <c r="P18" s="30">
        <f t="shared" si="19"/>
        <v>9</v>
      </c>
      <c r="Q18" s="30">
        <f t="shared" si="19"/>
        <v>10</v>
      </c>
      <c r="R18" s="30">
        <f t="shared" si="19"/>
        <v>17</v>
      </c>
      <c r="S18" s="30" t="str">
        <f t="shared" si="19"/>
        <v>Not played</v>
      </c>
      <c r="T18" s="30" t="str">
        <f t="shared" si="19"/>
        <v>Not played</v>
      </c>
      <c r="U18" s="30">
        <f t="shared" si="19"/>
        <v>9</v>
      </c>
      <c r="V18" s="30">
        <f t="shared" si="19"/>
        <v>14</v>
      </c>
      <c r="W18" s="30">
        <f t="shared" si="19"/>
        <v>9</v>
      </c>
      <c r="X18" s="30">
        <f t="shared" si="19"/>
        <v>15</v>
      </c>
      <c r="Y18" s="30">
        <f t="shared" si="19"/>
        <v>18</v>
      </c>
      <c r="Z18" s="30">
        <f t="shared" si="19"/>
        <v>11</v>
      </c>
      <c r="AA18" s="30">
        <f t="shared" si="19"/>
        <v>19</v>
      </c>
      <c r="AB18" s="30">
        <f t="shared" si="19"/>
        <v>11</v>
      </c>
    </row>
    <row r="19">
      <c r="A19" s="28">
        <f t="shared" si="4"/>
        <v>18</v>
      </c>
      <c r="B19" s="43" t="s">
        <v>76</v>
      </c>
      <c r="C19" s="30">
        <f t="shared" ref="C19:AB19" si="20">IFERROR(VLOOKUP($B19,indirect(text(C$1,"mm/dd/yy")&amp;"!B:L"),11,false),"Not played")</f>
        <v>9</v>
      </c>
      <c r="D19" s="30">
        <f t="shared" si="20"/>
        <v>9</v>
      </c>
      <c r="E19" s="30">
        <f t="shared" si="20"/>
        <v>9</v>
      </c>
      <c r="F19" s="30">
        <f t="shared" si="20"/>
        <v>9</v>
      </c>
      <c r="G19" s="30">
        <f t="shared" si="20"/>
        <v>9</v>
      </c>
      <c r="H19" s="30">
        <f t="shared" si="20"/>
        <v>9</v>
      </c>
      <c r="I19" s="30">
        <f t="shared" si="20"/>
        <v>9</v>
      </c>
      <c r="J19" s="30">
        <f t="shared" si="20"/>
        <v>9</v>
      </c>
      <c r="K19" s="30">
        <f t="shared" si="20"/>
        <v>9</v>
      </c>
      <c r="L19" s="30">
        <f t="shared" si="20"/>
        <v>9</v>
      </c>
      <c r="M19" s="30">
        <f t="shared" si="20"/>
        <v>9</v>
      </c>
      <c r="N19" s="30">
        <f t="shared" si="20"/>
        <v>9</v>
      </c>
      <c r="O19" s="30">
        <f t="shared" si="20"/>
        <v>9</v>
      </c>
      <c r="P19" s="30">
        <f t="shared" si="20"/>
        <v>9</v>
      </c>
      <c r="Q19" s="30">
        <f t="shared" si="20"/>
        <v>9</v>
      </c>
      <c r="R19" s="30">
        <f t="shared" si="20"/>
        <v>9</v>
      </c>
      <c r="S19" s="30" t="str">
        <f t="shared" si="20"/>
        <v>Not played</v>
      </c>
      <c r="T19" s="30" t="str">
        <f t="shared" si="20"/>
        <v>Not played</v>
      </c>
      <c r="U19" s="30">
        <f t="shared" si="20"/>
        <v>9</v>
      </c>
      <c r="V19" s="30">
        <f t="shared" si="20"/>
        <v>9</v>
      </c>
      <c r="W19" s="30">
        <f t="shared" si="20"/>
        <v>9</v>
      </c>
      <c r="X19" s="30">
        <f t="shared" si="20"/>
        <v>9</v>
      </c>
      <c r="Y19" s="30">
        <f t="shared" si="20"/>
        <v>9</v>
      </c>
      <c r="Z19" s="30">
        <f t="shared" si="20"/>
        <v>17</v>
      </c>
      <c r="AA19" s="30">
        <f t="shared" si="20"/>
        <v>14</v>
      </c>
      <c r="AB19" s="30">
        <f t="shared" si="20"/>
        <v>17</v>
      </c>
    </row>
    <row r="20">
      <c r="A20" s="28">
        <f t="shared" si="4"/>
        <v>19</v>
      </c>
      <c r="B20" s="43" t="s">
        <v>107</v>
      </c>
      <c r="C20" s="30">
        <f t="shared" ref="C20:AB20" si="21">IFERROR(VLOOKUP($B20,indirect(text(C$1,"mm/dd/yy")&amp;"!B:L"),11,false),"Not played")</f>
        <v>13</v>
      </c>
      <c r="D20" s="30">
        <f t="shared" si="21"/>
        <v>13</v>
      </c>
      <c r="E20" s="30">
        <f t="shared" si="21"/>
        <v>9</v>
      </c>
      <c r="F20" s="30">
        <f t="shared" si="21"/>
        <v>10</v>
      </c>
      <c r="G20" s="30">
        <f t="shared" si="21"/>
        <v>18</v>
      </c>
      <c r="H20" s="30">
        <f t="shared" si="21"/>
        <v>11</v>
      </c>
      <c r="I20" s="30">
        <f t="shared" si="21"/>
        <v>13</v>
      </c>
      <c r="J20" s="30">
        <f t="shared" si="21"/>
        <v>11</v>
      </c>
      <c r="K20" s="30">
        <f t="shared" si="21"/>
        <v>9</v>
      </c>
      <c r="L20" s="30">
        <f t="shared" si="21"/>
        <v>18</v>
      </c>
      <c r="M20" s="30">
        <f t="shared" si="21"/>
        <v>14</v>
      </c>
      <c r="N20" s="30">
        <f t="shared" si="21"/>
        <v>17</v>
      </c>
      <c r="O20" s="30">
        <f t="shared" si="21"/>
        <v>9</v>
      </c>
      <c r="P20" s="30">
        <f t="shared" si="21"/>
        <v>11</v>
      </c>
      <c r="Q20" s="30">
        <f t="shared" si="21"/>
        <v>11</v>
      </c>
      <c r="R20" s="30">
        <f t="shared" si="21"/>
        <v>9</v>
      </c>
      <c r="S20" s="30" t="str">
        <f t="shared" si="21"/>
        <v>Not played</v>
      </c>
      <c r="T20" s="30" t="str">
        <f t="shared" si="21"/>
        <v>Not played</v>
      </c>
      <c r="U20" s="30">
        <f t="shared" si="21"/>
        <v>9</v>
      </c>
      <c r="V20" s="30">
        <f t="shared" si="21"/>
        <v>9</v>
      </c>
      <c r="W20" s="30">
        <f t="shared" si="21"/>
        <v>13</v>
      </c>
      <c r="X20" s="30">
        <f t="shared" si="21"/>
        <v>18</v>
      </c>
      <c r="Y20" s="30">
        <f t="shared" si="21"/>
        <v>16</v>
      </c>
      <c r="Z20" s="30">
        <f t="shared" si="21"/>
        <v>14</v>
      </c>
      <c r="AA20" s="30">
        <f t="shared" si="21"/>
        <v>14</v>
      </c>
      <c r="AB20" s="30">
        <f t="shared" si="21"/>
        <v>14</v>
      </c>
    </row>
    <row r="21">
      <c r="A21" s="28">
        <f t="shared" si="4"/>
        <v>20</v>
      </c>
      <c r="B21" s="43" t="s">
        <v>111</v>
      </c>
      <c r="C21" s="30">
        <f t="shared" ref="C21:AB21" si="22">IFERROR(VLOOKUP($B21,indirect(text(C$1,"mm/dd/yy")&amp;"!B:L"),11,false),"Not played")</f>
        <v>12</v>
      </c>
      <c r="D21" s="30">
        <f t="shared" si="22"/>
        <v>14</v>
      </c>
      <c r="E21" s="30">
        <f t="shared" si="22"/>
        <v>11</v>
      </c>
      <c r="F21" s="30">
        <f t="shared" si="22"/>
        <v>11</v>
      </c>
      <c r="G21" s="30">
        <f t="shared" si="22"/>
        <v>9</v>
      </c>
      <c r="H21" s="30">
        <f t="shared" si="22"/>
        <v>15</v>
      </c>
      <c r="I21" s="30">
        <f t="shared" si="22"/>
        <v>19</v>
      </c>
      <c r="J21" s="30">
        <f t="shared" si="22"/>
        <v>9</v>
      </c>
      <c r="K21" s="30">
        <f t="shared" si="22"/>
        <v>7</v>
      </c>
      <c r="L21" s="30">
        <f t="shared" si="22"/>
        <v>14</v>
      </c>
      <c r="M21" s="30">
        <f t="shared" si="22"/>
        <v>13</v>
      </c>
      <c r="N21" s="30">
        <f t="shared" si="22"/>
        <v>14</v>
      </c>
      <c r="O21" s="30">
        <f t="shared" si="22"/>
        <v>12</v>
      </c>
      <c r="P21" s="30">
        <f t="shared" si="22"/>
        <v>15</v>
      </c>
      <c r="Q21" s="30">
        <f t="shared" si="22"/>
        <v>9</v>
      </c>
      <c r="R21" s="30">
        <f t="shared" si="22"/>
        <v>10</v>
      </c>
      <c r="S21" s="30" t="str">
        <f t="shared" si="22"/>
        <v>Not played</v>
      </c>
      <c r="T21" s="30" t="str">
        <f t="shared" si="22"/>
        <v>Not played</v>
      </c>
      <c r="U21" s="30">
        <f t="shared" si="22"/>
        <v>13</v>
      </c>
      <c r="V21" s="30">
        <f t="shared" si="22"/>
        <v>15</v>
      </c>
      <c r="W21" s="30">
        <f t="shared" si="22"/>
        <v>9</v>
      </c>
      <c r="X21" s="30">
        <f t="shared" si="22"/>
        <v>10</v>
      </c>
      <c r="Y21" s="30">
        <f t="shared" si="22"/>
        <v>15</v>
      </c>
      <c r="Z21" s="30">
        <f t="shared" si="22"/>
        <v>9</v>
      </c>
      <c r="AA21" s="30">
        <f t="shared" si="22"/>
        <v>17</v>
      </c>
      <c r="AB21" s="30">
        <f t="shared" si="22"/>
        <v>11</v>
      </c>
    </row>
    <row r="22">
      <c r="A22" s="28">
        <f t="shared" si="4"/>
        <v>21</v>
      </c>
      <c r="B22" s="43" t="s">
        <v>118</v>
      </c>
      <c r="C22" s="30">
        <f t="shared" ref="C22:AB22" si="23">IFERROR(VLOOKUP($B22,indirect(text(C$1,"mm/dd/yy")&amp;"!B:L"),11,false),"Not played")</f>
        <v>9</v>
      </c>
      <c r="D22" s="30">
        <f t="shared" si="23"/>
        <v>9</v>
      </c>
      <c r="E22" s="30">
        <f t="shared" si="23"/>
        <v>10</v>
      </c>
      <c r="F22" s="30">
        <f t="shared" si="23"/>
        <v>8</v>
      </c>
      <c r="G22" s="30">
        <f t="shared" si="23"/>
        <v>9</v>
      </c>
      <c r="H22" s="30">
        <f t="shared" si="23"/>
        <v>9</v>
      </c>
      <c r="I22" s="30">
        <f t="shared" si="23"/>
        <v>9</v>
      </c>
      <c r="J22" s="30">
        <f t="shared" si="23"/>
        <v>9</v>
      </c>
      <c r="K22" s="30">
        <f t="shared" si="23"/>
        <v>8</v>
      </c>
      <c r="L22" s="30">
        <f t="shared" si="23"/>
        <v>13</v>
      </c>
      <c r="M22" s="30">
        <f t="shared" si="23"/>
        <v>9</v>
      </c>
      <c r="N22" s="30">
        <f t="shared" si="23"/>
        <v>9</v>
      </c>
      <c r="O22" s="30">
        <f t="shared" si="23"/>
        <v>9</v>
      </c>
      <c r="P22" s="30">
        <f t="shared" si="23"/>
        <v>9</v>
      </c>
      <c r="Q22" s="30">
        <f t="shared" si="23"/>
        <v>14</v>
      </c>
      <c r="R22" s="30">
        <f t="shared" si="23"/>
        <v>9</v>
      </c>
      <c r="S22" s="30" t="str">
        <f t="shared" si="23"/>
        <v>Not played</v>
      </c>
      <c r="T22" s="30" t="str">
        <f t="shared" si="23"/>
        <v>Not played</v>
      </c>
      <c r="U22" s="30">
        <f t="shared" si="23"/>
        <v>11</v>
      </c>
      <c r="V22" s="30">
        <f t="shared" si="23"/>
        <v>9</v>
      </c>
      <c r="W22" s="30">
        <f t="shared" si="23"/>
        <v>9</v>
      </c>
      <c r="X22" s="30">
        <f t="shared" si="23"/>
        <v>9</v>
      </c>
      <c r="Y22" s="30">
        <f t="shared" si="23"/>
        <v>9</v>
      </c>
      <c r="Z22" s="30">
        <f t="shared" si="23"/>
        <v>9</v>
      </c>
      <c r="AA22" s="30">
        <f t="shared" si="23"/>
        <v>9</v>
      </c>
      <c r="AB22" s="30">
        <f t="shared" si="23"/>
        <v>9</v>
      </c>
    </row>
    <row r="23">
      <c r="A23" s="28">
        <f t="shared" si="4"/>
        <v>22</v>
      </c>
      <c r="B23" s="43" t="s">
        <v>121</v>
      </c>
      <c r="C23" s="30">
        <f t="shared" ref="C23:AB23" si="24">IFERROR(VLOOKUP($B23,indirect(text(C$1,"mm/dd/yy")&amp;"!B:L"),11,false),"Not played")</f>
        <v>13</v>
      </c>
      <c r="D23" s="30">
        <f t="shared" si="24"/>
        <v>18</v>
      </c>
      <c r="E23" s="30">
        <f t="shared" si="24"/>
        <v>9</v>
      </c>
      <c r="F23" s="30">
        <f t="shared" si="24"/>
        <v>14</v>
      </c>
      <c r="G23" s="30">
        <f t="shared" si="24"/>
        <v>9</v>
      </c>
      <c r="H23" s="30">
        <f t="shared" si="24"/>
        <v>16</v>
      </c>
      <c r="I23" s="30">
        <f t="shared" si="24"/>
        <v>14</v>
      </c>
      <c r="J23" s="30">
        <f t="shared" si="24"/>
        <v>18</v>
      </c>
      <c r="K23" s="30">
        <f t="shared" si="24"/>
        <v>19</v>
      </c>
      <c r="L23" s="30">
        <f t="shared" si="24"/>
        <v>9</v>
      </c>
      <c r="M23" s="30">
        <f t="shared" si="24"/>
        <v>9</v>
      </c>
      <c r="N23" s="30">
        <f t="shared" si="24"/>
        <v>15</v>
      </c>
      <c r="O23" s="30">
        <f t="shared" si="24"/>
        <v>18</v>
      </c>
      <c r="P23" s="30">
        <f t="shared" si="24"/>
        <v>9</v>
      </c>
      <c r="Q23" s="30">
        <f t="shared" si="24"/>
        <v>9</v>
      </c>
      <c r="R23" s="30">
        <f t="shared" si="24"/>
        <v>16</v>
      </c>
      <c r="S23" s="30" t="str">
        <f t="shared" si="24"/>
        <v>Not played</v>
      </c>
      <c r="T23" s="30" t="str">
        <f t="shared" si="24"/>
        <v>Not played</v>
      </c>
      <c r="U23" s="30">
        <f t="shared" si="24"/>
        <v>9</v>
      </c>
      <c r="V23" s="30">
        <f t="shared" si="24"/>
        <v>9</v>
      </c>
      <c r="W23" s="30">
        <f t="shared" si="24"/>
        <v>18</v>
      </c>
      <c r="X23" s="30">
        <f t="shared" si="24"/>
        <v>9</v>
      </c>
      <c r="Y23" s="30">
        <f t="shared" si="24"/>
        <v>9</v>
      </c>
      <c r="Z23" s="30">
        <f t="shared" si="24"/>
        <v>9</v>
      </c>
      <c r="AA23" s="30">
        <f t="shared" si="24"/>
        <v>9</v>
      </c>
      <c r="AB23" s="30">
        <f t="shared" si="24"/>
        <v>9</v>
      </c>
    </row>
    <row r="24">
      <c r="A24" s="28">
        <f t="shared" si="4"/>
        <v>23</v>
      </c>
      <c r="B24" s="43" t="s">
        <v>122</v>
      </c>
      <c r="C24" s="30">
        <f t="shared" ref="C24:AB24" si="25">IFERROR(VLOOKUP($B24,indirect(text(C$1,"mm/dd/yy")&amp;"!B:L"),11,false),"Not played")</f>
        <v>14</v>
      </c>
      <c r="D24" s="30">
        <f t="shared" si="25"/>
        <v>9</v>
      </c>
      <c r="E24" s="30">
        <f t="shared" si="25"/>
        <v>9</v>
      </c>
      <c r="F24" s="30">
        <f t="shared" si="25"/>
        <v>19</v>
      </c>
      <c r="G24" s="30">
        <f t="shared" si="25"/>
        <v>18</v>
      </c>
      <c r="H24" s="30">
        <f t="shared" si="25"/>
        <v>9</v>
      </c>
      <c r="I24" s="30">
        <f t="shared" si="25"/>
        <v>9</v>
      </c>
      <c r="J24" s="30">
        <f t="shared" si="25"/>
        <v>11</v>
      </c>
      <c r="K24" s="30">
        <f t="shared" si="25"/>
        <v>9</v>
      </c>
      <c r="L24" s="30">
        <f t="shared" si="25"/>
        <v>11</v>
      </c>
      <c r="M24" s="30">
        <f t="shared" si="25"/>
        <v>9</v>
      </c>
      <c r="N24" s="30">
        <f t="shared" si="25"/>
        <v>9</v>
      </c>
      <c r="O24" s="30">
        <f t="shared" si="25"/>
        <v>9</v>
      </c>
      <c r="P24" s="30">
        <f t="shared" si="25"/>
        <v>11</v>
      </c>
      <c r="Q24" s="30">
        <f t="shared" si="25"/>
        <v>14</v>
      </c>
      <c r="R24" s="30">
        <f t="shared" si="25"/>
        <v>14</v>
      </c>
      <c r="S24" s="30" t="str">
        <f t="shared" si="25"/>
        <v>Not played</v>
      </c>
      <c r="T24" s="30" t="str">
        <f t="shared" si="25"/>
        <v>Not played</v>
      </c>
      <c r="U24" s="30">
        <f t="shared" si="25"/>
        <v>9</v>
      </c>
      <c r="V24" s="30">
        <f t="shared" si="25"/>
        <v>12</v>
      </c>
      <c r="W24" s="30">
        <f t="shared" si="25"/>
        <v>19</v>
      </c>
      <c r="X24" s="30">
        <f t="shared" si="25"/>
        <v>9</v>
      </c>
      <c r="Y24" s="30">
        <f t="shared" si="25"/>
        <v>9</v>
      </c>
      <c r="Z24" s="30">
        <f t="shared" si="25"/>
        <v>9</v>
      </c>
      <c r="AA24" s="30">
        <f t="shared" si="25"/>
        <v>9</v>
      </c>
      <c r="AB24" s="30">
        <f t="shared" si="25"/>
        <v>18</v>
      </c>
    </row>
    <row r="25">
      <c r="A25" s="28">
        <f t="shared" si="4"/>
        <v>24</v>
      </c>
      <c r="B25" s="28" t="s">
        <v>49</v>
      </c>
      <c r="C25" s="30">
        <f t="shared" ref="C25:AB25" si="26">IFERROR(VLOOKUP($B25,indirect(text(C$1,"mm/dd/yy")&amp;"!B:L"),11,false),"Not played")</f>
        <v>13</v>
      </c>
      <c r="D25" s="30">
        <f t="shared" si="26"/>
        <v>13</v>
      </c>
      <c r="E25" s="30">
        <f t="shared" si="26"/>
        <v>10</v>
      </c>
      <c r="F25" s="30">
        <f t="shared" si="26"/>
        <v>9</v>
      </c>
      <c r="G25" s="30">
        <f t="shared" si="26"/>
        <v>13</v>
      </c>
      <c r="H25" s="30">
        <f t="shared" si="26"/>
        <v>10</v>
      </c>
      <c r="I25" s="30">
        <f t="shared" si="26"/>
        <v>11</v>
      </c>
      <c r="J25" s="30">
        <f t="shared" si="26"/>
        <v>14</v>
      </c>
      <c r="K25" s="30">
        <f t="shared" si="26"/>
        <v>18</v>
      </c>
      <c r="L25" s="30">
        <f t="shared" si="26"/>
        <v>9</v>
      </c>
      <c r="M25" s="30">
        <f t="shared" si="26"/>
        <v>14</v>
      </c>
      <c r="N25" s="30">
        <f t="shared" si="26"/>
        <v>10</v>
      </c>
      <c r="O25" s="30">
        <f t="shared" si="26"/>
        <v>9</v>
      </c>
      <c r="P25" s="30">
        <f t="shared" si="26"/>
        <v>9</v>
      </c>
      <c r="Q25" s="30">
        <f t="shared" si="26"/>
        <v>11</v>
      </c>
      <c r="R25" s="30">
        <f t="shared" si="26"/>
        <v>15</v>
      </c>
      <c r="S25" s="30" t="str">
        <f t="shared" si="26"/>
        <v>Not played</v>
      </c>
      <c r="T25" s="30" t="str">
        <f t="shared" si="26"/>
        <v>Not played</v>
      </c>
      <c r="U25" s="30">
        <f t="shared" si="26"/>
        <v>15</v>
      </c>
      <c r="V25" s="30">
        <f t="shared" si="26"/>
        <v>14</v>
      </c>
      <c r="W25" s="30">
        <f t="shared" si="26"/>
        <v>12</v>
      </c>
      <c r="X25" s="30">
        <f t="shared" si="26"/>
        <v>9</v>
      </c>
      <c r="Y25" s="30">
        <f t="shared" si="26"/>
        <v>7</v>
      </c>
      <c r="Z25" s="30">
        <f t="shared" si="26"/>
        <v>12</v>
      </c>
      <c r="AA25" s="30">
        <f t="shared" si="26"/>
        <v>15</v>
      </c>
      <c r="AB25" s="30">
        <f t="shared" si="26"/>
        <v>19</v>
      </c>
    </row>
    <row r="26">
      <c r="A26" s="28">
        <f t="shared" si="4"/>
        <v>25</v>
      </c>
      <c r="B26" s="28" t="s">
        <v>104</v>
      </c>
      <c r="C26" s="30">
        <f t="shared" ref="C26:AB26" si="27">IFERROR(VLOOKUP($B26,indirect(text(C$1,"mm/dd/yy")&amp;"!B:L"),11,false),"Not played")</f>
        <v>13</v>
      </c>
      <c r="D26" s="30">
        <f t="shared" si="27"/>
        <v>16</v>
      </c>
      <c r="E26" s="30">
        <f t="shared" si="27"/>
        <v>8</v>
      </c>
      <c r="F26" s="30">
        <f t="shared" si="27"/>
        <v>17</v>
      </c>
      <c r="G26" s="30">
        <f t="shared" si="27"/>
        <v>16</v>
      </c>
      <c r="H26" s="30">
        <f t="shared" si="27"/>
        <v>9</v>
      </c>
      <c r="I26" s="30">
        <f t="shared" si="27"/>
        <v>8</v>
      </c>
      <c r="J26" s="30">
        <f t="shared" si="27"/>
        <v>18</v>
      </c>
      <c r="K26" s="30">
        <f t="shared" si="27"/>
        <v>9</v>
      </c>
      <c r="L26" s="30">
        <f t="shared" si="27"/>
        <v>14</v>
      </c>
      <c r="M26" s="30">
        <f t="shared" si="27"/>
        <v>14</v>
      </c>
      <c r="N26" s="30">
        <f t="shared" si="27"/>
        <v>18</v>
      </c>
      <c r="O26" s="30">
        <f t="shared" si="27"/>
        <v>15</v>
      </c>
      <c r="P26" s="30">
        <f t="shared" si="27"/>
        <v>14</v>
      </c>
      <c r="Q26" s="30">
        <f t="shared" si="27"/>
        <v>15</v>
      </c>
      <c r="R26" s="30">
        <f t="shared" si="27"/>
        <v>12</v>
      </c>
      <c r="S26" s="30" t="str">
        <f t="shared" si="27"/>
        <v>Not played</v>
      </c>
      <c r="T26" s="30" t="str">
        <f t="shared" si="27"/>
        <v>Not played</v>
      </c>
      <c r="U26" s="30">
        <f t="shared" si="27"/>
        <v>6</v>
      </c>
      <c r="V26" s="30">
        <f t="shared" si="27"/>
        <v>9</v>
      </c>
      <c r="W26" s="30">
        <f t="shared" si="27"/>
        <v>11</v>
      </c>
      <c r="X26" s="30">
        <f t="shared" si="27"/>
        <v>12</v>
      </c>
      <c r="Y26" s="30">
        <f t="shared" si="27"/>
        <v>11</v>
      </c>
      <c r="Z26" s="30">
        <f t="shared" si="27"/>
        <v>17</v>
      </c>
      <c r="AA26" s="30">
        <f t="shared" si="27"/>
        <v>9</v>
      </c>
      <c r="AB26" s="30">
        <f t="shared" si="27"/>
        <v>14</v>
      </c>
    </row>
    <row r="27">
      <c r="A27" s="28">
        <f t="shared" si="4"/>
        <v>26</v>
      </c>
      <c r="B27" s="28" t="s">
        <v>92</v>
      </c>
      <c r="C27" s="30">
        <f t="shared" ref="C27:AB27" si="28">IFERROR(VLOOKUP($B27,indirect(text(C$1,"mm/dd/yy")&amp;"!B:L"),11,false),"Not played")</f>
        <v>9</v>
      </c>
      <c r="D27" s="30">
        <f t="shared" si="28"/>
        <v>19</v>
      </c>
      <c r="E27" s="30">
        <f t="shared" si="28"/>
        <v>18</v>
      </c>
      <c r="F27" s="30">
        <f t="shared" si="28"/>
        <v>14</v>
      </c>
      <c r="G27" s="30">
        <f t="shared" si="28"/>
        <v>17</v>
      </c>
      <c r="H27" s="30">
        <f t="shared" si="28"/>
        <v>9</v>
      </c>
      <c r="I27" s="30">
        <f t="shared" si="28"/>
        <v>9</v>
      </c>
      <c r="J27" s="30">
        <f t="shared" si="28"/>
        <v>9</v>
      </c>
      <c r="K27" s="30">
        <f t="shared" si="28"/>
        <v>13</v>
      </c>
      <c r="L27" s="30">
        <f t="shared" si="28"/>
        <v>9</v>
      </c>
      <c r="M27" s="30">
        <f t="shared" si="28"/>
        <v>9</v>
      </c>
      <c r="N27" s="30">
        <f t="shared" si="28"/>
        <v>18</v>
      </c>
      <c r="O27" s="30">
        <f t="shared" si="28"/>
        <v>12</v>
      </c>
      <c r="P27" s="30">
        <f t="shared" si="28"/>
        <v>15</v>
      </c>
      <c r="Q27" s="30">
        <f t="shared" si="28"/>
        <v>9</v>
      </c>
      <c r="R27" s="30">
        <f t="shared" si="28"/>
        <v>9</v>
      </c>
      <c r="S27" s="30" t="str">
        <f t="shared" si="28"/>
        <v>Not played</v>
      </c>
      <c r="T27" s="30" t="str">
        <f t="shared" si="28"/>
        <v>Not played</v>
      </c>
      <c r="U27" s="30">
        <f t="shared" si="28"/>
        <v>18</v>
      </c>
      <c r="V27" s="30">
        <f t="shared" si="28"/>
        <v>16</v>
      </c>
      <c r="W27" s="30">
        <f t="shared" si="28"/>
        <v>13</v>
      </c>
      <c r="X27" s="30">
        <f t="shared" si="28"/>
        <v>12</v>
      </c>
      <c r="Y27" s="30">
        <f t="shared" si="28"/>
        <v>9</v>
      </c>
      <c r="Z27" s="30">
        <f t="shared" si="28"/>
        <v>17</v>
      </c>
      <c r="AA27" s="30">
        <f t="shared" si="28"/>
        <v>18</v>
      </c>
      <c r="AB27" s="30">
        <f t="shared" si="28"/>
        <v>10</v>
      </c>
    </row>
    <row r="28">
      <c r="A28" s="28">
        <f t="shared" si="4"/>
        <v>27</v>
      </c>
      <c r="B28" s="43" t="s">
        <v>100</v>
      </c>
      <c r="C28" s="30">
        <f t="shared" ref="C28:AB28" si="29">IFERROR(VLOOKUP($B28,indirect(text(C$1,"mm/dd/yy")&amp;"!B:L"),11,false),"Not played")</f>
        <v>4</v>
      </c>
      <c r="D28" s="30">
        <f t="shared" si="29"/>
        <v>13</v>
      </c>
      <c r="E28" s="30">
        <f t="shared" si="29"/>
        <v>9</v>
      </c>
      <c r="F28" s="30">
        <f t="shared" si="29"/>
        <v>6</v>
      </c>
      <c r="G28" s="30">
        <f t="shared" si="29"/>
        <v>9</v>
      </c>
      <c r="H28" s="30">
        <f t="shared" si="29"/>
        <v>8</v>
      </c>
      <c r="I28" s="30">
        <f t="shared" si="29"/>
        <v>15</v>
      </c>
      <c r="J28" s="30">
        <f t="shared" si="29"/>
        <v>10</v>
      </c>
      <c r="K28" s="30">
        <f t="shared" si="29"/>
        <v>9</v>
      </c>
      <c r="L28" s="30">
        <f t="shared" si="29"/>
        <v>6</v>
      </c>
      <c r="M28" s="30">
        <f t="shared" si="29"/>
        <v>11</v>
      </c>
      <c r="N28" s="30">
        <f t="shared" si="29"/>
        <v>14</v>
      </c>
      <c r="O28" s="30">
        <f t="shared" si="29"/>
        <v>13</v>
      </c>
      <c r="P28" s="30">
        <f t="shared" si="29"/>
        <v>12</v>
      </c>
      <c r="Q28" s="30">
        <f t="shared" si="29"/>
        <v>9</v>
      </c>
      <c r="R28" s="30">
        <f t="shared" si="29"/>
        <v>12</v>
      </c>
      <c r="S28" s="30" t="str">
        <f t="shared" si="29"/>
        <v>Not played</v>
      </c>
      <c r="T28" s="30" t="str">
        <f t="shared" si="29"/>
        <v>Not played</v>
      </c>
      <c r="U28" s="30">
        <f t="shared" si="29"/>
        <v>9</v>
      </c>
      <c r="V28" s="30">
        <f t="shared" si="29"/>
        <v>12</v>
      </c>
      <c r="W28" s="30">
        <f t="shared" si="29"/>
        <v>9</v>
      </c>
      <c r="X28" s="30">
        <f t="shared" si="29"/>
        <v>9</v>
      </c>
      <c r="Y28" s="30">
        <f t="shared" si="29"/>
        <v>9</v>
      </c>
      <c r="Z28" s="30">
        <f t="shared" si="29"/>
        <v>9</v>
      </c>
      <c r="AA28" s="30">
        <f t="shared" si="29"/>
        <v>9</v>
      </c>
      <c r="AB28" s="30">
        <f t="shared" si="29"/>
        <v>9</v>
      </c>
    </row>
    <row r="29">
      <c r="A29" s="28">
        <f t="shared" si="4"/>
        <v>28</v>
      </c>
      <c r="B29" s="48" t="s">
        <v>125</v>
      </c>
      <c r="C29" s="30">
        <f t="shared" ref="C29:AB29" si="30">IFERROR(VLOOKUP($B29,indirect(text(C$1,"mm/dd/yy")&amp;"!B:L"),11,false),"Not played")</f>
        <v>15</v>
      </c>
      <c r="D29" s="30">
        <f t="shared" si="30"/>
        <v>12</v>
      </c>
      <c r="E29" s="30">
        <f t="shared" si="30"/>
        <v>9</v>
      </c>
      <c r="F29" s="30">
        <f t="shared" si="30"/>
        <v>8</v>
      </c>
      <c r="G29" s="30">
        <f t="shared" si="30"/>
        <v>13</v>
      </c>
      <c r="H29" s="30">
        <f t="shared" si="30"/>
        <v>13</v>
      </c>
      <c r="I29" s="30">
        <f t="shared" si="30"/>
        <v>12</v>
      </c>
      <c r="J29" s="30">
        <f t="shared" si="30"/>
        <v>16</v>
      </c>
      <c r="K29" s="30">
        <f t="shared" si="30"/>
        <v>9</v>
      </c>
      <c r="L29" s="30">
        <f t="shared" si="30"/>
        <v>11</v>
      </c>
      <c r="M29" s="30">
        <f t="shared" si="30"/>
        <v>13</v>
      </c>
      <c r="N29" s="30">
        <f t="shared" si="30"/>
        <v>9</v>
      </c>
      <c r="O29" s="30">
        <f t="shared" si="30"/>
        <v>10</v>
      </c>
      <c r="P29" s="30">
        <f t="shared" si="30"/>
        <v>7</v>
      </c>
      <c r="Q29" s="30">
        <f t="shared" si="30"/>
        <v>10</v>
      </c>
      <c r="R29" s="30">
        <f t="shared" si="30"/>
        <v>17</v>
      </c>
      <c r="S29" s="30" t="str">
        <f t="shared" si="30"/>
        <v>Not played</v>
      </c>
      <c r="T29" s="30" t="str">
        <f t="shared" si="30"/>
        <v>Not played</v>
      </c>
      <c r="U29" s="30">
        <f t="shared" si="30"/>
        <v>9</v>
      </c>
      <c r="V29" s="30">
        <f t="shared" si="30"/>
        <v>9</v>
      </c>
      <c r="W29" s="30">
        <f t="shared" si="30"/>
        <v>15</v>
      </c>
      <c r="X29" s="30">
        <f t="shared" si="30"/>
        <v>9</v>
      </c>
      <c r="Y29" s="30">
        <f t="shared" si="30"/>
        <v>14</v>
      </c>
      <c r="Z29" s="30">
        <f t="shared" si="30"/>
        <v>10</v>
      </c>
      <c r="AA29" s="30">
        <f t="shared" si="30"/>
        <v>9</v>
      </c>
      <c r="AB29" s="30">
        <f t="shared" si="30"/>
        <v>9</v>
      </c>
    </row>
    <row r="30">
      <c r="A30" s="28">
        <f t="shared" si="4"/>
        <v>29</v>
      </c>
      <c r="B30" s="28" t="s">
        <v>116</v>
      </c>
      <c r="C30" s="30">
        <f t="shared" ref="C30:AB30" si="31">IFERROR(VLOOKUP($B30,indirect(text(C$1,"mm/dd/yy")&amp;"!B:L"),11,false),"Not played")</f>
        <v>13</v>
      </c>
      <c r="D30" s="30">
        <f t="shared" si="31"/>
        <v>16</v>
      </c>
      <c r="E30" s="30">
        <f t="shared" si="31"/>
        <v>11</v>
      </c>
      <c r="F30" s="30">
        <f t="shared" si="31"/>
        <v>14</v>
      </c>
      <c r="G30" s="30">
        <f t="shared" si="31"/>
        <v>9</v>
      </c>
      <c r="H30" s="30">
        <f t="shared" si="31"/>
        <v>17</v>
      </c>
      <c r="I30" s="30">
        <f t="shared" si="31"/>
        <v>15</v>
      </c>
      <c r="J30" s="30">
        <f t="shared" si="31"/>
        <v>20</v>
      </c>
      <c r="K30" s="30">
        <f t="shared" si="31"/>
        <v>9</v>
      </c>
      <c r="L30" s="30">
        <f t="shared" si="31"/>
        <v>9</v>
      </c>
      <c r="M30" s="30">
        <f t="shared" si="31"/>
        <v>9</v>
      </c>
      <c r="N30" s="30">
        <f t="shared" si="31"/>
        <v>9</v>
      </c>
      <c r="O30" s="30">
        <f t="shared" si="31"/>
        <v>9</v>
      </c>
      <c r="P30" s="30">
        <f t="shared" si="31"/>
        <v>19</v>
      </c>
      <c r="Q30" s="30">
        <f t="shared" si="31"/>
        <v>14</v>
      </c>
      <c r="R30" s="30">
        <f t="shared" si="31"/>
        <v>9</v>
      </c>
      <c r="S30" s="30" t="str">
        <f t="shared" si="31"/>
        <v>Not played</v>
      </c>
      <c r="T30" s="30" t="str">
        <f t="shared" si="31"/>
        <v>Not played</v>
      </c>
      <c r="U30" s="30">
        <f t="shared" si="31"/>
        <v>14</v>
      </c>
      <c r="V30" s="30">
        <f t="shared" si="31"/>
        <v>14</v>
      </c>
      <c r="W30" s="30">
        <f t="shared" si="31"/>
        <v>14</v>
      </c>
      <c r="X30" s="30">
        <f t="shared" si="31"/>
        <v>9</v>
      </c>
      <c r="Y30" s="30">
        <f t="shared" si="31"/>
        <v>9</v>
      </c>
      <c r="Z30" s="30">
        <f t="shared" si="31"/>
        <v>9</v>
      </c>
      <c r="AA30" s="30">
        <f t="shared" si="31"/>
        <v>9</v>
      </c>
      <c r="AB30" s="30">
        <f t="shared" si="31"/>
        <v>18</v>
      </c>
    </row>
    <row r="31">
      <c r="A31" s="28">
        <f t="shared" si="4"/>
        <v>30</v>
      </c>
      <c r="B31" s="43" t="s">
        <v>79</v>
      </c>
      <c r="C31" s="30">
        <f t="shared" ref="C31:AB31" si="32">IFERROR(VLOOKUP($B31,indirect(text(C$1,"mm/dd/yy")&amp;"!B:L"),11,false),"Not played")</f>
        <v>18</v>
      </c>
      <c r="D31" s="30">
        <f t="shared" si="32"/>
        <v>14</v>
      </c>
      <c r="E31" s="30">
        <f t="shared" si="32"/>
        <v>13</v>
      </c>
      <c r="F31" s="30">
        <f t="shared" si="32"/>
        <v>9</v>
      </c>
      <c r="G31" s="30">
        <f t="shared" si="32"/>
        <v>10</v>
      </c>
      <c r="H31" s="30">
        <f t="shared" si="32"/>
        <v>6</v>
      </c>
      <c r="I31" s="30">
        <f t="shared" si="32"/>
        <v>9</v>
      </c>
      <c r="J31" s="30">
        <f t="shared" si="32"/>
        <v>9</v>
      </c>
      <c r="K31" s="30">
        <f t="shared" si="32"/>
        <v>9</v>
      </c>
      <c r="L31" s="30">
        <f t="shared" si="32"/>
        <v>9</v>
      </c>
      <c r="M31" s="30">
        <f t="shared" si="32"/>
        <v>9</v>
      </c>
      <c r="N31" s="30">
        <f t="shared" si="32"/>
        <v>9</v>
      </c>
      <c r="O31" s="30">
        <f t="shared" si="32"/>
        <v>9</v>
      </c>
      <c r="P31" s="30">
        <f t="shared" si="32"/>
        <v>9</v>
      </c>
      <c r="Q31" s="30">
        <f t="shared" si="32"/>
        <v>9</v>
      </c>
      <c r="R31" s="30">
        <f t="shared" si="32"/>
        <v>9</v>
      </c>
      <c r="S31" s="30" t="str">
        <f t="shared" si="32"/>
        <v>Not played</v>
      </c>
      <c r="T31" s="30" t="str">
        <f t="shared" si="32"/>
        <v>Not played</v>
      </c>
      <c r="U31" s="30">
        <f t="shared" si="32"/>
        <v>9</v>
      </c>
      <c r="V31" s="30">
        <f t="shared" si="32"/>
        <v>9</v>
      </c>
      <c r="W31" s="30">
        <f t="shared" si="32"/>
        <v>9</v>
      </c>
      <c r="X31" s="30">
        <f t="shared" si="32"/>
        <v>9</v>
      </c>
      <c r="Y31" s="30">
        <f t="shared" si="32"/>
        <v>9</v>
      </c>
      <c r="Z31" s="30">
        <f t="shared" si="32"/>
        <v>9</v>
      </c>
      <c r="AA31" s="30">
        <f t="shared" si="32"/>
        <v>9</v>
      </c>
      <c r="AB31" s="30">
        <f t="shared" si="32"/>
        <v>9</v>
      </c>
    </row>
    <row r="32">
      <c r="A32" s="28">
        <f t="shared" si="4"/>
        <v>31</v>
      </c>
      <c r="B32" s="43" t="s">
        <v>106</v>
      </c>
      <c r="C32" s="30">
        <f t="shared" ref="C32:AB32" si="33">IFERROR(VLOOKUP($B32,indirect(text(C$1,"mm/dd/yy")&amp;"!B:L"),11,false),"Not played")</f>
        <v>15</v>
      </c>
      <c r="D32" s="30">
        <f t="shared" si="33"/>
        <v>15</v>
      </c>
      <c r="E32" s="30">
        <f t="shared" si="33"/>
        <v>9</v>
      </c>
      <c r="F32" s="30">
        <f t="shared" si="33"/>
        <v>4</v>
      </c>
      <c r="G32" s="30">
        <f t="shared" si="33"/>
        <v>20</v>
      </c>
      <c r="H32" s="30">
        <f t="shared" si="33"/>
        <v>13</v>
      </c>
      <c r="I32" s="30">
        <f t="shared" si="33"/>
        <v>14</v>
      </c>
      <c r="J32" s="30">
        <f t="shared" si="33"/>
        <v>7</v>
      </c>
      <c r="K32" s="30">
        <f t="shared" si="33"/>
        <v>9</v>
      </c>
      <c r="L32" s="30">
        <f t="shared" si="33"/>
        <v>9</v>
      </c>
      <c r="M32" s="30">
        <f t="shared" si="33"/>
        <v>14</v>
      </c>
      <c r="N32" s="30">
        <f t="shared" si="33"/>
        <v>18</v>
      </c>
      <c r="O32" s="30">
        <f t="shared" si="33"/>
        <v>11</v>
      </c>
      <c r="P32" s="30">
        <f t="shared" si="33"/>
        <v>13</v>
      </c>
      <c r="Q32" s="30">
        <f t="shared" si="33"/>
        <v>9</v>
      </c>
      <c r="R32" s="30">
        <f t="shared" si="33"/>
        <v>9</v>
      </c>
      <c r="S32" s="30" t="str">
        <f t="shared" si="33"/>
        <v>Not played</v>
      </c>
      <c r="T32" s="30" t="str">
        <f t="shared" si="33"/>
        <v>Not played</v>
      </c>
      <c r="U32" s="30">
        <f t="shared" si="33"/>
        <v>19</v>
      </c>
      <c r="V32" s="30">
        <f t="shared" si="33"/>
        <v>19</v>
      </c>
      <c r="W32" s="30">
        <f t="shared" si="33"/>
        <v>9</v>
      </c>
      <c r="X32" s="30">
        <f t="shared" si="33"/>
        <v>12</v>
      </c>
      <c r="Y32" s="30">
        <f t="shared" si="33"/>
        <v>18</v>
      </c>
      <c r="Z32" s="30">
        <f t="shared" si="33"/>
        <v>9</v>
      </c>
      <c r="AA32" s="30">
        <f t="shared" si="33"/>
        <v>10</v>
      </c>
      <c r="AB32" s="30">
        <f t="shared" si="33"/>
        <v>18</v>
      </c>
    </row>
    <row r="33">
      <c r="A33" s="28">
        <f t="shared" si="4"/>
        <v>32</v>
      </c>
      <c r="B33" s="43" t="s">
        <v>126</v>
      </c>
      <c r="C33" s="30">
        <f t="shared" ref="C33:AB33" si="34">IFERROR(VLOOKUP($B33,indirect(text(C$1,"mm/dd/yy")&amp;"!B:L"),11,false),"Not played")</f>
        <v>9</v>
      </c>
      <c r="D33" s="30">
        <f t="shared" si="34"/>
        <v>9</v>
      </c>
      <c r="E33" s="30">
        <f t="shared" si="34"/>
        <v>9</v>
      </c>
      <c r="F33" s="30">
        <f t="shared" si="34"/>
        <v>9</v>
      </c>
      <c r="G33" s="30">
        <f t="shared" si="34"/>
        <v>9</v>
      </c>
      <c r="H33" s="30">
        <f t="shared" si="34"/>
        <v>9</v>
      </c>
      <c r="I33" s="30">
        <f t="shared" si="34"/>
        <v>9</v>
      </c>
      <c r="J33" s="30">
        <f t="shared" si="34"/>
        <v>9</v>
      </c>
      <c r="K33" s="30">
        <f t="shared" si="34"/>
        <v>9</v>
      </c>
      <c r="L33" s="30">
        <f t="shared" si="34"/>
        <v>9</v>
      </c>
      <c r="M33" s="30">
        <f t="shared" si="34"/>
        <v>9</v>
      </c>
      <c r="N33" s="30">
        <f t="shared" si="34"/>
        <v>9</v>
      </c>
      <c r="O33" s="30">
        <f t="shared" si="34"/>
        <v>9</v>
      </c>
      <c r="P33" s="30">
        <f t="shared" si="34"/>
        <v>9</v>
      </c>
      <c r="Q33" s="30">
        <f t="shared" si="34"/>
        <v>9</v>
      </c>
      <c r="R33" s="30">
        <f t="shared" si="34"/>
        <v>9</v>
      </c>
      <c r="S33" s="30" t="str">
        <f t="shared" si="34"/>
        <v>Not played</v>
      </c>
      <c r="T33" s="30" t="str">
        <f t="shared" si="34"/>
        <v>Not played</v>
      </c>
      <c r="U33" s="30">
        <f t="shared" si="34"/>
        <v>9</v>
      </c>
      <c r="V33" s="30">
        <f t="shared" si="34"/>
        <v>9</v>
      </c>
      <c r="W33" s="30">
        <f t="shared" si="34"/>
        <v>9</v>
      </c>
      <c r="X33" s="30">
        <f t="shared" si="34"/>
        <v>9</v>
      </c>
      <c r="Y33" s="30">
        <f t="shared" si="34"/>
        <v>9</v>
      </c>
      <c r="Z33" s="30">
        <f t="shared" si="34"/>
        <v>9</v>
      </c>
      <c r="AA33" s="30">
        <f t="shared" si="34"/>
        <v>9</v>
      </c>
      <c r="AB33" s="30">
        <f t="shared" si="34"/>
        <v>9</v>
      </c>
    </row>
    <row r="34">
      <c r="A34" s="28">
        <f t="shared" si="4"/>
        <v>33</v>
      </c>
      <c r="B34" s="28" t="s">
        <v>101</v>
      </c>
      <c r="C34" s="30">
        <f t="shared" ref="C34:AB34" si="35">IFERROR(VLOOKUP($B34,indirect(text(C$1,"mm/dd/yy")&amp;"!B:L"),11,false),"Not played")</f>
        <v>13</v>
      </c>
      <c r="D34" s="30">
        <f t="shared" si="35"/>
        <v>18</v>
      </c>
      <c r="E34" s="30">
        <f t="shared" si="35"/>
        <v>15</v>
      </c>
      <c r="F34" s="30">
        <f t="shared" si="35"/>
        <v>15</v>
      </c>
      <c r="G34" s="30">
        <f t="shared" si="35"/>
        <v>13</v>
      </c>
      <c r="H34" s="30">
        <f t="shared" si="35"/>
        <v>9</v>
      </c>
      <c r="I34" s="30">
        <f t="shared" si="35"/>
        <v>16</v>
      </c>
      <c r="J34" s="30">
        <f t="shared" si="35"/>
        <v>8</v>
      </c>
      <c r="K34" s="30">
        <f t="shared" si="35"/>
        <v>13</v>
      </c>
      <c r="L34" s="30">
        <f t="shared" si="35"/>
        <v>9</v>
      </c>
      <c r="M34" s="30">
        <f t="shared" si="35"/>
        <v>9</v>
      </c>
      <c r="N34" s="30">
        <f t="shared" si="35"/>
        <v>19</v>
      </c>
      <c r="O34" s="30">
        <f t="shared" si="35"/>
        <v>14</v>
      </c>
      <c r="P34" s="30">
        <f t="shared" si="35"/>
        <v>13</v>
      </c>
      <c r="Q34" s="30">
        <f t="shared" si="35"/>
        <v>19</v>
      </c>
      <c r="R34" s="30">
        <f t="shared" si="35"/>
        <v>12</v>
      </c>
      <c r="S34" s="30" t="str">
        <f t="shared" si="35"/>
        <v>Not played</v>
      </c>
      <c r="T34" s="30" t="str">
        <f t="shared" si="35"/>
        <v>Not played</v>
      </c>
      <c r="U34" s="30">
        <f t="shared" si="35"/>
        <v>9</v>
      </c>
      <c r="V34" s="30">
        <f t="shared" si="35"/>
        <v>15</v>
      </c>
      <c r="W34" s="30">
        <f t="shared" si="35"/>
        <v>14</v>
      </c>
      <c r="X34" s="30">
        <f t="shared" si="35"/>
        <v>15</v>
      </c>
      <c r="Y34" s="30">
        <f t="shared" si="35"/>
        <v>9</v>
      </c>
      <c r="Z34" s="30">
        <f t="shared" si="35"/>
        <v>9</v>
      </c>
      <c r="AA34" s="30">
        <f t="shared" si="35"/>
        <v>13</v>
      </c>
      <c r="AB34" s="30">
        <f t="shared" si="35"/>
        <v>9</v>
      </c>
    </row>
    <row r="35">
      <c r="A35" s="28">
        <f t="shared" si="4"/>
        <v>34</v>
      </c>
      <c r="B35" s="28" t="s">
        <v>93</v>
      </c>
      <c r="C35" s="30">
        <f t="shared" ref="C35:AB35" si="36">IFERROR(VLOOKUP($B35,indirect(text(C$1,"mm/dd/yy")&amp;"!B:L"),11,false),"Not played")</f>
        <v>9</v>
      </c>
      <c r="D35" s="30">
        <f t="shared" si="36"/>
        <v>14</v>
      </c>
      <c r="E35" s="30">
        <f t="shared" si="36"/>
        <v>9</v>
      </c>
      <c r="F35" s="30">
        <f t="shared" si="36"/>
        <v>10</v>
      </c>
      <c r="G35" s="30">
        <f t="shared" si="36"/>
        <v>14</v>
      </c>
      <c r="H35" s="30">
        <f t="shared" si="36"/>
        <v>9</v>
      </c>
      <c r="I35" s="30">
        <f t="shared" si="36"/>
        <v>9</v>
      </c>
      <c r="J35" s="30">
        <f t="shared" si="36"/>
        <v>16</v>
      </c>
      <c r="K35" s="30">
        <f t="shared" si="36"/>
        <v>9</v>
      </c>
      <c r="L35" s="30">
        <f t="shared" si="36"/>
        <v>9</v>
      </c>
      <c r="M35" s="30">
        <f t="shared" si="36"/>
        <v>15</v>
      </c>
      <c r="N35" s="30">
        <f t="shared" si="36"/>
        <v>17</v>
      </c>
      <c r="O35" s="30">
        <f t="shared" si="36"/>
        <v>9</v>
      </c>
      <c r="P35" s="30">
        <f t="shared" si="36"/>
        <v>12</v>
      </c>
      <c r="Q35" s="30">
        <f t="shared" si="36"/>
        <v>9</v>
      </c>
      <c r="R35" s="30">
        <f t="shared" si="36"/>
        <v>9</v>
      </c>
      <c r="S35" s="30" t="str">
        <f t="shared" si="36"/>
        <v>Not played</v>
      </c>
      <c r="T35" s="30" t="str">
        <f t="shared" si="36"/>
        <v>Not played</v>
      </c>
      <c r="U35" s="30">
        <f t="shared" si="36"/>
        <v>9</v>
      </c>
      <c r="V35" s="30">
        <f t="shared" si="36"/>
        <v>9</v>
      </c>
      <c r="W35" s="30">
        <f t="shared" si="36"/>
        <v>15</v>
      </c>
      <c r="X35" s="30">
        <f t="shared" si="36"/>
        <v>9</v>
      </c>
      <c r="Y35" s="30">
        <f t="shared" si="36"/>
        <v>8</v>
      </c>
      <c r="Z35" s="30">
        <f t="shared" si="36"/>
        <v>9</v>
      </c>
      <c r="AA35" s="30">
        <f t="shared" si="36"/>
        <v>14</v>
      </c>
      <c r="AB35" s="30">
        <f t="shared" si="36"/>
        <v>9</v>
      </c>
    </row>
    <row r="36">
      <c r="A36" s="28">
        <f t="shared" si="4"/>
        <v>35</v>
      </c>
      <c r="B36" s="28" t="s">
        <v>127</v>
      </c>
      <c r="C36" s="30">
        <f t="shared" ref="C36:AB36" si="37">IFERROR(VLOOKUP($B36,indirect(text(C$1,"mm/dd/yy")&amp;"!B:L"),11,false),"Not played")</f>
        <v>13</v>
      </c>
      <c r="D36" s="30">
        <f t="shared" si="37"/>
        <v>9</v>
      </c>
      <c r="E36" s="30">
        <f t="shared" si="37"/>
        <v>19</v>
      </c>
      <c r="F36" s="30">
        <f t="shared" si="37"/>
        <v>9</v>
      </c>
      <c r="G36" s="30">
        <f t="shared" si="37"/>
        <v>18</v>
      </c>
      <c r="H36" s="30">
        <f t="shared" si="37"/>
        <v>9</v>
      </c>
      <c r="I36" s="30">
        <f t="shared" si="37"/>
        <v>9</v>
      </c>
      <c r="J36" s="30">
        <f t="shared" si="37"/>
        <v>9</v>
      </c>
      <c r="K36" s="30">
        <f t="shared" si="37"/>
        <v>9</v>
      </c>
      <c r="L36" s="30">
        <f t="shared" si="37"/>
        <v>9</v>
      </c>
      <c r="M36" s="30">
        <f t="shared" si="37"/>
        <v>9</v>
      </c>
      <c r="N36" s="30">
        <f t="shared" si="37"/>
        <v>9</v>
      </c>
      <c r="O36" s="30">
        <f t="shared" si="37"/>
        <v>9</v>
      </c>
      <c r="P36" s="30">
        <f t="shared" si="37"/>
        <v>18</v>
      </c>
      <c r="Q36" s="30">
        <f t="shared" si="37"/>
        <v>9</v>
      </c>
      <c r="R36" s="30">
        <f t="shared" si="37"/>
        <v>9</v>
      </c>
      <c r="S36" s="30" t="str">
        <f t="shared" si="37"/>
        <v>Not played</v>
      </c>
      <c r="T36" s="30" t="str">
        <f t="shared" si="37"/>
        <v>Not played</v>
      </c>
      <c r="U36" s="30">
        <f t="shared" si="37"/>
        <v>9</v>
      </c>
      <c r="V36" s="30">
        <f t="shared" si="37"/>
        <v>18</v>
      </c>
      <c r="W36" s="30">
        <f t="shared" si="37"/>
        <v>9</v>
      </c>
      <c r="X36" s="30">
        <f t="shared" si="37"/>
        <v>9</v>
      </c>
      <c r="Y36" s="30">
        <f t="shared" si="37"/>
        <v>18</v>
      </c>
      <c r="Z36" s="30">
        <f t="shared" si="37"/>
        <v>9</v>
      </c>
      <c r="AA36" s="30">
        <f t="shared" si="37"/>
        <v>9</v>
      </c>
      <c r="AB36" s="30">
        <f t="shared" si="37"/>
        <v>18</v>
      </c>
    </row>
    <row r="37">
      <c r="A37" s="28">
        <f t="shared" si="4"/>
        <v>36</v>
      </c>
      <c r="B37" s="28" t="s">
        <v>98</v>
      </c>
      <c r="C37" s="30">
        <f t="shared" ref="C37:AB37" si="38">IFERROR(VLOOKUP($B37,indirect(text(C$1,"mm/dd/yy")&amp;"!B:L"),11,false),"Not played")</f>
        <v>13</v>
      </c>
      <c r="D37" s="30">
        <f t="shared" si="38"/>
        <v>19</v>
      </c>
      <c r="E37" s="30">
        <f t="shared" si="38"/>
        <v>9</v>
      </c>
      <c r="F37" s="30">
        <f t="shared" si="38"/>
        <v>18</v>
      </c>
      <c r="G37" s="30">
        <f t="shared" si="38"/>
        <v>13</v>
      </c>
      <c r="H37" s="30">
        <f t="shared" si="38"/>
        <v>9</v>
      </c>
      <c r="I37" s="30">
        <f t="shared" si="38"/>
        <v>9</v>
      </c>
      <c r="J37" s="30">
        <f t="shared" si="38"/>
        <v>13</v>
      </c>
      <c r="K37" s="30">
        <f t="shared" si="38"/>
        <v>9</v>
      </c>
      <c r="L37" s="30">
        <f t="shared" si="38"/>
        <v>9</v>
      </c>
      <c r="M37" s="30">
        <f t="shared" si="38"/>
        <v>13</v>
      </c>
      <c r="N37" s="30">
        <f t="shared" si="38"/>
        <v>11</v>
      </c>
      <c r="O37" s="30">
        <f t="shared" si="38"/>
        <v>9</v>
      </c>
      <c r="P37" s="30">
        <f t="shared" si="38"/>
        <v>12</v>
      </c>
      <c r="Q37" s="30">
        <f t="shared" si="38"/>
        <v>9</v>
      </c>
      <c r="R37" s="30">
        <f t="shared" si="38"/>
        <v>20</v>
      </c>
      <c r="S37" s="30" t="str">
        <f t="shared" si="38"/>
        <v>Not played</v>
      </c>
      <c r="T37" s="30" t="str">
        <f t="shared" si="38"/>
        <v>Not played</v>
      </c>
      <c r="U37" s="30">
        <f t="shared" si="38"/>
        <v>9</v>
      </c>
      <c r="V37" s="30">
        <f t="shared" si="38"/>
        <v>9</v>
      </c>
      <c r="W37" s="30">
        <f t="shared" si="38"/>
        <v>16</v>
      </c>
      <c r="X37" s="30">
        <f t="shared" si="38"/>
        <v>9</v>
      </c>
      <c r="Y37" s="30">
        <f t="shared" si="38"/>
        <v>14</v>
      </c>
      <c r="Z37" s="30">
        <f t="shared" si="38"/>
        <v>11</v>
      </c>
      <c r="AA37" s="30">
        <f t="shared" si="38"/>
        <v>18</v>
      </c>
      <c r="AB37" s="30">
        <f t="shared" si="38"/>
        <v>13</v>
      </c>
    </row>
    <row r="38">
      <c r="A38" s="28">
        <f t="shared" si="4"/>
        <v>37</v>
      </c>
      <c r="B38" s="28" t="s">
        <v>84</v>
      </c>
      <c r="C38" s="30">
        <f t="shared" ref="C38:AB38" si="39">IFERROR(VLOOKUP($B38,indirect(text(C$1,"mm/dd/yy")&amp;"!B:L"),11,false),"Not played")</f>
        <v>9</v>
      </c>
      <c r="D38" s="30">
        <f t="shared" si="39"/>
        <v>14</v>
      </c>
      <c r="E38" s="30">
        <f t="shared" si="39"/>
        <v>11</v>
      </c>
      <c r="F38" s="30">
        <f t="shared" si="39"/>
        <v>11</v>
      </c>
      <c r="G38" s="30">
        <f t="shared" si="39"/>
        <v>10</v>
      </c>
      <c r="H38" s="30">
        <f t="shared" si="39"/>
        <v>19</v>
      </c>
      <c r="I38" s="30">
        <f t="shared" si="39"/>
        <v>10</v>
      </c>
      <c r="J38" s="30">
        <f t="shared" si="39"/>
        <v>8</v>
      </c>
      <c r="K38" s="30">
        <f t="shared" si="39"/>
        <v>9</v>
      </c>
      <c r="L38" s="30">
        <f t="shared" si="39"/>
        <v>12</v>
      </c>
      <c r="M38" s="30">
        <f t="shared" si="39"/>
        <v>15</v>
      </c>
      <c r="N38" s="30">
        <f t="shared" si="39"/>
        <v>15</v>
      </c>
      <c r="O38" s="30">
        <f t="shared" si="39"/>
        <v>12</v>
      </c>
      <c r="P38" s="30">
        <f t="shared" si="39"/>
        <v>9</v>
      </c>
      <c r="Q38" s="30">
        <f t="shared" si="39"/>
        <v>16</v>
      </c>
      <c r="R38" s="30">
        <f t="shared" si="39"/>
        <v>9</v>
      </c>
      <c r="S38" s="30" t="str">
        <f t="shared" si="39"/>
        <v>Not played</v>
      </c>
      <c r="T38" s="30" t="str">
        <f t="shared" si="39"/>
        <v>Not played</v>
      </c>
      <c r="U38" s="30">
        <f t="shared" si="39"/>
        <v>9</v>
      </c>
      <c r="V38" s="30">
        <f t="shared" si="39"/>
        <v>12</v>
      </c>
      <c r="W38" s="30">
        <f t="shared" si="39"/>
        <v>11</v>
      </c>
      <c r="X38" s="30">
        <f t="shared" si="39"/>
        <v>9</v>
      </c>
      <c r="Y38" s="30">
        <f t="shared" si="39"/>
        <v>9</v>
      </c>
      <c r="Z38" s="30">
        <f t="shared" si="39"/>
        <v>9</v>
      </c>
      <c r="AA38" s="30">
        <f t="shared" si="39"/>
        <v>9</v>
      </c>
      <c r="AB38" s="30">
        <f t="shared" si="39"/>
        <v>9</v>
      </c>
    </row>
    <row r="39">
      <c r="A39" s="28">
        <f t="shared" si="4"/>
        <v>38</v>
      </c>
      <c r="B39" s="43" t="s">
        <v>131</v>
      </c>
      <c r="C39" s="30">
        <f t="shared" ref="C39:AB39" si="40">IFERROR(VLOOKUP($B39,indirect(text(C$1,"mm/dd/yy")&amp;"!B:L"),11,false),"Not played")</f>
        <v>13</v>
      </c>
      <c r="D39" s="30">
        <f t="shared" si="40"/>
        <v>13</v>
      </c>
      <c r="E39" s="30">
        <f t="shared" si="40"/>
        <v>9</v>
      </c>
      <c r="F39" s="30">
        <f t="shared" si="40"/>
        <v>9</v>
      </c>
      <c r="G39" s="30">
        <f t="shared" si="40"/>
        <v>9</v>
      </c>
      <c r="H39" s="30">
        <f t="shared" si="40"/>
        <v>9</v>
      </c>
      <c r="I39" s="30">
        <f t="shared" si="40"/>
        <v>9</v>
      </c>
      <c r="J39" s="30">
        <f t="shared" si="40"/>
        <v>9</v>
      </c>
      <c r="K39" s="30">
        <f t="shared" si="40"/>
        <v>9</v>
      </c>
      <c r="L39" s="30">
        <f t="shared" si="40"/>
        <v>9</v>
      </c>
      <c r="M39" s="30">
        <f t="shared" si="40"/>
        <v>9</v>
      </c>
      <c r="N39" s="30">
        <f t="shared" si="40"/>
        <v>9</v>
      </c>
      <c r="O39" s="30">
        <f t="shared" si="40"/>
        <v>9</v>
      </c>
      <c r="P39" s="30">
        <f t="shared" si="40"/>
        <v>17</v>
      </c>
      <c r="Q39" s="30">
        <f t="shared" si="40"/>
        <v>18</v>
      </c>
      <c r="R39" s="30">
        <f t="shared" si="40"/>
        <v>18</v>
      </c>
      <c r="S39" s="30" t="str">
        <f t="shared" si="40"/>
        <v>Not played</v>
      </c>
      <c r="T39" s="30" t="str">
        <f t="shared" si="40"/>
        <v>Not played</v>
      </c>
      <c r="U39" s="30">
        <f t="shared" si="40"/>
        <v>9</v>
      </c>
      <c r="V39" s="30">
        <f t="shared" si="40"/>
        <v>13</v>
      </c>
      <c r="W39" s="30">
        <f t="shared" si="40"/>
        <v>9</v>
      </c>
      <c r="X39" s="30">
        <f t="shared" si="40"/>
        <v>13</v>
      </c>
      <c r="Y39" s="30">
        <f t="shared" si="40"/>
        <v>11</v>
      </c>
      <c r="Z39" s="30">
        <f t="shared" si="40"/>
        <v>18</v>
      </c>
      <c r="AA39" s="30">
        <f t="shared" si="40"/>
        <v>9</v>
      </c>
      <c r="AB39" s="30">
        <f t="shared" si="40"/>
        <v>10</v>
      </c>
    </row>
    <row r="40">
      <c r="A40" s="28">
        <f t="shared" si="4"/>
        <v>39</v>
      </c>
      <c r="B40" s="28" t="s">
        <v>128</v>
      </c>
      <c r="C40" s="30">
        <f t="shared" ref="C40:AB40" si="41">IFERROR(VLOOKUP($B40,indirect(text(C$1,"mm/dd/yy")&amp;"!B:L"),11,false),"Not played")</f>
        <v>9</v>
      </c>
      <c r="D40" s="30">
        <f t="shared" si="41"/>
        <v>9</v>
      </c>
      <c r="E40" s="30">
        <f t="shared" si="41"/>
        <v>9</v>
      </c>
      <c r="F40" s="30">
        <f t="shared" si="41"/>
        <v>18</v>
      </c>
      <c r="G40" s="30">
        <f t="shared" si="41"/>
        <v>19</v>
      </c>
      <c r="H40" s="30">
        <f t="shared" si="41"/>
        <v>13</v>
      </c>
      <c r="I40" s="30">
        <f t="shared" si="41"/>
        <v>15</v>
      </c>
      <c r="J40" s="30">
        <f t="shared" si="41"/>
        <v>9</v>
      </c>
      <c r="K40" s="30">
        <f t="shared" si="41"/>
        <v>11</v>
      </c>
      <c r="L40" s="30">
        <f t="shared" si="41"/>
        <v>9</v>
      </c>
      <c r="M40" s="30">
        <f t="shared" si="41"/>
        <v>9</v>
      </c>
      <c r="N40" s="30">
        <f t="shared" si="41"/>
        <v>9</v>
      </c>
      <c r="O40" s="30">
        <f t="shared" si="41"/>
        <v>9</v>
      </c>
      <c r="P40" s="30">
        <f t="shared" si="41"/>
        <v>18</v>
      </c>
      <c r="Q40" s="30">
        <f t="shared" si="41"/>
        <v>9</v>
      </c>
      <c r="R40" s="30">
        <f t="shared" si="41"/>
        <v>9</v>
      </c>
      <c r="S40" s="30" t="str">
        <f t="shared" si="41"/>
        <v>Not played</v>
      </c>
      <c r="T40" s="30" t="str">
        <f t="shared" si="41"/>
        <v>Not played</v>
      </c>
      <c r="U40" s="30">
        <f t="shared" si="41"/>
        <v>18</v>
      </c>
      <c r="V40" s="30">
        <f t="shared" si="41"/>
        <v>18</v>
      </c>
      <c r="W40" s="30">
        <f t="shared" si="41"/>
        <v>19</v>
      </c>
      <c r="X40" s="30">
        <f t="shared" si="41"/>
        <v>18</v>
      </c>
      <c r="Y40" s="30">
        <f t="shared" si="41"/>
        <v>9</v>
      </c>
      <c r="Z40" s="30">
        <f t="shared" si="41"/>
        <v>10</v>
      </c>
      <c r="AA40" s="30">
        <f t="shared" si="41"/>
        <v>9</v>
      </c>
      <c r="AB40" s="30">
        <f t="shared" si="41"/>
        <v>9</v>
      </c>
    </row>
    <row r="41">
      <c r="A41" s="28">
        <f t="shared" si="4"/>
        <v>40</v>
      </c>
      <c r="B41" s="28" t="s">
        <v>74</v>
      </c>
      <c r="C41" s="30">
        <f t="shared" ref="C41:AB41" si="42">IFERROR(VLOOKUP($B41,indirect(text(C$1,"mm/dd/yy")&amp;"!B:L"),11,false),"Not played")</f>
        <v>13</v>
      </c>
      <c r="D41" s="30">
        <f t="shared" si="42"/>
        <v>13</v>
      </c>
      <c r="E41" s="30">
        <f t="shared" si="42"/>
        <v>18</v>
      </c>
      <c r="F41" s="30">
        <f t="shared" si="42"/>
        <v>18</v>
      </c>
      <c r="G41" s="30">
        <f t="shared" si="42"/>
        <v>13</v>
      </c>
      <c r="H41" s="30">
        <f t="shared" si="42"/>
        <v>9</v>
      </c>
      <c r="I41" s="30">
        <f t="shared" si="42"/>
        <v>9</v>
      </c>
      <c r="J41" s="30">
        <f t="shared" si="42"/>
        <v>9</v>
      </c>
      <c r="K41" s="30">
        <f t="shared" si="42"/>
        <v>9</v>
      </c>
      <c r="L41" s="30">
        <f t="shared" si="42"/>
        <v>18</v>
      </c>
      <c r="M41" s="30">
        <f t="shared" si="42"/>
        <v>9</v>
      </c>
      <c r="N41" s="30">
        <f t="shared" si="42"/>
        <v>17</v>
      </c>
      <c r="O41" s="30">
        <f t="shared" si="42"/>
        <v>13</v>
      </c>
      <c r="P41" s="30">
        <f t="shared" si="42"/>
        <v>17</v>
      </c>
      <c r="Q41" s="30">
        <f t="shared" si="42"/>
        <v>16</v>
      </c>
      <c r="R41" s="30">
        <f t="shared" si="42"/>
        <v>14</v>
      </c>
      <c r="S41" s="30" t="str">
        <f t="shared" si="42"/>
        <v>Not played</v>
      </c>
      <c r="T41" s="30" t="str">
        <f t="shared" si="42"/>
        <v>Not played</v>
      </c>
      <c r="U41" s="30">
        <f t="shared" si="42"/>
        <v>15</v>
      </c>
      <c r="V41" s="30">
        <f t="shared" si="42"/>
        <v>9</v>
      </c>
      <c r="W41" s="30">
        <f t="shared" si="42"/>
        <v>9</v>
      </c>
      <c r="X41" s="30">
        <f t="shared" si="42"/>
        <v>19</v>
      </c>
      <c r="Y41" s="30">
        <f t="shared" si="42"/>
        <v>11</v>
      </c>
      <c r="Z41" s="30">
        <f t="shared" si="42"/>
        <v>9</v>
      </c>
      <c r="AA41" s="30">
        <f t="shared" si="42"/>
        <v>16</v>
      </c>
      <c r="AB41" s="30">
        <f t="shared" si="42"/>
        <v>13</v>
      </c>
    </row>
    <row r="42">
      <c r="A42" s="28">
        <f t="shared" si="4"/>
        <v>41</v>
      </c>
      <c r="B42" s="28" t="s">
        <v>45</v>
      </c>
      <c r="C42" s="30">
        <f t="shared" ref="C42:AB42" si="43">IFERROR(VLOOKUP($B42,indirect(text(C$1,"mm/dd/yy")&amp;"!B:L"),11,false),"Not played")</f>
        <v>13</v>
      </c>
      <c r="D42" s="30">
        <f t="shared" si="43"/>
        <v>18</v>
      </c>
      <c r="E42" s="30">
        <f t="shared" si="43"/>
        <v>17</v>
      </c>
      <c r="F42" s="30">
        <f t="shared" si="43"/>
        <v>10</v>
      </c>
      <c r="G42" s="30">
        <f t="shared" si="43"/>
        <v>18</v>
      </c>
      <c r="H42" s="30">
        <f t="shared" si="43"/>
        <v>11</v>
      </c>
      <c r="I42" s="30">
        <f t="shared" si="43"/>
        <v>13</v>
      </c>
      <c r="J42" s="30">
        <f t="shared" si="43"/>
        <v>13</v>
      </c>
      <c r="K42" s="30">
        <f t="shared" si="43"/>
        <v>18</v>
      </c>
      <c r="L42" s="30">
        <f t="shared" si="43"/>
        <v>20</v>
      </c>
      <c r="M42" s="30">
        <f t="shared" si="43"/>
        <v>13</v>
      </c>
      <c r="N42" s="30">
        <f t="shared" si="43"/>
        <v>18</v>
      </c>
      <c r="O42" s="30">
        <f t="shared" si="43"/>
        <v>14</v>
      </c>
      <c r="P42" s="30">
        <f t="shared" si="43"/>
        <v>18</v>
      </c>
      <c r="Q42" s="30">
        <f t="shared" si="43"/>
        <v>16</v>
      </c>
      <c r="R42" s="30">
        <f t="shared" si="43"/>
        <v>19</v>
      </c>
      <c r="S42" s="30" t="str">
        <f t="shared" si="43"/>
        <v>Not played</v>
      </c>
      <c r="T42" s="30" t="str">
        <f t="shared" si="43"/>
        <v>Not played</v>
      </c>
      <c r="U42" s="30">
        <f t="shared" si="43"/>
        <v>18</v>
      </c>
      <c r="V42" s="30">
        <f t="shared" si="43"/>
        <v>18</v>
      </c>
      <c r="W42" s="30">
        <f t="shared" si="43"/>
        <v>18</v>
      </c>
      <c r="X42" s="30">
        <f t="shared" si="43"/>
        <v>19</v>
      </c>
      <c r="Y42" s="30">
        <f t="shared" si="43"/>
        <v>13</v>
      </c>
      <c r="Z42" s="30">
        <f t="shared" si="43"/>
        <v>18</v>
      </c>
      <c r="AA42" s="30">
        <f t="shared" si="43"/>
        <v>18</v>
      </c>
      <c r="AB42" s="30">
        <f t="shared" si="43"/>
        <v>18</v>
      </c>
    </row>
    <row r="43">
      <c r="A43" s="28">
        <f t="shared" si="4"/>
        <v>42</v>
      </c>
      <c r="B43" s="28" t="s">
        <v>89</v>
      </c>
      <c r="C43" s="30">
        <f t="shared" ref="C43:AB43" si="44">IFERROR(VLOOKUP($B43,indirect(text(C$1,"mm/dd/yy")&amp;"!B:L"),11,false),"Not played")</f>
        <v>13</v>
      </c>
      <c r="D43" s="30">
        <f t="shared" si="44"/>
        <v>19</v>
      </c>
      <c r="E43" s="30">
        <f t="shared" si="44"/>
        <v>9</v>
      </c>
      <c r="F43" s="30">
        <f t="shared" si="44"/>
        <v>10</v>
      </c>
      <c r="G43" s="30">
        <f t="shared" si="44"/>
        <v>13</v>
      </c>
      <c r="H43" s="30">
        <f t="shared" si="44"/>
        <v>16</v>
      </c>
      <c r="I43" s="30">
        <f t="shared" si="44"/>
        <v>15</v>
      </c>
      <c r="J43" s="30">
        <f t="shared" si="44"/>
        <v>9</v>
      </c>
      <c r="K43" s="30">
        <f t="shared" si="44"/>
        <v>9</v>
      </c>
      <c r="L43" s="30">
        <f t="shared" si="44"/>
        <v>12</v>
      </c>
      <c r="M43" s="30">
        <f t="shared" si="44"/>
        <v>9</v>
      </c>
      <c r="N43" s="30">
        <f t="shared" si="44"/>
        <v>9</v>
      </c>
      <c r="O43" s="30">
        <f t="shared" si="44"/>
        <v>13</v>
      </c>
      <c r="P43" s="30">
        <f t="shared" si="44"/>
        <v>15</v>
      </c>
      <c r="Q43" s="30">
        <f t="shared" si="44"/>
        <v>12</v>
      </c>
      <c r="R43" s="30">
        <f t="shared" si="44"/>
        <v>9</v>
      </c>
      <c r="S43" s="30" t="str">
        <f t="shared" si="44"/>
        <v>Not played</v>
      </c>
      <c r="T43" s="30" t="str">
        <f t="shared" si="44"/>
        <v>Not played</v>
      </c>
      <c r="U43" s="30">
        <f t="shared" si="44"/>
        <v>6</v>
      </c>
      <c r="V43" s="30">
        <f t="shared" si="44"/>
        <v>9</v>
      </c>
      <c r="W43" s="30">
        <f t="shared" si="44"/>
        <v>9</v>
      </c>
      <c r="X43" s="30">
        <f t="shared" si="44"/>
        <v>9</v>
      </c>
      <c r="Y43" s="30">
        <f t="shared" si="44"/>
        <v>9</v>
      </c>
      <c r="Z43" s="30">
        <f t="shared" si="44"/>
        <v>9</v>
      </c>
      <c r="AA43" s="30">
        <f t="shared" si="44"/>
        <v>9</v>
      </c>
      <c r="AB43" s="30">
        <f t="shared" si="44"/>
        <v>9</v>
      </c>
    </row>
    <row r="44">
      <c r="A44" s="28">
        <f t="shared" si="4"/>
        <v>43</v>
      </c>
      <c r="B44" s="43" t="s">
        <v>135</v>
      </c>
      <c r="C44" s="30">
        <f t="shared" ref="C44:AB44" si="45">IFERROR(VLOOKUP($B44,indirect(text(C$1,"mm/dd/yy")&amp;"!B:L"),11,false),"Not played")</f>
        <v>10</v>
      </c>
      <c r="D44" s="30">
        <f t="shared" si="45"/>
        <v>11</v>
      </c>
      <c r="E44" s="30">
        <f t="shared" si="45"/>
        <v>9</v>
      </c>
      <c r="F44" s="30">
        <f t="shared" si="45"/>
        <v>1</v>
      </c>
      <c r="G44" s="30">
        <f t="shared" si="45"/>
        <v>9</v>
      </c>
      <c r="H44" s="30">
        <f t="shared" si="45"/>
        <v>9</v>
      </c>
      <c r="I44" s="30">
        <f t="shared" si="45"/>
        <v>9</v>
      </c>
      <c r="J44" s="30">
        <f t="shared" si="45"/>
        <v>9</v>
      </c>
      <c r="K44" s="30">
        <f t="shared" si="45"/>
        <v>9</v>
      </c>
      <c r="L44" s="30">
        <f t="shared" si="45"/>
        <v>9</v>
      </c>
      <c r="M44" s="30">
        <f t="shared" si="45"/>
        <v>9</v>
      </c>
      <c r="N44" s="30">
        <f t="shared" si="45"/>
        <v>9</v>
      </c>
      <c r="O44" s="30">
        <f t="shared" si="45"/>
        <v>3</v>
      </c>
      <c r="P44" s="30">
        <f t="shared" si="45"/>
        <v>9</v>
      </c>
      <c r="Q44" s="30">
        <f t="shared" si="45"/>
        <v>15</v>
      </c>
      <c r="R44" s="30">
        <f t="shared" si="45"/>
        <v>9</v>
      </c>
      <c r="S44" s="30" t="str">
        <f t="shared" si="45"/>
        <v>Not played</v>
      </c>
      <c r="T44" s="30" t="str">
        <f t="shared" si="45"/>
        <v>Not played</v>
      </c>
      <c r="U44" s="30">
        <f t="shared" si="45"/>
        <v>9</v>
      </c>
      <c r="V44" s="30">
        <f t="shared" si="45"/>
        <v>9</v>
      </c>
      <c r="W44" s="30">
        <f t="shared" si="45"/>
        <v>11</v>
      </c>
      <c r="X44" s="30">
        <f t="shared" si="45"/>
        <v>12</v>
      </c>
      <c r="Y44" s="30">
        <f t="shared" si="45"/>
        <v>9</v>
      </c>
      <c r="Z44" s="30">
        <f t="shared" si="45"/>
        <v>14</v>
      </c>
      <c r="AA44" s="30">
        <f t="shared" si="45"/>
        <v>12</v>
      </c>
      <c r="AB44" s="30">
        <f t="shared" si="45"/>
        <v>8</v>
      </c>
    </row>
    <row r="45">
      <c r="A45" s="28">
        <f t="shared" si="4"/>
        <v>44</v>
      </c>
      <c r="B45" s="48" t="s">
        <v>134</v>
      </c>
      <c r="C45" s="30">
        <f t="shared" ref="C45:AB45" si="46">IFERROR(VLOOKUP($B45,indirect(text(C$1,"mm/dd/yy")&amp;"!B:L"),11,false),"Not played")</f>
        <v>13</v>
      </c>
      <c r="D45" s="30">
        <f t="shared" si="46"/>
        <v>9</v>
      </c>
      <c r="E45" s="30">
        <f t="shared" si="46"/>
        <v>9</v>
      </c>
      <c r="F45" s="30">
        <f t="shared" si="46"/>
        <v>12</v>
      </c>
      <c r="G45" s="30">
        <f t="shared" si="46"/>
        <v>16</v>
      </c>
      <c r="H45" s="30">
        <f t="shared" si="46"/>
        <v>10</v>
      </c>
      <c r="I45" s="30">
        <f t="shared" si="46"/>
        <v>14</v>
      </c>
      <c r="J45" s="30">
        <f t="shared" si="46"/>
        <v>9</v>
      </c>
      <c r="K45" s="30">
        <f t="shared" si="46"/>
        <v>9</v>
      </c>
      <c r="L45" s="30">
        <f t="shared" si="46"/>
        <v>11</v>
      </c>
      <c r="M45" s="30">
        <f t="shared" si="46"/>
        <v>18</v>
      </c>
      <c r="N45" s="30">
        <f t="shared" si="46"/>
        <v>11</v>
      </c>
      <c r="O45" s="30">
        <f t="shared" si="46"/>
        <v>17</v>
      </c>
      <c r="P45" s="30">
        <f t="shared" si="46"/>
        <v>9</v>
      </c>
      <c r="Q45" s="30">
        <f t="shared" si="46"/>
        <v>17</v>
      </c>
      <c r="R45" s="30">
        <f t="shared" si="46"/>
        <v>9</v>
      </c>
      <c r="S45" s="30" t="str">
        <f t="shared" si="46"/>
        <v>Not played</v>
      </c>
      <c r="T45" s="30" t="str">
        <f t="shared" si="46"/>
        <v>Not played</v>
      </c>
      <c r="U45" s="30">
        <f t="shared" si="46"/>
        <v>8</v>
      </c>
      <c r="V45" s="30">
        <f t="shared" si="46"/>
        <v>9</v>
      </c>
      <c r="W45" s="30">
        <f t="shared" si="46"/>
        <v>9</v>
      </c>
      <c r="X45" s="30">
        <f t="shared" si="46"/>
        <v>9</v>
      </c>
      <c r="Y45" s="30">
        <f t="shared" si="46"/>
        <v>19</v>
      </c>
      <c r="Z45" s="30">
        <f t="shared" si="46"/>
        <v>9</v>
      </c>
      <c r="AA45" s="30">
        <f t="shared" si="46"/>
        <v>9</v>
      </c>
      <c r="AB45" s="30">
        <f t="shared" si="46"/>
        <v>9</v>
      </c>
    </row>
    <row r="46">
      <c r="A46" s="28">
        <f t="shared" si="4"/>
        <v>45</v>
      </c>
      <c r="B46" s="28" t="s">
        <v>117</v>
      </c>
      <c r="C46" s="30">
        <f t="shared" ref="C46:AB46" si="47">IFERROR(VLOOKUP($B46,indirect(text(C$1,"mm/dd/yy")&amp;"!B:L"),11,false),"Not played")</f>
        <v>13</v>
      </c>
      <c r="D46" s="30">
        <f t="shared" si="47"/>
        <v>17</v>
      </c>
      <c r="E46" s="30">
        <f t="shared" si="47"/>
        <v>18</v>
      </c>
      <c r="F46" s="30">
        <f t="shared" si="47"/>
        <v>18</v>
      </c>
      <c r="G46" s="30">
        <f t="shared" si="47"/>
        <v>9</v>
      </c>
      <c r="H46" s="30">
        <f t="shared" si="47"/>
        <v>18</v>
      </c>
      <c r="I46" s="30">
        <f t="shared" si="47"/>
        <v>14</v>
      </c>
      <c r="J46" s="30">
        <f t="shared" si="47"/>
        <v>16</v>
      </c>
      <c r="K46" s="30">
        <f t="shared" si="47"/>
        <v>12</v>
      </c>
      <c r="L46" s="30">
        <f t="shared" si="47"/>
        <v>9</v>
      </c>
      <c r="M46" s="30">
        <f t="shared" si="47"/>
        <v>18</v>
      </c>
      <c r="N46" s="30">
        <f t="shared" si="47"/>
        <v>9</v>
      </c>
      <c r="O46" s="30">
        <f t="shared" si="47"/>
        <v>18</v>
      </c>
      <c r="P46" s="30">
        <f t="shared" si="47"/>
        <v>9</v>
      </c>
      <c r="Q46" s="30">
        <f t="shared" si="47"/>
        <v>16</v>
      </c>
      <c r="R46" s="30">
        <f t="shared" si="47"/>
        <v>9</v>
      </c>
      <c r="S46" s="30" t="str">
        <f t="shared" si="47"/>
        <v>Not played</v>
      </c>
      <c r="T46" s="30" t="str">
        <f t="shared" si="47"/>
        <v>Not played</v>
      </c>
      <c r="U46" s="30">
        <f t="shared" si="47"/>
        <v>9</v>
      </c>
      <c r="V46" s="30">
        <f t="shared" si="47"/>
        <v>9</v>
      </c>
      <c r="W46" s="30">
        <f t="shared" si="47"/>
        <v>9</v>
      </c>
      <c r="X46" s="30">
        <f t="shared" si="47"/>
        <v>9</v>
      </c>
      <c r="Y46" s="30">
        <f t="shared" si="47"/>
        <v>9</v>
      </c>
      <c r="Z46" s="30">
        <f t="shared" si="47"/>
        <v>9</v>
      </c>
      <c r="AA46" s="30">
        <f t="shared" si="47"/>
        <v>9</v>
      </c>
      <c r="AB46" s="30">
        <f t="shared" si="47"/>
        <v>9</v>
      </c>
    </row>
    <row r="47">
      <c r="A47" s="28">
        <f t="shared" si="4"/>
        <v>46</v>
      </c>
      <c r="B47" s="43" t="s">
        <v>88</v>
      </c>
      <c r="C47" s="30" t="str">
        <f t="shared" ref="C47:AB47" si="48">IFERROR(VLOOKUP($B47,indirect(text(C$1,"mm/dd/yy")&amp;"!B:L"),11,false),"Not played")</f>
        <v>Not played</v>
      </c>
      <c r="D47" s="30">
        <f t="shared" si="48"/>
        <v>18</v>
      </c>
      <c r="E47" s="30">
        <f t="shared" si="48"/>
        <v>19</v>
      </c>
      <c r="F47" s="30">
        <f t="shared" si="48"/>
        <v>18</v>
      </c>
      <c r="G47" s="30">
        <f t="shared" si="48"/>
        <v>18</v>
      </c>
      <c r="H47" s="30">
        <f t="shared" si="48"/>
        <v>13</v>
      </c>
      <c r="I47" s="30">
        <f t="shared" si="48"/>
        <v>3</v>
      </c>
      <c r="J47" s="30">
        <f t="shared" si="48"/>
        <v>15</v>
      </c>
      <c r="K47" s="30">
        <f t="shared" si="48"/>
        <v>10</v>
      </c>
      <c r="L47" s="30">
        <f t="shared" si="48"/>
        <v>15</v>
      </c>
      <c r="M47" s="30">
        <f t="shared" si="48"/>
        <v>12</v>
      </c>
      <c r="N47" s="30">
        <f t="shared" si="48"/>
        <v>10</v>
      </c>
      <c r="O47" s="30">
        <f t="shared" si="48"/>
        <v>19</v>
      </c>
      <c r="P47" s="30">
        <f t="shared" si="48"/>
        <v>16</v>
      </c>
      <c r="Q47" s="30">
        <f t="shared" si="48"/>
        <v>8</v>
      </c>
      <c r="R47" s="30">
        <f t="shared" si="48"/>
        <v>9</v>
      </c>
      <c r="S47" s="30" t="str">
        <f t="shared" si="48"/>
        <v>Not played</v>
      </c>
      <c r="T47" s="30" t="str">
        <f t="shared" si="48"/>
        <v>Not played</v>
      </c>
      <c r="U47" s="30">
        <f t="shared" si="48"/>
        <v>12</v>
      </c>
      <c r="V47" s="30">
        <f t="shared" si="48"/>
        <v>12</v>
      </c>
      <c r="W47" s="30">
        <f t="shared" si="48"/>
        <v>13</v>
      </c>
      <c r="X47" s="30">
        <f t="shared" si="48"/>
        <v>11</v>
      </c>
      <c r="Y47" s="30">
        <f t="shared" si="48"/>
        <v>12</v>
      </c>
      <c r="Z47" s="30">
        <f t="shared" si="48"/>
        <v>11</v>
      </c>
      <c r="AA47" s="30">
        <f t="shared" si="48"/>
        <v>10</v>
      </c>
      <c r="AB47" s="30">
        <f t="shared" si="48"/>
        <v>18</v>
      </c>
    </row>
    <row r="48">
      <c r="A48" s="28">
        <f t="shared" si="4"/>
        <v>47</v>
      </c>
      <c r="B48" s="43" t="s">
        <v>136</v>
      </c>
      <c r="C48" s="30">
        <f t="shared" ref="C48:AB48" si="49">IFERROR(VLOOKUP($B48,indirect(text(C$1,"mm/dd/yy")&amp;"!B:L"),11,false),"Not played")</f>
        <v>14</v>
      </c>
      <c r="D48" s="30">
        <f t="shared" si="49"/>
        <v>4</v>
      </c>
      <c r="E48" s="30">
        <f t="shared" si="49"/>
        <v>12</v>
      </c>
      <c r="F48" s="30">
        <f t="shared" si="49"/>
        <v>12</v>
      </c>
      <c r="G48" s="30">
        <f t="shared" si="49"/>
        <v>9</v>
      </c>
      <c r="H48" s="30">
        <f t="shared" si="49"/>
        <v>9</v>
      </c>
      <c r="I48" s="30">
        <f t="shared" si="49"/>
        <v>12</v>
      </c>
      <c r="J48" s="30">
        <f t="shared" si="49"/>
        <v>19</v>
      </c>
      <c r="K48" s="30">
        <f t="shared" si="49"/>
        <v>9</v>
      </c>
      <c r="L48" s="30">
        <f t="shared" si="49"/>
        <v>15</v>
      </c>
      <c r="M48" s="30">
        <f t="shared" si="49"/>
        <v>8</v>
      </c>
      <c r="N48" s="30">
        <f t="shared" si="49"/>
        <v>10</v>
      </c>
      <c r="O48" s="30">
        <f t="shared" si="49"/>
        <v>11</v>
      </c>
      <c r="P48" s="30">
        <f t="shared" si="49"/>
        <v>9</v>
      </c>
      <c r="Q48" s="30">
        <f t="shared" si="49"/>
        <v>19</v>
      </c>
      <c r="R48" s="30">
        <f t="shared" si="49"/>
        <v>9</v>
      </c>
      <c r="S48" s="30" t="str">
        <f t="shared" si="49"/>
        <v>Not played</v>
      </c>
      <c r="T48" s="30" t="str">
        <f t="shared" si="49"/>
        <v>Not played</v>
      </c>
      <c r="U48" s="30">
        <f t="shared" si="49"/>
        <v>10</v>
      </c>
      <c r="V48" s="30">
        <f t="shared" si="49"/>
        <v>9</v>
      </c>
      <c r="W48" s="30">
        <f t="shared" si="49"/>
        <v>17</v>
      </c>
      <c r="X48" s="30">
        <f t="shared" si="49"/>
        <v>12</v>
      </c>
      <c r="Y48" s="30">
        <f t="shared" si="49"/>
        <v>9</v>
      </c>
      <c r="Z48" s="30">
        <f t="shared" si="49"/>
        <v>9</v>
      </c>
      <c r="AA48" s="30">
        <f t="shared" si="49"/>
        <v>9</v>
      </c>
      <c r="AB48" s="30">
        <f t="shared" si="49"/>
        <v>11</v>
      </c>
    </row>
    <row r="49">
      <c r="A49" s="28">
        <f t="shared" si="4"/>
        <v>48</v>
      </c>
      <c r="B49" s="28" t="s">
        <v>137</v>
      </c>
      <c r="C49" s="30">
        <f t="shared" ref="C49:AB49" si="50">IFERROR(VLOOKUP($B49,indirect(text(C$1,"mm/dd/yy")&amp;"!B:L"),11,false),"Not played")</f>
        <v>18</v>
      </c>
      <c r="D49" s="30">
        <f t="shared" si="50"/>
        <v>12</v>
      </c>
      <c r="E49" s="30">
        <f t="shared" si="50"/>
        <v>15</v>
      </c>
      <c r="F49" s="30">
        <f t="shared" si="50"/>
        <v>13</v>
      </c>
      <c r="G49" s="30">
        <f t="shared" si="50"/>
        <v>9</v>
      </c>
      <c r="H49" s="30">
        <f t="shared" si="50"/>
        <v>13</v>
      </c>
      <c r="I49" s="30">
        <f t="shared" si="50"/>
        <v>18</v>
      </c>
      <c r="J49" s="30">
        <f t="shared" si="50"/>
        <v>9</v>
      </c>
      <c r="K49" s="30">
        <f t="shared" si="50"/>
        <v>9</v>
      </c>
      <c r="L49" s="30">
        <f t="shared" si="50"/>
        <v>13</v>
      </c>
      <c r="M49" s="30">
        <f t="shared" si="50"/>
        <v>13</v>
      </c>
      <c r="N49" s="30">
        <f t="shared" si="50"/>
        <v>9</v>
      </c>
      <c r="O49" s="30">
        <f t="shared" si="50"/>
        <v>9</v>
      </c>
      <c r="P49" s="30">
        <f t="shared" si="50"/>
        <v>9</v>
      </c>
      <c r="Q49" s="30">
        <f t="shared" si="50"/>
        <v>9</v>
      </c>
      <c r="R49" s="30">
        <f t="shared" si="50"/>
        <v>9</v>
      </c>
      <c r="S49" s="30" t="str">
        <f t="shared" si="50"/>
        <v>Not played</v>
      </c>
      <c r="T49" s="30" t="str">
        <f t="shared" si="50"/>
        <v>Not played</v>
      </c>
      <c r="U49" s="30">
        <f t="shared" si="50"/>
        <v>9</v>
      </c>
      <c r="V49" s="30">
        <f t="shared" si="50"/>
        <v>9</v>
      </c>
      <c r="W49" s="30">
        <f t="shared" si="50"/>
        <v>9</v>
      </c>
      <c r="X49" s="30">
        <f t="shared" si="50"/>
        <v>9</v>
      </c>
      <c r="Y49" s="30">
        <f t="shared" si="50"/>
        <v>9</v>
      </c>
      <c r="Z49" s="30">
        <f t="shared" si="50"/>
        <v>9</v>
      </c>
      <c r="AA49" s="30">
        <f t="shared" si="50"/>
        <v>9</v>
      </c>
      <c r="AB49" s="30">
        <f t="shared" si="50"/>
        <v>9</v>
      </c>
    </row>
    <row r="50">
      <c r="A50" s="28">
        <f t="shared" si="4"/>
        <v>49</v>
      </c>
      <c r="B50" s="28" t="s">
        <v>141</v>
      </c>
      <c r="C50" s="30">
        <f t="shared" ref="C50:AB50" si="51">IFERROR(VLOOKUP($B50,indirect(text(C$1,"mm/dd/yy")&amp;"!B:L"),11,false),"Not played")</f>
        <v>13</v>
      </c>
      <c r="D50" s="30">
        <f t="shared" si="51"/>
        <v>9</v>
      </c>
      <c r="E50" s="30">
        <f t="shared" si="51"/>
        <v>8</v>
      </c>
      <c r="F50" s="30">
        <f t="shared" si="51"/>
        <v>9</v>
      </c>
      <c r="G50" s="30">
        <f t="shared" si="51"/>
        <v>9</v>
      </c>
      <c r="H50" s="30">
        <f t="shared" si="51"/>
        <v>9</v>
      </c>
      <c r="I50" s="30">
        <f t="shared" si="51"/>
        <v>9</v>
      </c>
      <c r="J50" s="30">
        <f t="shared" si="51"/>
        <v>9</v>
      </c>
      <c r="K50" s="30">
        <f t="shared" si="51"/>
        <v>9</v>
      </c>
      <c r="L50" s="30">
        <f t="shared" si="51"/>
        <v>15</v>
      </c>
      <c r="M50" s="30">
        <f t="shared" si="51"/>
        <v>9</v>
      </c>
      <c r="N50" s="30">
        <f t="shared" si="51"/>
        <v>9</v>
      </c>
      <c r="O50" s="30">
        <f t="shared" si="51"/>
        <v>13</v>
      </c>
      <c r="P50" s="30">
        <f t="shared" si="51"/>
        <v>9</v>
      </c>
      <c r="Q50" s="30">
        <f t="shared" si="51"/>
        <v>9</v>
      </c>
      <c r="R50" s="30">
        <f t="shared" si="51"/>
        <v>9</v>
      </c>
      <c r="S50" s="30" t="str">
        <f t="shared" si="51"/>
        <v>Not played</v>
      </c>
      <c r="T50" s="30" t="str">
        <f t="shared" si="51"/>
        <v>Not played</v>
      </c>
      <c r="U50" s="30">
        <f t="shared" si="51"/>
        <v>9</v>
      </c>
      <c r="V50" s="30">
        <f t="shared" si="51"/>
        <v>9</v>
      </c>
      <c r="W50" s="30">
        <f t="shared" si="51"/>
        <v>9</v>
      </c>
      <c r="X50" s="30">
        <f t="shared" si="51"/>
        <v>9</v>
      </c>
      <c r="Y50" s="30">
        <f t="shared" si="51"/>
        <v>9</v>
      </c>
      <c r="Z50" s="30">
        <f t="shared" si="51"/>
        <v>17</v>
      </c>
      <c r="AA50" s="30">
        <f t="shared" si="51"/>
        <v>9</v>
      </c>
      <c r="AB50" s="30">
        <f t="shared" si="51"/>
        <v>14</v>
      </c>
    </row>
    <row r="51">
      <c r="A51" s="28">
        <f t="shared" si="4"/>
        <v>50</v>
      </c>
      <c r="B51" s="43" t="s">
        <v>133</v>
      </c>
      <c r="C51" s="30">
        <f t="shared" ref="C51:AB51" si="52">IFERROR(VLOOKUP($B51,indirect(text(C$1,"mm/dd/yy")&amp;"!B:L"),11,false),"Not played")</f>
        <v>16</v>
      </c>
      <c r="D51" s="30">
        <f t="shared" si="52"/>
        <v>14</v>
      </c>
      <c r="E51" s="30">
        <f t="shared" si="52"/>
        <v>9</v>
      </c>
      <c r="F51" s="30">
        <f t="shared" si="52"/>
        <v>11</v>
      </c>
      <c r="G51" s="30">
        <f t="shared" si="52"/>
        <v>9</v>
      </c>
      <c r="H51" s="30">
        <f t="shared" si="52"/>
        <v>12</v>
      </c>
      <c r="I51" s="30">
        <f t="shared" si="52"/>
        <v>14</v>
      </c>
      <c r="J51" s="30">
        <f t="shared" si="52"/>
        <v>8</v>
      </c>
      <c r="K51" s="30">
        <f t="shared" si="52"/>
        <v>15</v>
      </c>
      <c r="L51" s="30">
        <f t="shared" si="52"/>
        <v>7</v>
      </c>
      <c r="M51" s="30">
        <f t="shared" si="52"/>
        <v>9</v>
      </c>
      <c r="N51" s="30">
        <f t="shared" si="52"/>
        <v>13</v>
      </c>
      <c r="O51" s="30">
        <f t="shared" si="52"/>
        <v>12</v>
      </c>
      <c r="P51" s="30">
        <f t="shared" si="52"/>
        <v>15</v>
      </c>
      <c r="Q51" s="30">
        <f t="shared" si="52"/>
        <v>11</v>
      </c>
      <c r="R51" s="30">
        <f t="shared" si="52"/>
        <v>16</v>
      </c>
      <c r="S51" s="30" t="str">
        <f t="shared" si="52"/>
        <v>Not played</v>
      </c>
      <c r="T51" s="30" t="str">
        <f t="shared" si="52"/>
        <v>Not played</v>
      </c>
      <c r="U51" s="30">
        <f t="shared" si="52"/>
        <v>12</v>
      </c>
      <c r="V51" s="30">
        <f t="shared" si="52"/>
        <v>14</v>
      </c>
      <c r="W51" s="30">
        <f t="shared" si="52"/>
        <v>9</v>
      </c>
      <c r="X51" s="30">
        <f t="shared" si="52"/>
        <v>9</v>
      </c>
      <c r="Y51" s="30">
        <f t="shared" si="52"/>
        <v>13</v>
      </c>
      <c r="Z51" s="30">
        <f t="shared" si="52"/>
        <v>12</v>
      </c>
      <c r="AA51" s="30">
        <f t="shared" si="52"/>
        <v>8</v>
      </c>
      <c r="AB51" s="30">
        <f t="shared" si="52"/>
        <v>13</v>
      </c>
    </row>
    <row r="52">
      <c r="A52" s="28">
        <f t="shared" si="4"/>
        <v>51</v>
      </c>
      <c r="B52" s="48" t="s">
        <v>82</v>
      </c>
      <c r="C52" s="30">
        <f t="shared" ref="C52:AB52" si="53">IFERROR(VLOOKUP($B52,indirect(text(C$1,"mm/dd/yy")&amp;"!B:L"),11,false),"Not played")</f>
        <v>12</v>
      </c>
      <c r="D52" s="30">
        <f t="shared" si="53"/>
        <v>15</v>
      </c>
      <c r="E52" s="30">
        <f t="shared" si="53"/>
        <v>15</v>
      </c>
      <c r="F52" s="30">
        <f t="shared" si="53"/>
        <v>9</v>
      </c>
      <c r="G52" s="30">
        <f t="shared" si="53"/>
        <v>9</v>
      </c>
      <c r="H52" s="30">
        <f t="shared" si="53"/>
        <v>9</v>
      </c>
      <c r="I52" s="30">
        <f t="shared" si="53"/>
        <v>19</v>
      </c>
      <c r="J52" s="30">
        <f t="shared" si="53"/>
        <v>18</v>
      </c>
      <c r="K52" s="30">
        <f t="shared" si="53"/>
        <v>13</v>
      </c>
      <c r="L52" s="30">
        <f t="shared" si="53"/>
        <v>13</v>
      </c>
      <c r="M52" s="30">
        <f t="shared" si="53"/>
        <v>10</v>
      </c>
      <c r="N52" s="30">
        <f t="shared" si="53"/>
        <v>13</v>
      </c>
      <c r="O52" s="30">
        <f t="shared" si="53"/>
        <v>3</v>
      </c>
      <c r="P52" s="30">
        <f t="shared" si="53"/>
        <v>17</v>
      </c>
      <c r="Q52" s="30">
        <f t="shared" si="53"/>
        <v>18</v>
      </c>
      <c r="R52" s="30">
        <f t="shared" si="53"/>
        <v>15</v>
      </c>
      <c r="S52" s="30" t="str">
        <f t="shared" si="53"/>
        <v>Not played</v>
      </c>
      <c r="T52" s="30" t="str">
        <f t="shared" si="53"/>
        <v>Not played</v>
      </c>
      <c r="U52" s="30">
        <f t="shared" si="53"/>
        <v>13</v>
      </c>
      <c r="V52" s="30">
        <f t="shared" si="53"/>
        <v>11</v>
      </c>
      <c r="W52" s="30">
        <f t="shared" si="53"/>
        <v>9</v>
      </c>
      <c r="X52" s="30">
        <f t="shared" si="53"/>
        <v>12</v>
      </c>
      <c r="Y52" s="30">
        <f t="shared" si="53"/>
        <v>18</v>
      </c>
      <c r="Z52" s="30">
        <f t="shared" si="53"/>
        <v>12</v>
      </c>
      <c r="AA52" s="30">
        <f t="shared" si="53"/>
        <v>9</v>
      </c>
      <c r="AB52" s="30">
        <f t="shared" si="53"/>
        <v>9</v>
      </c>
    </row>
    <row r="53">
      <c r="A53" s="28">
        <f t="shared" si="4"/>
        <v>52</v>
      </c>
      <c r="B53" s="28" t="s">
        <v>119</v>
      </c>
      <c r="C53" s="30">
        <f t="shared" ref="C53:AB53" si="54">IFERROR(VLOOKUP($B53,indirect(text(C$1,"mm/dd/yy")&amp;"!B:L"),11,false),"Not played")</f>
        <v>13</v>
      </c>
      <c r="D53" s="30">
        <f t="shared" si="54"/>
        <v>9</v>
      </c>
      <c r="E53" s="30">
        <f t="shared" si="54"/>
        <v>14</v>
      </c>
      <c r="F53" s="30">
        <f t="shared" si="54"/>
        <v>14</v>
      </c>
      <c r="G53" s="30">
        <f t="shared" si="54"/>
        <v>13</v>
      </c>
      <c r="H53" s="30">
        <f t="shared" si="54"/>
        <v>9</v>
      </c>
      <c r="I53" s="30">
        <f t="shared" si="54"/>
        <v>11</v>
      </c>
      <c r="J53" s="30">
        <f t="shared" si="54"/>
        <v>9</v>
      </c>
      <c r="K53" s="30">
        <f t="shared" si="54"/>
        <v>19</v>
      </c>
      <c r="L53" s="30">
        <f t="shared" si="54"/>
        <v>8</v>
      </c>
      <c r="M53" s="30">
        <f t="shared" si="54"/>
        <v>18</v>
      </c>
      <c r="N53" s="30">
        <f t="shared" si="54"/>
        <v>17</v>
      </c>
      <c r="O53" s="30">
        <f t="shared" si="54"/>
        <v>9</v>
      </c>
      <c r="P53" s="30">
        <f t="shared" si="54"/>
        <v>15</v>
      </c>
      <c r="Q53" s="30">
        <f t="shared" si="54"/>
        <v>9</v>
      </c>
      <c r="R53" s="30">
        <f t="shared" si="54"/>
        <v>9</v>
      </c>
      <c r="S53" s="30" t="str">
        <f t="shared" si="54"/>
        <v>Not played</v>
      </c>
      <c r="T53" s="30" t="str">
        <f t="shared" si="54"/>
        <v>Not played</v>
      </c>
      <c r="U53" s="30">
        <f t="shared" si="54"/>
        <v>8</v>
      </c>
      <c r="V53" s="30">
        <f t="shared" si="54"/>
        <v>16</v>
      </c>
      <c r="W53" s="30">
        <f t="shared" si="54"/>
        <v>9</v>
      </c>
      <c r="X53" s="30">
        <f t="shared" si="54"/>
        <v>14</v>
      </c>
      <c r="Y53" s="30">
        <f t="shared" si="54"/>
        <v>9</v>
      </c>
      <c r="Z53" s="30">
        <f t="shared" si="54"/>
        <v>9</v>
      </c>
      <c r="AA53" s="30">
        <f t="shared" si="54"/>
        <v>15</v>
      </c>
      <c r="AB53" s="30">
        <f t="shared" si="54"/>
        <v>9</v>
      </c>
    </row>
    <row r="54">
      <c r="A54" s="28">
        <f t="shared" si="4"/>
        <v>53</v>
      </c>
      <c r="B54" s="43" t="s">
        <v>62</v>
      </c>
      <c r="C54" s="30">
        <f t="shared" ref="C54:AB54" si="55">IFERROR(VLOOKUP($B54,indirect(text(C$1,"mm/dd/yy")&amp;"!B:L"),11,false),"Not played")</f>
        <v>15</v>
      </c>
      <c r="D54" s="30">
        <f t="shared" si="55"/>
        <v>15</v>
      </c>
      <c r="E54" s="30">
        <f t="shared" si="55"/>
        <v>9</v>
      </c>
      <c r="F54" s="30">
        <f t="shared" si="55"/>
        <v>9</v>
      </c>
      <c r="G54" s="30">
        <f t="shared" si="55"/>
        <v>17</v>
      </c>
      <c r="H54" s="30">
        <f t="shared" si="55"/>
        <v>9</v>
      </c>
      <c r="I54" s="30">
        <f t="shared" si="55"/>
        <v>9</v>
      </c>
      <c r="J54" s="30">
        <f t="shared" si="55"/>
        <v>13</v>
      </c>
      <c r="K54" s="30">
        <f t="shared" si="55"/>
        <v>9</v>
      </c>
      <c r="L54" s="30">
        <f t="shared" si="55"/>
        <v>9</v>
      </c>
      <c r="M54" s="30">
        <f t="shared" si="55"/>
        <v>9</v>
      </c>
      <c r="N54" s="30">
        <f t="shared" si="55"/>
        <v>9</v>
      </c>
      <c r="O54" s="30">
        <f t="shared" si="55"/>
        <v>18</v>
      </c>
      <c r="P54" s="30">
        <f t="shared" si="55"/>
        <v>14</v>
      </c>
      <c r="Q54" s="30">
        <f t="shared" si="55"/>
        <v>15</v>
      </c>
      <c r="R54" s="30">
        <f t="shared" si="55"/>
        <v>9</v>
      </c>
      <c r="S54" s="30" t="str">
        <f t="shared" si="55"/>
        <v>Not played</v>
      </c>
      <c r="T54" s="30" t="str">
        <f t="shared" si="55"/>
        <v>Not played</v>
      </c>
      <c r="U54" s="30">
        <f t="shared" si="55"/>
        <v>9</v>
      </c>
      <c r="V54" s="30">
        <f t="shared" si="55"/>
        <v>9</v>
      </c>
      <c r="W54" s="30">
        <f t="shared" si="55"/>
        <v>9</v>
      </c>
      <c r="X54" s="30">
        <f t="shared" si="55"/>
        <v>9</v>
      </c>
      <c r="Y54" s="30">
        <f t="shared" si="55"/>
        <v>9</v>
      </c>
      <c r="Z54" s="30">
        <f t="shared" si="55"/>
        <v>9</v>
      </c>
      <c r="AA54" s="30">
        <f t="shared" si="55"/>
        <v>9</v>
      </c>
      <c r="AB54" s="30">
        <f t="shared" si="55"/>
        <v>9</v>
      </c>
    </row>
    <row r="55">
      <c r="A55" s="28">
        <f t="shared" si="4"/>
        <v>54</v>
      </c>
      <c r="B55" s="28" t="s">
        <v>67</v>
      </c>
      <c r="C55" s="30">
        <f t="shared" ref="C55:AB55" si="56">IFERROR(VLOOKUP($B55,indirect(text(C$1,"mm/dd/yy")&amp;"!B:L"),11,false),"Not played")</f>
        <v>13</v>
      </c>
      <c r="D55" s="30">
        <f t="shared" si="56"/>
        <v>9</v>
      </c>
      <c r="E55" s="30">
        <f t="shared" si="56"/>
        <v>18</v>
      </c>
      <c r="F55" s="30">
        <f t="shared" si="56"/>
        <v>9</v>
      </c>
      <c r="G55" s="30">
        <f t="shared" si="56"/>
        <v>9</v>
      </c>
      <c r="H55" s="30">
        <f t="shared" si="56"/>
        <v>18</v>
      </c>
      <c r="I55" s="30">
        <f t="shared" si="56"/>
        <v>14</v>
      </c>
      <c r="J55" s="30">
        <f t="shared" si="56"/>
        <v>9</v>
      </c>
      <c r="K55" s="30">
        <f t="shared" si="56"/>
        <v>9</v>
      </c>
      <c r="L55" s="30">
        <f t="shared" si="56"/>
        <v>18</v>
      </c>
      <c r="M55" s="30">
        <f t="shared" si="56"/>
        <v>12</v>
      </c>
      <c r="N55" s="30">
        <f t="shared" si="56"/>
        <v>20</v>
      </c>
      <c r="O55" s="30">
        <f t="shared" si="56"/>
        <v>16</v>
      </c>
      <c r="P55" s="30">
        <f t="shared" si="56"/>
        <v>13</v>
      </c>
      <c r="Q55" s="30">
        <f t="shared" si="56"/>
        <v>9</v>
      </c>
      <c r="R55" s="30">
        <f t="shared" si="56"/>
        <v>9</v>
      </c>
      <c r="S55" s="30" t="str">
        <f t="shared" si="56"/>
        <v>Not played</v>
      </c>
      <c r="T55" s="30" t="str">
        <f t="shared" si="56"/>
        <v>Not played</v>
      </c>
      <c r="U55" s="30">
        <f t="shared" si="56"/>
        <v>9</v>
      </c>
      <c r="V55" s="30">
        <f t="shared" si="56"/>
        <v>9</v>
      </c>
      <c r="W55" s="30">
        <f t="shared" si="56"/>
        <v>9</v>
      </c>
      <c r="X55" s="30">
        <f t="shared" si="56"/>
        <v>19</v>
      </c>
      <c r="Y55" s="30">
        <f t="shared" si="56"/>
        <v>9</v>
      </c>
      <c r="Z55" s="30">
        <f t="shared" si="56"/>
        <v>18</v>
      </c>
      <c r="AA55" s="30">
        <f t="shared" si="56"/>
        <v>10</v>
      </c>
      <c r="AB55" s="30">
        <f t="shared" si="56"/>
        <v>9</v>
      </c>
    </row>
    <row r="56">
      <c r="A56" s="28">
        <f t="shared" si="4"/>
        <v>55</v>
      </c>
      <c r="B56" s="28" t="s">
        <v>95</v>
      </c>
      <c r="C56" s="30">
        <f t="shared" ref="C56:AB56" si="57">IFERROR(VLOOKUP($B56,indirect(text(C$1,"mm/dd/yy")&amp;"!B:L"),11,false),"Not played")</f>
        <v>18</v>
      </c>
      <c r="D56" s="30">
        <f t="shared" si="57"/>
        <v>15</v>
      </c>
      <c r="E56" s="30">
        <f t="shared" si="57"/>
        <v>19</v>
      </c>
      <c r="F56" s="30">
        <f t="shared" si="57"/>
        <v>10</v>
      </c>
      <c r="G56" s="30">
        <f t="shared" si="57"/>
        <v>14</v>
      </c>
      <c r="H56" s="30">
        <f t="shared" si="57"/>
        <v>10</v>
      </c>
      <c r="I56" s="30">
        <f t="shared" si="57"/>
        <v>9</v>
      </c>
      <c r="J56" s="30">
        <f t="shared" si="57"/>
        <v>9</v>
      </c>
      <c r="K56" s="30">
        <f t="shared" si="57"/>
        <v>0</v>
      </c>
      <c r="L56" s="30">
        <f t="shared" si="57"/>
        <v>18</v>
      </c>
      <c r="M56" s="30">
        <f t="shared" si="57"/>
        <v>9</v>
      </c>
      <c r="N56" s="30">
        <f t="shared" si="57"/>
        <v>18</v>
      </c>
      <c r="O56" s="30">
        <f t="shared" si="57"/>
        <v>18</v>
      </c>
      <c r="P56" s="30">
        <f t="shared" si="57"/>
        <v>17</v>
      </c>
      <c r="Q56" s="30">
        <f t="shared" si="57"/>
        <v>9</v>
      </c>
      <c r="R56" s="30">
        <f t="shared" si="57"/>
        <v>10</v>
      </c>
      <c r="S56" s="30" t="str">
        <f t="shared" si="57"/>
        <v>Not played</v>
      </c>
      <c r="T56" s="30" t="str">
        <f t="shared" si="57"/>
        <v>Not played</v>
      </c>
      <c r="U56" s="30">
        <f t="shared" si="57"/>
        <v>9</v>
      </c>
      <c r="V56" s="30">
        <f t="shared" si="57"/>
        <v>15</v>
      </c>
      <c r="W56" s="30">
        <f t="shared" si="57"/>
        <v>18</v>
      </c>
      <c r="X56" s="30">
        <f t="shared" si="57"/>
        <v>9</v>
      </c>
      <c r="Y56" s="30">
        <f t="shared" si="57"/>
        <v>11</v>
      </c>
      <c r="Z56" s="30">
        <f t="shared" si="57"/>
        <v>9</v>
      </c>
      <c r="AA56" s="30">
        <f t="shared" si="57"/>
        <v>9</v>
      </c>
      <c r="AB56" s="30">
        <f t="shared" si="57"/>
        <v>14</v>
      </c>
    </row>
    <row r="57">
      <c r="A57" s="28">
        <f t="shared" si="4"/>
        <v>56</v>
      </c>
      <c r="B57" s="43" t="s">
        <v>129</v>
      </c>
      <c r="C57" s="30">
        <f t="shared" ref="C57:AB57" si="58">IFERROR(VLOOKUP($B57,indirect(text(C$1,"mm/dd/yy")&amp;"!B:L"),11,false),"Not played")</f>
        <v>13</v>
      </c>
      <c r="D57" s="30">
        <f t="shared" si="58"/>
        <v>15</v>
      </c>
      <c r="E57" s="30">
        <f t="shared" si="58"/>
        <v>14</v>
      </c>
      <c r="F57" s="30">
        <f t="shared" si="58"/>
        <v>12</v>
      </c>
      <c r="G57" s="30">
        <f t="shared" si="58"/>
        <v>14</v>
      </c>
      <c r="H57" s="30">
        <f t="shared" si="58"/>
        <v>11</v>
      </c>
      <c r="I57" s="30">
        <f t="shared" si="58"/>
        <v>9</v>
      </c>
      <c r="J57" s="30">
        <f t="shared" si="58"/>
        <v>9</v>
      </c>
      <c r="K57" s="30">
        <f t="shared" si="58"/>
        <v>15</v>
      </c>
      <c r="L57" s="30">
        <f t="shared" si="58"/>
        <v>9</v>
      </c>
      <c r="M57" s="30">
        <f t="shared" si="58"/>
        <v>3</v>
      </c>
      <c r="N57" s="30">
        <f t="shared" si="58"/>
        <v>9</v>
      </c>
      <c r="O57" s="30">
        <f t="shared" si="58"/>
        <v>18</v>
      </c>
      <c r="P57" s="30">
        <f t="shared" si="58"/>
        <v>15</v>
      </c>
      <c r="Q57" s="30">
        <f t="shared" si="58"/>
        <v>12</v>
      </c>
      <c r="R57" s="30">
        <f t="shared" si="58"/>
        <v>11</v>
      </c>
      <c r="S57" s="30" t="str">
        <f t="shared" si="58"/>
        <v>Not played</v>
      </c>
      <c r="T57" s="30" t="str">
        <f t="shared" si="58"/>
        <v>Not played</v>
      </c>
      <c r="U57" s="30">
        <f t="shared" si="58"/>
        <v>15</v>
      </c>
      <c r="V57" s="30">
        <f t="shared" si="58"/>
        <v>9</v>
      </c>
      <c r="W57" s="30">
        <f t="shared" si="58"/>
        <v>19</v>
      </c>
      <c r="X57" s="30">
        <f t="shared" si="58"/>
        <v>14</v>
      </c>
      <c r="Y57" s="30">
        <f t="shared" si="58"/>
        <v>14</v>
      </c>
      <c r="Z57" s="30">
        <f t="shared" si="58"/>
        <v>9</v>
      </c>
      <c r="AA57" s="30">
        <f t="shared" si="58"/>
        <v>14</v>
      </c>
      <c r="AB57" s="30">
        <f t="shared" si="58"/>
        <v>12</v>
      </c>
    </row>
    <row r="58">
      <c r="A58" s="28">
        <f t="shared" si="4"/>
        <v>57</v>
      </c>
      <c r="B58" s="28" t="s">
        <v>120</v>
      </c>
      <c r="C58" s="30">
        <f t="shared" ref="C58:AB58" si="59">IFERROR(VLOOKUP($B58,indirect(text(C$1,"mm/dd/yy")&amp;"!B:L"),11,false),"Not played")</f>
        <v>13</v>
      </c>
      <c r="D58" s="30">
        <f t="shared" si="59"/>
        <v>13</v>
      </c>
      <c r="E58" s="30">
        <f t="shared" si="59"/>
        <v>18</v>
      </c>
      <c r="F58" s="30">
        <f t="shared" si="59"/>
        <v>9</v>
      </c>
      <c r="G58" s="30">
        <f t="shared" si="59"/>
        <v>9</v>
      </c>
      <c r="H58" s="30">
        <f t="shared" si="59"/>
        <v>16</v>
      </c>
      <c r="I58" s="30">
        <f t="shared" si="59"/>
        <v>15</v>
      </c>
      <c r="J58" s="30">
        <f t="shared" si="59"/>
        <v>10</v>
      </c>
      <c r="K58" s="30">
        <f t="shared" si="59"/>
        <v>19</v>
      </c>
      <c r="L58" s="30">
        <f t="shared" si="59"/>
        <v>16</v>
      </c>
      <c r="M58" s="30">
        <f t="shared" si="59"/>
        <v>18</v>
      </c>
      <c r="N58" s="30">
        <f t="shared" si="59"/>
        <v>15</v>
      </c>
      <c r="O58" s="30">
        <f t="shared" si="59"/>
        <v>9</v>
      </c>
      <c r="P58" s="30">
        <f t="shared" si="59"/>
        <v>11</v>
      </c>
      <c r="Q58" s="30">
        <f t="shared" si="59"/>
        <v>9</v>
      </c>
      <c r="R58" s="30">
        <f t="shared" si="59"/>
        <v>9</v>
      </c>
      <c r="S58" s="30" t="str">
        <f t="shared" si="59"/>
        <v>Not played</v>
      </c>
      <c r="T58" s="30" t="str">
        <f t="shared" si="59"/>
        <v>Not played</v>
      </c>
      <c r="U58" s="30">
        <f t="shared" si="59"/>
        <v>9</v>
      </c>
      <c r="V58" s="30">
        <f t="shared" si="59"/>
        <v>9</v>
      </c>
      <c r="W58" s="30">
        <f t="shared" si="59"/>
        <v>9</v>
      </c>
      <c r="X58" s="30">
        <f t="shared" si="59"/>
        <v>9</v>
      </c>
      <c r="Y58" s="30">
        <f t="shared" si="59"/>
        <v>18</v>
      </c>
      <c r="Z58" s="30">
        <f t="shared" si="59"/>
        <v>9</v>
      </c>
      <c r="AA58" s="30">
        <f t="shared" si="59"/>
        <v>9</v>
      </c>
      <c r="AB58" s="30">
        <f t="shared" si="59"/>
        <v>9</v>
      </c>
    </row>
    <row r="59">
      <c r="A59" s="28">
        <f t="shared" si="4"/>
        <v>58</v>
      </c>
      <c r="B59" s="28" t="s">
        <v>80</v>
      </c>
      <c r="C59" s="30">
        <f t="shared" ref="C59:AB59" si="60">IFERROR(VLOOKUP($B59,indirect(text(C$1,"mm/dd/yy")&amp;"!B:L"),11,false),"Not played")</f>
        <v>13</v>
      </c>
      <c r="D59" s="30">
        <f t="shared" si="60"/>
        <v>9</v>
      </c>
      <c r="E59" s="30">
        <f t="shared" si="60"/>
        <v>9</v>
      </c>
      <c r="F59" s="30">
        <f t="shared" si="60"/>
        <v>9</v>
      </c>
      <c r="G59" s="30">
        <f t="shared" si="60"/>
        <v>9</v>
      </c>
      <c r="H59" s="30">
        <f t="shared" si="60"/>
        <v>9</v>
      </c>
      <c r="I59" s="30">
        <f t="shared" si="60"/>
        <v>9</v>
      </c>
      <c r="J59" s="30">
        <f t="shared" si="60"/>
        <v>9</v>
      </c>
      <c r="K59" s="30">
        <f t="shared" si="60"/>
        <v>9</v>
      </c>
      <c r="L59" s="30">
        <f t="shared" si="60"/>
        <v>9</v>
      </c>
      <c r="M59" s="30">
        <f t="shared" si="60"/>
        <v>9</v>
      </c>
      <c r="N59" s="30">
        <f t="shared" si="60"/>
        <v>9</v>
      </c>
      <c r="O59" s="30">
        <f t="shared" si="60"/>
        <v>9</v>
      </c>
      <c r="P59" s="30">
        <f t="shared" si="60"/>
        <v>9</v>
      </c>
      <c r="Q59" s="30">
        <f t="shared" si="60"/>
        <v>9</v>
      </c>
      <c r="R59" s="30">
        <f t="shared" si="60"/>
        <v>9</v>
      </c>
      <c r="S59" s="30" t="str">
        <f t="shared" si="60"/>
        <v>Not played</v>
      </c>
      <c r="T59" s="30" t="str">
        <f t="shared" si="60"/>
        <v>Not played</v>
      </c>
      <c r="U59" s="30">
        <f t="shared" si="60"/>
        <v>9</v>
      </c>
      <c r="V59" s="30">
        <f t="shared" si="60"/>
        <v>9</v>
      </c>
      <c r="W59" s="30">
        <f t="shared" si="60"/>
        <v>9</v>
      </c>
      <c r="X59" s="30">
        <f t="shared" si="60"/>
        <v>9</v>
      </c>
      <c r="Y59" s="30">
        <f t="shared" si="60"/>
        <v>9</v>
      </c>
      <c r="Z59" s="30">
        <f t="shared" si="60"/>
        <v>9</v>
      </c>
      <c r="AA59" s="30">
        <f t="shared" si="60"/>
        <v>9</v>
      </c>
      <c r="AB59" s="30">
        <f t="shared" si="60"/>
        <v>9</v>
      </c>
    </row>
    <row r="60">
      <c r="A60" s="28">
        <f t="shared" si="4"/>
        <v>59</v>
      </c>
      <c r="B60" s="43" t="s">
        <v>140</v>
      </c>
      <c r="C60" s="30">
        <f t="shared" ref="C60:AB60" si="61">IFERROR(VLOOKUP($B60,indirect(text(C$1,"mm/dd/yy")&amp;"!B:L"),11,false),"Not played")</f>
        <v>13</v>
      </c>
      <c r="D60" s="30">
        <f t="shared" si="61"/>
        <v>9</v>
      </c>
      <c r="E60" s="30">
        <f t="shared" si="61"/>
        <v>10</v>
      </c>
      <c r="F60" s="30">
        <f t="shared" si="61"/>
        <v>9</v>
      </c>
      <c r="G60" s="30">
        <f t="shared" si="61"/>
        <v>13</v>
      </c>
      <c r="H60" s="30">
        <f t="shared" si="61"/>
        <v>10</v>
      </c>
      <c r="I60" s="30">
        <f t="shared" si="61"/>
        <v>13</v>
      </c>
      <c r="J60" s="30">
        <f t="shared" si="61"/>
        <v>14</v>
      </c>
      <c r="K60" s="30">
        <f t="shared" si="61"/>
        <v>9</v>
      </c>
      <c r="L60" s="30">
        <f t="shared" si="61"/>
        <v>16</v>
      </c>
      <c r="M60" s="30">
        <f t="shared" si="61"/>
        <v>9</v>
      </c>
      <c r="N60" s="30">
        <f t="shared" si="61"/>
        <v>10</v>
      </c>
      <c r="O60" s="30">
        <f t="shared" si="61"/>
        <v>9</v>
      </c>
      <c r="P60" s="30">
        <f t="shared" si="61"/>
        <v>9</v>
      </c>
      <c r="Q60" s="30">
        <f t="shared" si="61"/>
        <v>9</v>
      </c>
      <c r="R60" s="30">
        <f t="shared" si="61"/>
        <v>9</v>
      </c>
      <c r="S60" s="30" t="str">
        <f t="shared" si="61"/>
        <v>Not played</v>
      </c>
      <c r="T60" s="30" t="str">
        <f t="shared" si="61"/>
        <v>Not played</v>
      </c>
      <c r="U60" s="30">
        <f t="shared" si="61"/>
        <v>9</v>
      </c>
      <c r="V60" s="30">
        <f t="shared" si="61"/>
        <v>13</v>
      </c>
      <c r="W60" s="30">
        <f t="shared" si="61"/>
        <v>9</v>
      </c>
      <c r="X60" s="30">
        <f t="shared" si="61"/>
        <v>9</v>
      </c>
      <c r="Y60" s="30">
        <f t="shared" si="61"/>
        <v>9</v>
      </c>
      <c r="Z60" s="30">
        <f t="shared" si="61"/>
        <v>9</v>
      </c>
      <c r="AA60" s="30">
        <f t="shared" si="61"/>
        <v>9</v>
      </c>
      <c r="AB60" s="30">
        <f t="shared" si="61"/>
        <v>9</v>
      </c>
    </row>
    <row r="61">
      <c r="A61" s="28">
        <f t="shared" si="4"/>
        <v>60</v>
      </c>
      <c r="B61" s="43" t="s">
        <v>130</v>
      </c>
      <c r="C61" s="30">
        <f t="shared" ref="C61:AB61" si="62">IFERROR(VLOOKUP($B61,indirect(text(C$1,"mm/dd/yy")&amp;"!B:L"),11,false),"Not played")</f>
        <v>11</v>
      </c>
      <c r="D61" s="30">
        <f t="shared" si="62"/>
        <v>9</v>
      </c>
      <c r="E61" s="30">
        <f t="shared" si="62"/>
        <v>18</v>
      </c>
      <c r="F61" s="30">
        <f t="shared" si="62"/>
        <v>18</v>
      </c>
      <c r="G61" s="30">
        <f t="shared" si="62"/>
        <v>18</v>
      </c>
      <c r="H61" s="30">
        <f t="shared" si="62"/>
        <v>9</v>
      </c>
      <c r="I61" s="30">
        <f t="shared" si="62"/>
        <v>19</v>
      </c>
      <c r="J61" s="30">
        <f t="shared" si="62"/>
        <v>9</v>
      </c>
      <c r="K61" s="30">
        <f t="shared" si="62"/>
        <v>9</v>
      </c>
      <c r="L61" s="30">
        <f t="shared" si="62"/>
        <v>9</v>
      </c>
      <c r="M61" s="30">
        <f t="shared" si="62"/>
        <v>18</v>
      </c>
      <c r="N61" s="30">
        <f t="shared" si="62"/>
        <v>17</v>
      </c>
      <c r="O61" s="30">
        <f t="shared" si="62"/>
        <v>18</v>
      </c>
      <c r="P61" s="30">
        <f t="shared" si="62"/>
        <v>9</v>
      </c>
      <c r="Q61" s="30">
        <f t="shared" si="62"/>
        <v>9</v>
      </c>
      <c r="R61" s="30">
        <f t="shared" si="62"/>
        <v>14</v>
      </c>
      <c r="S61" s="30" t="str">
        <f t="shared" si="62"/>
        <v>Not played</v>
      </c>
      <c r="T61" s="30" t="str">
        <f t="shared" si="62"/>
        <v>Not played</v>
      </c>
      <c r="U61" s="30">
        <f t="shared" si="62"/>
        <v>9</v>
      </c>
      <c r="V61" s="30">
        <f t="shared" si="62"/>
        <v>16</v>
      </c>
      <c r="W61" s="30">
        <f t="shared" si="62"/>
        <v>9</v>
      </c>
      <c r="X61" s="30">
        <f t="shared" si="62"/>
        <v>9</v>
      </c>
      <c r="Y61" s="30">
        <f t="shared" si="62"/>
        <v>9</v>
      </c>
      <c r="Z61" s="30">
        <f t="shared" si="62"/>
        <v>9</v>
      </c>
      <c r="AA61" s="30">
        <f t="shared" si="62"/>
        <v>9</v>
      </c>
      <c r="AB61" s="30">
        <f t="shared" si="62"/>
        <v>9</v>
      </c>
    </row>
    <row r="62">
      <c r="A62" s="28">
        <f t="shared" si="4"/>
        <v>61</v>
      </c>
      <c r="B62" s="43" t="s">
        <v>138</v>
      </c>
      <c r="C62" s="30">
        <f t="shared" ref="C62:AB62" si="63">IFERROR(VLOOKUP($B62,indirect(text(C$1,"mm/dd/yy")&amp;"!B:L"),11,false),"Not played")</f>
        <v>12</v>
      </c>
      <c r="D62" s="30">
        <f t="shared" si="63"/>
        <v>9</v>
      </c>
      <c r="E62" s="30">
        <f t="shared" si="63"/>
        <v>6</v>
      </c>
      <c r="F62" s="30">
        <f t="shared" si="63"/>
        <v>9</v>
      </c>
      <c r="G62" s="30">
        <f t="shared" si="63"/>
        <v>13</v>
      </c>
      <c r="H62" s="30">
        <f t="shared" si="63"/>
        <v>7</v>
      </c>
      <c r="I62" s="30">
        <f t="shared" si="63"/>
        <v>10</v>
      </c>
      <c r="J62" s="30">
        <f t="shared" si="63"/>
        <v>9</v>
      </c>
      <c r="K62" s="30">
        <f t="shared" si="63"/>
        <v>18</v>
      </c>
      <c r="L62" s="30">
        <f t="shared" si="63"/>
        <v>14</v>
      </c>
      <c r="M62" s="30">
        <f t="shared" si="63"/>
        <v>9</v>
      </c>
      <c r="N62" s="30">
        <f t="shared" si="63"/>
        <v>16</v>
      </c>
      <c r="O62" s="30">
        <f t="shared" si="63"/>
        <v>10</v>
      </c>
      <c r="P62" s="30">
        <f t="shared" si="63"/>
        <v>14</v>
      </c>
      <c r="Q62" s="30">
        <f t="shared" si="63"/>
        <v>10</v>
      </c>
      <c r="R62" s="30">
        <f t="shared" si="63"/>
        <v>14</v>
      </c>
      <c r="S62" s="30" t="str">
        <f t="shared" si="63"/>
        <v>Not played</v>
      </c>
      <c r="T62" s="30" t="str">
        <f t="shared" si="63"/>
        <v>Not played</v>
      </c>
      <c r="U62" s="30">
        <f t="shared" si="63"/>
        <v>9</v>
      </c>
      <c r="V62" s="30">
        <f t="shared" si="63"/>
        <v>9</v>
      </c>
      <c r="W62" s="30">
        <f t="shared" si="63"/>
        <v>9</v>
      </c>
      <c r="X62" s="30">
        <f t="shared" si="63"/>
        <v>9</v>
      </c>
      <c r="Y62" s="30">
        <f t="shared" si="63"/>
        <v>9</v>
      </c>
      <c r="Z62" s="30">
        <f t="shared" si="63"/>
        <v>9</v>
      </c>
      <c r="AA62" s="30">
        <f t="shared" si="63"/>
        <v>9</v>
      </c>
      <c r="AB62" s="30">
        <f t="shared" si="63"/>
        <v>9</v>
      </c>
    </row>
    <row r="63">
      <c r="A63" s="28">
        <f t="shared" si="4"/>
        <v>62</v>
      </c>
      <c r="B63" s="43" t="s">
        <v>142</v>
      </c>
      <c r="C63" s="30">
        <f t="shared" ref="C63:AB63" si="64">IFERROR(VLOOKUP($B63,indirect(text(C$1,"mm/dd/yy")&amp;"!B:L"),11,false),"Not played")</f>
        <v>9</v>
      </c>
      <c r="D63" s="30">
        <f t="shared" si="64"/>
        <v>9</v>
      </c>
      <c r="E63" s="30">
        <f t="shared" si="64"/>
        <v>9</v>
      </c>
      <c r="F63" s="30">
        <f t="shared" si="64"/>
        <v>8</v>
      </c>
      <c r="G63" s="30">
        <f t="shared" si="64"/>
        <v>9</v>
      </c>
      <c r="H63" s="30">
        <f t="shared" si="64"/>
        <v>7</v>
      </c>
      <c r="I63" s="30">
        <f t="shared" si="64"/>
        <v>18</v>
      </c>
      <c r="J63" s="30">
        <f t="shared" si="64"/>
        <v>9</v>
      </c>
      <c r="K63" s="30">
        <f t="shared" si="64"/>
        <v>9</v>
      </c>
      <c r="L63" s="30">
        <f t="shared" si="64"/>
        <v>9</v>
      </c>
      <c r="M63" s="30">
        <f t="shared" si="64"/>
        <v>9</v>
      </c>
      <c r="N63" s="30">
        <f t="shared" si="64"/>
        <v>9</v>
      </c>
      <c r="O63" s="30">
        <f t="shared" si="64"/>
        <v>9</v>
      </c>
      <c r="P63" s="30">
        <f t="shared" si="64"/>
        <v>9</v>
      </c>
      <c r="Q63" s="30">
        <f t="shared" si="64"/>
        <v>9</v>
      </c>
      <c r="R63" s="30">
        <f t="shared" si="64"/>
        <v>9</v>
      </c>
      <c r="S63" s="30" t="str">
        <f t="shared" si="64"/>
        <v>Not played</v>
      </c>
      <c r="T63" s="30" t="str">
        <f t="shared" si="64"/>
        <v>Not played</v>
      </c>
      <c r="U63" s="30">
        <f t="shared" si="64"/>
        <v>9</v>
      </c>
      <c r="V63" s="30">
        <f t="shared" si="64"/>
        <v>9</v>
      </c>
      <c r="W63" s="30">
        <f t="shared" si="64"/>
        <v>9</v>
      </c>
      <c r="X63" s="30">
        <f t="shared" si="64"/>
        <v>11</v>
      </c>
      <c r="Y63" s="30">
        <f t="shared" si="64"/>
        <v>6</v>
      </c>
      <c r="Z63" s="30">
        <f t="shared" si="64"/>
        <v>9</v>
      </c>
      <c r="AA63" s="30">
        <f t="shared" si="64"/>
        <v>13</v>
      </c>
      <c r="AB63" s="30">
        <f t="shared" si="64"/>
        <v>9</v>
      </c>
    </row>
    <row r="64">
      <c r="A64" s="28">
        <f t="shared" si="4"/>
        <v>63</v>
      </c>
      <c r="B64" s="48" t="s">
        <v>54</v>
      </c>
      <c r="C64" s="30">
        <f t="shared" ref="C64:AB64" si="65">IFERROR(VLOOKUP($B64,indirect(text(C$1,"mm/dd/yy")&amp;"!B:L"),11,false),"Not played")</f>
        <v>13</v>
      </c>
      <c r="D64" s="30">
        <f t="shared" si="65"/>
        <v>10</v>
      </c>
      <c r="E64" s="30">
        <f t="shared" si="65"/>
        <v>9</v>
      </c>
      <c r="F64" s="30">
        <f t="shared" si="65"/>
        <v>14</v>
      </c>
      <c r="G64" s="30">
        <f t="shared" si="65"/>
        <v>14</v>
      </c>
      <c r="H64" s="30">
        <f t="shared" si="65"/>
        <v>7</v>
      </c>
      <c r="I64" s="30">
        <f t="shared" si="65"/>
        <v>10</v>
      </c>
      <c r="J64" s="30">
        <f t="shared" si="65"/>
        <v>9</v>
      </c>
      <c r="K64" s="30">
        <f t="shared" si="65"/>
        <v>9</v>
      </c>
      <c r="L64" s="30">
        <f t="shared" si="65"/>
        <v>9</v>
      </c>
      <c r="M64" s="30">
        <f t="shared" si="65"/>
        <v>12</v>
      </c>
      <c r="N64" s="30">
        <f t="shared" si="65"/>
        <v>9</v>
      </c>
      <c r="O64" s="30">
        <f t="shared" si="65"/>
        <v>13</v>
      </c>
      <c r="P64" s="30">
        <f t="shared" si="65"/>
        <v>16</v>
      </c>
      <c r="Q64" s="30">
        <f t="shared" si="65"/>
        <v>19</v>
      </c>
      <c r="R64" s="30">
        <f t="shared" si="65"/>
        <v>15</v>
      </c>
      <c r="S64" s="30" t="str">
        <f t="shared" si="65"/>
        <v>Not played</v>
      </c>
      <c r="T64" s="30" t="str">
        <f t="shared" si="65"/>
        <v>Not played</v>
      </c>
      <c r="U64" s="30">
        <f t="shared" si="65"/>
        <v>16</v>
      </c>
      <c r="V64" s="30">
        <f t="shared" si="65"/>
        <v>8</v>
      </c>
      <c r="W64" s="30">
        <f t="shared" si="65"/>
        <v>9</v>
      </c>
      <c r="X64" s="30">
        <f t="shared" si="65"/>
        <v>9</v>
      </c>
      <c r="Y64" s="30">
        <f t="shared" si="65"/>
        <v>11</v>
      </c>
      <c r="Z64" s="30">
        <f t="shared" si="65"/>
        <v>0</v>
      </c>
      <c r="AA64" s="30">
        <f t="shared" si="65"/>
        <v>9</v>
      </c>
      <c r="AB64" s="30">
        <f t="shared" si="65"/>
        <v>9</v>
      </c>
    </row>
    <row r="65">
      <c r="A65" s="28">
        <f t="shared" si="4"/>
        <v>64</v>
      </c>
      <c r="B65" s="48" t="s">
        <v>139</v>
      </c>
      <c r="C65" s="30">
        <f t="shared" ref="C65:AB65" si="66">IFERROR(VLOOKUP($B65,indirect(text(C$1,"mm/dd/yy")&amp;"!B:L"),11,false),"Not played")</f>
        <v>9</v>
      </c>
      <c r="D65" s="30">
        <f t="shared" si="66"/>
        <v>9</v>
      </c>
      <c r="E65" s="30">
        <f t="shared" si="66"/>
        <v>9</v>
      </c>
      <c r="F65" s="30">
        <f t="shared" si="66"/>
        <v>9</v>
      </c>
      <c r="G65" s="30">
        <f t="shared" si="66"/>
        <v>9</v>
      </c>
      <c r="H65" s="30">
        <f t="shared" si="66"/>
        <v>9</v>
      </c>
      <c r="I65" s="30">
        <f t="shared" si="66"/>
        <v>9</v>
      </c>
      <c r="J65" s="30">
        <f t="shared" si="66"/>
        <v>14</v>
      </c>
      <c r="K65" s="30">
        <f t="shared" si="66"/>
        <v>9</v>
      </c>
      <c r="L65" s="30">
        <f t="shared" si="66"/>
        <v>13</v>
      </c>
      <c r="M65" s="30">
        <f t="shared" si="66"/>
        <v>18</v>
      </c>
      <c r="N65" s="30">
        <f t="shared" si="66"/>
        <v>9</v>
      </c>
      <c r="O65" s="30">
        <f t="shared" si="66"/>
        <v>9</v>
      </c>
      <c r="P65" s="30">
        <f t="shared" si="66"/>
        <v>9</v>
      </c>
      <c r="Q65" s="30">
        <f t="shared" si="66"/>
        <v>9</v>
      </c>
      <c r="R65" s="30">
        <f t="shared" si="66"/>
        <v>19</v>
      </c>
      <c r="S65" s="30" t="str">
        <f t="shared" si="66"/>
        <v>Not played</v>
      </c>
      <c r="T65" s="30" t="str">
        <f t="shared" si="66"/>
        <v>Not played</v>
      </c>
      <c r="U65" s="30">
        <f t="shared" si="66"/>
        <v>9</v>
      </c>
      <c r="V65" s="30">
        <f t="shared" si="66"/>
        <v>9</v>
      </c>
      <c r="W65" s="30">
        <f t="shared" si="66"/>
        <v>9</v>
      </c>
      <c r="X65" s="30">
        <f t="shared" si="66"/>
        <v>9</v>
      </c>
      <c r="Y65" s="30">
        <f t="shared" si="66"/>
        <v>9</v>
      </c>
      <c r="Z65" s="30">
        <f t="shared" si="66"/>
        <v>9</v>
      </c>
      <c r="AA65" s="30">
        <f t="shared" si="66"/>
        <v>16</v>
      </c>
      <c r="AB65" s="30">
        <f t="shared" si="66"/>
        <v>11</v>
      </c>
    </row>
    <row r="66">
      <c r="A66" s="28">
        <f t="shared" si="4"/>
        <v>65</v>
      </c>
      <c r="B66" s="43" t="s">
        <v>132</v>
      </c>
      <c r="C66" s="30">
        <f t="shared" ref="C66:AB66" si="67">IFERROR(VLOOKUP($B66,indirect(text(C$1,"mm/dd/yy")&amp;"!B:L"),11,false),"Not played")</f>
        <v>19</v>
      </c>
      <c r="D66" s="30">
        <f t="shared" si="67"/>
        <v>12</v>
      </c>
      <c r="E66" s="30">
        <f t="shared" si="67"/>
        <v>13</v>
      </c>
      <c r="F66" s="30">
        <f t="shared" si="67"/>
        <v>8</v>
      </c>
      <c r="G66" s="30">
        <f t="shared" si="67"/>
        <v>14</v>
      </c>
      <c r="H66" s="30">
        <f t="shared" si="67"/>
        <v>4</v>
      </c>
      <c r="I66" s="30">
        <f t="shared" si="67"/>
        <v>13</v>
      </c>
      <c r="J66" s="30">
        <f t="shared" si="67"/>
        <v>7</v>
      </c>
      <c r="K66" s="30">
        <f t="shared" si="67"/>
        <v>18</v>
      </c>
      <c r="L66" s="30">
        <f t="shared" si="67"/>
        <v>8</v>
      </c>
      <c r="M66" s="30">
        <f t="shared" si="67"/>
        <v>8</v>
      </c>
      <c r="N66" s="30">
        <f t="shared" si="67"/>
        <v>18</v>
      </c>
      <c r="O66" s="30">
        <f t="shared" si="67"/>
        <v>11</v>
      </c>
      <c r="P66" s="30">
        <f t="shared" si="67"/>
        <v>16</v>
      </c>
      <c r="Q66" s="30">
        <f t="shared" si="67"/>
        <v>9</v>
      </c>
      <c r="R66" s="30">
        <f t="shared" si="67"/>
        <v>9</v>
      </c>
      <c r="S66" s="30" t="str">
        <f t="shared" si="67"/>
        <v>Not played</v>
      </c>
      <c r="T66" s="30" t="str">
        <f t="shared" si="67"/>
        <v>Not played</v>
      </c>
      <c r="U66" s="30">
        <f t="shared" si="67"/>
        <v>14</v>
      </c>
      <c r="V66" s="30">
        <f t="shared" si="67"/>
        <v>12</v>
      </c>
      <c r="W66" s="30">
        <f t="shared" si="67"/>
        <v>13</v>
      </c>
      <c r="X66" s="30">
        <f t="shared" si="67"/>
        <v>16</v>
      </c>
      <c r="Y66" s="30">
        <f t="shared" si="67"/>
        <v>9</v>
      </c>
      <c r="Z66" s="30">
        <f t="shared" si="67"/>
        <v>11</v>
      </c>
      <c r="AA66" s="30">
        <f t="shared" si="67"/>
        <v>14</v>
      </c>
      <c r="AB66" s="30">
        <f t="shared" si="67"/>
        <v>14</v>
      </c>
    </row>
    <row r="72">
      <c r="B72" s="43" t="s">
        <v>167</v>
      </c>
      <c r="C72" s="96" t="s">
        <v>168</v>
      </c>
    </row>
    <row r="73">
      <c r="B73" s="43"/>
      <c r="C73" s="97" t="s">
        <v>169</v>
      </c>
    </row>
    <row r="74">
      <c r="B74" s="43"/>
      <c r="C74" s="98" t="s">
        <v>170</v>
      </c>
    </row>
    <row r="75">
      <c r="B75" s="43"/>
      <c r="C75" s="99" t="s">
        <v>171</v>
      </c>
    </row>
    <row r="76">
      <c r="B76" s="43"/>
      <c r="C76" s="43"/>
    </row>
    <row r="77">
      <c r="B77" s="43"/>
      <c r="C77" s="43"/>
    </row>
    <row r="78">
      <c r="B78" s="43"/>
      <c r="C78" s="43"/>
    </row>
    <row r="79">
      <c r="B79" s="43"/>
      <c r="C79" s="43"/>
    </row>
    <row r="80">
      <c r="B80" s="43"/>
      <c r="C80" s="43"/>
    </row>
    <row r="81">
      <c r="B81" s="43"/>
      <c r="C81" s="43"/>
    </row>
  </sheetData>
  <conditionalFormatting sqref="P13">
    <cfRule type="cellIs" dxfId="0" priority="1" operator="greaterThanOrEqual">
      <formula>18</formula>
    </cfRule>
  </conditionalFormatting>
  <conditionalFormatting sqref="C2:AB66">
    <cfRule type="cellIs" dxfId="0" priority="2" operator="between">
      <formula>18</formula>
      <formula>20</formula>
    </cfRule>
  </conditionalFormatting>
  <conditionalFormatting sqref="C2:AB66">
    <cfRule type="cellIs" dxfId="4" priority="3" operator="greaterThanOrEqual">
      <formula>21</formula>
    </cfRule>
  </conditionalFormatting>
  <conditionalFormatting sqref="C2:AB66">
    <cfRule type="cellIs" dxfId="5" priority="4" operator="between">
      <formula>0</formula>
      <formula>8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21.38"/>
    <col customWidth="1" min="4" max="4" width="24.5"/>
  </cols>
  <sheetData>
    <row r="1">
      <c r="A1" s="67" t="str">
        <f>IFERROR(__xludf.DUMMYFUNCTION("IMPORTRANGE(""1vk67ABbS4TvdE0gnpv39mwReeTC8qhP2vyc266Yeuy8"",""Waitlist!A1:D199"")"),"#REF!")</f>
        <v>#REF!</v>
      </c>
      <c r="B1" s="5"/>
      <c r="C1" s="5"/>
      <c r="D1" s="5"/>
    </row>
    <row r="2">
      <c r="A2" s="18"/>
      <c r="B2" s="18"/>
      <c r="C2" s="18"/>
      <c r="D2" s="18"/>
    </row>
    <row r="3">
      <c r="A3" s="18"/>
      <c r="B3" s="18"/>
      <c r="C3" s="18"/>
      <c r="D3" s="18"/>
    </row>
    <row r="4">
      <c r="A4" s="18"/>
      <c r="B4" s="18"/>
      <c r="C4" s="18"/>
      <c r="D4" s="18"/>
      <c r="G4" s="33" t="s">
        <v>112</v>
      </c>
    </row>
    <row r="5">
      <c r="A5" s="18"/>
      <c r="B5" s="18"/>
      <c r="C5" s="18"/>
      <c r="D5" s="18"/>
      <c r="G5" s="71" t="s">
        <v>114</v>
      </c>
    </row>
    <row r="6">
      <c r="A6" s="18"/>
      <c r="B6" s="18"/>
      <c r="C6" s="18"/>
      <c r="D6" s="18"/>
    </row>
    <row r="7">
      <c r="A7" s="18"/>
      <c r="B7" s="18"/>
      <c r="C7" s="18"/>
      <c r="D7" s="18"/>
    </row>
    <row r="8">
      <c r="A8" s="18"/>
      <c r="B8" s="18"/>
      <c r="C8" s="18"/>
      <c r="D8" s="18"/>
    </row>
    <row r="9">
      <c r="A9" s="18"/>
      <c r="B9" s="18"/>
      <c r="C9" s="18"/>
      <c r="D9" s="18"/>
    </row>
    <row r="10">
      <c r="A10" s="18"/>
      <c r="B10" s="18"/>
      <c r="C10" s="18"/>
      <c r="D10" s="18"/>
    </row>
    <row r="11">
      <c r="A11" s="18"/>
      <c r="B11" s="18"/>
      <c r="C11" s="18"/>
      <c r="D11" s="18"/>
    </row>
    <row r="12">
      <c r="A12" s="18"/>
      <c r="B12" s="18"/>
      <c r="C12" s="18"/>
      <c r="D12" s="18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  <row r="15">
      <c r="A15" s="18"/>
      <c r="B15" s="18"/>
      <c r="C15" s="18"/>
      <c r="D15" s="18"/>
    </row>
    <row r="16">
      <c r="A16" s="18"/>
      <c r="B16" s="18"/>
      <c r="C16" s="18"/>
      <c r="D16" s="18"/>
    </row>
    <row r="17">
      <c r="A17" s="18"/>
      <c r="B17" s="18"/>
      <c r="C17" s="18"/>
      <c r="D17" s="18"/>
    </row>
    <row r="18">
      <c r="A18" s="18"/>
      <c r="B18" s="18"/>
      <c r="C18" s="18"/>
      <c r="D18" s="18"/>
    </row>
    <row r="19">
      <c r="A19" s="18"/>
      <c r="B19" s="18"/>
      <c r="C19" s="18"/>
      <c r="D19" s="18"/>
    </row>
    <row r="20">
      <c r="A20" s="18"/>
      <c r="B20" s="18"/>
      <c r="C20" s="18"/>
      <c r="D20" s="18"/>
    </row>
    <row r="21">
      <c r="A21" s="18"/>
      <c r="B21" s="18"/>
      <c r="C21" s="18"/>
      <c r="D21" s="18"/>
    </row>
    <row r="22">
      <c r="A22" s="18"/>
      <c r="B22" s="18"/>
      <c r="C22" s="18"/>
      <c r="D22" s="18"/>
    </row>
    <row r="23">
      <c r="A23" s="18"/>
      <c r="B23" s="18"/>
      <c r="C23" s="18"/>
      <c r="D23" s="18"/>
    </row>
    <row r="24">
      <c r="A24" s="18"/>
      <c r="B24" s="18"/>
      <c r="C24" s="18"/>
      <c r="D24" s="18"/>
    </row>
    <row r="25">
      <c r="A25" s="18"/>
      <c r="B25" s="18"/>
      <c r="C25" s="18"/>
      <c r="D25" s="18"/>
    </row>
    <row r="26">
      <c r="A26" s="18"/>
      <c r="B26" s="18"/>
      <c r="C26" s="18"/>
      <c r="D26" s="18"/>
    </row>
    <row r="27">
      <c r="A27" s="18"/>
      <c r="B27" s="18"/>
      <c r="C27" s="18"/>
      <c r="D27" s="18"/>
    </row>
    <row r="28">
      <c r="A28" s="18"/>
      <c r="B28" s="18"/>
      <c r="C28" s="18"/>
      <c r="D28" s="18"/>
    </row>
    <row r="29">
      <c r="A29" s="18"/>
      <c r="B29" s="18"/>
      <c r="C29" s="18"/>
      <c r="D29" s="18"/>
    </row>
    <row r="30">
      <c r="A30" s="18"/>
      <c r="B30" s="18"/>
      <c r="C30" s="18"/>
      <c r="D30" s="18"/>
    </row>
    <row r="31">
      <c r="A31" s="18"/>
      <c r="B31" s="18"/>
      <c r="C31" s="18"/>
      <c r="D31" s="18"/>
    </row>
    <row r="32">
      <c r="A32" s="18"/>
      <c r="B32" s="18"/>
      <c r="C32" s="18"/>
      <c r="D32" s="18"/>
    </row>
    <row r="33">
      <c r="A33" s="18"/>
      <c r="B33" s="18"/>
      <c r="C33" s="18"/>
      <c r="D33" s="18"/>
    </row>
    <row r="34">
      <c r="A34" s="18"/>
      <c r="B34" s="18"/>
      <c r="C34" s="18"/>
      <c r="D34" s="18"/>
    </row>
    <row r="35">
      <c r="A35" s="18"/>
      <c r="B35" s="18"/>
      <c r="C35" s="18"/>
      <c r="D35" s="18"/>
    </row>
    <row r="36">
      <c r="A36" s="18"/>
      <c r="B36" s="18"/>
      <c r="C36" s="18"/>
      <c r="D36" s="18"/>
    </row>
    <row r="37">
      <c r="A37" s="18"/>
      <c r="B37" s="18"/>
      <c r="C37" s="18"/>
      <c r="D37" s="18"/>
    </row>
    <row r="38">
      <c r="A38" s="18"/>
      <c r="B38" s="18"/>
      <c r="C38" s="18"/>
      <c r="D38" s="18"/>
    </row>
    <row r="39">
      <c r="A39" s="18"/>
      <c r="B39" s="18"/>
      <c r="C39" s="18"/>
      <c r="D39" s="18"/>
    </row>
    <row r="40">
      <c r="A40" s="18"/>
      <c r="B40" s="18"/>
      <c r="C40" s="18"/>
      <c r="D40" s="18"/>
    </row>
    <row r="41">
      <c r="A41" s="18"/>
      <c r="B41" s="18"/>
      <c r="C41" s="18"/>
      <c r="D41" s="18"/>
    </row>
    <row r="42">
      <c r="A42" s="18"/>
      <c r="B42" s="18"/>
      <c r="C42" s="18"/>
      <c r="D42" s="18"/>
    </row>
    <row r="43">
      <c r="A43" s="18"/>
      <c r="B43" s="18"/>
      <c r="C43" s="18"/>
      <c r="D43" s="18"/>
    </row>
    <row r="44">
      <c r="A44" s="18"/>
      <c r="B44" s="18"/>
      <c r="C44" s="18"/>
      <c r="D44" s="18"/>
    </row>
    <row r="45">
      <c r="A45" s="18"/>
      <c r="B45" s="18"/>
      <c r="C45" s="18"/>
      <c r="D45" s="18"/>
    </row>
    <row r="46">
      <c r="A46" s="18"/>
      <c r="B46" s="18"/>
      <c r="C46" s="18"/>
      <c r="D46" s="18"/>
    </row>
    <row r="47">
      <c r="A47" s="18"/>
      <c r="B47" s="18"/>
      <c r="C47" s="18"/>
      <c r="D47" s="18"/>
    </row>
    <row r="48">
      <c r="A48" s="18"/>
      <c r="B48" s="18"/>
      <c r="C48" s="18"/>
      <c r="D48" s="18"/>
    </row>
    <row r="49">
      <c r="A49" s="18"/>
      <c r="B49" s="18"/>
      <c r="C49" s="18"/>
      <c r="D49" s="18"/>
    </row>
    <row r="50">
      <c r="A50" s="18"/>
      <c r="B50" s="18"/>
      <c r="C50" s="18"/>
      <c r="D50" s="18"/>
    </row>
    <row r="51">
      <c r="A51" s="18"/>
      <c r="B51" s="18"/>
      <c r="C51" s="18"/>
      <c r="D51" s="18"/>
    </row>
  </sheetData>
  <hyperlinks>
    <hyperlink r:id="rId1" ref="G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45836.0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24.0</v>
      </c>
      <c r="E2" s="1"/>
      <c r="F2" s="1"/>
      <c r="R2" s="19"/>
      <c r="AB2" s="20" t="str">
        <f>text(C1-7,"mm/dd/yy")</f>
        <v>06/21/25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371.0</v>
      </c>
      <c r="D5" s="31">
        <v>47.0</v>
      </c>
      <c r="E5" s="36">
        <f t="shared" ref="E5:E69" si="2">if(($D$2-U5-S5)&lt;&gt;0,(C5-(U5*9)-(S5*13))/($D$2-U5-S5),0)</f>
        <v>15.56521739</v>
      </c>
      <c r="F5" s="73">
        <v>1.0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3.0</v>
      </c>
      <c r="N5" s="31">
        <f t="shared" ref="N5:O5" si="1">C5+L5</f>
        <v>389</v>
      </c>
      <c r="O5" s="31">
        <f t="shared" si="1"/>
        <v>50</v>
      </c>
      <c r="P5" s="45" t="s">
        <v>58</v>
      </c>
      <c r="Q5" s="45" t="s">
        <v>58</v>
      </c>
      <c r="R5" s="45" t="s">
        <v>58</v>
      </c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43" t="s">
        <v>64</v>
      </c>
      <c r="C6" s="47">
        <v>310.0</v>
      </c>
      <c r="D6" s="31">
        <v>29.0</v>
      </c>
      <c r="E6" s="36">
        <f t="shared" si="2"/>
        <v>13.7</v>
      </c>
      <c r="F6" s="73">
        <v>1.0</v>
      </c>
      <c r="G6" s="74">
        <v>1.0</v>
      </c>
      <c r="H6" s="75">
        <v>0.0</v>
      </c>
      <c r="I6" s="74">
        <v>1.0</v>
      </c>
      <c r="J6" s="74">
        <v>4.0</v>
      </c>
      <c r="K6" s="74">
        <v>6.0</v>
      </c>
      <c r="L6" s="76">
        <v>11.0</v>
      </c>
      <c r="M6" s="74">
        <v>1.0</v>
      </c>
      <c r="N6" s="47">
        <f t="shared" ref="N6:O6" si="3">C6+L6</f>
        <v>321</v>
      </c>
      <c r="O6" s="31">
        <f t="shared" si="3"/>
        <v>30</v>
      </c>
      <c r="P6" s="45" t="s">
        <v>58</v>
      </c>
      <c r="Q6" s="45" t="s">
        <v>58</v>
      </c>
      <c r="R6" s="45" t="s">
        <v>58</v>
      </c>
      <c r="S6" s="46">
        <f t="shared" si="4"/>
        <v>0</v>
      </c>
      <c r="T6" s="46"/>
      <c r="U6" s="46">
        <f t="shared" si="5"/>
        <v>4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74</v>
      </c>
      <c r="C7" s="31">
        <v>303.0</v>
      </c>
      <c r="D7" s="31">
        <v>30.0</v>
      </c>
      <c r="E7" s="36">
        <f t="shared" si="2"/>
        <v>14.11764706</v>
      </c>
      <c r="F7" s="73">
        <v>1.0</v>
      </c>
      <c r="G7" s="74">
        <v>1.0</v>
      </c>
      <c r="H7" s="75">
        <v>0.0</v>
      </c>
      <c r="I7" s="74">
        <v>6.0</v>
      </c>
      <c r="J7" s="74">
        <v>4.0</v>
      </c>
      <c r="K7" s="74">
        <v>3.0</v>
      </c>
      <c r="L7" s="76">
        <v>13.0</v>
      </c>
      <c r="M7" s="74">
        <v>1.0</v>
      </c>
      <c r="N7" s="31">
        <f t="shared" ref="N7:O7" si="8">C7+L7</f>
        <v>316</v>
      </c>
      <c r="O7" s="31">
        <f t="shared" si="8"/>
        <v>31</v>
      </c>
      <c r="P7" s="45" t="s">
        <v>58</v>
      </c>
      <c r="Q7" s="45" t="s">
        <v>58</v>
      </c>
      <c r="R7" s="45" t="s">
        <v>58</v>
      </c>
      <c r="S7" s="46">
        <f t="shared" si="4"/>
        <v>0</v>
      </c>
      <c r="T7" s="46"/>
      <c r="U7" s="46">
        <f t="shared" si="5"/>
        <v>7</v>
      </c>
      <c r="V7" s="46">
        <f t="shared" si="6"/>
        <v>1</v>
      </c>
      <c r="W7" s="30">
        <f t="shared" si="9"/>
        <v>3</v>
      </c>
    </row>
    <row r="8">
      <c r="A8" s="30">
        <f t="shared" si="7"/>
        <v>4</v>
      </c>
      <c r="B8" s="28" t="s">
        <v>92</v>
      </c>
      <c r="C8" s="31">
        <v>301.0</v>
      </c>
      <c r="D8" s="31">
        <v>28.0</v>
      </c>
      <c r="E8" s="36">
        <f t="shared" si="2"/>
        <v>14.3125</v>
      </c>
      <c r="F8" s="73">
        <v>1.0</v>
      </c>
      <c r="G8" s="74">
        <v>1.0</v>
      </c>
      <c r="H8" s="75">
        <v>0.0</v>
      </c>
      <c r="I8" s="74">
        <v>1.0</v>
      </c>
      <c r="J8" s="74">
        <v>6.0</v>
      </c>
      <c r="K8" s="74">
        <v>3.0</v>
      </c>
      <c r="L8" s="76">
        <v>10.0</v>
      </c>
      <c r="M8" s="74">
        <v>1.0</v>
      </c>
      <c r="N8" s="31">
        <f t="shared" ref="N8:O8" si="10">C8+L8</f>
        <v>311</v>
      </c>
      <c r="O8" s="31">
        <f t="shared" si="10"/>
        <v>29</v>
      </c>
      <c r="P8" s="45" t="s">
        <v>58</v>
      </c>
      <c r="Q8" s="45" t="s">
        <v>58</v>
      </c>
      <c r="R8" s="45" t="s">
        <v>58</v>
      </c>
      <c r="S8" s="46">
        <f t="shared" si="4"/>
        <v>0</v>
      </c>
      <c r="T8" s="46"/>
      <c r="U8" s="46">
        <f t="shared" si="5"/>
        <v>8</v>
      </c>
      <c r="V8" s="46">
        <f t="shared" si="6"/>
        <v>4</v>
      </c>
      <c r="W8" s="30">
        <f t="shared" si="9"/>
        <v>4</v>
      </c>
    </row>
    <row r="9">
      <c r="A9" s="30">
        <f t="shared" si="7"/>
        <v>5</v>
      </c>
      <c r="B9" s="28" t="s">
        <v>101</v>
      </c>
      <c r="C9" s="31">
        <v>299.0</v>
      </c>
      <c r="D9" s="31">
        <v>22.0</v>
      </c>
      <c r="E9" s="36">
        <f t="shared" si="2"/>
        <v>13.9375</v>
      </c>
      <c r="F9" s="73">
        <v>3.0</v>
      </c>
      <c r="G9" s="74">
        <v>0.0</v>
      </c>
      <c r="H9" s="75">
        <v>9.0</v>
      </c>
      <c r="I9" s="74">
        <v>0.0</v>
      </c>
      <c r="J9" s="74">
        <v>0.0</v>
      </c>
      <c r="K9" s="74">
        <v>0.0</v>
      </c>
      <c r="L9" s="76">
        <v>9.0</v>
      </c>
      <c r="M9" s="74">
        <v>0.0</v>
      </c>
      <c r="N9" s="31">
        <f t="shared" ref="N9:O9" si="11">C9+L9</f>
        <v>308</v>
      </c>
      <c r="O9" s="31">
        <f t="shared" si="11"/>
        <v>22</v>
      </c>
      <c r="P9" s="45" t="s">
        <v>58</v>
      </c>
      <c r="Q9" s="45" t="s">
        <v>58</v>
      </c>
      <c r="R9" s="45" t="s">
        <v>58</v>
      </c>
      <c r="S9" s="46">
        <f t="shared" si="4"/>
        <v>1</v>
      </c>
      <c r="T9" s="46"/>
      <c r="U9" s="46">
        <f t="shared" si="5"/>
        <v>7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43" t="s">
        <v>87</v>
      </c>
      <c r="C10" s="47">
        <v>297.0</v>
      </c>
      <c r="D10" s="31">
        <v>26.0</v>
      </c>
      <c r="E10" s="36">
        <f t="shared" si="2"/>
        <v>13.76470588</v>
      </c>
      <c r="F10" s="73">
        <v>1.0</v>
      </c>
      <c r="G10" s="74">
        <v>2.0</v>
      </c>
      <c r="H10" s="75">
        <v>0.0</v>
      </c>
      <c r="I10" s="74">
        <v>4.0</v>
      </c>
      <c r="J10" s="74">
        <v>6.0</v>
      </c>
      <c r="K10" s="74">
        <v>4.0</v>
      </c>
      <c r="L10" s="76">
        <v>14.0</v>
      </c>
      <c r="M10" s="74">
        <v>1.0</v>
      </c>
      <c r="N10" s="47">
        <f t="shared" ref="N10:O10" si="12">C10+L10</f>
        <v>311</v>
      </c>
      <c r="O10" s="31">
        <f t="shared" si="12"/>
        <v>27</v>
      </c>
      <c r="P10" s="45" t="s">
        <v>58</v>
      </c>
      <c r="Q10" s="45" t="s">
        <v>58</v>
      </c>
      <c r="R10" s="45" t="s">
        <v>58</v>
      </c>
      <c r="S10" s="46">
        <f t="shared" si="4"/>
        <v>0</v>
      </c>
      <c r="T10" s="46"/>
      <c r="U10" s="46">
        <f t="shared" si="5"/>
        <v>7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28" t="s">
        <v>97</v>
      </c>
      <c r="C11" s="31">
        <v>294.0</v>
      </c>
      <c r="D11" s="31">
        <v>24.0</v>
      </c>
      <c r="E11" s="36">
        <f t="shared" si="2"/>
        <v>13.11764706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303</v>
      </c>
      <c r="O11" s="31">
        <f t="shared" si="13"/>
        <v>24</v>
      </c>
      <c r="P11" s="45" t="s">
        <v>58</v>
      </c>
      <c r="Q11" s="45" t="s">
        <v>58</v>
      </c>
      <c r="R11" s="45" t="s">
        <v>58</v>
      </c>
      <c r="S11" s="46">
        <f t="shared" si="4"/>
        <v>2</v>
      </c>
      <c r="T11" s="46"/>
      <c r="U11" s="46">
        <f t="shared" si="5"/>
        <v>5</v>
      </c>
      <c r="V11" s="46">
        <f t="shared" si="6"/>
        <v>-1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47">
        <v>293.0</v>
      </c>
      <c r="D12" s="31">
        <v>27.0</v>
      </c>
      <c r="E12" s="36">
        <f t="shared" si="2"/>
        <v>12.31818182</v>
      </c>
      <c r="F12" s="73">
        <v>1.0</v>
      </c>
      <c r="G12" s="74">
        <v>2.0</v>
      </c>
      <c r="H12" s="75">
        <v>0.0</v>
      </c>
      <c r="I12" s="74">
        <v>6.0</v>
      </c>
      <c r="J12" s="74">
        <v>6.0</v>
      </c>
      <c r="K12" s="74">
        <v>6.0</v>
      </c>
      <c r="L12" s="76">
        <v>18.0</v>
      </c>
      <c r="M12" s="74">
        <v>3.0</v>
      </c>
      <c r="N12" s="47">
        <f t="shared" ref="N12:O12" si="14">C12+L12</f>
        <v>311</v>
      </c>
      <c r="O12" s="31">
        <f t="shared" si="14"/>
        <v>30</v>
      </c>
      <c r="P12" s="45" t="s">
        <v>58</v>
      </c>
      <c r="Q12" s="45" t="s">
        <v>58</v>
      </c>
      <c r="R12" s="45" t="s">
        <v>58</v>
      </c>
      <c r="S12" s="46">
        <f t="shared" si="4"/>
        <v>1</v>
      </c>
      <c r="T12" s="46"/>
      <c r="U12" s="46">
        <f t="shared" si="5"/>
        <v>1</v>
      </c>
      <c r="V12" s="46">
        <f t="shared" si="6"/>
        <v>-1</v>
      </c>
      <c r="W12" s="30">
        <f t="shared" si="9"/>
        <v>8</v>
      </c>
    </row>
    <row r="13">
      <c r="A13" s="30">
        <f t="shared" si="7"/>
        <v>9</v>
      </c>
      <c r="B13" s="48" t="s">
        <v>82</v>
      </c>
      <c r="C13" s="31">
        <v>292.0</v>
      </c>
      <c r="D13" s="31">
        <v>24.0</v>
      </c>
      <c r="E13" s="36">
        <f t="shared" si="2"/>
        <v>13.23529412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301</v>
      </c>
      <c r="O13" s="31">
        <f t="shared" si="15"/>
        <v>24</v>
      </c>
      <c r="P13" s="45" t="s">
        <v>58</v>
      </c>
      <c r="Q13" s="45" t="s">
        <v>58</v>
      </c>
      <c r="R13" s="45" t="s">
        <v>58</v>
      </c>
      <c r="S13" s="46">
        <f t="shared" si="4"/>
        <v>1</v>
      </c>
      <c r="T13" s="46"/>
      <c r="U13" s="46">
        <f t="shared" si="5"/>
        <v>6</v>
      </c>
      <c r="V13" s="46">
        <f t="shared" si="6"/>
        <v>0</v>
      </c>
      <c r="W13" s="30">
        <f t="shared" si="9"/>
        <v>9</v>
      </c>
    </row>
    <row r="14">
      <c r="A14" s="30">
        <f t="shared" si="7"/>
        <v>10</v>
      </c>
      <c r="B14" s="28" t="s">
        <v>104</v>
      </c>
      <c r="C14" s="31">
        <v>291.0</v>
      </c>
      <c r="D14" s="31">
        <v>23.0</v>
      </c>
      <c r="E14" s="36">
        <f t="shared" si="2"/>
        <v>12.73684211</v>
      </c>
      <c r="F14" s="73">
        <v>2.0</v>
      </c>
      <c r="G14" s="74">
        <v>2.0</v>
      </c>
      <c r="H14" s="75">
        <v>0.0</v>
      </c>
      <c r="I14" s="74">
        <v>4.0</v>
      </c>
      <c r="J14" s="74">
        <v>4.0</v>
      </c>
      <c r="K14" s="74">
        <v>6.0</v>
      </c>
      <c r="L14" s="76">
        <v>14.0</v>
      </c>
      <c r="M14" s="74">
        <v>1.0</v>
      </c>
      <c r="N14" s="31">
        <f t="shared" ref="N14:O14" si="16">C14+L14</f>
        <v>305</v>
      </c>
      <c r="O14" s="31">
        <f t="shared" si="16"/>
        <v>24</v>
      </c>
      <c r="P14" s="45" t="s">
        <v>58</v>
      </c>
      <c r="Q14" s="45" t="s">
        <v>58</v>
      </c>
      <c r="R14" s="45" t="s">
        <v>58</v>
      </c>
      <c r="S14" s="46">
        <f t="shared" si="4"/>
        <v>1</v>
      </c>
      <c r="T14" s="46"/>
      <c r="U14" s="46">
        <f t="shared" si="5"/>
        <v>4</v>
      </c>
      <c r="V14" s="46">
        <f t="shared" si="6"/>
        <v>0</v>
      </c>
      <c r="W14" s="30">
        <f t="shared" si="9"/>
        <v>10</v>
      </c>
    </row>
    <row r="15">
      <c r="A15" s="30">
        <f t="shared" si="7"/>
        <v>11</v>
      </c>
      <c r="B15" s="28" t="s">
        <v>105</v>
      </c>
      <c r="C15" s="31">
        <v>290.0</v>
      </c>
      <c r="D15" s="31">
        <v>26.0</v>
      </c>
      <c r="E15" s="36">
        <f t="shared" si="2"/>
        <v>13.66666667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299</v>
      </c>
      <c r="O15" s="31">
        <f t="shared" si="17"/>
        <v>26</v>
      </c>
      <c r="P15" s="45" t="s">
        <v>58</v>
      </c>
      <c r="Q15" s="45" t="s">
        <v>58</v>
      </c>
      <c r="R15" s="45" t="s">
        <v>58</v>
      </c>
      <c r="S15" s="46">
        <f t="shared" si="4"/>
        <v>1</v>
      </c>
      <c r="T15" s="46"/>
      <c r="U15" s="46">
        <f t="shared" si="5"/>
        <v>8</v>
      </c>
      <c r="V15" s="46">
        <f t="shared" si="6"/>
        <v>10</v>
      </c>
      <c r="W15" s="30">
        <f t="shared" si="9"/>
        <v>11</v>
      </c>
    </row>
    <row r="16">
      <c r="A16" s="30">
        <f t="shared" si="7"/>
        <v>12</v>
      </c>
      <c r="B16" s="43" t="s">
        <v>107</v>
      </c>
      <c r="C16" s="31">
        <v>289.0</v>
      </c>
      <c r="D16" s="31">
        <v>19.0</v>
      </c>
      <c r="E16" s="36">
        <f t="shared" si="2"/>
        <v>13.05882353</v>
      </c>
      <c r="F16" s="73">
        <v>2.0</v>
      </c>
      <c r="G16" s="74">
        <v>2.0</v>
      </c>
      <c r="H16" s="75">
        <v>0.0</v>
      </c>
      <c r="I16" s="74">
        <v>6.0</v>
      </c>
      <c r="J16" s="74">
        <v>4.0</v>
      </c>
      <c r="K16" s="74">
        <v>4.0</v>
      </c>
      <c r="L16" s="76">
        <v>14.0</v>
      </c>
      <c r="M16" s="74">
        <v>1.0</v>
      </c>
      <c r="N16" s="31">
        <f t="shared" ref="N16:O16" si="18">C16+L16</f>
        <v>303</v>
      </c>
      <c r="O16" s="31">
        <f t="shared" si="18"/>
        <v>20</v>
      </c>
      <c r="P16" s="45" t="s">
        <v>58</v>
      </c>
      <c r="Q16" s="45" t="s">
        <v>58</v>
      </c>
      <c r="R16" s="45" t="s">
        <v>58</v>
      </c>
      <c r="S16" s="46">
        <f t="shared" si="4"/>
        <v>1</v>
      </c>
      <c r="T16" s="46"/>
      <c r="U16" s="46">
        <f t="shared" si="5"/>
        <v>6</v>
      </c>
      <c r="V16" s="46">
        <f t="shared" si="6"/>
        <v>6</v>
      </c>
      <c r="W16" s="30">
        <f t="shared" si="9"/>
        <v>12</v>
      </c>
    </row>
    <row r="17">
      <c r="A17" s="30">
        <f t="shared" si="7"/>
        <v>13</v>
      </c>
      <c r="B17" s="28" t="s">
        <v>67</v>
      </c>
      <c r="C17" s="31">
        <v>288.0</v>
      </c>
      <c r="D17" s="31">
        <v>25.0</v>
      </c>
      <c r="E17" s="36">
        <f t="shared" si="2"/>
        <v>15.18181818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297</v>
      </c>
      <c r="O17" s="31">
        <f t="shared" si="19"/>
        <v>25</v>
      </c>
      <c r="P17" s="45" t="s">
        <v>58</v>
      </c>
      <c r="Q17" s="45" t="s">
        <v>58</v>
      </c>
      <c r="R17" s="45" t="s">
        <v>58</v>
      </c>
      <c r="S17" s="46">
        <f t="shared" si="4"/>
        <v>1</v>
      </c>
      <c r="T17" s="46"/>
      <c r="U17" s="46">
        <f t="shared" si="5"/>
        <v>12</v>
      </c>
      <c r="V17" s="46">
        <f t="shared" si="6"/>
        <v>-2</v>
      </c>
      <c r="W17" s="30">
        <f t="shared" si="9"/>
        <v>13</v>
      </c>
    </row>
    <row r="18">
      <c r="A18" s="30">
        <f t="shared" si="7"/>
        <v>14</v>
      </c>
      <c r="B18" s="43" t="s">
        <v>121</v>
      </c>
      <c r="C18" s="31">
        <v>287.0</v>
      </c>
      <c r="D18" s="31">
        <v>22.0</v>
      </c>
      <c r="E18" s="36">
        <f t="shared" si="2"/>
        <v>15.7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296</v>
      </c>
      <c r="O18" s="31">
        <f t="shared" si="20"/>
        <v>22</v>
      </c>
      <c r="P18" s="45" t="s">
        <v>58</v>
      </c>
      <c r="Q18" s="45" t="s">
        <v>58</v>
      </c>
      <c r="R18" s="45" t="s">
        <v>58</v>
      </c>
      <c r="S18" s="46">
        <f t="shared" si="4"/>
        <v>1</v>
      </c>
      <c r="T18" s="46"/>
      <c r="U18" s="46">
        <f t="shared" si="5"/>
        <v>13</v>
      </c>
      <c r="V18" s="46">
        <f t="shared" si="6"/>
        <v>-2</v>
      </c>
      <c r="W18" s="30">
        <f t="shared" si="9"/>
        <v>14</v>
      </c>
    </row>
    <row r="19">
      <c r="A19" s="30">
        <f t="shared" si="7"/>
        <v>15</v>
      </c>
      <c r="B19" s="43" t="s">
        <v>94</v>
      </c>
      <c r="C19" s="31">
        <v>287.0</v>
      </c>
      <c r="D19" s="31">
        <v>22.0</v>
      </c>
      <c r="E19" s="36">
        <f t="shared" si="2"/>
        <v>14.58333333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296</v>
      </c>
      <c r="O19" s="31">
        <f t="shared" si="21"/>
        <v>22</v>
      </c>
      <c r="P19" s="45" t="s">
        <v>58</v>
      </c>
      <c r="Q19" s="45" t="s">
        <v>58</v>
      </c>
      <c r="R19" s="45" t="s">
        <v>58</v>
      </c>
      <c r="S19" s="46">
        <f t="shared" si="4"/>
        <v>1</v>
      </c>
      <c r="T19" s="46"/>
      <c r="U19" s="46">
        <f t="shared" si="5"/>
        <v>11</v>
      </c>
      <c r="V19" s="46">
        <f t="shared" si="6"/>
        <v>-2</v>
      </c>
      <c r="W19" s="30">
        <f t="shared" si="9"/>
        <v>15</v>
      </c>
    </row>
    <row r="20">
      <c r="A20" s="30">
        <f t="shared" si="7"/>
        <v>16</v>
      </c>
      <c r="B20" s="28" t="s">
        <v>117</v>
      </c>
      <c r="C20" s="31">
        <v>286.0</v>
      </c>
      <c r="D20" s="31">
        <v>24.0</v>
      </c>
      <c r="E20" s="36">
        <f t="shared" si="2"/>
        <v>15.6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295</v>
      </c>
      <c r="O20" s="31">
        <f t="shared" si="22"/>
        <v>24</v>
      </c>
      <c r="P20" s="45" t="s">
        <v>58</v>
      </c>
      <c r="Q20" s="45" t="s">
        <v>58</v>
      </c>
      <c r="R20" s="45" t="s">
        <v>58</v>
      </c>
      <c r="S20" s="46">
        <f t="shared" si="4"/>
        <v>1</v>
      </c>
      <c r="T20" s="46"/>
      <c r="U20" s="46">
        <f t="shared" si="5"/>
        <v>13</v>
      </c>
      <c r="V20" s="46">
        <f t="shared" si="6"/>
        <v>-2</v>
      </c>
      <c r="W20" s="30">
        <f t="shared" si="9"/>
        <v>16</v>
      </c>
    </row>
    <row r="21">
      <c r="A21" s="30">
        <f t="shared" si="7"/>
        <v>17</v>
      </c>
      <c r="B21" s="43" t="s">
        <v>106</v>
      </c>
      <c r="C21" s="31">
        <v>285.0</v>
      </c>
      <c r="D21" s="31">
        <v>26.0</v>
      </c>
      <c r="E21" s="36">
        <f t="shared" si="2"/>
        <v>13.0625</v>
      </c>
      <c r="F21" s="73">
        <v>1.0</v>
      </c>
      <c r="G21" s="74">
        <v>3.0</v>
      </c>
      <c r="H21" s="75">
        <v>0.0</v>
      </c>
      <c r="I21" s="74">
        <v>6.0</v>
      </c>
      <c r="J21" s="74">
        <v>6.0</v>
      </c>
      <c r="K21" s="74">
        <v>6.0</v>
      </c>
      <c r="L21" s="76">
        <v>18.0</v>
      </c>
      <c r="M21" s="74">
        <v>3.0</v>
      </c>
      <c r="N21" s="31">
        <f t="shared" ref="N21:O21" si="23">C21+L21</f>
        <v>303</v>
      </c>
      <c r="O21" s="31">
        <f t="shared" si="23"/>
        <v>29</v>
      </c>
      <c r="P21" s="45" t="s">
        <v>58</v>
      </c>
      <c r="Q21" s="45" t="s">
        <v>58</v>
      </c>
      <c r="R21" s="45" t="s">
        <v>58</v>
      </c>
      <c r="S21" s="46">
        <f t="shared" si="4"/>
        <v>1</v>
      </c>
      <c r="T21" s="46"/>
      <c r="U21" s="46">
        <f t="shared" si="5"/>
        <v>7</v>
      </c>
      <c r="V21" s="46">
        <f t="shared" si="6"/>
        <v>-1</v>
      </c>
      <c r="W21" s="30">
        <f t="shared" si="9"/>
        <v>17</v>
      </c>
    </row>
    <row r="22">
      <c r="A22" s="30">
        <f t="shared" si="7"/>
        <v>18</v>
      </c>
      <c r="B22" s="28" t="s">
        <v>128</v>
      </c>
      <c r="C22" s="31">
        <v>285.0</v>
      </c>
      <c r="D22" s="31">
        <v>25.0</v>
      </c>
      <c r="E22" s="36">
        <f t="shared" si="2"/>
        <v>15.27272727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294</v>
      </c>
      <c r="O22" s="31">
        <f t="shared" si="24"/>
        <v>25</v>
      </c>
      <c r="P22" s="45" t="s">
        <v>58</v>
      </c>
      <c r="Q22" s="45" t="s">
        <v>58</v>
      </c>
      <c r="R22" s="45" t="s">
        <v>58</v>
      </c>
      <c r="S22" s="46">
        <f t="shared" si="4"/>
        <v>0</v>
      </c>
      <c r="T22" s="46"/>
      <c r="U22" s="46">
        <f t="shared" si="5"/>
        <v>13</v>
      </c>
      <c r="V22" s="46">
        <f t="shared" si="6"/>
        <v>-3</v>
      </c>
      <c r="W22" s="30">
        <f t="shared" si="9"/>
        <v>18</v>
      </c>
    </row>
    <row r="23">
      <c r="A23" s="30">
        <f t="shared" si="7"/>
        <v>19</v>
      </c>
      <c r="B23" s="43" t="s">
        <v>130</v>
      </c>
      <c r="C23" s="31">
        <v>284.0</v>
      </c>
      <c r="D23" s="31">
        <v>20.0</v>
      </c>
      <c r="E23" s="36">
        <f t="shared" si="2"/>
        <v>15.18181818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293</v>
      </c>
      <c r="O23" s="31">
        <f t="shared" si="25"/>
        <v>20</v>
      </c>
      <c r="P23" s="45" t="s">
        <v>58</v>
      </c>
      <c r="Q23" s="45" t="s">
        <v>58</v>
      </c>
      <c r="R23" s="45" t="s">
        <v>58</v>
      </c>
      <c r="S23" s="46">
        <f t="shared" si="4"/>
        <v>0</v>
      </c>
      <c r="T23" s="46"/>
      <c r="U23" s="46">
        <f t="shared" si="5"/>
        <v>13</v>
      </c>
      <c r="V23" s="46">
        <f t="shared" si="6"/>
        <v>-2</v>
      </c>
      <c r="W23" s="30">
        <f t="shared" si="9"/>
        <v>19</v>
      </c>
    </row>
    <row r="24">
      <c r="A24" s="30">
        <f t="shared" si="7"/>
        <v>20</v>
      </c>
      <c r="B24" s="43" t="s">
        <v>56</v>
      </c>
      <c r="C24" s="31">
        <v>283.0</v>
      </c>
      <c r="D24" s="31">
        <v>27.0</v>
      </c>
      <c r="E24" s="36">
        <f t="shared" si="2"/>
        <v>11.79166667</v>
      </c>
      <c r="F24" s="73">
        <v>1.0</v>
      </c>
      <c r="G24" s="74">
        <v>3.0</v>
      </c>
      <c r="H24" s="75">
        <v>0.0</v>
      </c>
      <c r="I24" s="74">
        <v>2.0</v>
      </c>
      <c r="J24" s="74">
        <v>4.0</v>
      </c>
      <c r="K24" s="74">
        <v>6.0</v>
      </c>
      <c r="L24" s="76">
        <v>12.0</v>
      </c>
      <c r="M24" s="74">
        <v>1.0</v>
      </c>
      <c r="N24" s="31">
        <f t="shared" ref="N24:O24" si="26">C24+L24</f>
        <v>295</v>
      </c>
      <c r="O24" s="31">
        <f t="shared" si="26"/>
        <v>28</v>
      </c>
      <c r="P24" s="45" t="s">
        <v>58</v>
      </c>
      <c r="Q24" s="45" t="s">
        <v>58</v>
      </c>
      <c r="R24" s="45" t="s">
        <v>58</v>
      </c>
      <c r="S24" s="46">
        <f t="shared" si="4"/>
        <v>0</v>
      </c>
      <c r="T24" s="46"/>
      <c r="U24" s="46">
        <f t="shared" si="5"/>
        <v>0</v>
      </c>
      <c r="V24" s="46">
        <f t="shared" si="6"/>
        <v>6</v>
      </c>
      <c r="W24" s="30">
        <f t="shared" si="9"/>
        <v>20</v>
      </c>
    </row>
    <row r="25">
      <c r="A25" s="30">
        <f t="shared" si="7"/>
        <v>21</v>
      </c>
      <c r="B25" s="28" t="s">
        <v>95</v>
      </c>
      <c r="C25" s="31">
        <v>283.0</v>
      </c>
      <c r="D25" s="31">
        <v>25.0</v>
      </c>
      <c r="E25" s="36">
        <f t="shared" si="2"/>
        <v>13.1875</v>
      </c>
      <c r="F25" s="73">
        <v>1.0</v>
      </c>
      <c r="G25" s="74">
        <v>3.0</v>
      </c>
      <c r="H25" s="75">
        <v>0.0</v>
      </c>
      <c r="I25" s="74">
        <v>6.0</v>
      </c>
      <c r="J25" s="74">
        <v>4.0</v>
      </c>
      <c r="K25" s="74">
        <v>4.0</v>
      </c>
      <c r="L25" s="76">
        <v>14.0</v>
      </c>
      <c r="M25" s="74">
        <v>1.0</v>
      </c>
      <c r="N25" s="31">
        <f t="shared" ref="N25:O25" si="27">C25+L25</f>
        <v>297</v>
      </c>
      <c r="O25" s="31">
        <f t="shared" si="27"/>
        <v>26</v>
      </c>
      <c r="P25" s="45" t="s">
        <v>58</v>
      </c>
      <c r="Q25" s="45" t="s">
        <v>58</v>
      </c>
      <c r="R25" s="45" t="s">
        <v>58</v>
      </c>
      <c r="S25" s="46">
        <f t="shared" si="4"/>
        <v>0</v>
      </c>
      <c r="T25" s="46"/>
      <c r="U25" s="46">
        <f t="shared" si="5"/>
        <v>8</v>
      </c>
      <c r="V25" s="46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43" t="s">
        <v>129</v>
      </c>
      <c r="C26" s="47">
        <v>283.0</v>
      </c>
      <c r="D26" s="31">
        <v>24.0</v>
      </c>
      <c r="E26" s="36">
        <f t="shared" si="2"/>
        <v>12.19047619</v>
      </c>
      <c r="F26" s="73">
        <v>1.0</v>
      </c>
      <c r="G26" s="74">
        <v>3.0</v>
      </c>
      <c r="H26" s="75">
        <v>0.0</v>
      </c>
      <c r="I26" s="74">
        <v>2.0</v>
      </c>
      <c r="J26" s="74">
        <v>6.0</v>
      </c>
      <c r="K26" s="74">
        <v>4.0</v>
      </c>
      <c r="L26" s="76">
        <v>12.0</v>
      </c>
      <c r="M26" s="74">
        <v>1.0</v>
      </c>
      <c r="N26" s="47">
        <f t="shared" ref="N26:O26" si="28">C26+L26</f>
        <v>295</v>
      </c>
      <c r="O26" s="31">
        <f t="shared" si="28"/>
        <v>25</v>
      </c>
      <c r="P26" s="45" t="s">
        <v>58</v>
      </c>
      <c r="Q26" s="45" t="s">
        <v>58</v>
      </c>
      <c r="R26" s="45" t="s">
        <v>58</v>
      </c>
      <c r="S26" s="46">
        <f t="shared" si="4"/>
        <v>0</v>
      </c>
      <c r="T26" s="46"/>
      <c r="U26" s="46">
        <f t="shared" si="5"/>
        <v>3</v>
      </c>
      <c r="V26" s="46">
        <f t="shared" si="6"/>
        <v>2</v>
      </c>
      <c r="W26" s="30">
        <f t="shared" si="9"/>
        <v>22</v>
      </c>
    </row>
    <row r="27">
      <c r="A27" s="30">
        <f t="shared" si="7"/>
        <v>23</v>
      </c>
      <c r="B27" s="43" t="s">
        <v>111</v>
      </c>
      <c r="C27" s="47">
        <v>282.0</v>
      </c>
      <c r="D27" s="31">
        <v>24.0</v>
      </c>
      <c r="E27" s="36">
        <f t="shared" si="2"/>
        <v>12.1</v>
      </c>
      <c r="F27" s="73">
        <v>1.0</v>
      </c>
      <c r="G27" s="74">
        <v>4.0</v>
      </c>
      <c r="H27" s="75">
        <v>0.0</v>
      </c>
      <c r="I27" s="74">
        <v>6.0</v>
      </c>
      <c r="J27" s="74">
        <v>4.0</v>
      </c>
      <c r="K27" s="74">
        <v>1.0</v>
      </c>
      <c r="L27" s="76">
        <v>11.0</v>
      </c>
      <c r="M27" s="74">
        <v>1.0</v>
      </c>
      <c r="N27" s="47">
        <f t="shared" ref="N27:O27" si="29">C27+L27</f>
        <v>293</v>
      </c>
      <c r="O27" s="31">
        <f t="shared" si="29"/>
        <v>25</v>
      </c>
      <c r="P27" s="45" t="s">
        <v>58</v>
      </c>
      <c r="Q27" s="45" t="s">
        <v>58</v>
      </c>
      <c r="R27" s="45" t="s">
        <v>58</v>
      </c>
      <c r="S27" s="46">
        <f t="shared" si="4"/>
        <v>1</v>
      </c>
      <c r="T27" s="46"/>
      <c r="U27" s="46">
        <f t="shared" si="5"/>
        <v>3</v>
      </c>
      <c r="V27" s="46">
        <f t="shared" si="6"/>
        <v>4</v>
      </c>
      <c r="W27" s="30">
        <f t="shared" si="9"/>
        <v>23</v>
      </c>
    </row>
    <row r="28">
      <c r="A28" s="30">
        <f t="shared" si="7"/>
        <v>24</v>
      </c>
      <c r="B28" s="28" t="s">
        <v>120</v>
      </c>
      <c r="C28" s="31">
        <v>281.0</v>
      </c>
      <c r="D28" s="31">
        <v>23.0</v>
      </c>
      <c r="E28" s="36">
        <f t="shared" si="2"/>
        <v>14.54545455</v>
      </c>
      <c r="F28" s="73">
        <v>3.0</v>
      </c>
      <c r="G28" s="74">
        <v>0.0</v>
      </c>
      <c r="H28" s="75">
        <v>9.0</v>
      </c>
      <c r="I28" s="74">
        <v>0.0</v>
      </c>
      <c r="J28" s="74">
        <v>0.0</v>
      </c>
      <c r="K28" s="74">
        <v>0.0</v>
      </c>
      <c r="L28" s="76">
        <v>9.0</v>
      </c>
      <c r="M28" s="74">
        <v>0.0</v>
      </c>
      <c r="N28" s="31">
        <f t="shared" ref="N28:O28" si="30">C28+L28</f>
        <v>290</v>
      </c>
      <c r="O28" s="31">
        <f t="shared" si="30"/>
        <v>23</v>
      </c>
      <c r="P28" s="45" t="s">
        <v>58</v>
      </c>
      <c r="Q28" s="45" t="s">
        <v>58</v>
      </c>
      <c r="R28" s="45" t="s">
        <v>58</v>
      </c>
      <c r="S28" s="46">
        <f t="shared" si="4"/>
        <v>1</v>
      </c>
      <c r="T28" s="46"/>
      <c r="U28" s="46">
        <f t="shared" si="5"/>
        <v>12</v>
      </c>
      <c r="V28" s="46">
        <f t="shared" si="6"/>
        <v>-4</v>
      </c>
      <c r="W28" s="30">
        <f t="shared" si="9"/>
        <v>24</v>
      </c>
    </row>
    <row r="29">
      <c r="A29" s="30">
        <f t="shared" si="7"/>
        <v>25</v>
      </c>
      <c r="B29" s="28" t="s">
        <v>98</v>
      </c>
      <c r="C29" s="31">
        <v>281.0</v>
      </c>
      <c r="D29" s="31">
        <v>21.0</v>
      </c>
      <c r="E29" s="36">
        <f t="shared" si="2"/>
        <v>13.35714286</v>
      </c>
      <c r="F29" s="73">
        <v>5.0</v>
      </c>
      <c r="G29" s="74">
        <v>0.0</v>
      </c>
      <c r="H29" s="75">
        <v>13.0</v>
      </c>
      <c r="I29" s="74">
        <v>0.0</v>
      </c>
      <c r="J29" s="74">
        <v>0.0</v>
      </c>
      <c r="K29" s="74">
        <v>0.0</v>
      </c>
      <c r="L29" s="76">
        <v>13.0</v>
      </c>
      <c r="M29" s="74">
        <v>0.0</v>
      </c>
      <c r="N29" s="31">
        <f t="shared" ref="N29:O29" si="31">C29+L29</f>
        <v>294</v>
      </c>
      <c r="O29" s="31">
        <f t="shared" si="31"/>
        <v>21</v>
      </c>
      <c r="P29" s="45" t="s">
        <v>58</v>
      </c>
      <c r="Q29" s="45" t="s">
        <v>58</v>
      </c>
      <c r="R29" s="45" t="s">
        <v>58</v>
      </c>
      <c r="S29" s="46">
        <f t="shared" si="4"/>
        <v>1</v>
      </c>
      <c r="T29" s="46"/>
      <c r="U29" s="46">
        <f t="shared" si="5"/>
        <v>9</v>
      </c>
      <c r="V29" s="46">
        <f t="shared" si="6"/>
        <v>4</v>
      </c>
      <c r="W29" s="30">
        <f t="shared" si="9"/>
        <v>25</v>
      </c>
    </row>
    <row r="30">
      <c r="A30" s="30">
        <f t="shared" si="7"/>
        <v>26</v>
      </c>
      <c r="B30" s="43" t="s">
        <v>90</v>
      </c>
      <c r="C30" s="31">
        <v>280.0</v>
      </c>
      <c r="D30" s="31">
        <v>23.0</v>
      </c>
      <c r="E30" s="36">
        <f t="shared" si="2"/>
        <v>12.05882353</v>
      </c>
      <c r="F30" s="73">
        <v>2.0</v>
      </c>
      <c r="G30" s="74">
        <v>4.0</v>
      </c>
      <c r="H30" s="75">
        <v>0.0</v>
      </c>
      <c r="I30" s="74">
        <v>3.0</v>
      </c>
      <c r="J30" s="74">
        <v>6.0</v>
      </c>
      <c r="K30" s="74">
        <v>1.0</v>
      </c>
      <c r="L30" s="76">
        <v>10.0</v>
      </c>
      <c r="M30" s="74">
        <v>1.0</v>
      </c>
      <c r="N30" s="31">
        <f t="shared" ref="N30:O30" si="32">C30+L30</f>
        <v>290</v>
      </c>
      <c r="O30" s="31">
        <f t="shared" si="32"/>
        <v>24</v>
      </c>
      <c r="P30" s="45" t="s">
        <v>58</v>
      </c>
      <c r="Q30" s="45" t="s">
        <v>58</v>
      </c>
      <c r="R30" s="45" t="s">
        <v>58</v>
      </c>
      <c r="S30" s="46">
        <f t="shared" si="4"/>
        <v>3</v>
      </c>
      <c r="T30" s="46"/>
      <c r="U30" s="46">
        <f t="shared" si="5"/>
        <v>4</v>
      </c>
      <c r="V30" s="46">
        <f t="shared" si="6"/>
        <v>2</v>
      </c>
      <c r="W30" s="30">
        <f t="shared" si="9"/>
        <v>26</v>
      </c>
    </row>
    <row r="31">
      <c r="A31" s="30">
        <f t="shared" si="7"/>
        <v>27</v>
      </c>
      <c r="B31" s="28" t="s">
        <v>116</v>
      </c>
      <c r="C31" s="31">
        <v>280.0</v>
      </c>
      <c r="D31" s="31">
        <v>22.0</v>
      </c>
      <c r="E31" s="36">
        <f t="shared" si="2"/>
        <v>14</v>
      </c>
      <c r="F31" s="73">
        <v>1.0</v>
      </c>
      <c r="G31" s="74">
        <v>4.0</v>
      </c>
      <c r="H31" s="75">
        <v>0.0</v>
      </c>
      <c r="I31" s="74">
        <v>6.0</v>
      </c>
      <c r="J31" s="74">
        <v>6.0</v>
      </c>
      <c r="K31" s="74">
        <v>6.0</v>
      </c>
      <c r="L31" s="76">
        <v>18.0</v>
      </c>
      <c r="M31" s="74">
        <v>3.0</v>
      </c>
      <c r="N31" s="31">
        <f t="shared" ref="N31:O31" si="33">C31+L31</f>
        <v>298</v>
      </c>
      <c r="O31" s="31">
        <f t="shared" si="33"/>
        <v>25</v>
      </c>
      <c r="P31" s="45" t="s">
        <v>58</v>
      </c>
      <c r="Q31" s="45" t="s">
        <v>58</v>
      </c>
      <c r="R31" s="45" t="s">
        <v>58</v>
      </c>
      <c r="S31" s="46">
        <f t="shared" si="4"/>
        <v>1</v>
      </c>
      <c r="T31" s="46"/>
      <c r="U31" s="46">
        <f t="shared" si="5"/>
        <v>11</v>
      </c>
      <c r="V31" s="46">
        <f t="shared" si="6"/>
        <v>-5</v>
      </c>
      <c r="W31" s="30">
        <f t="shared" si="9"/>
        <v>27</v>
      </c>
    </row>
    <row r="32">
      <c r="A32" s="30">
        <f t="shared" si="7"/>
        <v>28</v>
      </c>
      <c r="B32" s="28" t="s">
        <v>34</v>
      </c>
      <c r="C32" s="31">
        <v>278.0</v>
      </c>
      <c r="D32" s="31">
        <v>23.0</v>
      </c>
      <c r="E32" s="36">
        <f t="shared" si="2"/>
        <v>16.75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287</v>
      </c>
      <c r="O32" s="31">
        <f t="shared" si="34"/>
        <v>23</v>
      </c>
      <c r="P32" s="45" t="s">
        <v>58</v>
      </c>
      <c r="Q32" s="45" t="s">
        <v>58</v>
      </c>
      <c r="R32" s="45" t="s">
        <v>58</v>
      </c>
      <c r="S32" s="46">
        <f t="shared" si="4"/>
        <v>0</v>
      </c>
      <c r="T32" s="46"/>
      <c r="U32" s="46">
        <f t="shared" si="5"/>
        <v>16</v>
      </c>
      <c r="V32" s="46">
        <f t="shared" si="6"/>
        <v>-5</v>
      </c>
      <c r="W32" s="30">
        <f t="shared" si="9"/>
        <v>28</v>
      </c>
    </row>
    <row r="33">
      <c r="A33" s="30">
        <f t="shared" si="7"/>
        <v>29</v>
      </c>
      <c r="B33" s="28" t="s">
        <v>44</v>
      </c>
      <c r="C33" s="31">
        <v>278.0</v>
      </c>
      <c r="D33" s="31">
        <v>22.0</v>
      </c>
      <c r="E33" s="36">
        <f t="shared" si="2"/>
        <v>14.63636364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287</v>
      </c>
      <c r="O33" s="31">
        <f t="shared" si="35"/>
        <v>22</v>
      </c>
      <c r="P33" s="45" t="s">
        <v>58</v>
      </c>
      <c r="Q33" s="45" t="s">
        <v>58</v>
      </c>
      <c r="R33" s="45" t="s">
        <v>58</v>
      </c>
      <c r="S33" s="46">
        <f t="shared" si="4"/>
        <v>0</v>
      </c>
      <c r="T33" s="46"/>
      <c r="U33" s="46">
        <f t="shared" si="5"/>
        <v>13</v>
      </c>
      <c r="V33" s="46">
        <f t="shared" si="6"/>
        <v>-4</v>
      </c>
      <c r="W33" s="30">
        <f t="shared" si="9"/>
        <v>29</v>
      </c>
    </row>
    <row r="34">
      <c r="A34" s="30">
        <f t="shared" si="7"/>
        <v>30</v>
      </c>
      <c r="B34" s="43" t="s">
        <v>99</v>
      </c>
      <c r="C34" s="31">
        <v>277.0</v>
      </c>
      <c r="D34" s="31">
        <v>21.0</v>
      </c>
      <c r="E34" s="36">
        <f t="shared" si="2"/>
        <v>13.38461538</v>
      </c>
      <c r="F34" s="73">
        <v>1.0</v>
      </c>
      <c r="G34" s="74">
        <v>4.0</v>
      </c>
      <c r="H34" s="75">
        <v>0.0</v>
      </c>
      <c r="I34" s="74">
        <v>3.0</v>
      </c>
      <c r="J34" s="74">
        <v>4.0</v>
      </c>
      <c r="K34" s="74">
        <v>6.0</v>
      </c>
      <c r="L34" s="76">
        <v>13.0</v>
      </c>
      <c r="M34" s="74">
        <v>1.0</v>
      </c>
      <c r="N34" s="31">
        <f t="shared" ref="N34:O34" si="36">C34+L34</f>
        <v>290</v>
      </c>
      <c r="O34" s="31">
        <f t="shared" si="36"/>
        <v>22</v>
      </c>
      <c r="P34" s="45" t="s">
        <v>58</v>
      </c>
      <c r="Q34" s="45" t="s">
        <v>58</v>
      </c>
      <c r="R34" s="45" t="s">
        <v>58</v>
      </c>
      <c r="S34" s="46">
        <f t="shared" si="4"/>
        <v>1</v>
      </c>
      <c r="T34" s="46"/>
      <c r="U34" s="46">
        <f t="shared" si="5"/>
        <v>10</v>
      </c>
      <c r="V34" s="46">
        <f t="shared" si="6"/>
        <v>1</v>
      </c>
      <c r="W34" s="30">
        <f t="shared" si="9"/>
        <v>30</v>
      </c>
    </row>
    <row r="35">
      <c r="A35" s="30">
        <f t="shared" si="7"/>
        <v>31</v>
      </c>
      <c r="B35" s="43" t="s">
        <v>132</v>
      </c>
      <c r="C35" s="31">
        <v>276.0</v>
      </c>
      <c r="D35" s="31">
        <v>27.0</v>
      </c>
      <c r="E35" s="36">
        <f t="shared" si="2"/>
        <v>11.5</v>
      </c>
      <c r="F35" s="73">
        <v>1.0</v>
      </c>
      <c r="G35" s="74">
        <v>5.0</v>
      </c>
      <c r="H35" s="75">
        <v>0.0</v>
      </c>
      <c r="I35" s="74">
        <v>6.0</v>
      </c>
      <c r="J35" s="74">
        <v>2.0</v>
      </c>
      <c r="K35" s="74">
        <v>6.0</v>
      </c>
      <c r="L35" s="76">
        <v>14.0</v>
      </c>
      <c r="M35" s="74">
        <v>1.0</v>
      </c>
      <c r="N35" s="31">
        <f t="shared" ref="N35:O35" si="37">C35+L35</f>
        <v>290</v>
      </c>
      <c r="O35" s="31">
        <f t="shared" si="37"/>
        <v>28</v>
      </c>
      <c r="P35" s="45" t="s">
        <v>58</v>
      </c>
      <c r="Q35" s="45" t="s">
        <v>58</v>
      </c>
      <c r="R35" s="45" t="s">
        <v>58</v>
      </c>
      <c r="S35" s="46">
        <f t="shared" si="4"/>
        <v>0</v>
      </c>
      <c r="T35" s="46"/>
      <c r="U35" s="46">
        <f t="shared" si="5"/>
        <v>0</v>
      </c>
      <c r="V35" s="46">
        <f t="shared" si="6"/>
        <v>-1</v>
      </c>
      <c r="W35" s="30">
        <f t="shared" si="9"/>
        <v>31</v>
      </c>
    </row>
    <row r="36">
      <c r="A36" s="30">
        <f t="shared" si="7"/>
        <v>32</v>
      </c>
      <c r="B36" s="28" t="s">
        <v>119</v>
      </c>
      <c r="C36" s="31">
        <v>276.0</v>
      </c>
      <c r="D36" s="31">
        <v>24.0</v>
      </c>
      <c r="E36" s="36">
        <f t="shared" si="2"/>
        <v>13</v>
      </c>
      <c r="F36" s="73">
        <v>3.0</v>
      </c>
      <c r="G36" s="74">
        <v>0.0</v>
      </c>
      <c r="H36" s="75">
        <v>9.0</v>
      </c>
      <c r="I36" s="74">
        <v>0.0</v>
      </c>
      <c r="J36" s="74">
        <v>0.0</v>
      </c>
      <c r="K36" s="74">
        <v>0.0</v>
      </c>
      <c r="L36" s="76">
        <v>9.0</v>
      </c>
      <c r="M36" s="74">
        <v>0.0</v>
      </c>
      <c r="N36" s="31">
        <f t="shared" ref="N36:O36" si="38">C36+L36</f>
        <v>285</v>
      </c>
      <c r="O36" s="31">
        <f t="shared" si="38"/>
        <v>24</v>
      </c>
      <c r="P36" s="45" t="s">
        <v>58</v>
      </c>
      <c r="Q36" s="45" t="s">
        <v>58</v>
      </c>
      <c r="R36" s="45" t="s">
        <v>58</v>
      </c>
      <c r="S36" s="46">
        <f t="shared" si="4"/>
        <v>1</v>
      </c>
      <c r="T36" s="46"/>
      <c r="U36" s="46">
        <f t="shared" si="5"/>
        <v>9</v>
      </c>
      <c r="V36" s="46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43" t="s">
        <v>61</v>
      </c>
      <c r="C37" s="47">
        <v>273.0</v>
      </c>
      <c r="D37" s="31">
        <v>31.0</v>
      </c>
      <c r="E37" s="36">
        <f t="shared" si="2"/>
        <v>11.47826087</v>
      </c>
      <c r="F37" s="73">
        <v>1.0</v>
      </c>
      <c r="G37" s="74">
        <v>5.0</v>
      </c>
      <c r="H37" s="75">
        <v>0.0</v>
      </c>
      <c r="I37" s="74">
        <v>1.0</v>
      </c>
      <c r="J37" s="74">
        <v>2.0</v>
      </c>
      <c r="K37" s="74">
        <v>7.0</v>
      </c>
      <c r="L37" s="76">
        <v>10.0</v>
      </c>
      <c r="M37" s="74">
        <v>1.0</v>
      </c>
      <c r="N37" s="47">
        <f t="shared" ref="N37:O37" si="39">C37+L37</f>
        <v>283</v>
      </c>
      <c r="O37" s="31">
        <f t="shared" si="39"/>
        <v>32</v>
      </c>
      <c r="P37" s="45" t="s">
        <v>58</v>
      </c>
      <c r="Q37" s="45" t="s">
        <v>58</v>
      </c>
      <c r="R37" s="45" t="s">
        <v>58</v>
      </c>
      <c r="S37" s="46">
        <f t="shared" si="4"/>
        <v>0</v>
      </c>
      <c r="T37" s="46"/>
      <c r="U37" s="46">
        <f t="shared" si="5"/>
        <v>1</v>
      </c>
      <c r="V37" s="46">
        <f t="shared" si="6"/>
        <v>1</v>
      </c>
      <c r="W37" s="30">
        <f t="shared" si="9"/>
        <v>33</v>
      </c>
    </row>
    <row r="38">
      <c r="A38" s="30">
        <f t="shared" si="7"/>
        <v>34</v>
      </c>
      <c r="B38" s="28" t="s">
        <v>49</v>
      </c>
      <c r="C38" s="31">
        <v>272.0</v>
      </c>
      <c r="D38" s="31">
        <v>24.0</v>
      </c>
      <c r="E38" s="36">
        <f t="shared" si="2"/>
        <v>11.47619048</v>
      </c>
      <c r="F38" s="73">
        <v>1.0</v>
      </c>
      <c r="G38" s="74">
        <v>5.0</v>
      </c>
      <c r="H38" s="75">
        <v>0.0</v>
      </c>
      <c r="I38" s="74">
        <v>6.0</v>
      </c>
      <c r="J38" s="74">
        <v>6.0</v>
      </c>
      <c r="K38" s="74">
        <v>7.0</v>
      </c>
      <c r="L38" s="76">
        <v>19.0</v>
      </c>
      <c r="M38" s="74">
        <v>3.0</v>
      </c>
      <c r="N38" s="31">
        <f t="shared" ref="N38:O38" si="40">C38+L38</f>
        <v>291</v>
      </c>
      <c r="O38" s="31">
        <f t="shared" si="40"/>
        <v>27</v>
      </c>
      <c r="P38" s="45" t="s">
        <v>58</v>
      </c>
      <c r="Q38" s="45" t="s">
        <v>58</v>
      </c>
      <c r="R38" s="45" t="s">
        <v>58</v>
      </c>
      <c r="S38" s="46">
        <f t="shared" si="4"/>
        <v>1</v>
      </c>
      <c r="T38" s="46"/>
      <c r="U38" s="46">
        <f t="shared" si="5"/>
        <v>2</v>
      </c>
      <c r="V38" s="46">
        <f t="shared" si="6"/>
        <v>1</v>
      </c>
      <c r="W38" s="30">
        <f t="shared" si="9"/>
        <v>34</v>
      </c>
    </row>
    <row r="39">
      <c r="A39" s="30">
        <f t="shared" si="7"/>
        <v>35</v>
      </c>
      <c r="B39" s="43" t="s">
        <v>133</v>
      </c>
      <c r="C39" s="31">
        <v>268.0</v>
      </c>
      <c r="D39" s="31">
        <v>21.0</v>
      </c>
      <c r="E39" s="36">
        <f t="shared" si="2"/>
        <v>11.47619048</v>
      </c>
      <c r="F39" s="73">
        <v>1.0</v>
      </c>
      <c r="G39" s="74">
        <v>5.0</v>
      </c>
      <c r="H39" s="75">
        <v>0.0</v>
      </c>
      <c r="I39" s="74">
        <v>1.0</v>
      </c>
      <c r="J39" s="74">
        <v>6.0</v>
      </c>
      <c r="K39" s="74">
        <v>6.0</v>
      </c>
      <c r="L39" s="76">
        <v>13.0</v>
      </c>
      <c r="M39" s="74">
        <v>1.0</v>
      </c>
      <c r="N39" s="31">
        <f t="shared" ref="N39:O39" si="41">C39+L39</f>
        <v>281</v>
      </c>
      <c r="O39" s="31">
        <f t="shared" si="41"/>
        <v>22</v>
      </c>
      <c r="P39" s="45" t="s">
        <v>58</v>
      </c>
      <c r="Q39" s="45" t="s">
        <v>58</v>
      </c>
      <c r="R39" s="45" t="s">
        <v>58</v>
      </c>
      <c r="S39" s="46">
        <f t="shared" si="4"/>
        <v>0</v>
      </c>
      <c r="T39" s="46"/>
      <c r="U39" s="46">
        <f t="shared" si="5"/>
        <v>3</v>
      </c>
      <c r="V39" s="46">
        <f t="shared" si="6"/>
        <v>-2</v>
      </c>
      <c r="W39" s="30">
        <f t="shared" si="9"/>
        <v>35</v>
      </c>
    </row>
    <row r="40">
      <c r="A40" s="30">
        <f t="shared" si="7"/>
        <v>36</v>
      </c>
      <c r="B40" s="48" t="s">
        <v>70</v>
      </c>
      <c r="C40" s="31">
        <v>268.0</v>
      </c>
      <c r="D40" s="31">
        <v>20.0</v>
      </c>
      <c r="E40" s="36">
        <f t="shared" si="2"/>
        <v>12.2</v>
      </c>
      <c r="F40" s="73">
        <v>1.0</v>
      </c>
      <c r="G40" s="74">
        <v>6.0</v>
      </c>
      <c r="H40" s="75">
        <v>0.0</v>
      </c>
      <c r="I40" s="74">
        <v>3.0</v>
      </c>
      <c r="J40" s="74">
        <v>6.0</v>
      </c>
      <c r="K40" s="74">
        <v>3.0</v>
      </c>
      <c r="L40" s="76">
        <v>12.0</v>
      </c>
      <c r="M40" s="74">
        <v>1.0</v>
      </c>
      <c r="N40" s="31">
        <f t="shared" ref="N40:O40" si="42">C40+L40</f>
        <v>280</v>
      </c>
      <c r="O40" s="31">
        <f t="shared" si="42"/>
        <v>21</v>
      </c>
      <c r="P40" s="45" t="s">
        <v>58</v>
      </c>
      <c r="Q40" s="45" t="s">
        <v>58</v>
      </c>
      <c r="R40" s="45" t="s">
        <v>58</v>
      </c>
      <c r="S40" s="46">
        <f t="shared" si="4"/>
        <v>1</v>
      </c>
      <c r="T40" s="46"/>
      <c r="U40" s="46">
        <f t="shared" si="5"/>
        <v>8</v>
      </c>
      <c r="V40" s="46">
        <f t="shared" si="6"/>
        <v>1</v>
      </c>
      <c r="W40" s="30">
        <f t="shared" si="9"/>
        <v>36</v>
      </c>
    </row>
    <row r="41">
      <c r="A41" s="30">
        <f t="shared" si="7"/>
        <v>37</v>
      </c>
      <c r="B41" s="48" t="s">
        <v>134</v>
      </c>
      <c r="C41" s="31">
        <v>265.0</v>
      </c>
      <c r="D41" s="31">
        <v>18.0</v>
      </c>
      <c r="E41" s="36">
        <f t="shared" si="2"/>
        <v>13.09090909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274</v>
      </c>
      <c r="O41" s="31">
        <f t="shared" si="43"/>
        <v>18</v>
      </c>
      <c r="P41" s="45" t="s">
        <v>58</v>
      </c>
      <c r="Q41" s="45" t="s">
        <v>58</v>
      </c>
      <c r="R41" s="45" t="s">
        <v>58</v>
      </c>
      <c r="S41" s="46">
        <f t="shared" si="4"/>
        <v>1</v>
      </c>
      <c r="T41" s="46"/>
      <c r="U41" s="46">
        <f t="shared" si="5"/>
        <v>12</v>
      </c>
      <c r="V41" s="46">
        <f t="shared" si="6"/>
        <v>-1</v>
      </c>
      <c r="W41" s="30">
        <f t="shared" si="9"/>
        <v>37</v>
      </c>
    </row>
    <row r="42">
      <c r="A42" s="30">
        <f t="shared" si="7"/>
        <v>38</v>
      </c>
      <c r="B42" s="48" t="s">
        <v>103</v>
      </c>
      <c r="C42" s="31">
        <v>260.0</v>
      </c>
      <c r="D42" s="31">
        <v>24.0</v>
      </c>
      <c r="E42" s="36">
        <f t="shared" si="2"/>
        <v>11.2</v>
      </c>
      <c r="F42" s="73">
        <v>1.0</v>
      </c>
      <c r="G42" s="74">
        <v>6.0</v>
      </c>
      <c r="H42" s="75">
        <v>0.0</v>
      </c>
      <c r="I42" s="74">
        <v>3.0</v>
      </c>
      <c r="J42" s="74">
        <v>1.0</v>
      </c>
      <c r="K42" s="74">
        <v>6.0</v>
      </c>
      <c r="L42" s="76">
        <v>10.0</v>
      </c>
      <c r="M42" s="74">
        <v>1.0</v>
      </c>
      <c r="N42" s="31">
        <f t="shared" ref="N42:O42" si="44">C42+L42</f>
        <v>270</v>
      </c>
      <c r="O42" s="31">
        <f t="shared" si="44"/>
        <v>25</v>
      </c>
      <c r="P42" s="45" t="s">
        <v>58</v>
      </c>
      <c r="Q42" s="45" t="s">
        <v>58</v>
      </c>
      <c r="R42" s="45" t="s">
        <v>58</v>
      </c>
      <c r="S42" s="46">
        <f t="shared" si="4"/>
        <v>0</v>
      </c>
      <c r="T42" s="46"/>
      <c r="U42" s="46">
        <f t="shared" si="5"/>
        <v>4</v>
      </c>
      <c r="V42" s="46">
        <f t="shared" si="6"/>
        <v>6</v>
      </c>
      <c r="W42" s="30">
        <f t="shared" si="9"/>
        <v>38</v>
      </c>
    </row>
    <row r="43">
      <c r="A43" s="30">
        <f t="shared" si="7"/>
        <v>39</v>
      </c>
      <c r="B43" s="43" t="s">
        <v>122</v>
      </c>
      <c r="C43" s="31">
        <v>260.0</v>
      </c>
      <c r="D43" s="31">
        <v>17.0</v>
      </c>
      <c r="E43" s="36">
        <f t="shared" si="2"/>
        <v>12.66666667</v>
      </c>
      <c r="F43" s="73">
        <v>1.0</v>
      </c>
      <c r="G43" s="74">
        <v>6.0</v>
      </c>
      <c r="H43" s="75">
        <v>0.0</v>
      </c>
      <c r="I43" s="74">
        <v>6.0</v>
      </c>
      <c r="J43" s="74">
        <v>6.0</v>
      </c>
      <c r="K43" s="74">
        <v>6.0</v>
      </c>
      <c r="L43" s="76">
        <v>18.0</v>
      </c>
      <c r="M43" s="74">
        <v>3.0</v>
      </c>
      <c r="N43" s="31">
        <f t="shared" ref="N43:O43" si="45">C43+L43</f>
        <v>278</v>
      </c>
      <c r="O43" s="31">
        <f t="shared" si="45"/>
        <v>20</v>
      </c>
      <c r="P43" s="45" t="s">
        <v>58</v>
      </c>
      <c r="Q43" s="45" t="s">
        <v>58</v>
      </c>
      <c r="R43" s="45" t="s">
        <v>58</v>
      </c>
      <c r="S43" s="46">
        <f t="shared" si="4"/>
        <v>0</v>
      </c>
      <c r="T43" s="46"/>
      <c r="U43" s="46">
        <f t="shared" si="5"/>
        <v>12</v>
      </c>
      <c r="V43" s="46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43" t="s">
        <v>131</v>
      </c>
      <c r="C44" s="31">
        <v>260.0</v>
      </c>
      <c r="D44" s="31">
        <v>12.0</v>
      </c>
      <c r="E44" s="36">
        <f t="shared" si="2"/>
        <v>13</v>
      </c>
      <c r="F44" s="73">
        <v>2.0</v>
      </c>
      <c r="G44" s="74">
        <v>6.0</v>
      </c>
      <c r="H44" s="75">
        <v>0.0</v>
      </c>
      <c r="I44" s="74">
        <v>6.0</v>
      </c>
      <c r="J44" s="74">
        <v>1.0</v>
      </c>
      <c r="K44" s="74">
        <v>3.0</v>
      </c>
      <c r="L44" s="76">
        <v>10.0</v>
      </c>
      <c r="M44" s="74">
        <v>1.0</v>
      </c>
      <c r="N44" s="31">
        <f t="shared" ref="N44:O44" si="46">C44+L44</f>
        <v>270</v>
      </c>
      <c r="O44" s="31">
        <f t="shared" si="46"/>
        <v>13</v>
      </c>
      <c r="P44" s="45" t="s">
        <v>58</v>
      </c>
      <c r="Q44" s="45" t="s">
        <v>58</v>
      </c>
      <c r="R44" s="45" t="s">
        <v>58</v>
      </c>
      <c r="S44" s="46">
        <f t="shared" si="4"/>
        <v>1</v>
      </c>
      <c r="T44" s="46"/>
      <c r="U44" s="46">
        <f t="shared" si="5"/>
        <v>13</v>
      </c>
      <c r="V44" s="46">
        <f t="shared" si="6"/>
        <v>-1</v>
      </c>
      <c r="W44" s="30">
        <f t="shared" si="9"/>
        <v>40</v>
      </c>
    </row>
    <row r="45">
      <c r="A45" s="30">
        <f t="shared" si="7"/>
        <v>41</v>
      </c>
      <c r="B45" s="48" t="s">
        <v>125</v>
      </c>
      <c r="C45" s="31">
        <v>259.0</v>
      </c>
      <c r="D45" s="31">
        <v>18.0</v>
      </c>
      <c r="E45" s="36">
        <f t="shared" si="2"/>
        <v>11.04761905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7">C45+L45</f>
        <v>268</v>
      </c>
      <c r="O45" s="31">
        <f t="shared" si="47"/>
        <v>18</v>
      </c>
      <c r="P45" s="45" t="s">
        <v>58</v>
      </c>
      <c r="Q45" s="45" t="s">
        <v>58</v>
      </c>
      <c r="R45" s="45" t="s">
        <v>58</v>
      </c>
      <c r="S45" s="46">
        <f t="shared" si="4"/>
        <v>0</v>
      </c>
      <c r="T45" s="46"/>
      <c r="U45" s="46">
        <f t="shared" si="5"/>
        <v>3</v>
      </c>
      <c r="V45" s="46">
        <f t="shared" si="6"/>
        <v>-1</v>
      </c>
      <c r="W45" s="30">
        <f t="shared" si="9"/>
        <v>41</v>
      </c>
    </row>
    <row r="46">
      <c r="A46" s="30">
        <f t="shared" si="7"/>
        <v>42</v>
      </c>
      <c r="B46" s="28" t="s">
        <v>84</v>
      </c>
      <c r="C46" s="31">
        <v>257.0</v>
      </c>
      <c r="D46" s="31">
        <v>20.0</v>
      </c>
      <c r="E46" s="36">
        <f t="shared" si="2"/>
        <v>11.92857143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266</v>
      </c>
      <c r="O46" s="31">
        <f t="shared" si="48"/>
        <v>20</v>
      </c>
      <c r="P46" s="45" t="s">
        <v>58</v>
      </c>
      <c r="Q46" s="45" t="s">
        <v>58</v>
      </c>
      <c r="R46" s="45" t="s">
        <v>58</v>
      </c>
      <c r="S46" s="46">
        <f t="shared" si="4"/>
        <v>0</v>
      </c>
      <c r="T46" s="46"/>
      <c r="U46" s="46">
        <f t="shared" si="5"/>
        <v>10</v>
      </c>
      <c r="V46" s="46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28" t="s">
        <v>127</v>
      </c>
      <c r="C47" s="31">
        <v>257.0</v>
      </c>
      <c r="D47" s="31">
        <v>12.0</v>
      </c>
      <c r="E47" s="36">
        <f t="shared" si="2"/>
        <v>15.16666667</v>
      </c>
      <c r="F47" s="73">
        <v>1.0</v>
      </c>
      <c r="G47" s="74">
        <v>7.0</v>
      </c>
      <c r="H47" s="75">
        <v>0.0</v>
      </c>
      <c r="I47" s="74">
        <v>6.0</v>
      </c>
      <c r="J47" s="74">
        <v>6.0</v>
      </c>
      <c r="K47" s="74">
        <v>6.0</v>
      </c>
      <c r="L47" s="76">
        <v>18.0</v>
      </c>
      <c r="M47" s="74">
        <v>3.0</v>
      </c>
      <c r="N47" s="31">
        <f t="shared" ref="N47:O47" si="49">C47+L47</f>
        <v>275</v>
      </c>
      <c r="O47" s="31">
        <f t="shared" si="49"/>
        <v>15</v>
      </c>
      <c r="P47" s="45" t="s">
        <v>58</v>
      </c>
      <c r="Q47" s="45" t="s">
        <v>58</v>
      </c>
      <c r="R47" s="45" t="s">
        <v>58</v>
      </c>
      <c r="S47" s="46">
        <f t="shared" si="4"/>
        <v>1</v>
      </c>
      <c r="T47" s="46"/>
      <c r="U47" s="46">
        <f t="shared" si="5"/>
        <v>17</v>
      </c>
      <c r="V47" s="46">
        <f t="shared" si="6"/>
        <v>-1</v>
      </c>
      <c r="W47" s="30">
        <f t="shared" si="9"/>
        <v>43</v>
      </c>
    </row>
    <row r="48">
      <c r="A48" s="30">
        <f t="shared" si="7"/>
        <v>44</v>
      </c>
      <c r="B48" s="43" t="s">
        <v>136</v>
      </c>
      <c r="C48" s="31">
        <v>256.0</v>
      </c>
      <c r="D48" s="31">
        <v>21.0</v>
      </c>
      <c r="E48" s="36">
        <f t="shared" si="2"/>
        <v>11.22222222</v>
      </c>
      <c r="F48" s="73">
        <v>1.0</v>
      </c>
      <c r="G48" s="74">
        <v>7.0</v>
      </c>
      <c r="H48" s="75">
        <v>0.0</v>
      </c>
      <c r="I48" s="74">
        <v>2.0</v>
      </c>
      <c r="J48" s="74">
        <v>3.0</v>
      </c>
      <c r="K48" s="74">
        <v>6.0</v>
      </c>
      <c r="L48" s="76">
        <v>11.0</v>
      </c>
      <c r="M48" s="74">
        <v>1.0</v>
      </c>
      <c r="N48" s="31">
        <f t="shared" ref="N48:O48" si="50">C48+L48</f>
        <v>267</v>
      </c>
      <c r="O48" s="31">
        <f t="shared" si="50"/>
        <v>22</v>
      </c>
      <c r="P48" s="45" t="s">
        <v>58</v>
      </c>
      <c r="Q48" s="45" t="s">
        <v>58</v>
      </c>
      <c r="R48" s="45" t="s">
        <v>58</v>
      </c>
      <c r="S48" s="46">
        <f t="shared" si="4"/>
        <v>0</v>
      </c>
      <c r="T48" s="46"/>
      <c r="U48" s="46">
        <f t="shared" si="5"/>
        <v>6</v>
      </c>
      <c r="V48" s="46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28" t="s">
        <v>93</v>
      </c>
      <c r="C49" s="31">
        <v>252.0</v>
      </c>
      <c r="D49" s="31">
        <v>16.0</v>
      </c>
      <c r="E49" s="36">
        <f t="shared" si="2"/>
        <v>12.6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1">C49+L49</f>
        <v>261</v>
      </c>
      <c r="O49" s="31">
        <f t="shared" si="51"/>
        <v>16</v>
      </c>
      <c r="P49" s="45" t="s">
        <v>58</v>
      </c>
      <c r="Q49" s="45" t="s">
        <v>58</v>
      </c>
      <c r="R49" s="45" t="s">
        <v>58</v>
      </c>
      <c r="S49" s="46">
        <f t="shared" si="4"/>
        <v>0</v>
      </c>
      <c r="T49" s="46"/>
      <c r="U49" s="46">
        <f t="shared" si="5"/>
        <v>14</v>
      </c>
      <c r="V49" s="46">
        <f t="shared" si="6"/>
        <v>4</v>
      </c>
      <c r="W49" s="30">
        <f t="shared" si="9"/>
        <v>45</v>
      </c>
    </row>
    <row r="50">
      <c r="A50" s="30">
        <f t="shared" si="7"/>
        <v>46</v>
      </c>
      <c r="B50" s="28" t="s">
        <v>89</v>
      </c>
      <c r="C50" s="31">
        <v>252.0</v>
      </c>
      <c r="D50" s="31">
        <v>14.0</v>
      </c>
      <c r="E50" s="36">
        <f t="shared" si="2"/>
        <v>12.11111111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261</v>
      </c>
      <c r="O50" s="31">
        <f t="shared" si="52"/>
        <v>14</v>
      </c>
      <c r="P50" s="45" t="s">
        <v>58</v>
      </c>
      <c r="Q50" s="45" t="s">
        <v>58</v>
      </c>
      <c r="R50" s="45" t="s">
        <v>58</v>
      </c>
      <c r="S50" s="46">
        <f t="shared" si="4"/>
        <v>2</v>
      </c>
      <c r="T50" s="46"/>
      <c r="U50" s="46">
        <f t="shared" si="5"/>
        <v>13</v>
      </c>
      <c r="V50" s="46">
        <f t="shared" si="6"/>
        <v>-1</v>
      </c>
      <c r="W50" s="30">
        <f t="shared" si="9"/>
        <v>46</v>
      </c>
    </row>
    <row r="51">
      <c r="A51" s="30">
        <f t="shared" si="7"/>
        <v>47</v>
      </c>
      <c r="B51" s="43" t="s">
        <v>62</v>
      </c>
      <c r="C51" s="31">
        <v>251.0</v>
      </c>
      <c r="D51" s="31">
        <v>14.0</v>
      </c>
      <c r="E51" s="36">
        <f t="shared" si="2"/>
        <v>13.375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260</v>
      </c>
      <c r="O51" s="31">
        <f t="shared" si="53"/>
        <v>14</v>
      </c>
      <c r="P51" s="45" t="s">
        <v>58</v>
      </c>
      <c r="Q51" s="45" t="s">
        <v>58</v>
      </c>
      <c r="R51" s="45" t="s">
        <v>58</v>
      </c>
      <c r="S51" s="46">
        <f t="shared" si="4"/>
        <v>0</v>
      </c>
      <c r="T51" s="46"/>
      <c r="U51" s="46">
        <f t="shared" si="5"/>
        <v>16</v>
      </c>
      <c r="V51" s="46">
        <f t="shared" si="6"/>
        <v>-1</v>
      </c>
      <c r="W51" s="30">
        <f t="shared" si="9"/>
        <v>47</v>
      </c>
    </row>
    <row r="52">
      <c r="A52" s="30">
        <f t="shared" si="7"/>
        <v>48</v>
      </c>
      <c r="B52" s="48" t="s">
        <v>54</v>
      </c>
      <c r="C52" s="31">
        <v>250.0</v>
      </c>
      <c r="D52" s="31">
        <v>17.0</v>
      </c>
      <c r="E52" s="36">
        <f t="shared" si="2"/>
        <v>10.875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4">C52+L52</f>
        <v>259</v>
      </c>
      <c r="O52" s="31">
        <f t="shared" si="54"/>
        <v>17</v>
      </c>
      <c r="P52" s="45" t="s">
        <v>58</v>
      </c>
      <c r="Q52" s="45" t="s">
        <v>58</v>
      </c>
      <c r="R52" s="45" t="s">
        <v>58</v>
      </c>
      <c r="S52" s="46">
        <f t="shared" si="4"/>
        <v>1</v>
      </c>
      <c r="T52" s="46"/>
      <c r="U52" s="46">
        <f t="shared" si="5"/>
        <v>7</v>
      </c>
      <c r="V52" s="46">
        <f t="shared" si="6"/>
        <v>-1</v>
      </c>
      <c r="W52" s="30">
        <f t="shared" si="9"/>
        <v>48</v>
      </c>
    </row>
    <row r="53">
      <c r="A53" s="30">
        <f t="shared" si="7"/>
        <v>49</v>
      </c>
      <c r="B53" s="28" t="s">
        <v>137</v>
      </c>
      <c r="C53" s="31">
        <v>250.0</v>
      </c>
      <c r="D53" s="31">
        <v>10.0</v>
      </c>
      <c r="E53" s="36">
        <f t="shared" si="2"/>
        <v>13.33333333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5">C53+L53</f>
        <v>259</v>
      </c>
      <c r="O53" s="31">
        <f t="shared" si="55"/>
        <v>10</v>
      </c>
      <c r="P53" s="45" t="s">
        <v>58</v>
      </c>
      <c r="Q53" s="45" t="s">
        <v>58</v>
      </c>
      <c r="R53" s="45" t="s">
        <v>58</v>
      </c>
      <c r="S53" s="46">
        <f t="shared" si="4"/>
        <v>2</v>
      </c>
      <c r="T53" s="46"/>
      <c r="U53" s="46">
        <f t="shared" si="5"/>
        <v>16</v>
      </c>
      <c r="V53" s="46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43" t="s">
        <v>96</v>
      </c>
      <c r="C54" s="31">
        <v>249.0</v>
      </c>
      <c r="D54" s="31">
        <v>11.0</v>
      </c>
      <c r="E54" s="36">
        <f t="shared" si="2"/>
        <v>10.78571429</v>
      </c>
      <c r="F54" s="73">
        <v>2.0</v>
      </c>
      <c r="G54" s="74">
        <v>7.0</v>
      </c>
      <c r="H54" s="75">
        <v>0.0</v>
      </c>
      <c r="I54" s="74">
        <v>2.0</v>
      </c>
      <c r="J54" s="74">
        <v>6.0</v>
      </c>
      <c r="K54" s="74">
        <v>2.0</v>
      </c>
      <c r="L54" s="76">
        <v>10.0</v>
      </c>
      <c r="M54" s="74">
        <v>1.0</v>
      </c>
      <c r="N54" s="31">
        <f t="shared" ref="N54:O54" si="56">C54+L54</f>
        <v>259</v>
      </c>
      <c r="O54" s="31">
        <f t="shared" si="56"/>
        <v>12</v>
      </c>
      <c r="P54" s="45" t="s">
        <v>58</v>
      </c>
      <c r="Q54" s="45" t="s">
        <v>58</v>
      </c>
      <c r="R54" s="45" t="s">
        <v>58</v>
      </c>
      <c r="S54" s="46">
        <f t="shared" si="4"/>
        <v>2</v>
      </c>
      <c r="T54" s="46"/>
      <c r="U54" s="46">
        <f t="shared" si="5"/>
        <v>8</v>
      </c>
      <c r="V54" s="46">
        <f t="shared" si="6"/>
        <v>1</v>
      </c>
      <c r="W54" s="30">
        <f t="shared" si="9"/>
        <v>50</v>
      </c>
    </row>
    <row r="55">
      <c r="A55" s="30">
        <f t="shared" si="7"/>
        <v>51</v>
      </c>
      <c r="B55" s="43" t="s">
        <v>138</v>
      </c>
      <c r="C55" s="47">
        <v>243.0</v>
      </c>
      <c r="D55" s="31">
        <v>18.0</v>
      </c>
      <c r="E55" s="36">
        <f t="shared" si="2"/>
        <v>11.25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47">
        <f t="shared" ref="N55:O55" si="57">C55+L55</f>
        <v>252</v>
      </c>
      <c r="O55" s="31">
        <f t="shared" si="57"/>
        <v>18</v>
      </c>
      <c r="P55" s="45" t="s">
        <v>58</v>
      </c>
      <c r="Q55" s="45" t="s">
        <v>58</v>
      </c>
      <c r="R55" s="45" t="s">
        <v>58</v>
      </c>
      <c r="S55" s="46">
        <f t="shared" si="4"/>
        <v>0</v>
      </c>
      <c r="T55" s="46"/>
      <c r="U55" s="46">
        <f t="shared" si="5"/>
        <v>12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8" t="s">
        <v>139</v>
      </c>
      <c r="C56" s="31">
        <v>242.0</v>
      </c>
      <c r="D56" s="31">
        <v>9.0</v>
      </c>
      <c r="E56" s="36">
        <f t="shared" si="2"/>
        <v>12.66666667</v>
      </c>
      <c r="F56" s="73">
        <v>1.0</v>
      </c>
      <c r="G56" s="74">
        <v>7.0</v>
      </c>
      <c r="H56" s="75">
        <v>0.0</v>
      </c>
      <c r="I56" s="74">
        <v>6.0</v>
      </c>
      <c r="J56" s="74">
        <v>3.0</v>
      </c>
      <c r="K56" s="74">
        <v>2.0</v>
      </c>
      <c r="L56" s="76">
        <v>11.0</v>
      </c>
      <c r="M56" s="74">
        <v>1.0</v>
      </c>
      <c r="N56" s="31">
        <f t="shared" ref="N56:O56" si="58">C56+L56</f>
        <v>253</v>
      </c>
      <c r="O56" s="31">
        <f t="shared" si="58"/>
        <v>10</v>
      </c>
      <c r="P56" s="45" t="s">
        <v>58</v>
      </c>
      <c r="Q56" s="45" t="s">
        <v>58</v>
      </c>
      <c r="R56" s="45" t="s">
        <v>58</v>
      </c>
      <c r="S56" s="46">
        <f t="shared" si="4"/>
        <v>1</v>
      </c>
      <c r="T56" s="46"/>
      <c r="U56" s="46">
        <f t="shared" si="5"/>
        <v>17</v>
      </c>
      <c r="V56" s="46">
        <f t="shared" si="6"/>
        <v>2</v>
      </c>
      <c r="W56" s="30">
        <f t="shared" si="9"/>
        <v>52</v>
      </c>
    </row>
    <row r="57">
      <c r="A57" s="30">
        <f t="shared" si="7"/>
        <v>53</v>
      </c>
      <c r="B57" s="43" t="s">
        <v>140</v>
      </c>
      <c r="C57" s="31">
        <v>238.0</v>
      </c>
      <c r="D57" s="31">
        <v>11.0</v>
      </c>
      <c r="E57" s="36">
        <f t="shared" si="2"/>
        <v>11.25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247</v>
      </c>
      <c r="O57" s="31">
        <f t="shared" si="59"/>
        <v>11</v>
      </c>
      <c r="P57" s="45" t="s">
        <v>58</v>
      </c>
      <c r="Q57" s="45" t="s">
        <v>58</v>
      </c>
      <c r="R57" s="45" t="s">
        <v>58</v>
      </c>
      <c r="S57" s="46">
        <f t="shared" si="4"/>
        <v>1</v>
      </c>
      <c r="T57" s="46"/>
      <c r="U57" s="46">
        <f t="shared" si="5"/>
        <v>15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28" t="s">
        <v>102</v>
      </c>
      <c r="C58" s="31">
        <v>238.0</v>
      </c>
      <c r="D58" s="31">
        <v>9.0</v>
      </c>
      <c r="E58" s="36">
        <f t="shared" si="2"/>
        <v>15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247</v>
      </c>
      <c r="O58" s="31">
        <f t="shared" si="60"/>
        <v>9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20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228.0</v>
      </c>
      <c r="D59" s="31">
        <v>7.0</v>
      </c>
      <c r="E59" s="36">
        <f t="shared" si="2"/>
        <v>10.6</v>
      </c>
      <c r="F59" s="73">
        <v>2.0</v>
      </c>
      <c r="G59" s="74">
        <v>8.0</v>
      </c>
      <c r="H59" s="75">
        <v>0.0</v>
      </c>
      <c r="I59" s="74">
        <v>1.0</v>
      </c>
      <c r="J59" s="74">
        <v>7.0</v>
      </c>
      <c r="K59" s="74">
        <v>6.0</v>
      </c>
      <c r="L59" s="76">
        <v>14.0</v>
      </c>
      <c r="M59" s="74">
        <v>2.0</v>
      </c>
      <c r="N59" s="31">
        <f t="shared" ref="N59:O59" si="61">C59+L59</f>
        <v>242</v>
      </c>
      <c r="O59" s="31">
        <f t="shared" si="61"/>
        <v>9</v>
      </c>
      <c r="P59" s="45" t="s">
        <v>58</v>
      </c>
      <c r="Q59" s="45" t="s">
        <v>58</v>
      </c>
      <c r="R59" s="45" t="s">
        <v>58</v>
      </c>
      <c r="S59" s="46">
        <f t="shared" si="4"/>
        <v>1</v>
      </c>
      <c r="T59" s="46"/>
      <c r="U59" s="46">
        <f t="shared" si="5"/>
        <v>18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100</v>
      </c>
      <c r="C60" s="31">
        <v>226.0</v>
      </c>
      <c r="D60" s="31">
        <v>14.0</v>
      </c>
      <c r="E60" s="36">
        <f t="shared" si="2"/>
        <v>9.714285714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235</v>
      </c>
      <c r="O60" s="31">
        <f t="shared" si="62"/>
        <v>14</v>
      </c>
      <c r="P60" s="45" t="s">
        <v>58</v>
      </c>
      <c r="Q60" s="45" t="s">
        <v>58</v>
      </c>
      <c r="R60" s="45" t="s">
        <v>58</v>
      </c>
      <c r="S60" s="46">
        <f t="shared" si="4"/>
        <v>0</v>
      </c>
      <c r="T60" s="46"/>
      <c r="U60" s="46">
        <f t="shared" si="5"/>
        <v>10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43" t="s">
        <v>79</v>
      </c>
      <c r="C61" s="31">
        <v>223.0</v>
      </c>
      <c r="D61" s="31">
        <v>4.0</v>
      </c>
      <c r="E61" s="36">
        <f t="shared" si="2"/>
        <v>10.16666667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232</v>
      </c>
      <c r="O61" s="31">
        <f t="shared" si="63"/>
        <v>4</v>
      </c>
      <c r="P61" s="45" t="s">
        <v>58</v>
      </c>
      <c r="Q61" s="45" t="s">
        <v>58</v>
      </c>
      <c r="R61" s="45" t="s">
        <v>58</v>
      </c>
      <c r="S61" s="46">
        <f t="shared" si="4"/>
        <v>0</v>
      </c>
      <c r="T61" s="46"/>
      <c r="U61" s="46">
        <f t="shared" si="5"/>
        <v>18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76</v>
      </c>
      <c r="C62" s="31">
        <v>220.0</v>
      </c>
      <c r="D62" s="31">
        <v>4.0</v>
      </c>
      <c r="E62" s="36">
        <f t="shared" si="2"/>
        <v>10.33333333</v>
      </c>
      <c r="F62" s="73">
        <v>1.0</v>
      </c>
      <c r="G62" s="74">
        <v>8.0</v>
      </c>
      <c r="H62" s="75">
        <v>0.0</v>
      </c>
      <c r="I62" s="74">
        <v>6.0</v>
      </c>
      <c r="J62" s="74">
        <v>5.0</v>
      </c>
      <c r="K62" s="74">
        <v>6.0</v>
      </c>
      <c r="L62" s="76">
        <v>17.0</v>
      </c>
      <c r="M62" s="74">
        <v>2.0</v>
      </c>
      <c r="N62" s="31">
        <f t="shared" ref="N62:O62" si="64">C62+L62</f>
        <v>237</v>
      </c>
      <c r="O62" s="31">
        <f t="shared" si="64"/>
        <v>6</v>
      </c>
      <c r="P62" s="45" t="s">
        <v>58</v>
      </c>
      <c r="Q62" s="45" t="s">
        <v>58</v>
      </c>
      <c r="R62" s="45" t="s">
        <v>58</v>
      </c>
      <c r="S62" s="46">
        <f t="shared" si="4"/>
        <v>0</v>
      </c>
      <c r="T62" s="46"/>
      <c r="U62" s="46">
        <f t="shared" si="5"/>
        <v>21</v>
      </c>
      <c r="V62" s="46">
        <f t="shared" si="6"/>
        <v>1</v>
      </c>
      <c r="W62" s="30">
        <f t="shared" si="9"/>
        <v>58</v>
      </c>
    </row>
    <row r="63">
      <c r="A63" s="30">
        <f t="shared" si="7"/>
        <v>59</v>
      </c>
      <c r="B63" s="43" t="s">
        <v>118</v>
      </c>
      <c r="C63" s="47">
        <v>217.0</v>
      </c>
      <c r="D63" s="31">
        <v>8.0</v>
      </c>
      <c r="E63" s="36">
        <f t="shared" si="2"/>
        <v>9.142857143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226</v>
      </c>
      <c r="O63" s="31">
        <f t="shared" si="65"/>
        <v>8</v>
      </c>
      <c r="P63" s="45" t="s">
        <v>58</v>
      </c>
      <c r="Q63" s="45" t="s">
        <v>58</v>
      </c>
      <c r="R63" s="45" t="s">
        <v>58</v>
      </c>
      <c r="S63" s="46">
        <f t="shared" si="4"/>
        <v>0</v>
      </c>
      <c r="T63" s="46"/>
      <c r="U63" s="46">
        <f t="shared" si="5"/>
        <v>17</v>
      </c>
      <c r="V63" s="46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43" t="s">
        <v>142</v>
      </c>
      <c r="C64" s="47">
        <v>216.0</v>
      </c>
      <c r="D64" s="31">
        <v>6.0</v>
      </c>
      <c r="E64" s="36">
        <f t="shared" si="2"/>
        <v>8.2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47">
        <f t="shared" ref="N64:O64" si="66">C64+L64</f>
        <v>225</v>
      </c>
      <c r="O64" s="31">
        <f t="shared" si="66"/>
        <v>6</v>
      </c>
      <c r="P64" s="45" t="s">
        <v>58</v>
      </c>
      <c r="Q64" s="45" t="s">
        <v>58</v>
      </c>
      <c r="R64" s="45" t="s">
        <v>58</v>
      </c>
      <c r="S64" s="46">
        <f t="shared" si="4"/>
        <v>1</v>
      </c>
      <c r="T64" s="46"/>
      <c r="U64" s="46">
        <f t="shared" si="5"/>
        <v>18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3" t="s">
        <v>135</v>
      </c>
      <c r="C65" s="31">
        <v>215.0</v>
      </c>
      <c r="D65" s="31">
        <v>8.0</v>
      </c>
      <c r="E65" s="36">
        <f t="shared" si="2"/>
        <v>8.9</v>
      </c>
      <c r="F65" s="73">
        <v>1.0</v>
      </c>
      <c r="G65" s="74">
        <v>8.0</v>
      </c>
      <c r="H65" s="75">
        <v>0.0</v>
      </c>
      <c r="I65" s="74">
        <v>1.0</v>
      </c>
      <c r="J65" s="74">
        <v>5.0</v>
      </c>
      <c r="K65" s="74">
        <v>2.0</v>
      </c>
      <c r="L65" s="76">
        <v>8.0</v>
      </c>
      <c r="M65" s="74">
        <v>0.0</v>
      </c>
      <c r="N65" s="31">
        <f t="shared" ref="N65:O65" si="67">C65+L65</f>
        <v>223</v>
      </c>
      <c r="O65" s="31">
        <f t="shared" si="67"/>
        <v>8</v>
      </c>
      <c r="P65" s="45" t="s">
        <v>58</v>
      </c>
      <c r="Q65" s="45" t="s">
        <v>58</v>
      </c>
      <c r="R65" s="45" t="s">
        <v>58</v>
      </c>
      <c r="S65" s="46">
        <f t="shared" si="4"/>
        <v>0</v>
      </c>
      <c r="T65" s="46"/>
      <c r="U65" s="46">
        <f t="shared" si="5"/>
        <v>14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28" t="s">
        <v>72</v>
      </c>
      <c r="C66" s="31">
        <v>215.0</v>
      </c>
      <c r="D66" s="31">
        <v>3.0</v>
      </c>
      <c r="E66" s="36">
        <f t="shared" si="2"/>
        <v>7.333333333</v>
      </c>
      <c r="F66" s="73">
        <v>1.0</v>
      </c>
      <c r="G66" s="74">
        <v>8.0</v>
      </c>
      <c r="H66" s="75">
        <v>0.0</v>
      </c>
      <c r="I66" s="74">
        <v>6.0</v>
      </c>
      <c r="J66" s="74">
        <v>7.0</v>
      </c>
      <c r="K66" s="74">
        <v>2.0</v>
      </c>
      <c r="L66" s="76">
        <v>15.0</v>
      </c>
      <c r="M66" s="74">
        <v>2.0</v>
      </c>
      <c r="N66" s="31">
        <f t="shared" ref="N66:O66" si="68">C66+L66</f>
        <v>230</v>
      </c>
      <c r="O66" s="31">
        <f t="shared" si="68"/>
        <v>5</v>
      </c>
      <c r="P66" s="45" t="s">
        <v>58</v>
      </c>
      <c r="Q66" s="45" t="s">
        <v>58</v>
      </c>
      <c r="R66" s="45" t="s">
        <v>58</v>
      </c>
      <c r="S66" s="46">
        <f t="shared" si="4"/>
        <v>1</v>
      </c>
      <c r="T66" s="46"/>
      <c r="U66" s="46">
        <f t="shared" si="5"/>
        <v>20</v>
      </c>
      <c r="V66" s="46">
        <f t="shared" si="6"/>
        <v>1</v>
      </c>
      <c r="W66" s="30">
        <f t="shared" si="9"/>
        <v>62</v>
      </c>
    </row>
    <row r="67">
      <c r="A67" s="30">
        <f t="shared" si="7"/>
        <v>63</v>
      </c>
      <c r="B67" s="28" t="s">
        <v>80</v>
      </c>
      <c r="C67" s="31">
        <v>211.0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220</v>
      </c>
      <c r="O67" s="31">
        <f t="shared" si="69"/>
        <v>0</v>
      </c>
      <c r="P67" s="45" t="s">
        <v>58</v>
      </c>
      <c r="Q67" s="45" t="s">
        <v>58</v>
      </c>
      <c r="R67" s="45" t="s">
        <v>143</v>
      </c>
      <c r="S67" s="46">
        <f t="shared" si="4"/>
        <v>1</v>
      </c>
      <c r="T67" s="46"/>
      <c r="U67" s="46">
        <f t="shared" si="5"/>
        <v>23</v>
      </c>
      <c r="V67" s="46">
        <f t="shared" si="6"/>
        <v>-1</v>
      </c>
      <c r="W67" s="30">
        <f t="shared" si="9"/>
        <v>63</v>
      </c>
    </row>
    <row r="68">
      <c r="A68" s="30">
        <f t="shared" si="7"/>
        <v>64</v>
      </c>
      <c r="B68" s="43" t="s">
        <v>126</v>
      </c>
      <c r="C68" s="31">
        <v>207.0</v>
      </c>
      <c r="D68" s="31">
        <v>0.0</v>
      </c>
      <c r="E68" s="36">
        <f t="shared" si="2"/>
        <v>0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216</v>
      </c>
      <c r="O68" s="31">
        <f t="shared" si="70"/>
        <v>0</v>
      </c>
      <c r="P68" s="45" t="s">
        <v>58</v>
      </c>
      <c r="Q68" s="45" t="s">
        <v>58</v>
      </c>
      <c r="R68" s="45" t="s">
        <v>58</v>
      </c>
      <c r="S68" s="46">
        <f t="shared" si="4"/>
        <v>0</v>
      </c>
      <c r="T68" s="46"/>
      <c r="U68" s="46">
        <f t="shared" si="5"/>
        <v>24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187.0</v>
      </c>
      <c r="D69" s="31">
        <v>3.0</v>
      </c>
      <c r="E69" s="36">
        <f t="shared" si="2"/>
        <v>5.777777778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196</v>
      </c>
      <c r="O69" s="31">
        <f t="shared" si="71"/>
        <v>3</v>
      </c>
      <c r="P69" s="45" t="s">
        <v>58</v>
      </c>
      <c r="Q69" s="45" t="s">
        <v>58</v>
      </c>
      <c r="R69" s="45" t="s">
        <v>58</v>
      </c>
      <c r="S69" s="46">
        <f t="shared" si="4"/>
        <v>0</v>
      </c>
      <c r="T69" s="46"/>
      <c r="U69" s="46">
        <f t="shared" si="5"/>
        <v>15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64</v>
      </c>
      <c r="S74" s="80">
        <f>R74/R78</f>
        <v>0.9846153846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/>
      <c r="C76" s="83"/>
      <c r="D76" s="83"/>
      <c r="E76" s="84"/>
      <c r="F76" s="1"/>
      <c r="L76" s="77"/>
      <c r="M76" s="78"/>
      <c r="P76" s="79" t="s">
        <v>150</v>
      </c>
      <c r="Q76" s="24"/>
      <c r="R76" s="14">
        <v>1.0</v>
      </c>
    </row>
    <row r="77">
      <c r="A77" s="1"/>
      <c r="B77" s="43" t="str">
        <f>IFERROR(__xludf.DUMMYFUNCTION("QUERY(B5:M69,""Select B, L, M, G where L &gt;= 18 order by L desc,M desc"",0)"),"Jimmy Awolesi")</f>
        <v>Jimmy Awolesi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IFERROR(__xludf.DUMMYFUNCTION("""COMPUTED_VALUE"""),5.0)</f>
        <v>5</v>
      </c>
      <c r="F77" s="1"/>
      <c r="L77" s="77"/>
      <c r="M77" s="78"/>
      <c r="P77" s="79" t="s">
        <v>151</v>
      </c>
      <c r="Q77" s="24"/>
      <c r="R77" s="18">
        <f>countif(R5:R69,"")</f>
        <v>0</v>
      </c>
    </row>
    <row r="78">
      <c r="A78" s="1"/>
      <c r="B78" s="43" t="str">
        <f>IFERROR(__xludf.DUMMYFUNCTION("""COMPUTED_VALUE"""),"Pulkit Mathur")</f>
        <v>Pulkit Mathur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IFERROR(__xludf.DUMMYFUNCTION("""COMPUTED_VALUE"""),1.0)</f>
        <v>1</v>
      </c>
      <c r="F78" s="1"/>
      <c r="M78" s="85"/>
      <c r="P78" s="79" t="s">
        <v>66</v>
      </c>
      <c r="Q78" s="24"/>
      <c r="R78" s="18">
        <f>sum(R74:R77)-R76</f>
        <v>65</v>
      </c>
    </row>
    <row r="79">
      <c r="A79" s="1"/>
      <c r="B79" s="43" t="str">
        <f>IFERROR(__xludf.DUMMYFUNCTION("""COMPUTED_VALUE"""),"Sandeep Kamalon")</f>
        <v>Sandeep Kamalon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IFERROR(__xludf.DUMMYFUNCTION("""COMPUTED_VALUE"""),2.0)</f>
        <v>2</v>
      </c>
      <c r="F79" s="1"/>
    </row>
    <row r="80">
      <c r="A80" s="1"/>
      <c r="B80" s="43" t="str">
        <f>IFERROR(__xludf.DUMMYFUNCTION("""COMPUTED_VALUE"""),"Lloyd Sagar")</f>
        <v>Lloyd Sagar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IFERROR(__xludf.DUMMYFUNCTION("""COMPUTED_VALUE"""),3.0)</f>
        <v>3</v>
      </c>
      <c r="F80" s="1"/>
    </row>
    <row r="81">
      <c r="A81" s="1"/>
      <c r="B81" s="43" t="str">
        <f>IFERROR(__xludf.DUMMYFUNCTION("""COMPUTED_VALUE"""),"Lam Bui")</f>
        <v>Lam Bui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IFERROR(__xludf.DUMMYFUNCTION("""COMPUTED_VALUE"""),4.0)</f>
        <v>4</v>
      </c>
      <c r="F81" s="1"/>
      <c r="L81" s="33"/>
    </row>
    <row r="82">
      <c r="A82" s="1"/>
      <c r="B82" s="43" t="str">
        <f>IFERROR(__xludf.DUMMYFUNCTION("""COMPUTED_VALUE"""),"Jim Miao")</f>
        <v>Jim Miao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IFERROR(__xludf.DUMMYFUNCTION("""COMPUTED_VALUE"""),6.0)</f>
        <v>6</v>
      </c>
      <c r="F82" s="1"/>
      <c r="L82" s="33"/>
    </row>
    <row r="83">
      <c r="A83" s="1"/>
      <c r="B83" s="43" t="str">
        <f>IFERROR(__xludf.DUMMYFUNCTION("""COMPUTED_VALUE"""),"Matthew Huang")</f>
        <v>Matthew Huang</v>
      </c>
      <c r="C83" s="84">
        <f>IFERROR(__xludf.DUMMYFUNCTION("""COMPUTED_VALUE"""),18.0)</f>
        <v>18</v>
      </c>
      <c r="D83" s="84">
        <f>IFERROR(__xludf.DUMMYFUNCTION("""COMPUTED_VALUE"""),3.0)</f>
        <v>3</v>
      </c>
      <c r="E83" s="84">
        <f>IFERROR(__xludf.DUMMYFUNCTION("""COMPUTED_VALUE"""),7.0)</f>
        <v>7</v>
      </c>
      <c r="F83" s="1"/>
      <c r="L83" s="33"/>
    </row>
    <row r="84">
      <c r="A84" s="1"/>
      <c r="B84" s="43"/>
      <c r="C84" s="84"/>
      <c r="D84" s="84"/>
      <c r="E84" s="84"/>
      <c r="F84" s="1"/>
      <c r="L84" s="33"/>
    </row>
    <row r="85">
      <c r="A85" s="1"/>
      <c r="B85" s="43"/>
      <c r="C85" s="84"/>
      <c r="D85" s="84"/>
      <c r="E85" s="84"/>
      <c r="F85" s="1"/>
    </row>
    <row r="86">
      <c r="A86" s="1"/>
      <c r="B86" s="43"/>
      <c r="C86" s="84"/>
      <c r="D86" s="84"/>
      <c r="E86" s="84"/>
      <c r="F86" s="1"/>
    </row>
    <row r="87">
      <c r="A87" s="1"/>
      <c r="C87" s="1"/>
      <c r="D87" s="1"/>
      <c r="E87" s="1"/>
      <c r="F87" s="1"/>
    </row>
    <row r="88">
      <c r="A88" s="1"/>
      <c r="B88" s="33"/>
      <c r="C88" s="1"/>
      <c r="D88" s="1"/>
      <c r="E88" s="1"/>
      <c r="F88" s="1"/>
      <c r="G88" s="1"/>
      <c r="H88" s="1"/>
    </row>
    <row r="89">
      <c r="A89" s="1"/>
      <c r="B89" s="33"/>
      <c r="C89" s="1"/>
      <c r="D89" s="1"/>
      <c r="E89" s="1"/>
      <c r="F89" s="1"/>
    </row>
    <row r="90" ht="37.5" customHeight="1">
      <c r="A90" s="1"/>
      <c r="B90" s="86" t="s">
        <v>152</v>
      </c>
      <c r="C90" s="86" t="s">
        <v>153</v>
      </c>
      <c r="D90" s="87" t="s">
        <v>154</v>
      </c>
      <c r="E90" s="88" t="s">
        <v>155</v>
      </c>
      <c r="F90" s="89" t="s">
        <v>156</v>
      </c>
      <c r="G90" s="86" t="s">
        <v>157</v>
      </c>
      <c r="L90" s="86" t="s">
        <v>158</v>
      </c>
    </row>
    <row r="91">
      <c r="A91" s="1"/>
      <c r="B91" s="43" t="str">
        <f>IFERROR(__xludf.DUMMYFUNCTION("query(B5:V69,""select B, V order by V Desc Limit 10"")"),"Erik Hoeckmann")</f>
        <v>Erik Hoeckmann</v>
      </c>
      <c r="C91" s="84">
        <f>IFERROR(__xludf.DUMMYFUNCTION("""COMPUTED_VALUE"""),10.0)</f>
        <v>10</v>
      </c>
      <c r="D91" s="84">
        <f t="shared" ref="D91:D100" si="72">VLOOKUP(B91,indirect($AB$2&amp;"!B$5:w$70"),22, false)</f>
        <v>21</v>
      </c>
      <c r="E91" s="84">
        <f t="shared" ref="E91:E100" si="73">VLOOKUP(B91,B$5:W$69,22, false)</f>
        <v>11</v>
      </c>
      <c r="F91" s="84">
        <f t="shared" ref="F91:F100" si="74">VLOOKUP(B91,indirect($AB$2&amp;"!B$5:U$70"),11, false)</f>
        <v>19</v>
      </c>
      <c r="G91" s="84">
        <f t="shared" ref="G91:G100" si="75">VLOOKUP(B91,indirect($AB$2&amp;"!B$5:U$70"),6, false)</f>
        <v>3</v>
      </c>
      <c r="L91" s="84" t="str">
        <f t="shared" ref="L91:L100" si="76">if(D91-E91=C91,"ok","Error")</f>
        <v>ok</v>
      </c>
    </row>
    <row r="92">
      <c r="A92" s="1"/>
      <c r="B92" s="43" t="str">
        <f>IFERROR(__xludf.DUMMYFUNCTION("""COMPUTED_VALUE"""),"Herman Au")</f>
        <v>Herman Au</v>
      </c>
      <c r="C92" s="84">
        <f>IFERROR(__xludf.DUMMYFUNCTION("""COMPUTED_VALUE"""),6.0)</f>
        <v>6</v>
      </c>
      <c r="D92" s="84">
        <f t="shared" si="72"/>
        <v>18</v>
      </c>
      <c r="E92" s="84">
        <f t="shared" si="73"/>
        <v>12</v>
      </c>
      <c r="F92" s="84">
        <f t="shared" si="74"/>
        <v>14</v>
      </c>
      <c r="G92" s="84">
        <f t="shared" si="75"/>
        <v>3</v>
      </c>
      <c r="L92" s="84" t="str">
        <f t="shared" si="76"/>
        <v>ok</v>
      </c>
    </row>
    <row r="93">
      <c r="A93" s="1"/>
      <c r="B93" s="43" t="str">
        <f>IFERROR(__xludf.DUMMYFUNCTION("""COMPUTED_VALUE"""),"Alex Hou")</f>
        <v>Alex Hou</v>
      </c>
      <c r="C93" s="84">
        <f>IFERROR(__xludf.DUMMYFUNCTION("""COMPUTED_VALUE"""),6.0)</f>
        <v>6</v>
      </c>
      <c r="D93" s="84">
        <f t="shared" si="72"/>
        <v>26</v>
      </c>
      <c r="E93" s="84">
        <f t="shared" si="73"/>
        <v>20</v>
      </c>
      <c r="F93" s="84">
        <f t="shared" si="74"/>
        <v>15</v>
      </c>
      <c r="G93" s="84">
        <f t="shared" si="75"/>
        <v>3</v>
      </c>
      <c r="L93" s="84" t="str">
        <f t="shared" si="76"/>
        <v>ok</v>
      </c>
      <c r="Q93" s="90"/>
    </row>
    <row r="94">
      <c r="A94" s="1"/>
      <c r="B94" s="43" t="str">
        <f>IFERROR(__xludf.DUMMYFUNCTION("""COMPUTED_VALUE"""),"Eric Tan")</f>
        <v>Eric Tan</v>
      </c>
      <c r="C94" s="84">
        <f>IFERROR(__xludf.DUMMYFUNCTION("""COMPUTED_VALUE"""),6.0)</f>
        <v>6</v>
      </c>
      <c r="D94" s="84">
        <f t="shared" si="72"/>
        <v>44</v>
      </c>
      <c r="E94" s="84">
        <f t="shared" si="73"/>
        <v>38</v>
      </c>
      <c r="F94" s="84">
        <f t="shared" si="74"/>
        <v>15</v>
      </c>
      <c r="G94" s="84">
        <f t="shared" si="75"/>
        <v>6</v>
      </c>
      <c r="L94" s="84" t="str">
        <f t="shared" si="76"/>
        <v>ok</v>
      </c>
    </row>
    <row r="95">
      <c r="A95" s="1"/>
      <c r="B95" s="43" t="str">
        <f>IFERROR(__xludf.DUMMYFUNCTION("""COMPUTED_VALUE"""),"Jonathan Phan")</f>
        <v>Jonathan Phan</v>
      </c>
      <c r="C95" s="84">
        <f>IFERROR(__xludf.DUMMYFUNCTION("""COMPUTED_VALUE"""),4.0)</f>
        <v>4</v>
      </c>
      <c r="D95" s="84">
        <f t="shared" si="72"/>
        <v>8</v>
      </c>
      <c r="E95" s="84">
        <f t="shared" si="73"/>
        <v>4</v>
      </c>
      <c r="F95" s="84">
        <f t="shared" si="74"/>
        <v>18</v>
      </c>
      <c r="G95" s="84">
        <f t="shared" si="75"/>
        <v>2</v>
      </c>
      <c r="L95" s="84" t="str">
        <f t="shared" si="76"/>
        <v>ok</v>
      </c>
    </row>
    <row r="96">
      <c r="A96" s="1"/>
      <c r="B96" s="43" t="str">
        <f>IFERROR(__xludf.DUMMYFUNCTION("""COMPUTED_VALUE"""),"Hongyuan Wen")</f>
        <v>Hongyuan Wen</v>
      </c>
      <c r="C96" s="84">
        <f>IFERROR(__xludf.DUMMYFUNCTION("""COMPUTED_VALUE"""),4.0)</f>
        <v>4</v>
      </c>
      <c r="D96" s="84">
        <f t="shared" si="72"/>
        <v>27</v>
      </c>
      <c r="E96" s="84">
        <f t="shared" si="73"/>
        <v>23</v>
      </c>
      <c r="F96" s="84">
        <f t="shared" si="74"/>
        <v>17</v>
      </c>
      <c r="G96" s="84">
        <f t="shared" si="75"/>
        <v>4</v>
      </c>
      <c r="L96" s="84" t="str">
        <f t="shared" si="76"/>
        <v>ok</v>
      </c>
    </row>
    <row r="97">
      <c r="A97" s="1"/>
      <c r="B97" s="43" t="str">
        <f>IFERROR(__xludf.DUMMYFUNCTION("""COMPUTED_VALUE"""),"Mauricio Palacios")</f>
        <v>Mauricio Palacios</v>
      </c>
      <c r="C97" s="84">
        <f>IFERROR(__xludf.DUMMYFUNCTION("""COMPUTED_VALUE"""),4.0)</f>
        <v>4</v>
      </c>
      <c r="D97" s="84">
        <f t="shared" si="72"/>
        <v>29</v>
      </c>
      <c r="E97" s="84">
        <f t="shared" si="73"/>
        <v>25</v>
      </c>
      <c r="F97" s="84">
        <f t="shared" si="74"/>
        <v>18</v>
      </c>
      <c r="G97" s="84">
        <f t="shared" si="75"/>
        <v>4</v>
      </c>
      <c r="L97" s="84" t="str">
        <f t="shared" si="76"/>
        <v>ok</v>
      </c>
    </row>
    <row r="98">
      <c r="A98" s="1"/>
      <c r="B98" s="43" t="str">
        <f>IFERROR(__xludf.DUMMYFUNCTION("""COMPUTED_VALUE"""),"Manuel Rivera")</f>
        <v>Manuel Rivera</v>
      </c>
      <c r="C98" s="84">
        <f>IFERROR(__xludf.DUMMYFUNCTION("""COMPUTED_VALUE"""),4.0)</f>
        <v>4</v>
      </c>
      <c r="D98" s="84">
        <f t="shared" si="72"/>
        <v>49</v>
      </c>
      <c r="E98" s="84">
        <f t="shared" si="73"/>
        <v>45</v>
      </c>
      <c r="F98" s="84">
        <f t="shared" si="74"/>
        <v>14</v>
      </c>
      <c r="G98" s="84">
        <f t="shared" si="75"/>
        <v>7</v>
      </c>
      <c r="L98" s="84" t="str">
        <f t="shared" si="76"/>
        <v>ok</v>
      </c>
    </row>
    <row r="99">
      <c r="A99" s="1"/>
      <c r="B99" s="43" t="str">
        <f>IFERROR(__xludf.DUMMYFUNCTION("""COMPUTED_VALUE"""),"Tina Hanson")</f>
        <v>Tina Hanson</v>
      </c>
      <c r="C99" s="84">
        <f>IFERROR(__xludf.DUMMYFUNCTION("""COMPUTED_VALUE"""),2.0)</f>
        <v>2</v>
      </c>
      <c r="D99" s="84">
        <f t="shared" si="72"/>
        <v>24</v>
      </c>
      <c r="E99" s="84">
        <f t="shared" si="73"/>
        <v>22</v>
      </c>
      <c r="F99" s="84">
        <f t="shared" si="74"/>
        <v>14</v>
      </c>
      <c r="G99" s="84">
        <f t="shared" si="75"/>
        <v>3</v>
      </c>
      <c r="L99" s="84" t="str">
        <f t="shared" si="76"/>
        <v>ok</v>
      </c>
    </row>
    <row r="100">
      <c r="A100" s="1"/>
      <c r="B100" s="43" t="str">
        <f>IFERROR(__xludf.DUMMYFUNCTION("""COMPUTED_VALUE"""),"Chinna Ponnaganti")</f>
        <v>Chinna Ponnaganti</v>
      </c>
      <c r="C100" s="84">
        <f>IFERROR(__xludf.DUMMYFUNCTION("""COMPUTED_VALUE"""),2.0)</f>
        <v>2</v>
      </c>
      <c r="D100" s="84">
        <f t="shared" si="72"/>
        <v>28</v>
      </c>
      <c r="E100" s="84">
        <f t="shared" si="73"/>
        <v>26</v>
      </c>
      <c r="F100" s="84">
        <f t="shared" si="74"/>
        <v>17</v>
      </c>
      <c r="G100" s="84">
        <f t="shared" si="75"/>
        <v>4</v>
      </c>
      <c r="L100" s="84" t="str">
        <f t="shared" si="76"/>
        <v>ok</v>
      </c>
    </row>
    <row r="101">
      <c r="A101" s="1"/>
      <c r="B101" s="33"/>
      <c r="C101" s="1"/>
      <c r="E101" s="1"/>
      <c r="F101" s="1"/>
    </row>
    <row r="102">
      <c r="A102" s="1"/>
      <c r="B102" s="33"/>
      <c r="C102" s="1"/>
      <c r="E102" s="1"/>
      <c r="F102" s="1"/>
    </row>
    <row r="103">
      <c r="A103" s="1"/>
      <c r="B103" s="81" t="s">
        <v>159</v>
      </c>
      <c r="C103" s="81" t="s">
        <v>160</v>
      </c>
      <c r="D103" s="87" t="s">
        <v>154</v>
      </c>
      <c r="E103" s="88" t="s">
        <v>155</v>
      </c>
      <c r="F103" s="89" t="s">
        <v>156</v>
      </c>
      <c r="G103" s="86" t="s">
        <v>157</v>
      </c>
      <c r="L103" s="86" t="s">
        <v>158</v>
      </c>
    </row>
    <row r="104">
      <c r="A104" s="1"/>
      <c r="B104" s="43" t="str">
        <f>IFERROR(__xludf.DUMMYFUNCTION("query(B5:V69,""select B, V order by V asc Limit 10"")"),"Lam Bui")</f>
        <v>Lam Bui</v>
      </c>
      <c r="C104" s="84">
        <f>IFERROR(__xludf.DUMMYFUNCTION("""COMPUTED_VALUE"""),-5.0)</f>
        <v>-5</v>
      </c>
      <c r="D104" s="84">
        <f t="shared" ref="D104:D113" si="77">VLOOKUP(B104,indirect($AB$2&amp;"!B$5:w$70"),22, false)</f>
        <v>22</v>
      </c>
      <c r="E104" s="84">
        <f t="shared" ref="E104:E113" si="78">VLOOKUP(B104,B$5:W$69,22, false)</f>
        <v>27</v>
      </c>
      <c r="F104" s="84">
        <f t="shared" ref="F104:F113" si="79">VLOOKUP(B104,indirect($AB$2&amp;"!B$5:U$70"),11, false)</f>
        <v>9</v>
      </c>
      <c r="G104" s="84">
        <f t="shared" ref="G104:G113" si="80">VLOOKUP(B104,indirect($AB$2&amp;"!B$5:U$70"),6, false)</f>
        <v>0</v>
      </c>
      <c r="L104" s="84" t="str">
        <f t="shared" ref="L104:L113" si="81">if(D104-E104=C104,"ok","Error")</f>
        <v>ok</v>
      </c>
    </row>
    <row r="105">
      <c r="A105" s="1"/>
      <c r="B105" s="43" t="str">
        <f>IFERROR(__xludf.DUMMYFUNCTION("""COMPUTED_VALUE"""),"Adrian Tay")</f>
        <v>Adrian Tay</v>
      </c>
      <c r="C105" s="84">
        <f>IFERROR(__xludf.DUMMYFUNCTION("""COMPUTED_VALUE"""),-5.0)</f>
        <v>-5</v>
      </c>
      <c r="D105" s="84">
        <f t="shared" si="77"/>
        <v>23</v>
      </c>
      <c r="E105" s="84">
        <f t="shared" si="78"/>
        <v>28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IFERROR(__xludf.DUMMYFUNCTION("""COMPUTED_VALUE"""),"Tom Le")</f>
        <v>Tom Le</v>
      </c>
      <c r="C106" s="84">
        <f>IFERROR(__xludf.DUMMYFUNCTION("""COMPUTED_VALUE"""),-4.0)</f>
        <v>-4</v>
      </c>
      <c r="D106" s="84">
        <f t="shared" si="77"/>
        <v>20</v>
      </c>
      <c r="E106" s="84">
        <f t="shared" si="78"/>
        <v>24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IFERROR(__xludf.DUMMYFUNCTION("""COMPUTED_VALUE"""),"Alejandro Mejia")</f>
        <v>Alejandro Mejia</v>
      </c>
      <c r="C107" s="84">
        <f>IFERROR(__xludf.DUMMYFUNCTION("""COMPUTED_VALUE"""),-4.0)</f>
        <v>-4</v>
      </c>
      <c r="D107" s="84">
        <f t="shared" si="77"/>
        <v>25</v>
      </c>
      <c r="E107" s="84">
        <f t="shared" si="78"/>
        <v>29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IFERROR(__xludf.DUMMYFUNCTION("""COMPUTED_VALUE"""),"Basudev Thoppai Vidyasankar")</f>
        <v>Basudev Thoppai Vidyasankar</v>
      </c>
      <c r="C108" s="84">
        <f>IFERROR(__xludf.DUMMYFUNCTION("""COMPUTED_VALUE"""),-3.0)</f>
        <v>-3</v>
      </c>
      <c r="D108" s="84">
        <f t="shared" si="77"/>
        <v>3</v>
      </c>
      <c r="E108" s="84">
        <f t="shared" si="78"/>
        <v>6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IFERROR(__xludf.DUMMYFUNCTION("""COMPUTED_VALUE"""),"Oscar Bonilla")</f>
        <v>Oscar Bonilla</v>
      </c>
      <c r="C109" s="84">
        <f>IFERROR(__xludf.DUMMYFUNCTION("""COMPUTED_VALUE"""),-3.0)</f>
        <v>-3</v>
      </c>
      <c r="D109" s="84">
        <f t="shared" si="77"/>
        <v>15</v>
      </c>
      <c r="E109" s="84">
        <f t="shared" si="78"/>
        <v>18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IFERROR(__xludf.DUMMYFUNCTION("""COMPUTED_VALUE"""),"Susanta Mishra")</f>
        <v>Susanta Mishra</v>
      </c>
      <c r="C110" s="84">
        <f>IFERROR(__xludf.DUMMYFUNCTION("""COMPUTED_VALUE"""),-2.0)</f>
        <v>-2</v>
      </c>
      <c r="D110" s="84">
        <f t="shared" si="77"/>
        <v>11</v>
      </c>
      <c r="E110" s="84">
        <f t="shared" si="78"/>
        <v>13</v>
      </c>
      <c r="F110" s="84">
        <f t="shared" si="79"/>
        <v>10</v>
      </c>
      <c r="G110" s="84">
        <f t="shared" si="80"/>
        <v>2</v>
      </c>
      <c r="L110" s="84" t="str">
        <f t="shared" si="81"/>
        <v>ok</v>
      </c>
    </row>
    <row r="111">
      <c r="A111" s="1"/>
      <c r="B111" s="43" t="str">
        <f>IFERROR(__xludf.DUMMYFUNCTION("""COMPUTED_VALUE"""),"James Phan")</f>
        <v>James Phan</v>
      </c>
      <c r="C111" s="84">
        <f>IFERROR(__xludf.DUMMYFUNCTION("""COMPUTED_VALUE"""),-2.0)</f>
        <v>-2</v>
      </c>
      <c r="D111" s="84">
        <f t="shared" si="77"/>
        <v>12</v>
      </c>
      <c r="E111" s="84">
        <f t="shared" si="78"/>
        <v>14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IFERROR(__xludf.DUMMYFUNCTION("""COMPUTED_VALUE"""),"Cid Macaraeg")</f>
        <v>Cid Macaraeg</v>
      </c>
      <c r="C112" s="84">
        <f>IFERROR(__xludf.DUMMYFUNCTION("""COMPUTED_VALUE"""),-2.0)</f>
        <v>-2</v>
      </c>
      <c r="D112" s="84">
        <f t="shared" si="77"/>
        <v>13</v>
      </c>
      <c r="E112" s="84">
        <f t="shared" si="78"/>
        <v>15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43" t="str">
        <f>IFERROR(__xludf.DUMMYFUNCTION("""COMPUTED_VALUE"""),"Robert Chang")</f>
        <v>Robert Chang</v>
      </c>
      <c r="C113" s="84">
        <f>IFERROR(__xludf.DUMMYFUNCTION("""COMPUTED_VALUE"""),-2.0)</f>
        <v>-2</v>
      </c>
      <c r="D113" s="84">
        <f t="shared" si="77"/>
        <v>14</v>
      </c>
      <c r="E113" s="84">
        <f t="shared" si="78"/>
        <v>16</v>
      </c>
      <c r="F113" s="84">
        <f t="shared" si="79"/>
        <v>9</v>
      </c>
      <c r="G113" s="84">
        <f t="shared" si="80"/>
        <v>0</v>
      </c>
      <c r="L113" s="84" t="str">
        <f t="shared" si="81"/>
        <v>ok</v>
      </c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E117" s="1"/>
      <c r="F117" s="1"/>
    </row>
    <row r="118">
      <c r="A118" s="1"/>
      <c r="B118" s="33"/>
      <c r="C118" s="1"/>
      <c r="D118" s="1"/>
      <c r="E118" s="1"/>
      <c r="F118" s="1"/>
    </row>
    <row r="119">
      <c r="A119" s="91" t="s">
        <v>161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4"/>
    </row>
    <row r="120">
      <c r="A120" s="92"/>
      <c r="B120" s="81" t="s">
        <v>162</v>
      </c>
      <c r="C120" s="93" t="s">
        <v>163</v>
      </c>
      <c r="D120" s="23"/>
      <c r="E120" s="24"/>
      <c r="F120" s="93" t="s">
        <v>164</v>
      </c>
      <c r="G120" s="23"/>
      <c r="H120" s="24"/>
      <c r="I120" s="94" t="s">
        <v>165</v>
      </c>
      <c r="J120" s="23"/>
      <c r="K120" s="23"/>
      <c r="L120" s="23"/>
      <c r="M120" s="24"/>
    </row>
    <row r="121">
      <c r="A121" s="83">
        <v>1.0</v>
      </c>
      <c r="B121" s="43" t="str">
        <f>IFERROR(__xludf.DUMMYFUNCTION("query(B5:V69,""select B where R = 'X' order by B asc"")"),"Adrian Tay")</f>
        <v>Adrian Tay</v>
      </c>
      <c r="C121" s="95" t="str">
        <f>IFERROR(__xludf.DUMMYFUNCTION("query(B5:V69,""select B where R = '' order by B asc"")"),"#N/A")</f>
        <v>#N/A</v>
      </c>
      <c r="D121" s="23"/>
      <c r="E121" s="24"/>
      <c r="F121" s="95" t="str">
        <f>IFERROR(__xludf.DUMMYFUNCTION("query(B5:V69,""select B where R = 'N' order by B asc"")"),"Trinath Goteti")</f>
        <v>Trinath Goteti</v>
      </c>
      <c r="G121" s="23"/>
      <c r="H121" s="24"/>
      <c r="I121" s="95" t="s">
        <v>166</v>
      </c>
      <c r="J121" s="23"/>
      <c r="K121" s="23"/>
      <c r="L121" s="23"/>
      <c r="M121" s="24"/>
    </row>
    <row r="122">
      <c r="A122" s="83">
        <f t="shared" ref="A122:A185" si="82">A121+1</f>
        <v>2</v>
      </c>
      <c r="B122" s="43" t="str">
        <f>IFERROR(__xludf.DUMMYFUNCTION("""COMPUTED_VALUE"""),"Alejandro Mejia")</f>
        <v>Alejandro Mejia</v>
      </c>
      <c r="C122" s="95"/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3</v>
      </c>
      <c r="B123" s="43" t="str">
        <f>IFERROR(__xludf.DUMMYFUNCTION("""COMPUTED_VALUE"""),"Alex Hou")</f>
        <v>Alex Hou</v>
      </c>
      <c r="C123" s="95"/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4</v>
      </c>
      <c r="B124" s="43" t="str">
        <f>IFERROR(__xludf.DUMMYFUNCTION("""COMPUTED_VALUE"""),"Allen Zhang")</f>
        <v>Allen Zhang</v>
      </c>
      <c r="C124" s="95"/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5</v>
      </c>
      <c r="B125" s="43" t="str">
        <f>IFERROR(__xludf.DUMMYFUNCTION("""COMPUTED_VALUE"""),"Andrew Wen")</f>
        <v>Andrew Wen</v>
      </c>
      <c r="C125" s="95"/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6</v>
      </c>
      <c r="B126" s="43" t="str">
        <f>IFERROR(__xludf.DUMMYFUNCTION("""COMPUTED_VALUE"""),"Balaji Alahari")</f>
        <v>Balaji Alahari</v>
      </c>
      <c r="C126" s="95"/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7</v>
      </c>
      <c r="B127" s="43" t="str">
        <f>IFERROR(__xludf.DUMMYFUNCTION("""COMPUTED_VALUE"""),"Barathi Sundaram")</f>
        <v>Barathi Sundaram</v>
      </c>
      <c r="C127" s="95"/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8</v>
      </c>
      <c r="B128" s="43" t="str">
        <f>IFERROR(__xludf.DUMMYFUNCTION("""COMPUTED_VALUE"""),"Basudev Thoppai Vidyasankar")</f>
        <v>Basudev Thoppai Vidyasankar</v>
      </c>
      <c r="C128" s="95"/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9</v>
      </c>
      <c r="B129" s="43" t="str">
        <f>IFERROR(__xludf.DUMMYFUNCTION("""COMPUTED_VALUE"""),"Chinna Ponnaganti")</f>
        <v>Chinna Ponnaganti</v>
      </c>
      <c r="C129" s="95"/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10</v>
      </c>
      <c r="B130" s="43" t="str">
        <f>IFERROR(__xludf.DUMMYFUNCTION("""COMPUTED_VALUE"""),"Cid Macaraeg")</f>
        <v>Cid Macaraeg</v>
      </c>
      <c r="C130" s="95"/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11</v>
      </c>
      <c r="B131" s="43" t="str">
        <f>IFERROR(__xludf.DUMMYFUNCTION("""COMPUTED_VALUE"""),"Coco Yan")</f>
        <v>Coco Yan</v>
      </c>
      <c r="C131" s="95"/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12</v>
      </c>
      <c r="B132" s="43" t="str">
        <f>IFERROR(__xludf.DUMMYFUNCTION("""COMPUTED_VALUE"""),"David Shin")</f>
        <v>David Shin</v>
      </c>
      <c r="C132" s="95"/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13</v>
      </c>
      <c r="B133" s="43" t="str">
        <f>IFERROR(__xludf.DUMMYFUNCTION("""COMPUTED_VALUE"""),"Elayaraja Thangaraj ")</f>
        <v>Elayaraja Thangaraj </v>
      </c>
      <c r="C133" s="95"/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14</v>
      </c>
      <c r="B134" s="43" t="str">
        <f>IFERROR(__xludf.DUMMYFUNCTION("""COMPUTED_VALUE"""),"Eric Pan")</f>
        <v>Eric Pan</v>
      </c>
      <c r="C134" s="95"/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15</v>
      </c>
      <c r="B135" s="43" t="str">
        <f>IFERROR(__xludf.DUMMYFUNCTION("""COMPUTED_VALUE"""),"Eric Tan")</f>
        <v>Eric Tan</v>
      </c>
      <c r="C135" s="95"/>
      <c r="D135" s="23"/>
      <c r="E135" s="24"/>
      <c r="F135" s="95"/>
      <c r="G135" s="23"/>
      <c r="H135" s="24"/>
      <c r="I135" s="95"/>
      <c r="J135" s="23"/>
      <c r="K135" s="23"/>
      <c r="L135" s="23"/>
      <c r="M135" s="24"/>
    </row>
    <row r="136">
      <c r="A136" s="83">
        <f t="shared" si="82"/>
        <v>16</v>
      </c>
      <c r="B136" s="43" t="str">
        <f>IFERROR(__xludf.DUMMYFUNCTION("""COMPUTED_VALUE"""),"Erik Hoeckmann")</f>
        <v>Erik Hoeckmann</v>
      </c>
      <c r="C136" s="95"/>
      <c r="D136" s="23"/>
      <c r="E136" s="24"/>
      <c r="F136" s="95"/>
      <c r="G136" s="23"/>
      <c r="H136" s="24"/>
    </row>
    <row r="137">
      <c r="A137" s="83">
        <f t="shared" si="82"/>
        <v>17</v>
      </c>
      <c r="B137" s="43" t="str">
        <f>IFERROR(__xludf.DUMMYFUNCTION("""COMPUTED_VALUE"""),"Ethan Gu")</f>
        <v>Ethan Gu</v>
      </c>
      <c r="C137" s="95"/>
      <c r="D137" s="23"/>
      <c r="E137" s="24"/>
      <c r="F137" s="95"/>
      <c r="G137" s="23"/>
      <c r="H137" s="24"/>
    </row>
    <row r="138">
      <c r="A138" s="83">
        <f t="shared" si="82"/>
        <v>18</v>
      </c>
      <c r="B138" s="43" t="str">
        <f>IFERROR(__xludf.DUMMYFUNCTION("""COMPUTED_VALUE"""),"Frank Moon")</f>
        <v>Frank Moon</v>
      </c>
      <c r="C138" s="95"/>
      <c r="D138" s="23"/>
      <c r="E138" s="24"/>
      <c r="F138" s="95"/>
      <c r="G138" s="23"/>
      <c r="H138" s="24"/>
    </row>
    <row r="139">
      <c r="A139" s="83">
        <f t="shared" si="82"/>
        <v>19</v>
      </c>
      <c r="B139" s="43" t="str">
        <f>IFERROR(__xludf.DUMMYFUNCTION("""COMPUTED_VALUE"""),"Herman Au")</f>
        <v>Herman Au</v>
      </c>
      <c r="C139" s="95"/>
      <c r="D139" s="23"/>
      <c r="E139" s="24"/>
      <c r="F139" s="95"/>
      <c r="G139" s="23"/>
      <c r="H139" s="24"/>
    </row>
    <row r="140">
      <c r="A140" s="83">
        <f t="shared" si="82"/>
        <v>20</v>
      </c>
      <c r="B140" s="43" t="str">
        <f>IFERROR(__xludf.DUMMYFUNCTION("""COMPUTED_VALUE"""),"Hongyuan Wen")</f>
        <v>Hongyuan Wen</v>
      </c>
      <c r="C140" s="95"/>
      <c r="D140" s="23"/>
      <c r="E140" s="24"/>
      <c r="F140" s="95"/>
      <c r="G140" s="23"/>
      <c r="H140" s="24"/>
    </row>
    <row r="141">
      <c r="A141" s="83">
        <f t="shared" si="82"/>
        <v>21</v>
      </c>
      <c r="B141" s="43" t="str">
        <f>IFERROR(__xludf.DUMMYFUNCTION("""COMPUTED_VALUE"""),"Hubert J Sung")</f>
        <v>Hubert J Sung</v>
      </c>
      <c r="C141" s="95"/>
      <c r="D141" s="23"/>
      <c r="E141" s="24"/>
      <c r="F141" s="95"/>
      <c r="G141" s="23"/>
      <c r="H141" s="24"/>
    </row>
    <row r="142">
      <c r="A142" s="83">
        <f t="shared" si="82"/>
        <v>22</v>
      </c>
      <c r="B142" s="43" t="str">
        <f>IFERROR(__xludf.DUMMYFUNCTION("""COMPUTED_VALUE"""),"James Phan")</f>
        <v>James Phan</v>
      </c>
      <c r="C142" s="95"/>
      <c r="D142" s="23"/>
      <c r="E142" s="24"/>
      <c r="F142" s="95"/>
      <c r="G142" s="23"/>
      <c r="H142" s="24"/>
    </row>
    <row r="143">
      <c r="A143" s="83">
        <f t="shared" si="82"/>
        <v>23</v>
      </c>
      <c r="B143" s="43" t="str">
        <f>IFERROR(__xludf.DUMMYFUNCTION("""COMPUTED_VALUE"""),"Jim Miao")</f>
        <v>Jim Miao</v>
      </c>
      <c r="C143" s="95"/>
      <c r="D143" s="23"/>
      <c r="E143" s="24"/>
      <c r="F143" s="95"/>
      <c r="G143" s="23"/>
      <c r="H143" s="24"/>
    </row>
    <row r="144">
      <c r="A144" s="83">
        <f t="shared" si="82"/>
        <v>24</v>
      </c>
      <c r="B144" s="43" t="str">
        <f>IFERROR(__xludf.DUMMYFUNCTION("""COMPUTED_VALUE"""),"Jimmy Awolesi")</f>
        <v>Jimmy Awolesi</v>
      </c>
      <c r="C144" s="95"/>
      <c r="D144" s="23"/>
      <c r="E144" s="24"/>
      <c r="F144" s="95"/>
      <c r="G144" s="23"/>
      <c r="H144" s="24"/>
    </row>
    <row r="145">
      <c r="A145" s="83">
        <f t="shared" si="82"/>
        <v>25</v>
      </c>
      <c r="B145" s="43" t="str">
        <f>IFERROR(__xludf.DUMMYFUNCTION("""COMPUTED_VALUE"""),"Joe Luzzi")</f>
        <v>Joe Luzzi</v>
      </c>
      <c r="C145" s="95"/>
      <c r="D145" s="23"/>
      <c r="E145" s="24"/>
      <c r="F145" s="95"/>
      <c r="G145" s="23"/>
      <c r="H145" s="24"/>
    </row>
    <row r="146">
      <c r="A146" s="83">
        <f t="shared" si="82"/>
        <v>26</v>
      </c>
      <c r="B146" s="43" t="str">
        <f>IFERROR(__xludf.DUMMYFUNCTION("""COMPUTED_VALUE"""),"Jonathan Phan")</f>
        <v>Jonathan Phan</v>
      </c>
      <c r="C146" s="95"/>
      <c r="D146" s="23"/>
      <c r="E146" s="24"/>
      <c r="F146" s="95"/>
      <c r="G146" s="23"/>
      <c r="H146" s="24"/>
    </row>
    <row r="147">
      <c r="A147" s="83">
        <f t="shared" si="82"/>
        <v>27</v>
      </c>
      <c r="B147" s="43" t="str">
        <f>IFERROR(__xludf.DUMMYFUNCTION("""COMPUTED_VALUE"""),"Joyce Zhu")</f>
        <v>Joyce Zhu</v>
      </c>
      <c r="C147" s="95"/>
      <c r="D147" s="23"/>
      <c r="E147" s="24"/>
      <c r="F147" s="95"/>
      <c r="G147" s="23"/>
      <c r="H147" s="24"/>
    </row>
    <row r="148">
      <c r="A148" s="83">
        <f t="shared" si="82"/>
        <v>28</v>
      </c>
      <c r="B148" s="43" t="str">
        <f>IFERROR(__xludf.DUMMYFUNCTION("""COMPUTED_VALUE"""),"Kumar Palakeel")</f>
        <v>Kumar Palakeel</v>
      </c>
      <c r="C148" s="95"/>
      <c r="D148" s="23"/>
      <c r="E148" s="24"/>
      <c r="F148" s="95"/>
      <c r="G148" s="23"/>
      <c r="H148" s="24"/>
    </row>
    <row r="149">
      <c r="A149" s="83">
        <f t="shared" si="82"/>
        <v>29</v>
      </c>
      <c r="B149" s="43" t="str">
        <f>IFERROR(__xludf.DUMMYFUNCTION("""COMPUTED_VALUE"""),"Lam Bui")</f>
        <v>Lam Bui</v>
      </c>
      <c r="C149" s="95"/>
      <c r="D149" s="23"/>
      <c r="E149" s="24"/>
      <c r="F149" s="95"/>
      <c r="G149" s="23"/>
      <c r="H149" s="24"/>
    </row>
    <row r="150">
      <c r="A150" s="83">
        <f t="shared" si="82"/>
        <v>30</v>
      </c>
      <c r="B150" s="43" t="str">
        <f>IFERROR(__xludf.DUMMYFUNCTION("""COMPUTED_VALUE"""),"Leigh-Anh Nguyen")</f>
        <v>Leigh-Anh Nguyen</v>
      </c>
      <c r="C150" s="95"/>
      <c r="D150" s="23"/>
      <c r="E150" s="24"/>
      <c r="F150" s="95"/>
      <c r="G150" s="23"/>
      <c r="H150" s="24"/>
    </row>
    <row r="151">
      <c r="A151" s="83">
        <f t="shared" si="82"/>
        <v>31</v>
      </c>
      <c r="B151" s="43" t="str">
        <f>IFERROR(__xludf.DUMMYFUNCTION("""COMPUTED_VALUE"""),"Lloyd Sagar")</f>
        <v>Lloyd Sagar</v>
      </c>
      <c r="C151" s="95"/>
      <c r="D151" s="23"/>
      <c r="E151" s="24"/>
      <c r="F151" s="95"/>
      <c r="G151" s="23"/>
      <c r="H151" s="24"/>
    </row>
    <row r="152">
      <c r="A152" s="83">
        <f t="shared" si="82"/>
        <v>32</v>
      </c>
      <c r="B152" s="43" t="str">
        <f>IFERROR(__xludf.DUMMYFUNCTION("""COMPUTED_VALUE"""),"Luis Hsu")</f>
        <v>Luis Hsu</v>
      </c>
      <c r="C152" s="95"/>
      <c r="D152" s="23"/>
      <c r="E152" s="24"/>
      <c r="F152" s="95"/>
      <c r="G152" s="23"/>
      <c r="H152" s="24"/>
    </row>
    <row r="153">
      <c r="A153" s="83">
        <f t="shared" si="82"/>
        <v>33</v>
      </c>
      <c r="B153" s="43" t="str">
        <f>IFERROR(__xludf.DUMMYFUNCTION("""COMPUTED_VALUE"""),"Manish Anand")</f>
        <v>Manish Anand</v>
      </c>
      <c r="C153" s="95"/>
      <c r="D153" s="23"/>
      <c r="E153" s="24"/>
      <c r="F153" s="95"/>
      <c r="G153" s="23"/>
      <c r="H153" s="24"/>
    </row>
    <row r="154">
      <c r="A154" s="83">
        <f t="shared" si="82"/>
        <v>34</v>
      </c>
      <c r="B154" s="43" t="str">
        <f>IFERROR(__xludf.DUMMYFUNCTION("""COMPUTED_VALUE"""),"Manuel Rivera")</f>
        <v>Manuel Rivera</v>
      </c>
      <c r="C154" s="95"/>
      <c r="D154" s="23"/>
      <c r="E154" s="24"/>
      <c r="F154" s="95"/>
      <c r="G154" s="23"/>
      <c r="H154" s="24"/>
    </row>
    <row r="155">
      <c r="A155" s="83">
        <f t="shared" si="82"/>
        <v>35</v>
      </c>
      <c r="B155" s="43" t="str">
        <f>IFERROR(__xludf.DUMMYFUNCTION("""COMPUTED_VALUE"""),"Matthew Huang")</f>
        <v>Matthew Huang</v>
      </c>
      <c r="C155" s="95"/>
      <c r="D155" s="23"/>
      <c r="E155" s="24"/>
      <c r="F155" s="95"/>
      <c r="G155" s="23"/>
      <c r="H155" s="24"/>
    </row>
    <row r="156">
      <c r="A156" s="83">
        <f t="shared" si="82"/>
        <v>36</v>
      </c>
      <c r="B156" s="43" t="str">
        <f>IFERROR(__xludf.DUMMYFUNCTION("""COMPUTED_VALUE"""),"Mauricio Palacios")</f>
        <v>Mauricio Palacios</v>
      </c>
      <c r="C156" s="95"/>
      <c r="D156" s="23"/>
      <c r="E156" s="24"/>
      <c r="F156" s="95"/>
      <c r="G156" s="23"/>
      <c r="H156" s="24"/>
    </row>
    <row r="157">
      <c r="A157" s="83">
        <f t="shared" si="82"/>
        <v>37</v>
      </c>
      <c r="B157" s="43" t="str">
        <f>IFERROR(__xludf.DUMMYFUNCTION("""COMPUTED_VALUE"""),"Naveen Raj")</f>
        <v>Naveen Raj</v>
      </c>
      <c r="C157" s="95"/>
      <c r="D157" s="23"/>
      <c r="E157" s="24"/>
      <c r="F157" s="95"/>
      <c r="G157" s="23"/>
      <c r="H157" s="24"/>
    </row>
    <row r="158">
      <c r="A158" s="83">
        <f t="shared" si="82"/>
        <v>38</v>
      </c>
      <c r="B158" s="43" t="str">
        <f>IFERROR(__xludf.DUMMYFUNCTION("""COMPUTED_VALUE"""),"Nicole Ni")</f>
        <v>Nicole Ni</v>
      </c>
      <c r="C158" s="95"/>
      <c r="D158" s="23"/>
      <c r="E158" s="24"/>
      <c r="F158" s="95"/>
      <c r="G158" s="23"/>
      <c r="H158" s="24"/>
    </row>
    <row r="159">
      <c r="A159" s="83">
        <f t="shared" si="82"/>
        <v>39</v>
      </c>
      <c r="B159" s="43" t="str">
        <f>IFERROR(__xludf.DUMMYFUNCTION("""COMPUTED_VALUE"""),"Oscar Bonilla")</f>
        <v>Oscar Bonilla</v>
      </c>
      <c r="C159" s="95"/>
      <c r="D159" s="23"/>
      <c r="E159" s="24"/>
      <c r="F159" s="95"/>
      <c r="G159" s="23"/>
      <c r="H159" s="24"/>
    </row>
    <row r="160">
      <c r="A160" s="83">
        <f t="shared" si="82"/>
        <v>40</v>
      </c>
      <c r="B160" s="43" t="str">
        <f>IFERROR(__xludf.DUMMYFUNCTION("""COMPUTED_VALUE"""),"Pavan Akkimsetty")</f>
        <v>Pavan Akkimsetty</v>
      </c>
      <c r="C160" s="95"/>
      <c r="D160" s="23"/>
      <c r="E160" s="24"/>
      <c r="F160" s="95"/>
      <c r="G160" s="23"/>
      <c r="H160" s="24"/>
    </row>
    <row r="161">
      <c r="A161" s="83">
        <f t="shared" si="82"/>
        <v>41</v>
      </c>
      <c r="B161" s="43" t="str">
        <f>IFERROR(__xludf.DUMMYFUNCTION("""COMPUTED_VALUE"""),"Pulkit Mathur")</f>
        <v>Pulkit Mathur</v>
      </c>
      <c r="C161" s="95"/>
      <c r="D161" s="23"/>
      <c r="E161" s="24"/>
      <c r="F161" s="95"/>
      <c r="G161" s="23"/>
      <c r="H161" s="24"/>
    </row>
    <row r="162">
      <c r="A162" s="83">
        <f t="shared" si="82"/>
        <v>42</v>
      </c>
      <c r="B162" s="43" t="str">
        <f>IFERROR(__xludf.DUMMYFUNCTION("""COMPUTED_VALUE"""),"Rajasekar Ramasamy")</f>
        <v>Rajasekar Ramasamy</v>
      </c>
      <c r="C162" s="95"/>
      <c r="D162" s="23"/>
      <c r="E162" s="24"/>
      <c r="F162" s="95"/>
      <c r="G162" s="23"/>
      <c r="H162" s="24"/>
    </row>
    <row r="163">
      <c r="A163" s="83">
        <f t="shared" si="82"/>
        <v>43</v>
      </c>
      <c r="B163" s="43" t="str">
        <f>IFERROR(__xludf.DUMMYFUNCTION("""COMPUTED_VALUE"""),"Rajesh Dorairaj")</f>
        <v>Rajesh Dorairaj</v>
      </c>
      <c r="C163" s="95"/>
      <c r="D163" s="23"/>
      <c r="E163" s="24"/>
      <c r="F163" s="95"/>
      <c r="G163" s="23"/>
      <c r="H163" s="24"/>
    </row>
    <row r="164">
      <c r="A164" s="83">
        <f t="shared" si="82"/>
        <v>44</v>
      </c>
      <c r="B164" s="43" t="str">
        <f>IFERROR(__xludf.DUMMYFUNCTION("""COMPUTED_VALUE"""),"Ramesh Bandaru")</f>
        <v>Ramesh Bandaru</v>
      </c>
      <c r="C164" s="95"/>
      <c r="D164" s="23"/>
      <c r="E164" s="24"/>
      <c r="F164" s="95"/>
      <c r="G164" s="23"/>
      <c r="H164" s="24"/>
    </row>
    <row r="165">
      <c r="A165" s="83">
        <f t="shared" si="82"/>
        <v>45</v>
      </c>
      <c r="B165" s="43" t="str">
        <f>IFERROR(__xludf.DUMMYFUNCTION("""COMPUTED_VALUE"""),"Robert Chang")</f>
        <v>Robert Chang</v>
      </c>
      <c r="C165" s="95"/>
      <c r="D165" s="23"/>
      <c r="E165" s="24"/>
      <c r="F165" s="95"/>
      <c r="G165" s="23"/>
      <c r="H165" s="24"/>
    </row>
    <row r="166">
      <c r="A166" s="83">
        <f t="shared" si="82"/>
        <v>46</v>
      </c>
      <c r="B166" s="43" t="str">
        <f>IFERROR(__xludf.DUMMYFUNCTION("""COMPUTED_VALUE"""),"Sandeep Kamalon")</f>
        <v>Sandeep Kamalon</v>
      </c>
      <c r="C166" s="95"/>
      <c r="D166" s="23"/>
      <c r="E166" s="24"/>
      <c r="F166" s="95"/>
      <c r="G166" s="23"/>
      <c r="H166" s="24"/>
    </row>
    <row r="167">
      <c r="A167" s="83">
        <f t="shared" si="82"/>
        <v>47</v>
      </c>
      <c r="B167" s="43" t="str">
        <f>IFERROR(__xludf.DUMMYFUNCTION("""COMPUTED_VALUE"""),"Sandy Weyant")</f>
        <v>Sandy Weyant</v>
      </c>
      <c r="C167" s="95"/>
      <c r="D167" s="23"/>
      <c r="E167" s="24"/>
      <c r="F167" s="95"/>
      <c r="G167" s="23"/>
      <c r="H167" s="24"/>
    </row>
    <row r="168">
      <c r="A168" s="83">
        <f t="shared" si="82"/>
        <v>48</v>
      </c>
      <c r="B168" s="43" t="str">
        <f>IFERROR(__xludf.DUMMYFUNCTION("""COMPUTED_VALUE"""),"Sanjaye Elayattu")</f>
        <v>Sanjaye Elayattu</v>
      </c>
      <c r="C168" s="95"/>
      <c r="D168" s="23"/>
      <c r="E168" s="24"/>
      <c r="F168" s="95"/>
      <c r="G168" s="23"/>
      <c r="H168" s="24"/>
    </row>
    <row r="169">
      <c r="A169" s="83">
        <f t="shared" si="82"/>
        <v>49</v>
      </c>
      <c r="B169" s="43" t="str">
        <f>IFERROR(__xludf.DUMMYFUNCTION("""COMPUTED_VALUE"""),"Santosh Sundaresan ")</f>
        <v>Santosh Sundaresan </v>
      </c>
      <c r="C169" s="95"/>
      <c r="D169" s="23"/>
      <c r="E169" s="24"/>
      <c r="F169" s="95"/>
      <c r="G169" s="23"/>
      <c r="H169" s="24"/>
    </row>
    <row r="170">
      <c r="A170" s="83">
        <f t="shared" si="82"/>
        <v>50</v>
      </c>
      <c r="B170" s="43" t="str">
        <f>IFERROR(__xludf.DUMMYFUNCTION("""COMPUTED_VALUE"""),"Saravanan Veerapandian")</f>
        <v>Saravanan Veerapandian</v>
      </c>
      <c r="C170" s="95"/>
      <c r="D170" s="23"/>
      <c r="E170" s="24"/>
      <c r="F170" s="95"/>
      <c r="G170" s="23"/>
      <c r="H170" s="24"/>
    </row>
    <row r="171">
      <c r="A171" s="83">
        <f t="shared" si="82"/>
        <v>51</v>
      </c>
      <c r="B171" s="43" t="str">
        <f>IFERROR(__xludf.DUMMYFUNCTION("""COMPUTED_VALUE"""),"Scott Li")</f>
        <v>Scott Li</v>
      </c>
      <c r="C171" s="95"/>
      <c r="D171" s="23"/>
      <c r="E171" s="24"/>
      <c r="F171" s="95"/>
      <c r="G171" s="23"/>
      <c r="H171" s="24"/>
    </row>
    <row r="172">
      <c r="A172" s="83">
        <f t="shared" si="82"/>
        <v>52</v>
      </c>
      <c r="B172" s="43" t="str">
        <f>IFERROR(__xludf.DUMMYFUNCTION("""COMPUTED_VALUE"""),"Sean Chang")</f>
        <v>Sean Chang</v>
      </c>
      <c r="C172" s="95"/>
      <c r="D172" s="23"/>
      <c r="E172" s="24"/>
      <c r="F172" s="95"/>
      <c r="G172" s="23"/>
      <c r="H172" s="24"/>
    </row>
    <row r="173">
      <c r="A173" s="83">
        <f t="shared" si="82"/>
        <v>53</v>
      </c>
      <c r="B173" s="43" t="str">
        <f>IFERROR(__xludf.DUMMYFUNCTION("""COMPUTED_VALUE"""),"Suleman Alidina")</f>
        <v>Suleman Alidina</v>
      </c>
      <c r="C173" s="95"/>
      <c r="D173" s="23"/>
      <c r="E173" s="24"/>
      <c r="F173" s="95"/>
      <c r="G173" s="23"/>
      <c r="H173" s="24"/>
    </row>
    <row r="174">
      <c r="A174" s="83">
        <f t="shared" si="82"/>
        <v>54</v>
      </c>
      <c r="B174" s="43" t="str">
        <f>IFERROR(__xludf.DUMMYFUNCTION("""COMPUTED_VALUE"""),"Susanta Mishra")</f>
        <v>Susanta Mishra</v>
      </c>
      <c r="C174" s="95"/>
      <c r="D174" s="23"/>
      <c r="E174" s="24"/>
      <c r="F174" s="95"/>
      <c r="G174" s="23"/>
      <c r="H174" s="24"/>
    </row>
    <row r="175">
      <c r="A175" s="83">
        <f t="shared" si="82"/>
        <v>55</v>
      </c>
      <c r="B175" s="43" t="str">
        <f>IFERROR(__xludf.DUMMYFUNCTION("""COMPUTED_VALUE"""),"Ted Shen")</f>
        <v>Ted Shen</v>
      </c>
      <c r="C175" s="95"/>
      <c r="D175" s="23"/>
      <c r="E175" s="24"/>
      <c r="F175" s="95"/>
      <c r="G175" s="23"/>
      <c r="H175" s="24"/>
    </row>
    <row r="176">
      <c r="A176" s="83">
        <f t="shared" si="82"/>
        <v>56</v>
      </c>
      <c r="B176" s="43" t="str">
        <f>IFERROR(__xludf.DUMMYFUNCTION("""COMPUTED_VALUE"""),"Tina Hanson")</f>
        <v>Tina Hanson</v>
      </c>
      <c r="C176" s="95"/>
      <c r="D176" s="23"/>
      <c r="E176" s="24"/>
      <c r="F176" s="95"/>
      <c r="G176" s="23"/>
      <c r="H176" s="24"/>
    </row>
    <row r="177">
      <c r="A177" s="83">
        <f t="shared" si="82"/>
        <v>57</v>
      </c>
      <c r="B177" s="43" t="str">
        <f>IFERROR(__xludf.DUMMYFUNCTION("""COMPUTED_VALUE"""),"Tom Le")</f>
        <v>Tom Le</v>
      </c>
      <c r="C177" s="95"/>
      <c r="D177" s="23"/>
      <c r="E177" s="24"/>
      <c r="F177" s="95"/>
      <c r="G177" s="23"/>
      <c r="H177" s="24"/>
    </row>
    <row r="178">
      <c r="A178" s="83">
        <f t="shared" si="82"/>
        <v>58</v>
      </c>
      <c r="B178" s="43" t="str">
        <f>IFERROR(__xludf.DUMMYFUNCTION("""COMPUTED_VALUE"""),"Trish Newlin")</f>
        <v>Trish Newlin</v>
      </c>
      <c r="C178" s="95"/>
      <c r="D178" s="23"/>
      <c r="E178" s="24"/>
      <c r="F178" s="95"/>
      <c r="G178" s="23"/>
      <c r="H178" s="24"/>
    </row>
    <row r="179">
      <c r="A179" s="83">
        <f t="shared" si="82"/>
        <v>59</v>
      </c>
      <c r="B179" s="43" t="str">
        <f>IFERROR(__xludf.DUMMYFUNCTION("""COMPUTED_VALUE"""),"Troy Wong")</f>
        <v>Troy Wong</v>
      </c>
      <c r="C179" s="95"/>
      <c r="D179" s="23"/>
      <c r="E179" s="24"/>
      <c r="F179" s="95"/>
      <c r="G179" s="23"/>
      <c r="H179" s="24"/>
    </row>
    <row r="180">
      <c r="A180" s="83">
        <f t="shared" si="82"/>
        <v>60</v>
      </c>
      <c r="B180" s="43" t="str">
        <f>IFERROR(__xludf.DUMMYFUNCTION("""COMPUTED_VALUE"""),"Tyler Leong")</f>
        <v>Tyler Leong</v>
      </c>
      <c r="C180" s="95"/>
      <c r="D180" s="23"/>
      <c r="E180" s="24"/>
      <c r="F180" s="95"/>
      <c r="G180" s="23"/>
      <c r="H180" s="24"/>
    </row>
    <row r="181">
      <c r="A181" s="83">
        <f t="shared" si="82"/>
        <v>61</v>
      </c>
      <c r="B181" s="43" t="str">
        <f>IFERROR(__xludf.DUMMYFUNCTION("""COMPUTED_VALUE"""),"Vicki Martinet")</f>
        <v>Vicki Martinet</v>
      </c>
      <c r="C181" s="95"/>
      <c r="D181" s="23"/>
      <c r="E181" s="24"/>
      <c r="F181" s="95"/>
      <c r="G181" s="23"/>
      <c r="H181" s="24"/>
    </row>
    <row r="182">
      <c r="A182" s="83">
        <f t="shared" si="82"/>
        <v>62</v>
      </c>
      <c r="B182" s="43" t="str">
        <f>IFERROR(__xludf.DUMMYFUNCTION("""COMPUTED_VALUE"""),"Vinaya Kajla")</f>
        <v>Vinaya Kajla</v>
      </c>
      <c r="C182" s="95"/>
      <c r="D182" s="23"/>
      <c r="E182" s="24"/>
      <c r="F182" s="95"/>
      <c r="G182" s="23"/>
      <c r="H182" s="24"/>
    </row>
    <row r="183">
      <c r="A183" s="83">
        <f t="shared" si="82"/>
        <v>63</v>
      </c>
      <c r="B183" s="43" t="str">
        <f>IFERROR(__xludf.DUMMYFUNCTION("""COMPUTED_VALUE"""),"Vishnu Amarnath")</f>
        <v>Vishnu Amarnath</v>
      </c>
      <c r="C183" s="95"/>
      <c r="D183" s="23"/>
      <c r="E183" s="24"/>
      <c r="F183" s="95"/>
      <c r="G183" s="23"/>
      <c r="H183" s="24"/>
    </row>
    <row r="184">
      <c r="A184" s="83">
        <f t="shared" si="82"/>
        <v>64</v>
      </c>
      <c r="B184" s="43" t="str">
        <f>IFERROR(__xludf.DUMMYFUNCTION("""COMPUTED_VALUE"""),"Wayne Liu")</f>
        <v>Wayne Liu</v>
      </c>
      <c r="C184" s="95"/>
      <c r="D184" s="23"/>
      <c r="E184" s="24"/>
      <c r="F184" s="95"/>
      <c r="G184" s="23"/>
      <c r="H184" s="24"/>
    </row>
    <row r="185">
      <c r="A185" s="83">
        <f t="shared" si="82"/>
        <v>65</v>
      </c>
      <c r="B185" s="43"/>
      <c r="C185" s="95"/>
      <c r="D185" s="23"/>
      <c r="E185" s="24"/>
      <c r="F185" s="95"/>
      <c r="G185" s="23"/>
      <c r="H185" s="24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45829.0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23.0</v>
      </c>
      <c r="E2" s="1"/>
      <c r="F2" s="1"/>
      <c r="R2" s="19"/>
      <c r="AB2" s="20" t="str">
        <f>text(C1-7,"mm/dd/yy")</f>
        <v>06/14/25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353.0</v>
      </c>
      <c r="D5" s="31">
        <v>45.0</v>
      </c>
      <c r="E5" s="36">
        <f t="shared" ref="E5:E69" si="2">if(($D$2-U5-S5)&lt;&gt;0,(C5-(U5*9)-(S5*13))/($D$2-U5-S5),0)</f>
        <v>15.45454545</v>
      </c>
      <c r="F5" s="73">
        <v>2.0</v>
      </c>
      <c r="G5" s="74">
        <v>1.0</v>
      </c>
      <c r="H5" s="75">
        <v>0.0</v>
      </c>
      <c r="I5" s="74">
        <v>7.0</v>
      </c>
      <c r="J5" s="74">
        <v>5.0</v>
      </c>
      <c r="K5" s="74">
        <v>6.0</v>
      </c>
      <c r="L5" s="76">
        <v>18.0</v>
      </c>
      <c r="M5" s="74">
        <v>2.0</v>
      </c>
      <c r="N5" s="31">
        <f t="shared" ref="N5:O5" si="1">C5+L5</f>
        <v>371</v>
      </c>
      <c r="O5" s="31">
        <f t="shared" si="1"/>
        <v>47</v>
      </c>
      <c r="P5" s="45" t="s">
        <v>58</v>
      </c>
      <c r="Q5" s="45" t="s">
        <v>58</v>
      </c>
      <c r="R5" s="45" t="s">
        <v>58</v>
      </c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43" t="s">
        <v>64</v>
      </c>
      <c r="C6" s="47">
        <v>291.0</v>
      </c>
      <c r="D6" s="31">
        <v>27.0</v>
      </c>
      <c r="E6" s="36">
        <f t="shared" si="2"/>
        <v>13.42105263</v>
      </c>
      <c r="F6" s="73">
        <v>1.0</v>
      </c>
      <c r="G6" s="74">
        <v>1.0</v>
      </c>
      <c r="H6" s="75">
        <v>0.0</v>
      </c>
      <c r="I6" s="74">
        <v>6.0</v>
      </c>
      <c r="J6" s="74">
        <v>7.0</v>
      </c>
      <c r="K6" s="74">
        <v>6.0</v>
      </c>
      <c r="L6" s="76">
        <v>19.0</v>
      </c>
      <c r="M6" s="74">
        <v>2.0</v>
      </c>
      <c r="N6" s="47">
        <f t="shared" ref="N6:O6" si="3">C6+L6</f>
        <v>310</v>
      </c>
      <c r="O6" s="31">
        <f t="shared" si="3"/>
        <v>29</v>
      </c>
      <c r="P6" s="45" t="s">
        <v>58</v>
      </c>
      <c r="Q6" s="45" t="s">
        <v>58</v>
      </c>
      <c r="R6" s="45" t="s">
        <v>58</v>
      </c>
      <c r="S6" s="46">
        <f t="shared" si="4"/>
        <v>0</v>
      </c>
      <c r="T6" s="46"/>
      <c r="U6" s="46">
        <f t="shared" si="5"/>
        <v>4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43" t="s">
        <v>87</v>
      </c>
      <c r="C7" s="47">
        <v>288.0</v>
      </c>
      <c r="D7" s="31">
        <v>26.0</v>
      </c>
      <c r="E7" s="36">
        <f t="shared" si="2"/>
        <v>14.0625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47">
        <f t="shared" ref="N7:O7" si="8">C7+L7</f>
        <v>297</v>
      </c>
      <c r="O7" s="31">
        <f t="shared" si="8"/>
        <v>26</v>
      </c>
      <c r="P7" s="45" t="s">
        <v>58</v>
      </c>
      <c r="Q7" s="45" t="s">
        <v>58</v>
      </c>
      <c r="R7" s="45" t="s">
        <v>58</v>
      </c>
      <c r="S7" s="46">
        <f t="shared" si="4"/>
        <v>0</v>
      </c>
      <c r="T7" s="46"/>
      <c r="U7" s="46">
        <f t="shared" si="5"/>
        <v>7</v>
      </c>
      <c r="V7" s="46">
        <f t="shared" si="6"/>
        <v>0</v>
      </c>
      <c r="W7" s="30">
        <f t="shared" si="9"/>
        <v>3</v>
      </c>
    </row>
    <row r="8">
      <c r="A8" s="30">
        <f t="shared" si="7"/>
        <v>4</v>
      </c>
      <c r="B8" s="28" t="s">
        <v>74</v>
      </c>
      <c r="C8" s="31">
        <v>287.0</v>
      </c>
      <c r="D8" s="31">
        <v>28.0</v>
      </c>
      <c r="E8" s="36">
        <f t="shared" si="2"/>
        <v>14</v>
      </c>
      <c r="F8" s="73">
        <v>1.0</v>
      </c>
      <c r="G8" s="74">
        <v>1.0</v>
      </c>
      <c r="H8" s="75">
        <v>0.0</v>
      </c>
      <c r="I8" s="74">
        <v>7.0</v>
      </c>
      <c r="J8" s="74">
        <v>7.0</v>
      </c>
      <c r="K8" s="74">
        <v>2.0</v>
      </c>
      <c r="L8" s="76">
        <v>16.0</v>
      </c>
      <c r="M8" s="74">
        <v>2.0</v>
      </c>
      <c r="N8" s="31">
        <f t="shared" ref="N8:O8" si="10">C8+L8</f>
        <v>303</v>
      </c>
      <c r="O8" s="31">
        <f t="shared" si="10"/>
        <v>30</v>
      </c>
      <c r="P8" s="45" t="s">
        <v>58</v>
      </c>
      <c r="Q8" s="45" t="s">
        <v>58</v>
      </c>
      <c r="R8" s="45" t="s">
        <v>58</v>
      </c>
      <c r="S8" s="46">
        <f t="shared" si="4"/>
        <v>0</v>
      </c>
      <c r="T8" s="46"/>
      <c r="U8" s="46">
        <f t="shared" si="5"/>
        <v>7</v>
      </c>
      <c r="V8" s="46">
        <f t="shared" si="6"/>
        <v>0</v>
      </c>
      <c r="W8" s="30">
        <f t="shared" si="9"/>
        <v>4</v>
      </c>
    </row>
    <row r="9">
      <c r="A9" s="30">
        <f t="shared" si="7"/>
        <v>5</v>
      </c>
      <c r="B9" s="28" t="s">
        <v>101</v>
      </c>
      <c r="C9" s="31">
        <v>286.0</v>
      </c>
      <c r="D9" s="31">
        <v>22.0</v>
      </c>
      <c r="E9" s="36">
        <f t="shared" si="2"/>
        <v>13.6875</v>
      </c>
      <c r="F9" s="73">
        <v>1.0</v>
      </c>
      <c r="G9" s="74">
        <v>1.0</v>
      </c>
      <c r="H9" s="75">
        <v>0.0</v>
      </c>
      <c r="I9" s="74">
        <v>6.0</v>
      </c>
      <c r="J9" s="74">
        <v>5.0</v>
      </c>
      <c r="K9" s="74">
        <v>2.0</v>
      </c>
      <c r="L9" s="76">
        <v>13.0</v>
      </c>
      <c r="M9" s="74">
        <v>0.0</v>
      </c>
      <c r="N9" s="31">
        <f t="shared" ref="N9:O9" si="11">C9+L9</f>
        <v>299</v>
      </c>
      <c r="O9" s="31">
        <f t="shared" si="11"/>
        <v>22</v>
      </c>
      <c r="P9" s="45" t="s">
        <v>58</v>
      </c>
      <c r="Q9" s="45" t="s">
        <v>58</v>
      </c>
      <c r="R9" s="45" t="s">
        <v>58</v>
      </c>
      <c r="S9" s="46">
        <f t="shared" si="4"/>
        <v>1</v>
      </c>
      <c r="T9" s="46"/>
      <c r="U9" s="46">
        <f t="shared" si="5"/>
        <v>6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28" t="s">
        <v>97</v>
      </c>
      <c r="C10" s="31">
        <v>285.0</v>
      </c>
      <c r="D10" s="31">
        <v>24.0</v>
      </c>
      <c r="E10" s="36">
        <f t="shared" si="2"/>
        <v>13.11764706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294</v>
      </c>
      <c r="O10" s="31">
        <f t="shared" si="12"/>
        <v>24</v>
      </c>
      <c r="P10" s="45" t="s">
        <v>58</v>
      </c>
      <c r="Q10" s="45" t="s">
        <v>58</v>
      </c>
      <c r="R10" s="45" t="s">
        <v>58</v>
      </c>
      <c r="S10" s="46">
        <f t="shared" si="4"/>
        <v>2</v>
      </c>
      <c r="T10" s="46"/>
      <c r="U10" s="46">
        <f t="shared" si="5"/>
        <v>4</v>
      </c>
      <c r="V10" s="46">
        <f t="shared" si="6"/>
        <v>0</v>
      </c>
      <c r="W10" s="30">
        <f t="shared" si="9"/>
        <v>6</v>
      </c>
    </row>
    <row r="11">
      <c r="A11" s="30">
        <f t="shared" si="7"/>
        <v>7</v>
      </c>
      <c r="B11" s="43" t="s">
        <v>88</v>
      </c>
      <c r="C11" s="47">
        <v>283.0</v>
      </c>
      <c r="D11" s="31">
        <v>26.0</v>
      </c>
      <c r="E11" s="36">
        <f t="shared" si="2"/>
        <v>12.42857143</v>
      </c>
      <c r="F11" s="73">
        <v>1.0</v>
      </c>
      <c r="G11" s="74">
        <v>2.0</v>
      </c>
      <c r="H11" s="75">
        <v>0.0</v>
      </c>
      <c r="I11" s="74">
        <v>6.0</v>
      </c>
      <c r="J11" s="74">
        <v>2.0</v>
      </c>
      <c r="K11" s="74">
        <v>2.0</v>
      </c>
      <c r="L11" s="76">
        <v>10.0</v>
      </c>
      <c r="M11" s="74">
        <v>1.0</v>
      </c>
      <c r="N11" s="47">
        <f t="shared" ref="N11:O11" si="13">C11+L11</f>
        <v>293</v>
      </c>
      <c r="O11" s="31">
        <f t="shared" si="13"/>
        <v>27</v>
      </c>
      <c r="P11" s="45" t="s">
        <v>58</v>
      </c>
      <c r="Q11" s="45" t="s">
        <v>58</v>
      </c>
      <c r="R11" s="45" t="s">
        <v>58</v>
      </c>
      <c r="S11" s="46">
        <f t="shared" si="4"/>
        <v>1</v>
      </c>
      <c r="T11" s="46"/>
      <c r="U11" s="46">
        <f t="shared" si="5"/>
        <v>1</v>
      </c>
      <c r="V11" s="46">
        <f t="shared" si="6"/>
        <v>0</v>
      </c>
      <c r="W11" s="30">
        <f t="shared" si="9"/>
        <v>7</v>
      </c>
    </row>
    <row r="12">
      <c r="A12" s="30">
        <f t="shared" si="7"/>
        <v>8</v>
      </c>
      <c r="B12" s="28" t="s">
        <v>92</v>
      </c>
      <c r="C12" s="31">
        <v>283.0</v>
      </c>
      <c r="D12" s="31">
        <v>25.0</v>
      </c>
      <c r="E12" s="36">
        <f t="shared" si="2"/>
        <v>14.06666667</v>
      </c>
      <c r="F12" s="73">
        <v>1.0</v>
      </c>
      <c r="G12" s="74">
        <v>2.0</v>
      </c>
      <c r="H12" s="75">
        <v>0.0</v>
      </c>
      <c r="I12" s="74">
        <v>6.0</v>
      </c>
      <c r="J12" s="74">
        <v>6.0</v>
      </c>
      <c r="K12" s="74">
        <v>6.0</v>
      </c>
      <c r="L12" s="76">
        <v>18.0</v>
      </c>
      <c r="M12" s="74">
        <v>3.0</v>
      </c>
      <c r="N12" s="31">
        <f t="shared" ref="N12:O12" si="14">C12+L12</f>
        <v>301</v>
      </c>
      <c r="O12" s="31">
        <f t="shared" si="14"/>
        <v>28</v>
      </c>
      <c r="P12" s="45" t="s">
        <v>58</v>
      </c>
      <c r="Q12" s="45" t="s">
        <v>58</v>
      </c>
      <c r="R12" s="45" t="s">
        <v>58</v>
      </c>
      <c r="S12" s="46">
        <f t="shared" si="4"/>
        <v>0</v>
      </c>
      <c r="T12" s="46"/>
      <c r="U12" s="46">
        <f t="shared" si="5"/>
        <v>8</v>
      </c>
      <c r="V12" s="46">
        <f t="shared" si="6"/>
        <v>6</v>
      </c>
      <c r="W12" s="30">
        <f t="shared" si="9"/>
        <v>8</v>
      </c>
    </row>
    <row r="13">
      <c r="A13" s="30">
        <f t="shared" si="7"/>
        <v>9</v>
      </c>
      <c r="B13" s="48" t="s">
        <v>82</v>
      </c>
      <c r="C13" s="31">
        <v>283.0</v>
      </c>
      <c r="D13" s="31">
        <v>24.0</v>
      </c>
      <c r="E13" s="36">
        <f t="shared" si="2"/>
        <v>13.23529412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292</v>
      </c>
      <c r="O13" s="31">
        <f t="shared" si="15"/>
        <v>24</v>
      </c>
      <c r="P13" s="45" t="s">
        <v>58</v>
      </c>
      <c r="Q13" s="45" t="s">
        <v>58</v>
      </c>
      <c r="R13" s="45" t="s">
        <v>58</v>
      </c>
      <c r="S13" s="46">
        <f t="shared" si="4"/>
        <v>1</v>
      </c>
      <c r="T13" s="46"/>
      <c r="U13" s="46">
        <f t="shared" si="5"/>
        <v>5</v>
      </c>
      <c r="V13" s="46">
        <f t="shared" si="6"/>
        <v>-1</v>
      </c>
      <c r="W13" s="30">
        <f t="shared" si="9"/>
        <v>9</v>
      </c>
    </row>
    <row r="14">
      <c r="A14" s="30">
        <f t="shared" si="7"/>
        <v>10</v>
      </c>
      <c r="B14" s="28" t="s">
        <v>104</v>
      </c>
      <c r="C14" s="31">
        <v>282.0</v>
      </c>
      <c r="D14" s="31">
        <v>23.0</v>
      </c>
      <c r="E14" s="36">
        <f t="shared" si="2"/>
        <v>12.94444444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291</v>
      </c>
      <c r="O14" s="31">
        <f t="shared" si="16"/>
        <v>23</v>
      </c>
      <c r="P14" s="45" t="s">
        <v>58</v>
      </c>
      <c r="Q14" s="45" t="s">
        <v>58</v>
      </c>
      <c r="R14" s="45" t="s">
        <v>58</v>
      </c>
      <c r="S14" s="46">
        <f t="shared" si="4"/>
        <v>1</v>
      </c>
      <c r="T14" s="46"/>
      <c r="U14" s="46">
        <f t="shared" si="5"/>
        <v>4</v>
      </c>
      <c r="V14" s="46">
        <f t="shared" si="6"/>
        <v>7</v>
      </c>
      <c r="W14" s="30">
        <f t="shared" si="9"/>
        <v>10</v>
      </c>
    </row>
    <row r="15">
      <c r="A15" s="30">
        <f t="shared" si="7"/>
        <v>11</v>
      </c>
      <c r="B15" s="28" t="s">
        <v>67</v>
      </c>
      <c r="C15" s="31">
        <v>278.0</v>
      </c>
      <c r="D15" s="31">
        <v>24.0</v>
      </c>
      <c r="E15" s="36">
        <f t="shared" si="2"/>
        <v>15.09090909</v>
      </c>
      <c r="F15" s="73">
        <v>1.0</v>
      </c>
      <c r="G15" s="74">
        <v>2.0</v>
      </c>
      <c r="H15" s="75">
        <v>0.0</v>
      </c>
      <c r="I15" s="74">
        <v>2.0</v>
      </c>
      <c r="J15" s="74">
        <v>6.0</v>
      </c>
      <c r="K15" s="74">
        <v>2.0</v>
      </c>
      <c r="L15" s="76">
        <v>10.0</v>
      </c>
      <c r="M15" s="74">
        <v>1.0</v>
      </c>
      <c r="N15" s="31">
        <f t="shared" ref="N15:O15" si="17">C15+L15</f>
        <v>288</v>
      </c>
      <c r="O15" s="31">
        <f t="shared" si="17"/>
        <v>25</v>
      </c>
      <c r="P15" s="45" t="s">
        <v>58</v>
      </c>
      <c r="Q15" s="45" t="s">
        <v>58</v>
      </c>
      <c r="R15" s="45" t="s">
        <v>58</v>
      </c>
      <c r="S15" s="46">
        <f t="shared" si="4"/>
        <v>1</v>
      </c>
      <c r="T15" s="46"/>
      <c r="U15" s="46">
        <f t="shared" si="5"/>
        <v>11</v>
      </c>
      <c r="V15" s="46">
        <f t="shared" si="6"/>
        <v>13</v>
      </c>
      <c r="W15" s="30">
        <f t="shared" si="9"/>
        <v>11</v>
      </c>
    </row>
    <row r="16">
      <c r="A16" s="30">
        <f t="shared" si="7"/>
        <v>12</v>
      </c>
      <c r="B16" s="43" t="s">
        <v>121</v>
      </c>
      <c r="C16" s="31">
        <v>278.0</v>
      </c>
      <c r="D16" s="31">
        <v>22.0</v>
      </c>
      <c r="E16" s="36">
        <f t="shared" si="2"/>
        <v>15.7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287</v>
      </c>
      <c r="O16" s="31">
        <f t="shared" si="18"/>
        <v>22</v>
      </c>
      <c r="P16" s="45" t="s">
        <v>58</v>
      </c>
      <c r="Q16" s="45" t="s">
        <v>58</v>
      </c>
      <c r="R16" s="45" t="s">
        <v>58</v>
      </c>
      <c r="S16" s="46">
        <f t="shared" si="4"/>
        <v>1</v>
      </c>
      <c r="T16" s="46"/>
      <c r="U16" s="46">
        <f t="shared" si="5"/>
        <v>12</v>
      </c>
      <c r="V16" s="46">
        <f t="shared" si="6"/>
        <v>-3</v>
      </c>
      <c r="W16" s="30">
        <f t="shared" si="9"/>
        <v>12</v>
      </c>
    </row>
    <row r="17">
      <c r="A17" s="30">
        <f t="shared" si="7"/>
        <v>13</v>
      </c>
      <c r="B17" s="43" t="s">
        <v>94</v>
      </c>
      <c r="C17" s="31">
        <v>278.0</v>
      </c>
      <c r="D17" s="31">
        <v>22.0</v>
      </c>
      <c r="E17" s="36">
        <f t="shared" si="2"/>
        <v>14.58333333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287</v>
      </c>
      <c r="O17" s="31">
        <f t="shared" si="19"/>
        <v>22</v>
      </c>
      <c r="P17" s="45" t="s">
        <v>58</v>
      </c>
      <c r="Q17" s="45" t="s">
        <v>58</v>
      </c>
      <c r="R17" s="45" t="s">
        <v>58</v>
      </c>
      <c r="S17" s="46">
        <f t="shared" si="4"/>
        <v>1</v>
      </c>
      <c r="T17" s="46"/>
      <c r="U17" s="46">
        <f t="shared" si="5"/>
        <v>10</v>
      </c>
      <c r="V17" s="46">
        <f t="shared" si="6"/>
        <v>-3</v>
      </c>
      <c r="W17" s="30">
        <f t="shared" si="9"/>
        <v>13</v>
      </c>
    </row>
    <row r="18">
      <c r="A18" s="30">
        <f t="shared" si="7"/>
        <v>14</v>
      </c>
      <c r="B18" s="28" t="s">
        <v>117</v>
      </c>
      <c r="C18" s="31">
        <v>277.0</v>
      </c>
      <c r="D18" s="31">
        <v>24.0</v>
      </c>
      <c r="E18" s="36">
        <f t="shared" si="2"/>
        <v>15.6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286</v>
      </c>
      <c r="O18" s="31">
        <f t="shared" si="20"/>
        <v>24</v>
      </c>
      <c r="P18" s="45" t="s">
        <v>58</v>
      </c>
      <c r="Q18" s="45" t="s">
        <v>58</v>
      </c>
      <c r="R18" s="45" t="s">
        <v>58</v>
      </c>
      <c r="S18" s="46">
        <f t="shared" si="4"/>
        <v>1</v>
      </c>
      <c r="T18" s="46"/>
      <c r="U18" s="46">
        <f t="shared" si="5"/>
        <v>12</v>
      </c>
      <c r="V18" s="46">
        <f t="shared" si="6"/>
        <v>-3</v>
      </c>
      <c r="W18" s="30">
        <f t="shared" si="9"/>
        <v>14</v>
      </c>
    </row>
    <row r="19">
      <c r="A19" s="30">
        <f t="shared" si="7"/>
        <v>15</v>
      </c>
      <c r="B19" s="28" t="s">
        <v>128</v>
      </c>
      <c r="C19" s="31">
        <v>276.0</v>
      </c>
      <c r="D19" s="31">
        <v>25.0</v>
      </c>
      <c r="E19" s="36">
        <f t="shared" si="2"/>
        <v>15.27272727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285</v>
      </c>
      <c r="O19" s="31">
        <f t="shared" si="21"/>
        <v>25</v>
      </c>
      <c r="P19" s="45" t="s">
        <v>58</v>
      </c>
      <c r="Q19" s="45" t="s">
        <v>58</v>
      </c>
      <c r="R19" s="45" t="s">
        <v>58</v>
      </c>
      <c r="S19" s="46">
        <f t="shared" si="4"/>
        <v>0</v>
      </c>
      <c r="T19" s="46"/>
      <c r="U19" s="46">
        <f t="shared" si="5"/>
        <v>12</v>
      </c>
      <c r="V19" s="46">
        <f t="shared" si="6"/>
        <v>-3</v>
      </c>
      <c r="W19" s="30">
        <f t="shared" si="9"/>
        <v>15</v>
      </c>
    </row>
    <row r="20">
      <c r="A20" s="30">
        <f t="shared" si="7"/>
        <v>16</v>
      </c>
      <c r="B20" s="43" t="s">
        <v>106</v>
      </c>
      <c r="C20" s="31">
        <v>275.0</v>
      </c>
      <c r="D20" s="31">
        <v>25.0</v>
      </c>
      <c r="E20" s="36">
        <f t="shared" si="2"/>
        <v>13.26666667</v>
      </c>
      <c r="F20" s="73">
        <v>1.0</v>
      </c>
      <c r="G20" s="74">
        <v>2.0</v>
      </c>
      <c r="H20" s="75">
        <v>0.0</v>
      </c>
      <c r="I20" s="74">
        <v>2.0</v>
      </c>
      <c r="J20" s="74">
        <v>2.0</v>
      </c>
      <c r="K20" s="74">
        <v>6.0</v>
      </c>
      <c r="L20" s="76">
        <v>10.0</v>
      </c>
      <c r="M20" s="74">
        <v>1.0</v>
      </c>
      <c r="N20" s="31">
        <f t="shared" ref="N20:O20" si="22">C20+L20</f>
        <v>285</v>
      </c>
      <c r="O20" s="31">
        <f t="shared" si="22"/>
        <v>26</v>
      </c>
      <c r="P20" s="45" t="s">
        <v>58</v>
      </c>
      <c r="Q20" s="45" t="s">
        <v>58</v>
      </c>
      <c r="R20" s="45" t="s">
        <v>58</v>
      </c>
      <c r="S20" s="46">
        <f t="shared" si="4"/>
        <v>1</v>
      </c>
      <c r="T20" s="46"/>
      <c r="U20" s="46">
        <f t="shared" si="5"/>
        <v>7</v>
      </c>
      <c r="V20" s="46">
        <f t="shared" si="6"/>
        <v>-3</v>
      </c>
      <c r="W20" s="30">
        <f t="shared" si="9"/>
        <v>16</v>
      </c>
    </row>
    <row r="21">
      <c r="A21" s="30">
        <f t="shared" si="7"/>
        <v>17</v>
      </c>
      <c r="B21" s="43" t="s">
        <v>130</v>
      </c>
      <c r="C21" s="31">
        <v>275.0</v>
      </c>
      <c r="D21" s="31">
        <v>20.0</v>
      </c>
      <c r="E21" s="36">
        <f t="shared" si="2"/>
        <v>15.18181818</v>
      </c>
      <c r="F21" s="73">
        <v>3.0</v>
      </c>
      <c r="G21" s="74">
        <v>0.0</v>
      </c>
      <c r="H21" s="75">
        <v>9.0</v>
      </c>
      <c r="I21" s="74">
        <v>0.0</v>
      </c>
      <c r="J21" s="74">
        <v>0.0</v>
      </c>
      <c r="K21" s="74">
        <v>0.0</v>
      </c>
      <c r="L21" s="76">
        <v>9.0</v>
      </c>
      <c r="M21" s="74">
        <v>0.0</v>
      </c>
      <c r="N21" s="31">
        <f t="shared" ref="N21:O21" si="23">C21+L21</f>
        <v>284</v>
      </c>
      <c r="O21" s="31">
        <f t="shared" si="23"/>
        <v>20</v>
      </c>
      <c r="P21" s="45" t="s">
        <v>58</v>
      </c>
      <c r="Q21" s="45" t="s">
        <v>58</v>
      </c>
      <c r="R21" s="45" t="s">
        <v>58</v>
      </c>
      <c r="S21" s="46">
        <f t="shared" si="4"/>
        <v>0</v>
      </c>
      <c r="T21" s="46"/>
      <c r="U21" s="46">
        <f t="shared" si="5"/>
        <v>12</v>
      </c>
      <c r="V21" s="46">
        <f t="shared" si="6"/>
        <v>-2</v>
      </c>
      <c r="W21" s="30">
        <f t="shared" si="9"/>
        <v>17</v>
      </c>
    </row>
    <row r="22">
      <c r="A22" s="30">
        <f t="shared" si="7"/>
        <v>18</v>
      </c>
      <c r="B22" s="43" t="s">
        <v>107</v>
      </c>
      <c r="C22" s="31">
        <v>275.0</v>
      </c>
      <c r="D22" s="31">
        <v>18.0</v>
      </c>
      <c r="E22" s="36">
        <f t="shared" si="2"/>
        <v>13</v>
      </c>
      <c r="F22" s="73">
        <v>1.0</v>
      </c>
      <c r="G22" s="74">
        <v>3.0</v>
      </c>
      <c r="H22" s="75">
        <v>0.0</v>
      </c>
      <c r="I22" s="74">
        <v>5.0</v>
      </c>
      <c r="J22" s="74">
        <v>6.0</v>
      </c>
      <c r="K22" s="74">
        <v>3.0</v>
      </c>
      <c r="L22" s="76">
        <v>14.0</v>
      </c>
      <c r="M22" s="74">
        <v>1.0</v>
      </c>
      <c r="N22" s="31">
        <f t="shared" ref="N22:O22" si="24">C22+L22</f>
        <v>289</v>
      </c>
      <c r="O22" s="31">
        <f t="shared" si="24"/>
        <v>19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6</v>
      </c>
      <c r="V22" s="46">
        <f t="shared" si="6"/>
        <v>3</v>
      </c>
      <c r="W22" s="30">
        <f t="shared" si="9"/>
        <v>18</v>
      </c>
    </row>
    <row r="23">
      <c r="A23" s="30">
        <f t="shared" si="7"/>
        <v>19</v>
      </c>
      <c r="B23" s="28" t="s">
        <v>95</v>
      </c>
      <c r="C23" s="31">
        <v>274.0</v>
      </c>
      <c r="D23" s="31">
        <v>25.0</v>
      </c>
      <c r="E23" s="36">
        <f t="shared" si="2"/>
        <v>13.46666667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283</v>
      </c>
      <c r="O23" s="31">
        <f t="shared" si="25"/>
        <v>25</v>
      </c>
      <c r="P23" s="45" t="s">
        <v>58</v>
      </c>
      <c r="Q23" s="45" t="s">
        <v>58</v>
      </c>
      <c r="R23" s="45" t="s">
        <v>58</v>
      </c>
      <c r="S23" s="46">
        <f t="shared" si="4"/>
        <v>0</v>
      </c>
      <c r="T23" s="46"/>
      <c r="U23" s="46">
        <f t="shared" si="5"/>
        <v>8</v>
      </c>
      <c r="V23" s="46">
        <f t="shared" si="6"/>
        <v>-3</v>
      </c>
      <c r="W23" s="30">
        <f t="shared" si="9"/>
        <v>19</v>
      </c>
    </row>
    <row r="24">
      <c r="A24" s="30">
        <f t="shared" si="7"/>
        <v>20</v>
      </c>
      <c r="B24" s="28" t="s">
        <v>120</v>
      </c>
      <c r="C24" s="31">
        <v>272.0</v>
      </c>
      <c r="D24" s="31">
        <v>23.0</v>
      </c>
      <c r="E24" s="36">
        <f t="shared" si="2"/>
        <v>14.54545455</v>
      </c>
      <c r="F24" s="73">
        <v>3.0</v>
      </c>
      <c r="G24" s="74">
        <v>0.0</v>
      </c>
      <c r="H24" s="75">
        <v>9.0</v>
      </c>
      <c r="I24" s="74">
        <v>0.0</v>
      </c>
      <c r="J24" s="74">
        <v>0.0</v>
      </c>
      <c r="K24" s="74">
        <v>0.0</v>
      </c>
      <c r="L24" s="76">
        <v>9.0</v>
      </c>
      <c r="M24" s="74">
        <v>0.0</v>
      </c>
      <c r="N24" s="31">
        <f t="shared" ref="N24:O24" si="26">C24+L24</f>
        <v>281</v>
      </c>
      <c r="O24" s="31">
        <f t="shared" si="26"/>
        <v>23</v>
      </c>
      <c r="P24" s="45" t="s">
        <v>58</v>
      </c>
      <c r="Q24" s="45" t="s">
        <v>58</v>
      </c>
      <c r="R24" s="45" t="s">
        <v>58</v>
      </c>
      <c r="S24" s="46">
        <f t="shared" si="4"/>
        <v>1</v>
      </c>
      <c r="T24" s="46"/>
      <c r="U24" s="46">
        <f t="shared" si="5"/>
        <v>11</v>
      </c>
      <c r="V24" s="46">
        <f t="shared" si="6"/>
        <v>-2</v>
      </c>
      <c r="W24" s="30">
        <f t="shared" si="9"/>
        <v>20</v>
      </c>
    </row>
    <row r="25">
      <c r="A25" s="30">
        <f t="shared" si="7"/>
        <v>21</v>
      </c>
      <c r="B25" s="28" t="s">
        <v>105</v>
      </c>
      <c r="C25" s="31">
        <v>271.0</v>
      </c>
      <c r="D25" s="31">
        <v>23.0</v>
      </c>
      <c r="E25" s="36">
        <f t="shared" si="2"/>
        <v>13</v>
      </c>
      <c r="F25" s="73">
        <v>1.0</v>
      </c>
      <c r="G25" s="74">
        <v>3.0</v>
      </c>
      <c r="H25" s="75">
        <v>0.0</v>
      </c>
      <c r="I25" s="74">
        <v>7.0</v>
      </c>
      <c r="J25" s="74">
        <v>6.0</v>
      </c>
      <c r="K25" s="74">
        <v>6.0</v>
      </c>
      <c r="L25" s="76">
        <v>19.0</v>
      </c>
      <c r="M25" s="74">
        <v>3.0</v>
      </c>
      <c r="N25" s="31">
        <f t="shared" ref="N25:O25" si="27">C25+L25</f>
        <v>290</v>
      </c>
      <c r="O25" s="31">
        <f t="shared" si="27"/>
        <v>26</v>
      </c>
      <c r="P25" s="45" t="s">
        <v>58</v>
      </c>
      <c r="Q25" s="45" t="s">
        <v>58</v>
      </c>
      <c r="R25" s="45" t="s">
        <v>58</v>
      </c>
      <c r="S25" s="46">
        <f t="shared" si="4"/>
        <v>1</v>
      </c>
      <c r="T25" s="46"/>
      <c r="U25" s="46">
        <f t="shared" si="5"/>
        <v>7</v>
      </c>
      <c r="V25" s="46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28" t="s">
        <v>116</v>
      </c>
      <c r="C26" s="31">
        <v>271.0</v>
      </c>
      <c r="D26" s="31">
        <v>22.0</v>
      </c>
      <c r="E26" s="36">
        <f t="shared" si="2"/>
        <v>14.45454545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280</v>
      </c>
      <c r="O26" s="31">
        <f t="shared" si="28"/>
        <v>22</v>
      </c>
      <c r="P26" s="45" t="s">
        <v>58</v>
      </c>
      <c r="Q26" s="45" t="s">
        <v>58</v>
      </c>
      <c r="R26" s="45" t="s">
        <v>58</v>
      </c>
      <c r="S26" s="46">
        <f t="shared" si="4"/>
        <v>1</v>
      </c>
      <c r="T26" s="46"/>
      <c r="U26" s="46">
        <f t="shared" si="5"/>
        <v>11</v>
      </c>
      <c r="V26" s="46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28" t="s">
        <v>34</v>
      </c>
      <c r="C27" s="31">
        <v>269.0</v>
      </c>
      <c r="D27" s="31">
        <v>23.0</v>
      </c>
      <c r="E27" s="36">
        <f t="shared" si="2"/>
        <v>16.75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31">
        <f t="shared" ref="N27:O27" si="29">C27+L27</f>
        <v>278</v>
      </c>
      <c r="O27" s="31">
        <f t="shared" si="29"/>
        <v>23</v>
      </c>
      <c r="P27" s="45" t="s">
        <v>58</v>
      </c>
      <c r="Q27" s="45" t="s">
        <v>58</v>
      </c>
      <c r="R27" s="45" t="s">
        <v>58</v>
      </c>
      <c r="S27" s="46">
        <f t="shared" si="4"/>
        <v>0</v>
      </c>
      <c r="T27" s="46"/>
      <c r="U27" s="46">
        <f t="shared" si="5"/>
        <v>15</v>
      </c>
      <c r="V27" s="46">
        <f t="shared" si="6"/>
        <v>9</v>
      </c>
      <c r="W27" s="30">
        <f t="shared" si="9"/>
        <v>23</v>
      </c>
    </row>
    <row r="28">
      <c r="A28" s="30">
        <f t="shared" si="7"/>
        <v>24</v>
      </c>
      <c r="B28" s="43" t="s">
        <v>129</v>
      </c>
      <c r="C28" s="47">
        <v>269.0</v>
      </c>
      <c r="D28" s="31">
        <v>23.0</v>
      </c>
      <c r="E28" s="36">
        <f t="shared" si="2"/>
        <v>12.1</v>
      </c>
      <c r="F28" s="73">
        <v>1.0</v>
      </c>
      <c r="G28" s="74">
        <v>3.0</v>
      </c>
      <c r="H28" s="75">
        <v>0.0</v>
      </c>
      <c r="I28" s="74">
        <v>7.0</v>
      </c>
      <c r="J28" s="74">
        <v>4.0</v>
      </c>
      <c r="K28" s="74">
        <v>3.0</v>
      </c>
      <c r="L28" s="76">
        <v>14.0</v>
      </c>
      <c r="M28" s="74">
        <v>1.0</v>
      </c>
      <c r="N28" s="47">
        <f t="shared" ref="N28:O28" si="30">C28+L28</f>
        <v>283</v>
      </c>
      <c r="O28" s="31">
        <f t="shared" si="30"/>
        <v>24</v>
      </c>
      <c r="P28" s="45" t="s">
        <v>58</v>
      </c>
      <c r="Q28" s="45" t="s">
        <v>58</v>
      </c>
      <c r="R28" s="45" t="s">
        <v>58</v>
      </c>
      <c r="S28" s="46">
        <f t="shared" si="4"/>
        <v>0</v>
      </c>
      <c r="T28" s="46"/>
      <c r="U28" s="46">
        <f t="shared" si="5"/>
        <v>3</v>
      </c>
      <c r="V28" s="46">
        <f t="shared" si="6"/>
        <v>-2</v>
      </c>
      <c r="W28" s="30">
        <f t="shared" si="9"/>
        <v>24</v>
      </c>
    </row>
    <row r="29">
      <c r="A29" s="30">
        <f t="shared" si="7"/>
        <v>25</v>
      </c>
      <c r="B29" s="28" t="s">
        <v>44</v>
      </c>
      <c r="C29" s="31">
        <v>269.0</v>
      </c>
      <c r="D29" s="31">
        <v>22.0</v>
      </c>
      <c r="E29" s="36">
        <f t="shared" si="2"/>
        <v>14.63636364</v>
      </c>
      <c r="F29" s="73">
        <v>3.0</v>
      </c>
      <c r="G29" s="74">
        <v>0.0</v>
      </c>
      <c r="H29" s="75">
        <v>9.0</v>
      </c>
      <c r="I29" s="74">
        <v>0.0</v>
      </c>
      <c r="J29" s="74">
        <v>0.0</v>
      </c>
      <c r="K29" s="74">
        <v>0.0</v>
      </c>
      <c r="L29" s="76">
        <v>9.0</v>
      </c>
      <c r="M29" s="74">
        <v>0.0</v>
      </c>
      <c r="N29" s="31">
        <f t="shared" ref="N29:O29" si="31">C29+L29</f>
        <v>278</v>
      </c>
      <c r="O29" s="31">
        <f t="shared" si="31"/>
        <v>22</v>
      </c>
      <c r="P29" s="45" t="s">
        <v>58</v>
      </c>
      <c r="Q29" s="45" t="s">
        <v>58</v>
      </c>
      <c r="R29" s="45" t="s">
        <v>58</v>
      </c>
      <c r="S29" s="46">
        <f t="shared" si="4"/>
        <v>0</v>
      </c>
      <c r="T29" s="46"/>
      <c r="U29" s="46">
        <f t="shared" si="5"/>
        <v>12</v>
      </c>
      <c r="V29" s="46">
        <f t="shared" si="6"/>
        <v>-2</v>
      </c>
      <c r="W29" s="30">
        <f t="shared" si="9"/>
        <v>25</v>
      </c>
    </row>
    <row r="30">
      <c r="A30" s="30">
        <f t="shared" si="7"/>
        <v>26</v>
      </c>
      <c r="B30" s="43" t="s">
        <v>56</v>
      </c>
      <c r="C30" s="31">
        <v>268.0</v>
      </c>
      <c r="D30" s="31">
        <v>26.0</v>
      </c>
      <c r="E30" s="36">
        <f t="shared" si="2"/>
        <v>11.65217391</v>
      </c>
      <c r="F30" s="73">
        <v>1.0</v>
      </c>
      <c r="G30" s="74">
        <v>3.0</v>
      </c>
      <c r="H30" s="75">
        <v>0.0</v>
      </c>
      <c r="I30" s="74">
        <v>5.0</v>
      </c>
      <c r="J30" s="74">
        <v>4.0</v>
      </c>
      <c r="K30" s="74">
        <v>6.0</v>
      </c>
      <c r="L30" s="76">
        <v>15.0</v>
      </c>
      <c r="M30" s="74">
        <v>1.0</v>
      </c>
      <c r="N30" s="31">
        <f t="shared" ref="N30:O30" si="32">C30+L30</f>
        <v>283</v>
      </c>
      <c r="O30" s="31">
        <f t="shared" si="32"/>
        <v>27</v>
      </c>
      <c r="P30" s="45" t="s">
        <v>58</v>
      </c>
      <c r="Q30" s="45" t="s">
        <v>58</v>
      </c>
      <c r="R30" s="45" t="s">
        <v>58</v>
      </c>
      <c r="S30" s="46">
        <f t="shared" si="4"/>
        <v>0</v>
      </c>
      <c r="T30" s="46"/>
      <c r="U30" s="46">
        <f t="shared" si="5"/>
        <v>0</v>
      </c>
      <c r="V30" s="46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43" t="s">
        <v>111</v>
      </c>
      <c r="C31" s="47">
        <v>265.0</v>
      </c>
      <c r="D31" s="31">
        <v>22.0</v>
      </c>
      <c r="E31" s="36">
        <f t="shared" si="2"/>
        <v>11.84210526</v>
      </c>
      <c r="F31" s="73">
        <v>1.0</v>
      </c>
      <c r="G31" s="74">
        <v>4.0</v>
      </c>
      <c r="H31" s="75">
        <v>0.0</v>
      </c>
      <c r="I31" s="74">
        <v>7.0</v>
      </c>
      <c r="J31" s="74">
        <v>4.0</v>
      </c>
      <c r="K31" s="74">
        <v>6.0</v>
      </c>
      <c r="L31" s="76">
        <v>17.0</v>
      </c>
      <c r="M31" s="74">
        <v>2.0</v>
      </c>
      <c r="N31" s="47">
        <f t="shared" ref="N31:O31" si="33">C31+L31</f>
        <v>282</v>
      </c>
      <c r="O31" s="31">
        <f t="shared" si="33"/>
        <v>24</v>
      </c>
      <c r="P31" s="45" t="s">
        <v>58</v>
      </c>
      <c r="Q31" s="45" t="s">
        <v>58</v>
      </c>
      <c r="R31" s="45" t="s">
        <v>58</v>
      </c>
      <c r="S31" s="46">
        <f t="shared" si="4"/>
        <v>1</v>
      </c>
      <c r="T31" s="46"/>
      <c r="U31" s="46">
        <f t="shared" si="5"/>
        <v>3</v>
      </c>
      <c r="V31" s="46">
        <f t="shared" si="6"/>
        <v>-1</v>
      </c>
      <c r="W31" s="30">
        <f t="shared" si="9"/>
        <v>27</v>
      </c>
    </row>
    <row r="32">
      <c r="A32" s="30">
        <f t="shared" si="7"/>
        <v>28</v>
      </c>
      <c r="B32" s="43" t="s">
        <v>90</v>
      </c>
      <c r="C32" s="31">
        <v>263.0</v>
      </c>
      <c r="D32" s="31">
        <v>21.0</v>
      </c>
      <c r="E32" s="36">
        <f t="shared" si="2"/>
        <v>11.75</v>
      </c>
      <c r="F32" s="73">
        <v>2.0</v>
      </c>
      <c r="G32" s="74">
        <v>4.0</v>
      </c>
      <c r="H32" s="75">
        <v>0.0</v>
      </c>
      <c r="I32" s="74">
        <v>7.0</v>
      </c>
      <c r="J32" s="74">
        <v>6.0</v>
      </c>
      <c r="K32" s="74">
        <v>4.0</v>
      </c>
      <c r="L32" s="76">
        <v>17.0</v>
      </c>
      <c r="M32" s="74">
        <v>2.0</v>
      </c>
      <c r="N32" s="31">
        <f t="shared" ref="N32:O32" si="34">C32+L32</f>
        <v>280</v>
      </c>
      <c r="O32" s="31">
        <f t="shared" si="34"/>
        <v>23</v>
      </c>
      <c r="P32" s="45" t="s">
        <v>58</v>
      </c>
      <c r="Q32" s="45" t="s">
        <v>58</v>
      </c>
      <c r="R32" s="45" t="s">
        <v>58</v>
      </c>
      <c r="S32" s="46">
        <f t="shared" si="4"/>
        <v>3</v>
      </c>
      <c r="T32" s="46"/>
      <c r="U32" s="46">
        <f t="shared" si="5"/>
        <v>4</v>
      </c>
      <c r="V32" s="46">
        <f t="shared" si="6"/>
        <v>-1</v>
      </c>
      <c r="W32" s="30">
        <f t="shared" si="9"/>
        <v>28</v>
      </c>
    </row>
    <row r="33">
      <c r="A33" s="30">
        <f t="shared" si="7"/>
        <v>29</v>
      </c>
      <c r="B33" s="28" t="s">
        <v>98</v>
      </c>
      <c r="C33" s="31">
        <v>263.0</v>
      </c>
      <c r="D33" s="31">
        <v>19.0</v>
      </c>
      <c r="E33" s="36">
        <f t="shared" si="2"/>
        <v>13</v>
      </c>
      <c r="F33" s="73">
        <v>2.0</v>
      </c>
      <c r="G33" s="74">
        <v>4.0</v>
      </c>
      <c r="H33" s="75">
        <v>0.0</v>
      </c>
      <c r="I33" s="74">
        <v>6.0</v>
      </c>
      <c r="J33" s="74">
        <v>6.0</v>
      </c>
      <c r="K33" s="74">
        <v>6.0</v>
      </c>
      <c r="L33" s="76">
        <v>18.0</v>
      </c>
      <c r="M33" s="74">
        <v>2.0</v>
      </c>
      <c r="N33" s="31">
        <f t="shared" ref="N33:O33" si="35">C33+L33</f>
        <v>281</v>
      </c>
      <c r="O33" s="31">
        <f t="shared" si="35"/>
        <v>21</v>
      </c>
      <c r="P33" s="45" t="s">
        <v>58</v>
      </c>
      <c r="Q33" s="45" t="s">
        <v>58</v>
      </c>
      <c r="R33" s="45" t="s">
        <v>58</v>
      </c>
      <c r="S33" s="46">
        <f t="shared" si="4"/>
        <v>0</v>
      </c>
      <c r="T33" s="46"/>
      <c r="U33" s="46">
        <f t="shared" si="5"/>
        <v>9</v>
      </c>
      <c r="V33" s="46">
        <f t="shared" si="6"/>
        <v>1</v>
      </c>
      <c r="W33" s="30">
        <f t="shared" si="9"/>
        <v>29</v>
      </c>
    </row>
    <row r="34">
      <c r="A34" s="30">
        <f t="shared" si="7"/>
        <v>30</v>
      </c>
      <c r="B34" s="43" t="s">
        <v>132</v>
      </c>
      <c r="C34" s="31">
        <v>262.0</v>
      </c>
      <c r="D34" s="31">
        <v>27.0</v>
      </c>
      <c r="E34" s="36">
        <f t="shared" si="2"/>
        <v>11.39130435</v>
      </c>
      <c r="F34" s="73">
        <v>1.0</v>
      </c>
      <c r="G34" s="74">
        <v>4.0</v>
      </c>
      <c r="H34" s="75">
        <v>0.0</v>
      </c>
      <c r="I34" s="74">
        <v>6.0</v>
      </c>
      <c r="J34" s="74">
        <v>4.0</v>
      </c>
      <c r="K34" s="74">
        <v>4.0</v>
      </c>
      <c r="L34" s="76">
        <v>14.0</v>
      </c>
      <c r="M34" s="74">
        <v>0.0</v>
      </c>
      <c r="N34" s="31">
        <f t="shared" ref="N34:O34" si="36">C34+L34</f>
        <v>276</v>
      </c>
      <c r="O34" s="31">
        <f t="shared" si="36"/>
        <v>27</v>
      </c>
      <c r="P34" s="45" t="s">
        <v>58</v>
      </c>
      <c r="Q34" s="45" t="s">
        <v>58</v>
      </c>
      <c r="R34" s="45" t="s">
        <v>58</v>
      </c>
      <c r="S34" s="46">
        <f t="shared" si="4"/>
        <v>0</v>
      </c>
      <c r="T34" s="46"/>
      <c r="U34" s="46">
        <f t="shared" si="5"/>
        <v>0</v>
      </c>
      <c r="V34" s="46">
        <f t="shared" si="6"/>
        <v>1</v>
      </c>
      <c r="W34" s="30">
        <f t="shared" si="9"/>
        <v>30</v>
      </c>
    </row>
    <row r="35">
      <c r="A35" s="30">
        <f t="shared" si="7"/>
        <v>31</v>
      </c>
      <c r="B35" s="43" t="s">
        <v>99</v>
      </c>
      <c r="C35" s="31">
        <v>262.0</v>
      </c>
      <c r="D35" s="31">
        <v>19.0</v>
      </c>
      <c r="E35" s="36">
        <f t="shared" si="2"/>
        <v>13.25</v>
      </c>
      <c r="F35" s="73">
        <v>2.0</v>
      </c>
      <c r="G35" s="74">
        <v>5.0</v>
      </c>
      <c r="H35" s="75">
        <v>0.0</v>
      </c>
      <c r="I35" s="74">
        <v>6.0</v>
      </c>
      <c r="J35" s="74">
        <v>6.0</v>
      </c>
      <c r="K35" s="74">
        <v>3.0</v>
      </c>
      <c r="L35" s="76">
        <v>15.0</v>
      </c>
      <c r="M35" s="74">
        <v>2.0</v>
      </c>
      <c r="N35" s="31">
        <f t="shared" ref="N35:O35" si="37">C35+L35</f>
        <v>277</v>
      </c>
      <c r="O35" s="31">
        <f t="shared" si="37"/>
        <v>21</v>
      </c>
      <c r="P35" s="45" t="s">
        <v>58</v>
      </c>
      <c r="Q35" s="45" t="s">
        <v>58</v>
      </c>
      <c r="R35" s="45" t="s">
        <v>58</v>
      </c>
      <c r="S35" s="46">
        <f t="shared" si="4"/>
        <v>1</v>
      </c>
      <c r="T35" s="46"/>
      <c r="U35" s="46">
        <f t="shared" si="5"/>
        <v>10</v>
      </c>
      <c r="V35" s="46">
        <f t="shared" si="6"/>
        <v>-2</v>
      </c>
      <c r="W35" s="30">
        <f t="shared" si="9"/>
        <v>31</v>
      </c>
    </row>
    <row r="36">
      <c r="A36" s="30">
        <f t="shared" si="7"/>
        <v>32</v>
      </c>
      <c r="B36" s="28" t="s">
        <v>119</v>
      </c>
      <c r="C36" s="31">
        <v>261.0</v>
      </c>
      <c r="D36" s="31">
        <v>22.0</v>
      </c>
      <c r="E36" s="36">
        <f t="shared" si="2"/>
        <v>12.57142857</v>
      </c>
      <c r="F36" s="73">
        <v>1.0</v>
      </c>
      <c r="G36" s="74">
        <v>5.0</v>
      </c>
      <c r="H36" s="75">
        <v>0.0</v>
      </c>
      <c r="I36" s="74">
        <v>6.0</v>
      </c>
      <c r="J36" s="74">
        <v>3.0</v>
      </c>
      <c r="K36" s="74">
        <v>6.0</v>
      </c>
      <c r="L36" s="76">
        <v>15.0</v>
      </c>
      <c r="M36" s="74">
        <v>2.0</v>
      </c>
      <c r="N36" s="31">
        <f t="shared" ref="N36:O36" si="38">C36+L36</f>
        <v>276</v>
      </c>
      <c r="O36" s="31">
        <f t="shared" si="38"/>
        <v>24</v>
      </c>
      <c r="P36" s="45" t="s">
        <v>58</v>
      </c>
      <c r="Q36" s="45" t="s">
        <v>58</v>
      </c>
      <c r="R36" s="45" t="s">
        <v>58</v>
      </c>
      <c r="S36" s="46">
        <f t="shared" si="4"/>
        <v>1</v>
      </c>
      <c r="T36" s="46"/>
      <c r="U36" s="46">
        <f t="shared" si="5"/>
        <v>8</v>
      </c>
      <c r="V36" s="46">
        <f t="shared" si="6"/>
        <v>-4</v>
      </c>
      <c r="W36" s="30">
        <f t="shared" si="9"/>
        <v>32</v>
      </c>
    </row>
    <row r="37">
      <c r="A37" s="30">
        <f t="shared" si="7"/>
        <v>33</v>
      </c>
      <c r="B37" s="43" t="s">
        <v>133</v>
      </c>
      <c r="C37" s="31">
        <v>260.0</v>
      </c>
      <c r="D37" s="31">
        <v>21.0</v>
      </c>
      <c r="E37" s="36">
        <f t="shared" si="2"/>
        <v>11.65</v>
      </c>
      <c r="F37" s="73">
        <v>1.0</v>
      </c>
      <c r="G37" s="74">
        <v>5.0</v>
      </c>
      <c r="H37" s="75">
        <v>0.0</v>
      </c>
      <c r="I37" s="74">
        <v>2.0</v>
      </c>
      <c r="J37" s="74">
        <v>3.0</v>
      </c>
      <c r="K37" s="74">
        <v>3.0</v>
      </c>
      <c r="L37" s="76">
        <v>8.0</v>
      </c>
      <c r="M37" s="74">
        <v>0.0</v>
      </c>
      <c r="N37" s="31">
        <f t="shared" ref="N37:O37" si="39">C37+L37</f>
        <v>268</v>
      </c>
      <c r="O37" s="31">
        <f t="shared" si="39"/>
        <v>21</v>
      </c>
      <c r="P37" s="45" t="s">
        <v>58</v>
      </c>
      <c r="Q37" s="45" t="s">
        <v>58</v>
      </c>
      <c r="R37" s="45" t="s">
        <v>58</v>
      </c>
      <c r="S37" s="46">
        <f t="shared" si="4"/>
        <v>0</v>
      </c>
      <c r="T37" s="46"/>
      <c r="U37" s="46">
        <f t="shared" si="5"/>
        <v>3</v>
      </c>
      <c r="V37" s="46">
        <f t="shared" si="6"/>
        <v>0</v>
      </c>
      <c r="W37" s="30">
        <f t="shared" si="9"/>
        <v>33</v>
      </c>
    </row>
    <row r="38">
      <c r="A38" s="30">
        <f t="shared" si="7"/>
        <v>34</v>
      </c>
      <c r="B38" s="43" t="s">
        <v>61</v>
      </c>
      <c r="C38" s="47">
        <v>259.0</v>
      </c>
      <c r="D38" s="31">
        <v>29.0</v>
      </c>
      <c r="E38" s="36">
        <f t="shared" si="2"/>
        <v>11.36363636</v>
      </c>
      <c r="F38" s="73">
        <v>1.0</v>
      </c>
      <c r="G38" s="74">
        <v>5.0</v>
      </c>
      <c r="H38" s="75">
        <v>0.0</v>
      </c>
      <c r="I38" s="74">
        <v>2.0</v>
      </c>
      <c r="J38" s="74">
        <v>6.0</v>
      </c>
      <c r="K38" s="74">
        <v>6.0</v>
      </c>
      <c r="L38" s="76">
        <v>14.0</v>
      </c>
      <c r="M38" s="74">
        <v>2.0</v>
      </c>
      <c r="N38" s="47">
        <f t="shared" ref="N38:O38" si="40">C38+L38</f>
        <v>273</v>
      </c>
      <c r="O38" s="31">
        <f t="shared" si="40"/>
        <v>31</v>
      </c>
      <c r="P38" s="45" t="s">
        <v>58</v>
      </c>
      <c r="Q38" s="45" t="s">
        <v>58</v>
      </c>
      <c r="R38" s="45" t="s">
        <v>58</v>
      </c>
      <c r="S38" s="46">
        <f t="shared" si="4"/>
        <v>0</v>
      </c>
      <c r="T38" s="46"/>
      <c r="U38" s="46">
        <f t="shared" si="5"/>
        <v>1</v>
      </c>
      <c r="V38" s="46">
        <f t="shared" si="6"/>
        <v>0</v>
      </c>
      <c r="W38" s="30">
        <f t="shared" si="9"/>
        <v>34</v>
      </c>
    </row>
    <row r="39">
      <c r="A39" s="30">
        <f t="shared" si="7"/>
        <v>35</v>
      </c>
      <c r="B39" s="28" t="s">
        <v>49</v>
      </c>
      <c r="C39" s="31">
        <v>257.0</v>
      </c>
      <c r="D39" s="31">
        <v>22.0</v>
      </c>
      <c r="E39" s="36">
        <f t="shared" si="2"/>
        <v>11.3</v>
      </c>
      <c r="F39" s="73">
        <v>1.0</v>
      </c>
      <c r="G39" s="74">
        <v>6.0</v>
      </c>
      <c r="H39" s="75">
        <v>0.0</v>
      </c>
      <c r="I39" s="74">
        <v>6.0</v>
      </c>
      <c r="J39" s="74">
        <v>3.0</v>
      </c>
      <c r="K39" s="74">
        <v>6.0</v>
      </c>
      <c r="L39" s="76">
        <v>15.0</v>
      </c>
      <c r="M39" s="74">
        <v>2.0</v>
      </c>
      <c r="N39" s="31">
        <f t="shared" ref="N39:O39" si="41">C39+L39</f>
        <v>272</v>
      </c>
      <c r="O39" s="31">
        <f t="shared" si="41"/>
        <v>24</v>
      </c>
      <c r="P39" s="45" t="s">
        <v>58</v>
      </c>
      <c r="Q39" s="45" t="s">
        <v>58</v>
      </c>
      <c r="R39" s="45" t="s">
        <v>58</v>
      </c>
      <c r="S39" s="46">
        <f t="shared" si="4"/>
        <v>1</v>
      </c>
      <c r="T39" s="46"/>
      <c r="U39" s="46">
        <f t="shared" si="5"/>
        <v>2</v>
      </c>
      <c r="V39" s="46">
        <f t="shared" si="6"/>
        <v>1</v>
      </c>
      <c r="W39" s="30">
        <f t="shared" si="9"/>
        <v>35</v>
      </c>
    </row>
    <row r="40">
      <c r="A40" s="30">
        <f t="shared" si="7"/>
        <v>36</v>
      </c>
      <c r="B40" s="48" t="s">
        <v>134</v>
      </c>
      <c r="C40" s="31">
        <v>256.0</v>
      </c>
      <c r="D40" s="31">
        <v>18.0</v>
      </c>
      <c r="E40" s="36">
        <f t="shared" si="2"/>
        <v>13.09090909</v>
      </c>
      <c r="F40" s="73">
        <v>3.0</v>
      </c>
      <c r="G40" s="74">
        <v>0.0</v>
      </c>
      <c r="H40" s="75">
        <v>9.0</v>
      </c>
      <c r="I40" s="74">
        <v>0.0</v>
      </c>
      <c r="J40" s="74">
        <v>0.0</v>
      </c>
      <c r="K40" s="74">
        <v>0.0</v>
      </c>
      <c r="L40" s="76">
        <v>9.0</v>
      </c>
      <c r="M40" s="74">
        <v>0.0</v>
      </c>
      <c r="N40" s="31">
        <f t="shared" ref="N40:O40" si="42">C40+L40</f>
        <v>265</v>
      </c>
      <c r="O40" s="31">
        <f t="shared" si="42"/>
        <v>18</v>
      </c>
      <c r="P40" s="45" t="s">
        <v>58</v>
      </c>
      <c r="Q40" s="45" t="s">
        <v>58</v>
      </c>
      <c r="R40" s="45" t="s">
        <v>58</v>
      </c>
      <c r="S40" s="46">
        <f t="shared" si="4"/>
        <v>1</v>
      </c>
      <c r="T40" s="46"/>
      <c r="U40" s="46">
        <f t="shared" si="5"/>
        <v>11</v>
      </c>
      <c r="V40" s="46">
        <f t="shared" si="6"/>
        <v>-1</v>
      </c>
      <c r="W40" s="30">
        <f t="shared" si="9"/>
        <v>36</v>
      </c>
    </row>
    <row r="41">
      <c r="A41" s="30">
        <f t="shared" si="7"/>
        <v>37</v>
      </c>
      <c r="B41" s="48" t="s">
        <v>70</v>
      </c>
      <c r="C41" s="31">
        <v>253.0</v>
      </c>
      <c r="D41" s="31">
        <v>18.0</v>
      </c>
      <c r="E41" s="36">
        <f t="shared" si="2"/>
        <v>12</v>
      </c>
      <c r="F41" s="73">
        <v>2.0</v>
      </c>
      <c r="G41" s="74">
        <v>6.0</v>
      </c>
      <c r="H41" s="75">
        <v>0.0</v>
      </c>
      <c r="I41" s="74">
        <v>3.0</v>
      </c>
      <c r="J41" s="74">
        <v>6.0</v>
      </c>
      <c r="K41" s="74">
        <v>6.0</v>
      </c>
      <c r="L41" s="76">
        <v>15.0</v>
      </c>
      <c r="M41" s="74">
        <v>2.0</v>
      </c>
      <c r="N41" s="31">
        <f t="shared" ref="N41:O41" si="43">C41+L41</f>
        <v>268</v>
      </c>
      <c r="O41" s="31">
        <f t="shared" si="43"/>
        <v>20</v>
      </c>
      <c r="P41" s="45" t="s">
        <v>58</v>
      </c>
      <c r="Q41" s="45" t="s">
        <v>58</v>
      </c>
      <c r="R41" s="45" t="s">
        <v>58</v>
      </c>
      <c r="S41" s="46">
        <f t="shared" si="4"/>
        <v>1</v>
      </c>
      <c r="T41" s="46"/>
      <c r="U41" s="46">
        <f t="shared" si="5"/>
        <v>8</v>
      </c>
      <c r="V41" s="46">
        <f t="shared" si="6"/>
        <v>2</v>
      </c>
      <c r="W41" s="30">
        <f t="shared" si="9"/>
        <v>37</v>
      </c>
    </row>
    <row r="42">
      <c r="A42" s="30">
        <f t="shared" si="7"/>
        <v>38</v>
      </c>
      <c r="B42" s="43" t="s">
        <v>122</v>
      </c>
      <c r="C42" s="31">
        <v>251.0</v>
      </c>
      <c r="D42" s="31">
        <v>17.0</v>
      </c>
      <c r="E42" s="36">
        <f t="shared" si="2"/>
        <v>13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4">C42+L42</f>
        <v>260</v>
      </c>
      <c r="O42" s="31">
        <f t="shared" si="44"/>
        <v>17</v>
      </c>
      <c r="P42" s="45" t="s">
        <v>58</v>
      </c>
      <c r="Q42" s="45" t="s">
        <v>58</v>
      </c>
      <c r="R42" s="45" t="s">
        <v>58</v>
      </c>
      <c r="S42" s="46">
        <f t="shared" si="4"/>
        <v>0</v>
      </c>
      <c r="T42" s="46"/>
      <c r="U42" s="46">
        <f t="shared" si="5"/>
        <v>12</v>
      </c>
      <c r="V42" s="46">
        <f t="shared" si="6"/>
        <v>-1</v>
      </c>
      <c r="W42" s="30">
        <f t="shared" si="9"/>
        <v>38</v>
      </c>
    </row>
    <row r="43">
      <c r="A43" s="30">
        <f t="shared" si="7"/>
        <v>39</v>
      </c>
      <c r="B43" s="43" t="s">
        <v>131</v>
      </c>
      <c r="C43" s="31">
        <v>251.0</v>
      </c>
      <c r="D43" s="31">
        <v>12.0</v>
      </c>
      <c r="E43" s="36">
        <f t="shared" si="2"/>
        <v>13.44444444</v>
      </c>
      <c r="F43" s="73">
        <v>1.0</v>
      </c>
      <c r="G43" s="74">
        <v>6.0</v>
      </c>
      <c r="H43" s="75">
        <v>0.0</v>
      </c>
      <c r="I43" s="74">
        <v>3.0</v>
      </c>
      <c r="J43" s="74">
        <v>3.0</v>
      </c>
      <c r="K43" s="74">
        <v>3.0</v>
      </c>
      <c r="L43" s="76">
        <v>9.0</v>
      </c>
      <c r="M43" s="74">
        <v>0.0</v>
      </c>
      <c r="N43" s="31">
        <f t="shared" ref="N43:O43" si="45">C43+L43</f>
        <v>260</v>
      </c>
      <c r="O43" s="31">
        <f t="shared" si="45"/>
        <v>12</v>
      </c>
      <c r="P43" s="45" t="s">
        <v>58</v>
      </c>
      <c r="Q43" s="45" t="s">
        <v>58</v>
      </c>
      <c r="R43" s="45" t="s">
        <v>58</v>
      </c>
      <c r="S43" s="46">
        <f t="shared" si="4"/>
        <v>1</v>
      </c>
      <c r="T43" s="46"/>
      <c r="U43" s="46">
        <f t="shared" si="5"/>
        <v>13</v>
      </c>
      <c r="V43" s="46">
        <f t="shared" si="6"/>
        <v>8</v>
      </c>
      <c r="W43" s="30">
        <f t="shared" si="9"/>
        <v>39</v>
      </c>
    </row>
    <row r="44">
      <c r="A44" s="30">
        <f t="shared" si="7"/>
        <v>40</v>
      </c>
      <c r="B44" s="48" t="s">
        <v>125</v>
      </c>
      <c r="C44" s="31">
        <v>250.0</v>
      </c>
      <c r="D44" s="31">
        <v>18.0</v>
      </c>
      <c r="E44" s="36">
        <f t="shared" si="2"/>
        <v>11.04761905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6">C44+L44</f>
        <v>259</v>
      </c>
      <c r="O44" s="31">
        <f t="shared" si="46"/>
        <v>18</v>
      </c>
      <c r="P44" s="45" t="s">
        <v>58</v>
      </c>
      <c r="Q44" s="45" t="s">
        <v>58</v>
      </c>
      <c r="R44" s="45" t="s">
        <v>58</v>
      </c>
      <c r="S44" s="46">
        <f t="shared" si="4"/>
        <v>0</v>
      </c>
      <c r="T44" s="46"/>
      <c r="U44" s="46">
        <f t="shared" si="5"/>
        <v>2</v>
      </c>
      <c r="V44" s="46">
        <f t="shared" si="6"/>
        <v>0</v>
      </c>
      <c r="W44" s="30">
        <f t="shared" si="9"/>
        <v>40</v>
      </c>
    </row>
    <row r="45">
      <c r="A45" s="30">
        <f t="shared" si="7"/>
        <v>41</v>
      </c>
      <c r="B45" s="28" t="s">
        <v>84</v>
      </c>
      <c r="C45" s="31">
        <v>248.0</v>
      </c>
      <c r="D45" s="31">
        <v>20.0</v>
      </c>
      <c r="E45" s="36">
        <f t="shared" si="2"/>
        <v>11.92857143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7">C45+L45</f>
        <v>257</v>
      </c>
      <c r="O45" s="31">
        <f t="shared" si="47"/>
        <v>20</v>
      </c>
      <c r="P45" s="45" t="s">
        <v>58</v>
      </c>
      <c r="Q45" s="45" t="s">
        <v>58</v>
      </c>
      <c r="R45" s="45" t="s">
        <v>58</v>
      </c>
      <c r="S45" s="46">
        <f t="shared" si="4"/>
        <v>0</v>
      </c>
      <c r="T45" s="46"/>
      <c r="U45" s="46">
        <f t="shared" si="5"/>
        <v>9</v>
      </c>
      <c r="V45" s="46">
        <f t="shared" si="6"/>
        <v>0</v>
      </c>
      <c r="W45" s="30">
        <f t="shared" si="9"/>
        <v>41</v>
      </c>
    </row>
    <row r="46">
      <c r="A46" s="30">
        <f t="shared" si="7"/>
        <v>42</v>
      </c>
      <c r="B46" s="28" t="s">
        <v>127</v>
      </c>
      <c r="C46" s="31">
        <v>248.0</v>
      </c>
      <c r="D46" s="31">
        <v>12.0</v>
      </c>
      <c r="E46" s="36">
        <f t="shared" si="2"/>
        <v>16.4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257</v>
      </c>
      <c r="O46" s="31">
        <f t="shared" si="48"/>
        <v>12</v>
      </c>
      <c r="P46" s="45" t="s">
        <v>58</v>
      </c>
      <c r="Q46" s="45" t="s">
        <v>58</v>
      </c>
      <c r="R46" s="45" t="s">
        <v>58</v>
      </c>
      <c r="S46" s="46">
        <f t="shared" si="4"/>
        <v>1</v>
      </c>
      <c r="T46" s="46"/>
      <c r="U46" s="46">
        <f t="shared" si="5"/>
        <v>17</v>
      </c>
      <c r="V46" s="46">
        <f t="shared" si="6"/>
        <v>0</v>
      </c>
      <c r="W46" s="30">
        <f t="shared" si="9"/>
        <v>42</v>
      </c>
    </row>
    <row r="47">
      <c r="A47" s="30">
        <f t="shared" si="7"/>
        <v>43</v>
      </c>
      <c r="B47" s="43" t="s">
        <v>136</v>
      </c>
      <c r="C47" s="31">
        <v>247.0</v>
      </c>
      <c r="D47" s="31">
        <v>21.0</v>
      </c>
      <c r="E47" s="36">
        <f t="shared" si="2"/>
        <v>11.35294118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256</v>
      </c>
      <c r="O47" s="31">
        <f t="shared" si="49"/>
        <v>21</v>
      </c>
      <c r="P47" s="45" t="s">
        <v>58</v>
      </c>
      <c r="Q47" s="45" t="s">
        <v>58</v>
      </c>
      <c r="R47" s="45" t="s">
        <v>58</v>
      </c>
      <c r="S47" s="46">
        <f t="shared" si="4"/>
        <v>0</v>
      </c>
      <c r="T47" s="46"/>
      <c r="U47" s="46">
        <f t="shared" si="5"/>
        <v>6</v>
      </c>
      <c r="V47" s="46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48" t="s">
        <v>103</v>
      </c>
      <c r="C48" s="31">
        <v>245.0</v>
      </c>
      <c r="D48" s="31">
        <v>22.0</v>
      </c>
      <c r="E48" s="36">
        <f t="shared" si="2"/>
        <v>11</v>
      </c>
      <c r="F48" s="73">
        <v>1.0</v>
      </c>
      <c r="G48" s="74">
        <v>6.0</v>
      </c>
      <c r="H48" s="75">
        <v>0.0</v>
      </c>
      <c r="I48" s="74">
        <v>6.0</v>
      </c>
      <c r="J48" s="74">
        <v>6.0</v>
      </c>
      <c r="K48" s="74">
        <v>3.0</v>
      </c>
      <c r="L48" s="76">
        <v>15.0</v>
      </c>
      <c r="M48" s="74">
        <v>2.0</v>
      </c>
      <c r="N48" s="31">
        <f t="shared" ref="N48:O48" si="50">C48+L48</f>
        <v>260</v>
      </c>
      <c r="O48" s="31">
        <f t="shared" si="50"/>
        <v>24</v>
      </c>
      <c r="P48" s="45" t="s">
        <v>58</v>
      </c>
      <c r="Q48" s="45" t="s">
        <v>58</v>
      </c>
      <c r="R48" s="45" t="s">
        <v>58</v>
      </c>
      <c r="S48" s="46">
        <f t="shared" si="4"/>
        <v>0</v>
      </c>
      <c r="T48" s="46"/>
      <c r="U48" s="46">
        <f t="shared" si="5"/>
        <v>4</v>
      </c>
      <c r="V48" s="46">
        <f t="shared" si="6"/>
        <v>0</v>
      </c>
      <c r="W48" s="30">
        <f t="shared" si="9"/>
        <v>44</v>
      </c>
    </row>
    <row r="49">
      <c r="A49" s="30">
        <f t="shared" si="7"/>
        <v>45</v>
      </c>
      <c r="B49" s="28" t="s">
        <v>89</v>
      </c>
      <c r="C49" s="31">
        <v>243.0</v>
      </c>
      <c r="D49" s="31">
        <v>14.0</v>
      </c>
      <c r="E49" s="36">
        <f t="shared" si="2"/>
        <v>12.11111111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1">C49+L49</f>
        <v>252</v>
      </c>
      <c r="O49" s="31">
        <f t="shared" si="51"/>
        <v>14</v>
      </c>
      <c r="P49" s="45" t="s">
        <v>58</v>
      </c>
      <c r="Q49" s="45" t="s">
        <v>58</v>
      </c>
      <c r="R49" s="45" t="s">
        <v>58</v>
      </c>
      <c r="S49" s="46">
        <f t="shared" si="4"/>
        <v>2</v>
      </c>
      <c r="T49" s="46"/>
      <c r="U49" s="46">
        <f t="shared" si="5"/>
        <v>12</v>
      </c>
      <c r="V49" s="46">
        <f t="shared" si="6"/>
        <v>0</v>
      </c>
      <c r="W49" s="30">
        <f t="shared" si="9"/>
        <v>45</v>
      </c>
    </row>
    <row r="50">
      <c r="A50" s="30">
        <f t="shared" si="7"/>
        <v>46</v>
      </c>
      <c r="B50" s="43" t="s">
        <v>62</v>
      </c>
      <c r="C50" s="31">
        <v>242.0</v>
      </c>
      <c r="D50" s="31">
        <v>14.0</v>
      </c>
      <c r="E50" s="36">
        <f t="shared" si="2"/>
        <v>13.375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251</v>
      </c>
      <c r="O50" s="31">
        <f t="shared" si="52"/>
        <v>14</v>
      </c>
      <c r="P50" s="45" t="s">
        <v>58</v>
      </c>
      <c r="Q50" s="45" t="s">
        <v>58</v>
      </c>
      <c r="R50" s="45" t="s">
        <v>58</v>
      </c>
      <c r="S50" s="46">
        <f t="shared" si="4"/>
        <v>0</v>
      </c>
      <c r="T50" s="46"/>
      <c r="U50" s="46">
        <f t="shared" si="5"/>
        <v>15</v>
      </c>
      <c r="V50" s="46">
        <f t="shared" si="6"/>
        <v>0</v>
      </c>
      <c r="W50" s="30">
        <f t="shared" si="9"/>
        <v>46</v>
      </c>
    </row>
    <row r="51">
      <c r="A51" s="30">
        <f t="shared" si="7"/>
        <v>47</v>
      </c>
      <c r="B51" s="48" t="s">
        <v>54</v>
      </c>
      <c r="C51" s="31">
        <v>241.0</v>
      </c>
      <c r="D51" s="31">
        <v>17.0</v>
      </c>
      <c r="E51" s="36">
        <f t="shared" si="2"/>
        <v>10.875</v>
      </c>
      <c r="F51" s="73">
        <v>1.0</v>
      </c>
      <c r="G51" s="74">
        <v>7.0</v>
      </c>
      <c r="H51" s="75">
        <v>0.0</v>
      </c>
      <c r="I51" s="74">
        <v>2.0</v>
      </c>
      <c r="J51" s="74">
        <v>4.0</v>
      </c>
      <c r="K51" s="74">
        <v>3.0</v>
      </c>
      <c r="L51" s="76">
        <v>9.0</v>
      </c>
      <c r="M51" s="74">
        <v>0.0</v>
      </c>
      <c r="N51" s="31">
        <f t="shared" ref="N51:O51" si="53">C51+L51</f>
        <v>250</v>
      </c>
      <c r="O51" s="31">
        <f t="shared" si="53"/>
        <v>17</v>
      </c>
      <c r="P51" s="45" t="s">
        <v>58</v>
      </c>
      <c r="Q51" s="45" t="s">
        <v>58</v>
      </c>
      <c r="R51" s="45" t="s">
        <v>58</v>
      </c>
      <c r="S51" s="46">
        <f t="shared" si="4"/>
        <v>1</v>
      </c>
      <c r="T51" s="46"/>
      <c r="U51" s="46">
        <f t="shared" si="5"/>
        <v>6</v>
      </c>
      <c r="V51" s="46">
        <f t="shared" si="6"/>
        <v>-9</v>
      </c>
      <c r="W51" s="30">
        <f t="shared" si="9"/>
        <v>47</v>
      </c>
    </row>
    <row r="52">
      <c r="A52" s="30">
        <f t="shared" si="7"/>
        <v>48</v>
      </c>
      <c r="B52" s="28" t="s">
        <v>137</v>
      </c>
      <c r="C52" s="31">
        <v>241.0</v>
      </c>
      <c r="D52" s="31">
        <v>10.0</v>
      </c>
      <c r="E52" s="36">
        <f t="shared" si="2"/>
        <v>13.33333333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4">C52+L52</f>
        <v>250</v>
      </c>
      <c r="O52" s="31">
        <f t="shared" si="54"/>
        <v>10</v>
      </c>
      <c r="P52" s="45" t="s">
        <v>58</v>
      </c>
      <c r="Q52" s="45" t="s">
        <v>58</v>
      </c>
      <c r="R52" s="45" t="s">
        <v>58</v>
      </c>
      <c r="S52" s="46">
        <f t="shared" si="4"/>
        <v>2</v>
      </c>
      <c r="T52" s="46"/>
      <c r="U52" s="46">
        <f t="shared" si="5"/>
        <v>15</v>
      </c>
      <c r="V52" s="46">
        <f t="shared" si="6"/>
        <v>0</v>
      </c>
      <c r="W52" s="30">
        <f t="shared" si="9"/>
        <v>48</v>
      </c>
    </row>
    <row r="53">
      <c r="A53" s="30">
        <f t="shared" si="7"/>
        <v>49</v>
      </c>
      <c r="B53" s="28" t="s">
        <v>93</v>
      </c>
      <c r="C53" s="31">
        <v>238.0</v>
      </c>
      <c r="D53" s="31">
        <v>14.0</v>
      </c>
      <c r="E53" s="36">
        <f t="shared" si="2"/>
        <v>12.1</v>
      </c>
      <c r="F53" s="73">
        <v>1.0</v>
      </c>
      <c r="G53" s="74">
        <v>7.0</v>
      </c>
      <c r="H53" s="75">
        <v>0.0</v>
      </c>
      <c r="I53" s="74">
        <v>2.0</v>
      </c>
      <c r="J53" s="74">
        <v>6.0</v>
      </c>
      <c r="K53" s="74">
        <v>6.0</v>
      </c>
      <c r="L53" s="76">
        <v>14.0</v>
      </c>
      <c r="M53" s="74">
        <v>2.0</v>
      </c>
      <c r="N53" s="31">
        <f t="shared" ref="N53:O53" si="55">C53+L53</f>
        <v>252</v>
      </c>
      <c r="O53" s="31">
        <f t="shared" si="55"/>
        <v>16</v>
      </c>
      <c r="P53" s="45" t="s">
        <v>58</v>
      </c>
      <c r="Q53" s="45" t="s">
        <v>58</v>
      </c>
      <c r="R53" s="45" t="s">
        <v>58</v>
      </c>
      <c r="S53" s="46">
        <f t="shared" si="4"/>
        <v>0</v>
      </c>
      <c r="T53" s="46"/>
      <c r="U53" s="46">
        <f t="shared" si="5"/>
        <v>13</v>
      </c>
      <c r="V53" s="46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43" t="s">
        <v>138</v>
      </c>
      <c r="C54" s="47">
        <v>234.0</v>
      </c>
      <c r="D54" s="31">
        <v>18.0</v>
      </c>
      <c r="E54" s="36">
        <f t="shared" si="2"/>
        <v>11.25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47">
        <f t="shared" ref="N54:O54" si="56">C54+L54</f>
        <v>243</v>
      </c>
      <c r="O54" s="31">
        <f t="shared" si="56"/>
        <v>18</v>
      </c>
      <c r="P54" s="45" t="s">
        <v>58</v>
      </c>
      <c r="Q54" s="45" t="s">
        <v>58</v>
      </c>
      <c r="R54" s="45" t="s">
        <v>58</v>
      </c>
      <c r="S54" s="46">
        <f t="shared" si="4"/>
        <v>0</v>
      </c>
      <c r="T54" s="46"/>
      <c r="U54" s="46">
        <f t="shared" si="5"/>
        <v>11</v>
      </c>
      <c r="V54" s="46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43" t="s">
        <v>96</v>
      </c>
      <c r="C55" s="31">
        <v>234.0</v>
      </c>
      <c r="D55" s="31">
        <v>9.0</v>
      </c>
      <c r="E55" s="36">
        <f t="shared" si="2"/>
        <v>10.46153846</v>
      </c>
      <c r="F55" s="73">
        <v>2.0</v>
      </c>
      <c r="G55" s="74">
        <v>7.0</v>
      </c>
      <c r="H55" s="75">
        <v>0.0</v>
      </c>
      <c r="I55" s="74">
        <v>6.0</v>
      </c>
      <c r="J55" s="74">
        <v>6.0</v>
      </c>
      <c r="K55" s="74">
        <v>3.0</v>
      </c>
      <c r="L55" s="76">
        <v>15.0</v>
      </c>
      <c r="M55" s="74">
        <v>2.0</v>
      </c>
      <c r="N55" s="31">
        <f t="shared" ref="N55:O55" si="57">C55+L55</f>
        <v>249</v>
      </c>
      <c r="O55" s="31">
        <f t="shared" si="57"/>
        <v>11</v>
      </c>
      <c r="P55" s="45" t="s">
        <v>58</v>
      </c>
      <c r="Q55" s="45" t="s">
        <v>58</v>
      </c>
      <c r="R55" s="45" t="s">
        <v>58</v>
      </c>
      <c r="S55" s="46">
        <f t="shared" si="4"/>
        <v>2</v>
      </c>
      <c r="T55" s="46"/>
      <c r="U55" s="46">
        <f t="shared" si="5"/>
        <v>8</v>
      </c>
      <c r="V55" s="46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43" t="s">
        <v>140</v>
      </c>
      <c r="C56" s="31">
        <v>229.0</v>
      </c>
      <c r="D56" s="31">
        <v>11.0</v>
      </c>
      <c r="E56" s="36">
        <f t="shared" si="2"/>
        <v>11.25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238</v>
      </c>
      <c r="O56" s="31">
        <f t="shared" si="58"/>
        <v>11</v>
      </c>
      <c r="P56" s="45" t="s">
        <v>58</v>
      </c>
      <c r="Q56" s="45" t="s">
        <v>58</v>
      </c>
      <c r="R56" s="45" t="s">
        <v>58</v>
      </c>
      <c r="S56" s="46">
        <f t="shared" si="4"/>
        <v>1</v>
      </c>
      <c r="T56" s="46"/>
      <c r="U56" s="46">
        <f t="shared" si="5"/>
        <v>14</v>
      </c>
      <c r="V56" s="46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28" t="s">
        <v>102</v>
      </c>
      <c r="C57" s="31">
        <v>229.0</v>
      </c>
      <c r="D57" s="31">
        <v>9.0</v>
      </c>
      <c r="E57" s="36">
        <f t="shared" si="2"/>
        <v>15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238</v>
      </c>
      <c r="O57" s="31">
        <f t="shared" si="59"/>
        <v>9</v>
      </c>
      <c r="P57" s="45" t="s">
        <v>58</v>
      </c>
      <c r="Q57" s="45" t="s">
        <v>58</v>
      </c>
      <c r="R57" s="45" t="s">
        <v>58</v>
      </c>
      <c r="S57" s="46">
        <f t="shared" si="4"/>
        <v>1</v>
      </c>
      <c r="T57" s="46"/>
      <c r="U57" s="46">
        <f t="shared" si="5"/>
        <v>19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139</v>
      </c>
      <c r="C58" s="31">
        <v>226.0</v>
      </c>
      <c r="D58" s="31">
        <v>7.0</v>
      </c>
      <c r="E58" s="36">
        <f t="shared" si="2"/>
        <v>12</v>
      </c>
      <c r="F58" s="73">
        <v>1.0</v>
      </c>
      <c r="G58" s="74">
        <v>7.0</v>
      </c>
      <c r="H58" s="75">
        <v>0.0</v>
      </c>
      <c r="I58" s="74">
        <v>6.0</v>
      </c>
      <c r="J58" s="74">
        <v>4.0</v>
      </c>
      <c r="K58" s="74">
        <v>6.0</v>
      </c>
      <c r="L58" s="76">
        <v>16.0</v>
      </c>
      <c r="M58" s="74">
        <v>2.0</v>
      </c>
      <c r="N58" s="31">
        <f t="shared" ref="N58:O58" si="60">C58+L58</f>
        <v>242</v>
      </c>
      <c r="O58" s="31">
        <f t="shared" si="60"/>
        <v>9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17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219.0</v>
      </c>
      <c r="D59" s="31">
        <v>7.0</v>
      </c>
      <c r="E59" s="36">
        <f t="shared" si="2"/>
        <v>11</v>
      </c>
      <c r="F59" s="73">
        <v>4.0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228</v>
      </c>
      <c r="O59" s="31">
        <f t="shared" si="61"/>
        <v>7</v>
      </c>
      <c r="P59" s="45" t="s">
        <v>58</v>
      </c>
      <c r="Q59" s="45" t="s">
        <v>58</v>
      </c>
      <c r="R59" s="45" t="s">
        <v>58</v>
      </c>
      <c r="S59" s="46">
        <f t="shared" si="4"/>
        <v>1</v>
      </c>
      <c r="T59" s="46"/>
      <c r="U59" s="46">
        <f t="shared" si="5"/>
        <v>18</v>
      </c>
      <c r="V59" s="46">
        <f t="shared" si="6"/>
        <v>2</v>
      </c>
      <c r="W59" s="30">
        <f t="shared" si="9"/>
        <v>55</v>
      </c>
    </row>
    <row r="60">
      <c r="A60" s="30">
        <f t="shared" si="7"/>
        <v>56</v>
      </c>
      <c r="B60" s="43" t="s">
        <v>100</v>
      </c>
      <c r="C60" s="31">
        <v>217.0</v>
      </c>
      <c r="D60" s="31">
        <v>14.0</v>
      </c>
      <c r="E60" s="36">
        <f t="shared" si="2"/>
        <v>9.714285714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226</v>
      </c>
      <c r="O60" s="31">
        <f t="shared" si="62"/>
        <v>14</v>
      </c>
      <c r="P60" s="45" t="s">
        <v>58</v>
      </c>
      <c r="Q60" s="45" t="s">
        <v>58</v>
      </c>
      <c r="R60" s="45" t="s">
        <v>58</v>
      </c>
      <c r="S60" s="46">
        <f t="shared" si="4"/>
        <v>0</v>
      </c>
      <c r="T60" s="46"/>
      <c r="U60" s="46">
        <f t="shared" si="5"/>
        <v>9</v>
      </c>
      <c r="V60" s="46">
        <f t="shared" si="6"/>
        <v>-1</v>
      </c>
      <c r="W60" s="30">
        <f t="shared" si="9"/>
        <v>56</v>
      </c>
    </row>
    <row r="61">
      <c r="A61" s="30">
        <f t="shared" si="7"/>
        <v>57</v>
      </c>
      <c r="B61" s="43" t="s">
        <v>79</v>
      </c>
      <c r="C61" s="31">
        <v>214.0</v>
      </c>
      <c r="D61" s="31">
        <v>4.0</v>
      </c>
      <c r="E61" s="36">
        <f t="shared" si="2"/>
        <v>10.16666667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223</v>
      </c>
      <c r="O61" s="31">
        <f t="shared" si="63"/>
        <v>4</v>
      </c>
      <c r="P61" s="45" t="s">
        <v>58</v>
      </c>
      <c r="Q61" s="45" t="s">
        <v>58</v>
      </c>
      <c r="R61" s="45" t="s">
        <v>58</v>
      </c>
      <c r="S61" s="46">
        <f t="shared" si="4"/>
        <v>0</v>
      </c>
      <c r="T61" s="46"/>
      <c r="U61" s="46">
        <f t="shared" si="5"/>
        <v>17</v>
      </c>
      <c r="V61" s="46">
        <f t="shared" si="6"/>
        <v>-1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208.0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217</v>
      </c>
      <c r="O62" s="31">
        <f t="shared" si="64"/>
        <v>8</v>
      </c>
      <c r="P62" s="45" t="s">
        <v>58</v>
      </c>
      <c r="Q62" s="45" t="s">
        <v>58</v>
      </c>
      <c r="R62" s="45" t="s">
        <v>58</v>
      </c>
      <c r="S62" s="46">
        <f t="shared" si="4"/>
        <v>0</v>
      </c>
      <c r="T62" s="46"/>
      <c r="U62" s="46">
        <f t="shared" si="5"/>
        <v>16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76</v>
      </c>
      <c r="C63" s="31">
        <v>206.0</v>
      </c>
      <c r="D63" s="31">
        <v>2.0</v>
      </c>
      <c r="E63" s="36">
        <f t="shared" si="2"/>
        <v>8.5</v>
      </c>
      <c r="F63" s="73">
        <v>1.0</v>
      </c>
      <c r="G63" s="74">
        <v>8.0</v>
      </c>
      <c r="H63" s="75">
        <v>0.0</v>
      </c>
      <c r="I63" s="74">
        <v>2.0</v>
      </c>
      <c r="J63" s="74">
        <v>6.0</v>
      </c>
      <c r="K63" s="74">
        <v>6.0</v>
      </c>
      <c r="L63" s="76">
        <v>14.0</v>
      </c>
      <c r="M63" s="74">
        <v>2.0</v>
      </c>
      <c r="N63" s="31">
        <f t="shared" ref="N63:O63" si="65">C63+L63</f>
        <v>220</v>
      </c>
      <c r="O63" s="31">
        <f t="shared" si="65"/>
        <v>4</v>
      </c>
      <c r="P63" s="45" t="s">
        <v>58</v>
      </c>
      <c r="Q63" s="45" t="s">
        <v>58</v>
      </c>
      <c r="R63" s="45" t="s">
        <v>58</v>
      </c>
      <c r="S63" s="46">
        <f t="shared" si="4"/>
        <v>0</v>
      </c>
      <c r="T63" s="46"/>
      <c r="U63" s="46">
        <f t="shared" si="5"/>
        <v>21</v>
      </c>
      <c r="V63" s="46">
        <f t="shared" si="6"/>
        <v>4</v>
      </c>
      <c r="W63" s="30">
        <f t="shared" si="9"/>
        <v>59</v>
      </c>
    </row>
    <row r="64">
      <c r="A64" s="30">
        <f t="shared" si="7"/>
        <v>60</v>
      </c>
      <c r="B64" s="43" t="s">
        <v>142</v>
      </c>
      <c r="C64" s="47">
        <v>203.0</v>
      </c>
      <c r="D64" s="31">
        <v>6.0</v>
      </c>
      <c r="E64" s="36">
        <f t="shared" si="2"/>
        <v>7.4</v>
      </c>
      <c r="F64" s="73">
        <v>5.0</v>
      </c>
      <c r="G64" s="74">
        <v>0.0</v>
      </c>
      <c r="H64" s="75">
        <v>13.0</v>
      </c>
      <c r="I64" s="74">
        <v>0.0</v>
      </c>
      <c r="J64" s="74">
        <v>0.0</v>
      </c>
      <c r="K64" s="74">
        <v>0.0</v>
      </c>
      <c r="L64" s="76">
        <v>13.0</v>
      </c>
      <c r="M64" s="74">
        <v>0.0</v>
      </c>
      <c r="N64" s="47">
        <f t="shared" ref="N64:O64" si="66">C64+L64</f>
        <v>216</v>
      </c>
      <c r="O64" s="31">
        <f t="shared" si="66"/>
        <v>6</v>
      </c>
      <c r="P64" s="45" t="s">
        <v>58</v>
      </c>
      <c r="Q64" s="45" t="s">
        <v>58</v>
      </c>
      <c r="R64" s="45" t="s">
        <v>58</v>
      </c>
      <c r="S64" s="46">
        <f t="shared" si="4"/>
        <v>1</v>
      </c>
      <c r="T64" s="46"/>
      <c r="U64" s="46">
        <f t="shared" si="5"/>
        <v>17</v>
      </c>
      <c r="V64" s="46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43" t="s">
        <v>135</v>
      </c>
      <c r="C65" s="31">
        <v>203.0</v>
      </c>
      <c r="D65" s="31">
        <v>6.0</v>
      </c>
      <c r="E65" s="36">
        <f t="shared" si="2"/>
        <v>8.555555556</v>
      </c>
      <c r="F65" s="73">
        <v>1.0</v>
      </c>
      <c r="G65" s="74">
        <v>8.0</v>
      </c>
      <c r="H65" s="75">
        <v>0.0</v>
      </c>
      <c r="I65" s="74">
        <v>6.0</v>
      </c>
      <c r="J65" s="74">
        <v>0.0</v>
      </c>
      <c r="K65" s="74">
        <v>6.0</v>
      </c>
      <c r="L65" s="76">
        <v>12.0</v>
      </c>
      <c r="M65" s="74">
        <v>2.0</v>
      </c>
      <c r="N65" s="31">
        <f t="shared" ref="N65:O65" si="67">C65+L65</f>
        <v>215</v>
      </c>
      <c r="O65" s="31">
        <f t="shared" si="67"/>
        <v>8</v>
      </c>
      <c r="P65" s="45" t="s">
        <v>58</v>
      </c>
      <c r="Q65" s="45" t="s">
        <v>58</v>
      </c>
      <c r="R65" s="45" t="s">
        <v>58</v>
      </c>
      <c r="S65" s="46">
        <f t="shared" si="4"/>
        <v>0</v>
      </c>
      <c r="T65" s="46"/>
      <c r="U65" s="46">
        <f t="shared" si="5"/>
        <v>14</v>
      </c>
      <c r="V65" s="46">
        <f t="shared" si="6"/>
        <v>1</v>
      </c>
      <c r="W65" s="30">
        <f t="shared" si="9"/>
        <v>61</v>
      </c>
    </row>
    <row r="66">
      <c r="A66" s="30">
        <f t="shared" si="7"/>
        <v>62</v>
      </c>
      <c r="B66" s="28" t="s">
        <v>80</v>
      </c>
      <c r="C66" s="31">
        <v>202.0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211</v>
      </c>
      <c r="O66" s="31">
        <f t="shared" si="68"/>
        <v>0</v>
      </c>
      <c r="P66" s="45" t="s">
        <v>58</v>
      </c>
      <c r="Q66" s="45" t="s">
        <v>58</v>
      </c>
      <c r="R66" s="45" t="s">
        <v>143</v>
      </c>
      <c r="S66" s="46">
        <f t="shared" si="4"/>
        <v>1</v>
      </c>
      <c r="T66" s="46"/>
      <c r="U66" s="46">
        <f t="shared" si="5"/>
        <v>22</v>
      </c>
      <c r="V66" s="46">
        <f t="shared" si="6"/>
        <v>-2</v>
      </c>
      <c r="W66" s="30">
        <f t="shared" si="9"/>
        <v>62</v>
      </c>
    </row>
    <row r="67">
      <c r="A67" s="30">
        <f t="shared" si="7"/>
        <v>63</v>
      </c>
      <c r="B67" s="28" t="s">
        <v>72</v>
      </c>
      <c r="C67" s="31">
        <v>201.0</v>
      </c>
      <c r="D67" s="31">
        <v>1.0</v>
      </c>
      <c r="E67" s="36">
        <f t="shared" si="2"/>
        <v>4</v>
      </c>
      <c r="F67" s="73">
        <v>2.0</v>
      </c>
      <c r="G67" s="74">
        <v>8.0</v>
      </c>
      <c r="H67" s="75">
        <v>0.0</v>
      </c>
      <c r="I67" s="74">
        <v>6.0</v>
      </c>
      <c r="J67" s="74">
        <v>6.0</v>
      </c>
      <c r="K67" s="74">
        <v>2.0</v>
      </c>
      <c r="L67" s="76">
        <v>14.0</v>
      </c>
      <c r="M67" s="74">
        <v>2.0</v>
      </c>
      <c r="N67" s="31">
        <f t="shared" ref="N67:O67" si="69">C67+L67</f>
        <v>215</v>
      </c>
      <c r="O67" s="31">
        <f t="shared" si="69"/>
        <v>3</v>
      </c>
      <c r="P67" s="45" t="s">
        <v>58</v>
      </c>
      <c r="Q67" s="45" t="s">
        <v>58</v>
      </c>
      <c r="R67" s="45" t="s">
        <v>58</v>
      </c>
      <c r="S67" s="46">
        <f t="shared" si="4"/>
        <v>1</v>
      </c>
      <c r="T67" s="46"/>
      <c r="U67" s="46">
        <f t="shared" si="5"/>
        <v>20</v>
      </c>
      <c r="V67" s="46">
        <f t="shared" si="6"/>
        <v>-2</v>
      </c>
      <c r="W67" s="30">
        <f t="shared" si="9"/>
        <v>63</v>
      </c>
    </row>
    <row r="68">
      <c r="A68" s="30">
        <f t="shared" si="7"/>
        <v>64</v>
      </c>
      <c r="B68" s="43" t="s">
        <v>126</v>
      </c>
      <c r="C68" s="31">
        <v>198.0</v>
      </c>
      <c r="D68" s="31">
        <v>0.0</v>
      </c>
      <c r="E68" s="36">
        <f t="shared" si="2"/>
        <v>0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207</v>
      </c>
      <c r="O68" s="31">
        <f t="shared" si="70"/>
        <v>0</v>
      </c>
      <c r="P68" s="45" t="s">
        <v>58</v>
      </c>
      <c r="Q68" s="45" t="s">
        <v>58</v>
      </c>
      <c r="R68" s="45" t="s">
        <v>58</v>
      </c>
      <c r="S68" s="46">
        <f t="shared" si="4"/>
        <v>0</v>
      </c>
      <c r="T68" s="46"/>
      <c r="U68" s="46">
        <f t="shared" si="5"/>
        <v>23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183.0</v>
      </c>
      <c r="D69" s="31">
        <v>3.0</v>
      </c>
      <c r="E69" s="36">
        <f t="shared" si="2"/>
        <v>6.333333333</v>
      </c>
      <c r="F69" s="73">
        <v>1.0</v>
      </c>
      <c r="G69" s="74">
        <v>8.0</v>
      </c>
      <c r="H69" s="75">
        <v>0.0</v>
      </c>
      <c r="I69" s="74">
        <v>2.0</v>
      </c>
      <c r="J69" s="74">
        <v>0.0</v>
      </c>
      <c r="K69" s="74">
        <v>2.0</v>
      </c>
      <c r="L69" s="76">
        <v>4.0</v>
      </c>
      <c r="M69" s="74">
        <v>0.0</v>
      </c>
      <c r="N69" s="47">
        <f t="shared" ref="N69:O69" si="71">C69+L69</f>
        <v>187</v>
      </c>
      <c r="O69" s="31">
        <f t="shared" si="71"/>
        <v>3</v>
      </c>
      <c r="P69" s="45" t="s">
        <v>58</v>
      </c>
      <c r="Q69" s="45" t="s">
        <v>58</v>
      </c>
      <c r="R69" s="45" t="s">
        <v>58</v>
      </c>
      <c r="S69" s="46">
        <f t="shared" si="4"/>
        <v>0</v>
      </c>
      <c r="T69" s="46"/>
      <c r="U69" s="46">
        <f t="shared" si="5"/>
        <v>14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63</v>
      </c>
      <c r="S74" s="80">
        <f>R74/R78</f>
        <v>0.9692307692</v>
      </c>
    </row>
    <row r="75">
      <c r="A75" s="1"/>
      <c r="C75" s="1"/>
      <c r="D75" s="1"/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81" t="s">
        <v>146</v>
      </c>
      <c r="C76" s="82" t="s">
        <v>147</v>
      </c>
      <c r="D76" s="82" t="s">
        <v>148</v>
      </c>
      <c r="E76" s="82" t="s">
        <v>1</v>
      </c>
      <c r="F76" s="1"/>
      <c r="L76" s="77"/>
      <c r="M76" s="78"/>
      <c r="P76" s="79" t="s">
        <v>150</v>
      </c>
      <c r="Q76" s="24"/>
      <c r="R76" s="14">
        <v>1.0</v>
      </c>
    </row>
    <row r="77">
      <c r="A77" s="1"/>
      <c r="B77" s="43" t="str">
        <f>IFERROR(__xludf.DUMMYFUNCTION("QUERY(B5:M69,""Select B, L, M, G where L &gt;= 18 order by L desc,M desc"",0)"),"Erik Hoeckmann")</f>
        <v>Erik Hoeckmann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IFERROR(__xludf.DUMMYFUNCTION("""COMPUTED_VALUE"""),3.0)</f>
        <v>3</v>
      </c>
      <c r="F77" s="1"/>
      <c r="L77" s="77"/>
      <c r="M77" s="78"/>
      <c r="P77" s="79" t="s">
        <v>151</v>
      </c>
      <c r="Q77" s="24"/>
      <c r="R77" s="18">
        <f>countif(R5:R69,"")</f>
        <v>1</v>
      </c>
    </row>
    <row r="78">
      <c r="A78" s="1"/>
      <c r="B78" s="43" t="str">
        <f>IFERROR(__xludf.DUMMYFUNCTION("""COMPUTED_VALUE"""),"Ethan Gu")</f>
        <v>Ethan Gu</v>
      </c>
      <c r="C78" s="84">
        <f>IFERROR(__xludf.DUMMYFUNCTION("""COMPUTED_VALUE"""),19.0)</f>
        <v>19</v>
      </c>
      <c r="D78" s="84">
        <f>IFERROR(__xludf.DUMMYFUNCTION("""COMPUTED_VALUE"""),2.0)</f>
        <v>2</v>
      </c>
      <c r="E78" s="84">
        <f>IFERROR(__xludf.DUMMYFUNCTION("""COMPUTED_VALUE"""),1.0)</f>
        <v>1</v>
      </c>
      <c r="F78" s="1"/>
      <c r="M78" s="85"/>
      <c r="P78" s="79" t="s">
        <v>66</v>
      </c>
      <c r="Q78" s="24"/>
      <c r="R78" s="18">
        <f>sum(R74:R77)-R76</f>
        <v>65</v>
      </c>
    </row>
    <row r="79">
      <c r="A79" s="1"/>
      <c r="B79" s="43" t="str">
        <f>IFERROR(__xludf.DUMMYFUNCTION("""COMPUTED_VALUE"""),"Jonathan Phan")</f>
        <v>Jonathan Phan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IFERROR(__xludf.DUMMYFUNCTION("""COMPUTED_VALUE"""),2.0)</f>
        <v>2</v>
      </c>
      <c r="F79" s="1"/>
    </row>
    <row r="80">
      <c r="A80" s="1"/>
      <c r="B80" s="43" t="str">
        <f>IFERROR(__xludf.DUMMYFUNCTION("""COMPUTED_VALUE"""),"Pulkit Mathur")</f>
        <v>Pulkit Mathur</v>
      </c>
      <c r="C80" s="84">
        <f>IFERROR(__xludf.DUMMYFUNCTION("""COMPUTED_VALUE"""),18.0)</f>
        <v>18</v>
      </c>
      <c r="D80" s="84">
        <f>IFERROR(__xludf.DUMMYFUNCTION("""COMPUTED_VALUE"""),2.0)</f>
        <v>2</v>
      </c>
      <c r="E80" s="84">
        <f>IFERROR(__xludf.DUMMYFUNCTION("""COMPUTED_VALUE"""),1.0)</f>
        <v>1</v>
      </c>
      <c r="F80" s="1"/>
    </row>
    <row r="81">
      <c r="A81" s="1"/>
      <c r="B81" s="43" t="str">
        <f>IFERROR(__xludf.DUMMYFUNCTION("""COMPUTED_VALUE"""),"Mauricio Palacios")</f>
        <v>Mauricio Palacios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IFERROR(__xludf.DUMMYFUNCTION("""COMPUTED_VALUE"""),4.0)</f>
        <v>4</v>
      </c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  <c r="L84" s="33"/>
    </row>
    <row r="85">
      <c r="A85" s="1"/>
      <c r="B85" s="43"/>
      <c r="C85" s="84"/>
      <c r="D85" s="84"/>
      <c r="E85" s="84"/>
      <c r="F85" s="1"/>
    </row>
    <row r="86">
      <c r="A86" s="1"/>
      <c r="B86" s="43"/>
      <c r="C86" s="84"/>
      <c r="D86" s="84"/>
      <c r="E86" s="84"/>
      <c r="F86" s="1"/>
    </row>
    <row r="87">
      <c r="A87" s="1"/>
      <c r="C87" s="1"/>
      <c r="D87" s="1"/>
      <c r="E87" s="1"/>
      <c r="F87" s="1"/>
    </row>
    <row r="88">
      <c r="A88" s="1"/>
      <c r="B88" s="33"/>
      <c r="C88" s="1"/>
      <c r="D88" s="1"/>
      <c r="E88" s="1"/>
      <c r="F88" s="1"/>
      <c r="G88" s="1"/>
      <c r="H88" s="1"/>
    </row>
    <row r="89">
      <c r="A89" s="1"/>
      <c r="B89" s="33"/>
      <c r="C89" s="1"/>
      <c r="D89" s="1"/>
      <c r="E89" s="1"/>
      <c r="F89" s="1"/>
    </row>
    <row r="90" ht="37.5" customHeight="1">
      <c r="A90" s="1"/>
      <c r="B90" s="86" t="s">
        <v>152</v>
      </c>
      <c r="C90" s="86" t="s">
        <v>153</v>
      </c>
      <c r="D90" s="87" t="s">
        <v>154</v>
      </c>
      <c r="E90" s="88" t="s">
        <v>155</v>
      </c>
      <c r="F90" s="89" t="s">
        <v>156</v>
      </c>
      <c r="G90" s="86" t="s">
        <v>157</v>
      </c>
      <c r="L90" s="86" t="s">
        <v>158</v>
      </c>
    </row>
    <row r="91">
      <c r="A91" s="1"/>
      <c r="B91" s="43" t="str">
        <f>IFERROR(__xludf.DUMMYFUNCTION("query(B5:V69,""select B, V order by V Desc Limit 10"")"),"Susanta Mishra")</f>
        <v>Susanta Mishra</v>
      </c>
      <c r="C91" s="84">
        <f>IFERROR(__xludf.DUMMYFUNCTION("""COMPUTED_VALUE"""),13.0)</f>
        <v>13</v>
      </c>
      <c r="D91" s="84">
        <f t="shared" ref="D91:D100" si="72">VLOOKUP(B91,indirect($AB$2&amp;"!B$5:w$70"),22, false)</f>
        <v>24</v>
      </c>
      <c r="E91" s="84">
        <f t="shared" ref="E91:E100" si="73">VLOOKUP(B91,B$5:W$69,22, false)</f>
        <v>11</v>
      </c>
      <c r="F91" s="84">
        <f t="shared" ref="F91:F100" si="74">VLOOKUP(B91,indirect($AB$2&amp;"!B$5:U$70"),11, false)</f>
        <v>18</v>
      </c>
      <c r="G91" s="84">
        <f t="shared" ref="G91:G100" si="75">VLOOKUP(B91,indirect($AB$2&amp;"!B$5:U$70"),6, false)</f>
        <v>3</v>
      </c>
      <c r="L91" s="84" t="str">
        <f t="shared" ref="L91:L100" si="76">if(D91-E91=C91,"ok","Error")</f>
        <v>ok</v>
      </c>
    </row>
    <row r="92">
      <c r="A92" s="1"/>
      <c r="B92" s="43" t="str">
        <f>IFERROR(__xludf.DUMMYFUNCTION("""COMPUTED_VALUE"""),"Adrian Tay")</f>
        <v>Adrian Tay</v>
      </c>
      <c r="C92" s="84">
        <f>IFERROR(__xludf.DUMMYFUNCTION("""COMPUTED_VALUE"""),9.0)</f>
        <v>9</v>
      </c>
      <c r="D92" s="84">
        <f t="shared" si="72"/>
        <v>32</v>
      </c>
      <c r="E92" s="84">
        <f t="shared" si="73"/>
        <v>23</v>
      </c>
      <c r="F92" s="84">
        <f t="shared" si="74"/>
        <v>18</v>
      </c>
      <c r="G92" s="84">
        <f t="shared" si="75"/>
        <v>4</v>
      </c>
      <c r="L92" s="84" t="str">
        <f t="shared" si="76"/>
        <v>ok</v>
      </c>
    </row>
    <row r="93">
      <c r="A93" s="1"/>
      <c r="B93" s="43" t="str">
        <f>IFERROR(__xludf.DUMMYFUNCTION("""COMPUTED_VALUE"""),"Nicole Ni")</f>
        <v>Nicole Ni</v>
      </c>
      <c r="C93" s="84">
        <f>IFERROR(__xludf.DUMMYFUNCTION("""COMPUTED_VALUE"""),8.0)</f>
        <v>8</v>
      </c>
      <c r="D93" s="84">
        <f t="shared" si="72"/>
        <v>47</v>
      </c>
      <c r="E93" s="84">
        <f t="shared" si="73"/>
        <v>39</v>
      </c>
      <c r="F93" s="84">
        <f t="shared" si="74"/>
        <v>18</v>
      </c>
      <c r="G93" s="84">
        <f t="shared" si="75"/>
        <v>6</v>
      </c>
      <c r="L93" s="84" t="str">
        <f t="shared" si="76"/>
        <v>ok</v>
      </c>
      <c r="Q93" s="90"/>
    </row>
    <row r="94">
      <c r="A94" s="1"/>
      <c r="B94" s="43" t="str">
        <f>IFERROR(__xludf.DUMMYFUNCTION("""COMPUTED_VALUE"""),"Joe Luzzi")</f>
        <v>Joe Luzzi</v>
      </c>
      <c r="C94" s="84">
        <f>IFERROR(__xludf.DUMMYFUNCTION("""COMPUTED_VALUE"""),7.0)</f>
        <v>7</v>
      </c>
      <c r="D94" s="84">
        <f t="shared" si="72"/>
        <v>17</v>
      </c>
      <c r="E94" s="84">
        <f t="shared" si="73"/>
        <v>10</v>
      </c>
      <c r="F94" s="84">
        <f t="shared" si="74"/>
        <v>17</v>
      </c>
      <c r="G94" s="84">
        <f t="shared" si="75"/>
        <v>2</v>
      </c>
      <c r="L94" s="84" t="str">
        <f t="shared" si="76"/>
        <v>ok</v>
      </c>
    </row>
    <row r="95">
      <c r="A95" s="1"/>
      <c r="B95" s="43" t="str">
        <f>IFERROR(__xludf.DUMMYFUNCTION("""COMPUTED_VALUE"""),"Jonathan Phan")</f>
        <v>Jonathan Phan</v>
      </c>
      <c r="C95" s="84">
        <f>IFERROR(__xludf.DUMMYFUNCTION("""COMPUTED_VALUE"""),6.0)</f>
        <v>6</v>
      </c>
      <c r="D95" s="84">
        <f t="shared" si="72"/>
        <v>14</v>
      </c>
      <c r="E95" s="84">
        <f t="shared" si="73"/>
        <v>8</v>
      </c>
      <c r="F95" s="84">
        <f t="shared" si="74"/>
        <v>17</v>
      </c>
      <c r="G95" s="84">
        <f t="shared" si="75"/>
        <v>2</v>
      </c>
      <c r="L95" s="84" t="str">
        <f t="shared" si="76"/>
        <v>ok</v>
      </c>
    </row>
    <row r="96">
      <c r="A96" s="1"/>
      <c r="B96" s="43" t="str">
        <f>IFERROR(__xludf.DUMMYFUNCTION("""COMPUTED_VALUE"""),"Frank Moon")</f>
        <v>Frank Moon</v>
      </c>
      <c r="C96" s="84">
        <f>IFERROR(__xludf.DUMMYFUNCTION("""COMPUTED_VALUE"""),4.0)</f>
        <v>4</v>
      </c>
      <c r="D96" s="84">
        <f t="shared" si="72"/>
        <v>63</v>
      </c>
      <c r="E96" s="84">
        <f t="shared" si="73"/>
        <v>59</v>
      </c>
      <c r="F96" s="84">
        <f t="shared" si="74"/>
        <v>17</v>
      </c>
      <c r="G96" s="84">
        <f t="shared" si="75"/>
        <v>7</v>
      </c>
      <c r="L96" s="84" t="str">
        <f t="shared" si="76"/>
        <v>ok</v>
      </c>
    </row>
    <row r="97">
      <c r="A97" s="1"/>
      <c r="B97" s="43" t="str">
        <f>IFERROR(__xludf.DUMMYFUNCTION("""COMPUTED_VALUE"""),"Herman Au")</f>
        <v>Herman Au</v>
      </c>
      <c r="C97" s="84">
        <f>IFERROR(__xludf.DUMMYFUNCTION("""COMPUTED_VALUE"""),3.0)</f>
        <v>3</v>
      </c>
      <c r="D97" s="84">
        <f t="shared" si="72"/>
        <v>21</v>
      </c>
      <c r="E97" s="84">
        <f t="shared" si="73"/>
        <v>18</v>
      </c>
      <c r="F97" s="84">
        <f t="shared" si="74"/>
        <v>14</v>
      </c>
      <c r="G97" s="84">
        <f t="shared" si="75"/>
        <v>2</v>
      </c>
      <c r="L97" s="84" t="str">
        <f t="shared" si="76"/>
        <v>ok</v>
      </c>
    </row>
    <row r="98">
      <c r="A98" s="1"/>
      <c r="B98" s="43" t="str">
        <f>IFERROR(__xludf.DUMMYFUNCTION("""COMPUTED_VALUE"""),"Andrew Wen")</f>
        <v>Andrew Wen</v>
      </c>
      <c r="C98" s="84">
        <f>IFERROR(__xludf.DUMMYFUNCTION("""COMPUTED_VALUE"""),2.0)</f>
        <v>2</v>
      </c>
      <c r="D98" s="84">
        <f t="shared" si="72"/>
        <v>39</v>
      </c>
      <c r="E98" s="84">
        <f t="shared" si="73"/>
        <v>37</v>
      </c>
      <c r="F98" s="84">
        <f t="shared" si="74"/>
        <v>12</v>
      </c>
      <c r="G98" s="84">
        <f t="shared" si="75"/>
        <v>6</v>
      </c>
      <c r="L98" s="84" t="str">
        <f t="shared" si="76"/>
        <v>ok</v>
      </c>
    </row>
    <row r="99">
      <c r="A99" s="1"/>
      <c r="B99" s="43" t="str">
        <f>IFERROR(__xludf.DUMMYFUNCTION("""COMPUTED_VALUE"""),"Santosh Sundaresan ")</f>
        <v>Santosh Sundaresan </v>
      </c>
      <c r="C99" s="84">
        <f>IFERROR(__xludf.DUMMYFUNCTION("""COMPUTED_VALUE"""),2.0)</f>
        <v>2</v>
      </c>
      <c r="D99" s="84">
        <f t="shared" si="72"/>
        <v>57</v>
      </c>
      <c r="E99" s="84">
        <f t="shared" si="73"/>
        <v>55</v>
      </c>
      <c r="F99" s="84">
        <f t="shared" si="74"/>
        <v>17</v>
      </c>
      <c r="G99" s="84">
        <f t="shared" si="75"/>
        <v>7</v>
      </c>
      <c r="L99" s="84" t="str">
        <f t="shared" si="76"/>
        <v>ok</v>
      </c>
    </row>
    <row r="100">
      <c r="A100" s="1"/>
      <c r="B100" s="43" t="str">
        <f>IFERROR(__xludf.DUMMYFUNCTION("""COMPUTED_VALUE"""),"Mauricio Palacios")</f>
        <v>Mauricio Palacios</v>
      </c>
      <c r="C100" s="84">
        <f>IFERROR(__xludf.DUMMYFUNCTION("""COMPUTED_VALUE"""),1.0)</f>
        <v>1</v>
      </c>
      <c r="D100" s="84">
        <f t="shared" si="72"/>
        <v>30</v>
      </c>
      <c r="E100" s="84">
        <f t="shared" si="73"/>
        <v>29</v>
      </c>
      <c r="F100" s="84">
        <f t="shared" si="74"/>
        <v>11</v>
      </c>
      <c r="G100" s="84">
        <f t="shared" si="75"/>
        <v>4</v>
      </c>
      <c r="L100" s="84" t="str">
        <f t="shared" si="76"/>
        <v>ok</v>
      </c>
    </row>
    <row r="101">
      <c r="A101" s="1"/>
      <c r="B101" s="33"/>
      <c r="C101" s="1"/>
      <c r="E101" s="1"/>
      <c r="F101" s="1"/>
    </row>
    <row r="102">
      <c r="A102" s="1"/>
      <c r="B102" s="33"/>
      <c r="C102" s="1"/>
      <c r="E102" s="1"/>
      <c r="F102" s="1"/>
    </row>
    <row r="103">
      <c r="A103" s="1"/>
      <c r="B103" s="81" t="s">
        <v>159</v>
      </c>
      <c r="C103" s="81" t="s">
        <v>160</v>
      </c>
      <c r="D103" s="87" t="s">
        <v>154</v>
      </c>
      <c r="E103" s="88" t="s">
        <v>155</v>
      </c>
      <c r="F103" s="89" t="s">
        <v>156</v>
      </c>
      <c r="G103" s="86" t="s">
        <v>157</v>
      </c>
      <c r="L103" s="86" t="s">
        <v>158</v>
      </c>
    </row>
    <row r="104">
      <c r="A104" s="1"/>
      <c r="B104" s="43" t="str">
        <f>IFERROR(__xludf.DUMMYFUNCTION("query(B5:V69,""select B, V order by V asc Limit 10"")"),"Vinaya Kajla")</f>
        <v>Vinaya Kajla</v>
      </c>
      <c r="C104" s="84">
        <f>IFERROR(__xludf.DUMMYFUNCTION("""COMPUTED_VALUE"""),-9.0)</f>
        <v>-9</v>
      </c>
      <c r="D104" s="84">
        <f t="shared" ref="D104:D113" si="77">VLOOKUP(B104,indirect($AB$2&amp;"!B$5:w$70"),22, false)</f>
        <v>38</v>
      </c>
      <c r="E104" s="84">
        <f t="shared" ref="E104:E113" si="78">VLOOKUP(B104,B$5:W$69,22, false)</f>
        <v>47</v>
      </c>
      <c r="F104" s="84">
        <f t="shared" ref="F104:F113" si="79">VLOOKUP(B104,indirect($AB$2&amp;"!B$5:U$70"),11, false)</f>
        <v>0</v>
      </c>
      <c r="G104" s="84">
        <f t="shared" ref="G104:G113" si="80">VLOOKUP(B104,indirect($AB$2&amp;"!B$5:U$70"),6, false)</f>
        <v>5</v>
      </c>
      <c r="L104" s="84" t="str">
        <f t="shared" ref="L104:L113" si="81">if(D104-E104=C104,"ok","Error")</f>
        <v>ok</v>
      </c>
    </row>
    <row r="105">
      <c r="A105" s="1"/>
      <c r="B105" s="43" t="str">
        <f>IFERROR(__xludf.DUMMYFUNCTION("""COMPUTED_VALUE"""),"Sean Chang")</f>
        <v>Sean Chang</v>
      </c>
      <c r="C105" s="84">
        <f>IFERROR(__xludf.DUMMYFUNCTION("""COMPUTED_VALUE"""),-4.0)</f>
        <v>-4</v>
      </c>
      <c r="D105" s="84">
        <f t="shared" si="77"/>
        <v>28</v>
      </c>
      <c r="E105" s="84">
        <f t="shared" si="78"/>
        <v>32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IFERROR(__xludf.DUMMYFUNCTION("""COMPUTED_VALUE"""),"James Phan")</f>
        <v>James Phan</v>
      </c>
      <c r="C106" s="84">
        <f>IFERROR(__xludf.DUMMYFUNCTION("""COMPUTED_VALUE"""),-3.0)</f>
        <v>-3</v>
      </c>
      <c r="D106" s="84">
        <f t="shared" si="77"/>
        <v>9</v>
      </c>
      <c r="E106" s="84">
        <f t="shared" si="78"/>
        <v>12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IFERROR(__xludf.DUMMYFUNCTION("""COMPUTED_VALUE"""),"Cid Macaraeg")</f>
        <v>Cid Macaraeg</v>
      </c>
      <c r="C107" s="84">
        <f>IFERROR(__xludf.DUMMYFUNCTION("""COMPUTED_VALUE"""),-3.0)</f>
        <v>-3</v>
      </c>
      <c r="D107" s="84">
        <f t="shared" si="77"/>
        <v>10</v>
      </c>
      <c r="E107" s="84">
        <f t="shared" si="78"/>
        <v>13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IFERROR(__xludf.DUMMYFUNCTION("""COMPUTED_VALUE"""),"Robert Chang")</f>
        <v>Robert Chang</v>
      </c>
      <c r="C108" s="84">
        <f>IFERROR(__xludf.DUMMYFUNCTION("""COMPUTED_VALUE"""),-3.0)</f>
        <v>-3</v>
      </c>
      <c r="D108" s="84">
        <f t="shared" si="77"/>
        <v>11</v>
      </c>
      <c r="E108" s="84">
        <f t="shared" si="78"/>
        <v>14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IFERROR(__xludf.DUMMYFUNCTION("""COMPUTED_VALUE"""),"Oscar Bonilla")</f>
        <v>Oscar Bonilla</v>
      </c>
      <c r="C109" s="84">
        <f>IFERROR(__xludf.DUMMYFUNCTION("""COMPUTED_VALUE"""),-3.0)</f>
        <v>-3</v>
      </c>
      <c r="D109" s="84">
        <f t="shared" si="77"/>
        <v>12</v>
      </c>
      <c r="E109" s="84">
        <f t="shared" si="78"/>
        <v>15</v>
      </c>
      <c r="F109" s="84">
        <f t="shared" si="79"/>
        <v>10</v>
      </c>
      <c r="G109" s="84">
        <f t="shared" si="80"/>
        <v>2</v>
      </c>
      <c r="L109" s="84" t="str">
        <f t="shared" si="81"/>
        <v>ok</v>
      </c>
    </row>
    <row r="110">
      <c r="A110" s="1"/>
      <c r="B110" s="43" t="str">
        <f>IFERROR(__xludf.DUMMYFUNCTION("""COMPUTED_VALUE"""),"Lloyd Sagar")</f>
        <v>Lloyd Sagar</v>
      </c>
      <c r="C110" s="84">
        <f>IFERROR(__xludf.DUMMYFUNCTION("""COMPUTED_VALUE"""),-3.0)</f>
        <v>-3</v>
      </c>
      <c r="D110" s="84">
        <f t="shared" si="77"/>
        <v>13</v>
      </c>
      <c r="E110" s="84">
        <f t="shared" si="78"/>
        <v>16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IFERROR(__xludf.DUMMYFUNCTION("""COMPUTED_VALUE"""),"Ted Shen")</f>
        <v>Ted Shen</v>
      </c>
      <c r="C111" s="84">
        <f>IFERROR(__xludf.DUMMYFUNCTION("""COMPUTED_VALUE"""),-3.0)</f>
        <v>-3</v>
      </c>
      <c r="D111" s="84">
        <f t="shared" si="77"/>
        <v>16</v>
      </c>
      <c r="E111" s="84">
        <f t="shared" si="78"/>
        <v>19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IFERROR(__xludf.DUMMYFUNCTION("""COMPUTED_VALUE"""),"Troy Wong")</f>
        <v>Troy Wong</v>
      </c>
      <c r="C112" s="84">
        <f>IFERROR(__xludf.DUMMYFUNCTION("""COMPUTED_VALUE"""),-2.0)</f>
        <v>-2</v>
      </c>
      <c r="D112" s="84">
        <f t="shared" si="77"/>
        <v>15</v>
      </c>
      <c r="E112" s="84">
        <f t="shared" si="78"/>
        <v>17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43" t="str">
        <f>IFERROR(__xludf.DUMMYFUNCTION("""COMPUTED_VALUE"""),"Tom Le")</f>
        <v>Tom Le</v>
      </c>
      <c r="C113" s="84">
        <f>IFERROR(__xludf.DUMMYFUNCTION("""COMPUTED_VALUE"""),-2.0)</f>
        <v>-2</v>
      </c>
      <c r="D113" s="84">
        <f t="shared" si="77"/>
        <v>18</v>
      </c>
      <c r="E113" s="84">
        <f t="shared" si="78"/>
        <v>20</v>
      </c>
      <c r="F113" s="84">
        <f t="shared" si="79"/>
        <v>9</v>
      </c>
      <c r="G113" s="84">
        <f t="shared" si="80"/>
        <v>0</v>
      </c>
      <c r="L113" s="84" t="str">
        <f t="shared" si="81"/>
        <v>ok</v>
      </c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E117" s="1"/>
      <c r="F117" s="1"/>
    </row>
    <row r="118">
      <c r="A118" s="1"/>
      <c r="B118" s="33"/>
      <c r="C118" s="1"/>
      <c r="D118" s="1"/>
      <c r="E118" s="1"/>
      <c r="F118" s="1"/>
    </row>
    <row r="119">
      <c r="A119" s="91" t="s">
        <v>161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4"/>
    </row>
    <row r="120">
      <c r="A120" s="92"/>
      <c r="B120" s="81" t="s">
        <v>162</v>
      </c>
      <c r="C120" s="93" t="s">
        <v>163</v>
      </c>
      <c r="D120" s="23"/>
      <c r="E120" s="24"/>
      <c r="F120" s="93" t="s">
        <v>164</v>
      </c>
      <c r="G120" s="23"/>
      <c r="H120" s="24"/>
      <c r="I120" s="94" t="s">
        <v>165</v>
      </c>
      <c r="J120" s="23"/>
      <c r="K120" s="23"/>
      <c r="L120" s="23"/>
      <c r="M120" s="24"/>
    </row>
    <row r="121">
      <c r="A121" s="83">
        <v>1.0</v>
      </c>
      <c r="B121" s="43" t="str">
        <f>IFERROR(__xludf.DUMMYFUNCTION("query(B5:V69,""select B where R = 'X' order by B asc"")"),"Adrian Tay")</f>
        <v>Adrian Tay</v>
      </c>
      <c r="C121" s="95" t="str">
        <f>IFERROR(__xludf.DUMMYFUNCTION("query(B5:V69,""select B where R = '' order by B asc"")"),"Herman Au")</f>
        <v>Herman Au</v>
      </c>
      <c r="D121" s="23"/>
      <c r="E121" s="24"/>
      <c r="F121" s="95" t="str">
        <f>IFERROR(__xludf.DUMMYFUNCTION("query(B5:V69,""select B where R = 'N' order by B asc"")"),"Trinath Goteti")</f>
        <v>Trinath Goteti</v>
      </c>
      <c r="G121" s="23"/>
      <c r="H121" s="24"/>
      <c r="I121" s="95" t="s">
        <v>166</v>
      </c>
      <c r="J121" s="23"/>
      <c r="K121" s="23"/>
      <c r="L121" s="23"/>
      <c r="M121" s="24"/>
    </row>
    <row r="122">
      <c r="A122" s="83">
        <f t="shared" ref="A122:A185" si="82">A121+1</f>
        <v>2</v>
      </c>
      <c r="B122" s="43" t="str">
        <f>IFERROR(__xludf.DUMMYFUNCTION("""COMPUTED_VALUE"""),"Alejandro Mejia")</f>
        <v>Alejandro Mejia</v>
      </c>
      <c r="C122" s="95"/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3</v>
      </c>
      <c r="B123" s="43" t="str">
        <f>IFERROR(__xludf.DUMMYFUNCTION("""COMPUTED_VALUE"""),"Alex Hou")</f>
        <v>Alex Hou</v>
      </c>
      <c r="C123" s="95"/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4</v>
      </c>
      <c r="B124" s="43" t="str">
        <f>IFERROR(__xludf.DUMMYFUNCTION("""COMPUTED_VALUE"""),"Allen Zhang")</f>
        <v>Allen Zhang</v>
      </c>
      <c r="C124" s="95"/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5</v>
      </c>
      <c r="B125" s="43" t="str">
        <f>IFERROR(__xludf.DUMMYFUNCTION("""COMPUTED_VALUE"""),"Andrew Wen")</f>
        <v>Andrew Wen</v>
      </c>
      <c r="C125" s="95"/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6</v>
      </c>
      <c r="B126" s="43" t="str">
        <f>IFERROR(__xludf.DUMMYFUNCTION("""COMPUTED_VALUE"""),"Balaji Alahari")</f>
        <v>Balaji Alahari</v>
      </c>
      <c r="C126" s="95"/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7</v>
      </c>
      <c r="B127" s="43" t="str">
        <f>IFERROR(__xludf.DUMMYFUNCTION("""COMPUTED_VALUE"""),"Barathi Sundaram")</f>
        <v>Barathi Sundaram</v>
      </c>
      <c r="C127" s="95"/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8</v>
      </c>
      <c r="B128" s="43" t="str">
        <f>IFERROR(__xludf.DUMMYFUNCTION("""COMPUTED_VALUE"""),"Basudev Thoppai Vidyasankar")</f>
        <v>Basudev Thoppai Vidyasankar</v>
      </c>
      <c r="C128" s="95"/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9</v>
      </c>
      <c r="B129" s="43" t="str">
        <f>IFERROR(__xludf.DUMMYFUNCTION("""COMPUTED_VALUE"""),"Chinna Ponnaganti")</f>
        <v>Chinna Ponnaganti</v>
      </c>
      <c r="C129" s="95"/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10</v>
      </c>
      <c r="B130" s="43" t="str">
        <f>IFERROR(__xludf.DUMMYFUNCTION("""COMPUTED_VALUE"""),"Cid Macaraeg")</f>
        <v>Cid Macaraeg</v>
      </c>
      <c r="C130" s="95"/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11</v>
      </c>
      <c r="B131" s="43" t="str">
        <f>IFERROR(__xludf.DUMMYFUNCTION("""COMPUTED_VALUE"""),"Coco Yan")</f>
        <v>Coco Yan</v>
      </c>
      <c r="C131" s="95"/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12</v>
      </c>
      <c r="B132" s="43" t="str">
        <f>IFERROR(__xludf.DUMMYFUNCTION("""COMPUTED_VALUE"""),"David Shin")</f>
        <v>David Shin</v>
      </c>
      <c r="C132" s="95"/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13</v>
      </c>
      <c r="B133" s="43" t="str">
        <f>IFERROR(__xludf.DUMMYFUNCTION("""COMPUTED_VALUE"""),"Elayaraja Thangaraj ")</f>
        <v>Elayaraja Thangaraj </v>
      </c>
      <c r="C133" s="95"/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14</v>
      </c>
      <c r="B134" s="43" t="str">
        <f>IFERROR(__xludf.DUMMYFUNCTION("""COMPUTED_VALUE"""),"Eric Pan")</f>
        <v>Eric Pan</v>
      </c>
      <c r="C134" s="95"/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15</v>
      </c>
      <c r="B135" s="43" t="str">
        <f>IFERROR(__xludf.DUMMYFUNCTION("""COMPUTED_VALUE"""),"Eric Tan")</f>
        <v>Eric Tan</v>
      </c>
      <c r="C135" s="95"/>
      <c r="D135" s="23"/>
      <c r="E135" s="24"/>
      <c r="F135" s="95"/>
      <c r="G135" s="23"/>
      <c r="H135" s="24"/>
      <c r="I135" s="95"/>
      <c r="J135" s="23"/>
      <c r="K135" s="23"/>
      <c r="L135" s="23"/>
      <c r="M135" s="24"/>
    </row>
    <row r="136">
      <c r="A136" s="83">
        <f t="shared" si="82"/>
        <v>16</v>
      </c>
      <c r="B136" s="43" t="str">
        <f>IFERROR(__xludf.DUMMYFUNCTION("""COMPUTED_VALUE"""),"Erik Hoeckmann")</f>
        <v>Erik Hoeckmann</v>
      </c>
      <c r="C136" s="95"/>
      <c r="D136" s="23"/>
      <c r="E136" s="24"/>
      <c r="F136" s="95"/>
      <c r="G136" s="23"/>
      <c r="H136" s="24"/>
    </row>
    <row r="137">
      <c r="A137" s="83">
        <f t="shared" si="82"/>
        <v>17</v>
      </c>
      <c r="B137" s="43" t="str">
        <f>IFERROR(__xludf.DUMMYFUNCTION("""COMPUTED_VALUE"""),"Ethan Gu")</f>
        <v>Ethan Gu</v>
      </c>
      <c r="C137" s="95"/>
      <c r="D137" s="23"/>
      <c r="E137" s="24"/>
      <c r="F137" s="95"/>
      <c r="G137" s="23"/>
      <c r="H137" s="24"/>
    </row>
    <row r="138">
      <c r="A138" s="83">
        <f t="shared" si="82"/>
        <v>18</v>
      </c>
      <c r="B138" s="43" t="str">
        <f>IFERROR(__xludf.DUMMYFUNCTION("""COMPUTED_VALUE"""),"Frank Moon")</f>
        <v>Frank Moon</v>
      </c>
      <c r="C138" s="95"/>
      <c r="D138" s="23"/>
      <c r="E138" s="24"/>
      <c r="F138" s="95"/>
      <c r="G138" s="23"/>
      <c r="H138" s="24"/>
    </row>
    <row r="139">
      <c r="A139" s="83">
        <f t="shared" si="82"/>
        <v>19</v>
      </c>
      <c r="B139" s="43" t="str">
        <f>IFERROR(__xludf.DUMMYFUNCTION("""COMPUTED_VALUE"""),"Hongyuan Wen")</f>
        <v>Hongyuan Wen</v>
      </c>
      <c r="C139" s="95"/>
      <c r="D139" s="23"/>
      <c r="E139" s="24"/>
      <c r="F139" s="95"/>
      <c r="G139" s="23"/>
      <c r="H139" s="24"/>
    </row>
    <row r="140">
      <c r="A140" s="83">
        <f t="shared" si="82"/>
        <v>20</v>
      </c>
      <c r="B140" s="43" t="str">
        <f>IFERROR(__xludf.DUMMYFUNCTION("""COMPUTED_VALUE"""),"Hubert J Sung")</f>
        <v>Hubert J Sung</v>
      </c>
      <c r="C140" s="95"/>
      <c r="D140" s="23"/>
      <c r="E140" s="24"/>
      <c r="F140" s="95"/>
      <c r="G140" s="23"/>
      <c r="H140" s="24"/>
    </row>
    <row r="141">
      <c r="A141" s="83">
        <f t="shared" si="82"/>
        <v>21</v>
      </c>
      <c r="B141" s="43" t="str">
        <f>IFERROR(__xludf.DUMMYFUNCTION("""COMPUTED_VALUE"""),"James Phan")</f>
        <v>James Phan</v>
      </c>
      <c r="C141" s="95"/>
      <c r="D141" s="23"/>
      <c r="E141" s="24"/>
      <c r="F141" s="95"/>
      <c r="G141" s="23"/>
      <c r="H141" s="24"/>
    </row>
    <row r="142">
      <c r="A142" s="83">
        <f t="shared" si="82"/>
        <v>22</v>
      </c>
      <c r="B142" s="43" t="str">
        <f>IFERROR(__xludf.DUMMYFUNCTION("""COMPUTED_VALUE"""),"Jim Miao")</f>
        <v>Jim Miao</v>
      </c>
      <c r="C142" s="95"/>
      <c r="D142" s="23"/>
      <c r="E142" s="24"/>
      <c r="F142" s="95"/>
      <c r="G142" s="23"/>
      <c r="H142" s="24"/>
    </row>
    <row r="143">
      <c r="A143" s="83">
        <f t="shared" si="82"/>
        <v>23</v>
      </c>
      <c r="B143" s="43" t="str">
        <f>IFERROR(__xludf.DUMMYFUNCTION("""COMPUTED_VALUE"""),"Jimmy Awolesi")</f>
        <v>Jimmy Awolesi</v>
      </c>
      <c r="C143" s="95"/>
      <c r="D143" s="23"/>
      <c r="E143" s="24"/>
      <c r="F143" s="95"/>
      <c r="G143" s="23"/>
      <c r="H143" s="24"/>
    </row>
    <row r="144">
      <c r="A144" s="83">
        <f t="shared" si="82"/>
        <v>24</v>
      </c>
      <c r="B144" s="43" t="str">
        <f>IFERROR(__xludf.DUMMYFUNCTION("""COMPUTED_VALUE"""),"Joe Luzzi")</f>
        <v>Joe Luzzi</v>
      </c>
      <c r="C144" s="95"/>
      <c r="D144" s="23"/>
      <c r="E144" s="24"/>
      <c r="F144" s="95"/>
      <c r="G144" s="23"/>
      <c r="H144" s="24"/>
    </row>
    <row r="145">
      <c r="A145" s="83">
        <f t="shared" si="82"/>
        <v>25</v>
      </c>
      <c r="B145" s="43" t="str">
        <f>IFERROR(__xludf.DUMMYFUNCTION("""COMPUTED_VALUE"""),"Jonathan Phan")</f>
        <v>Jonathan Phan</v>
      </c>
      <c r="C145" s="95"/>
      <c r="D145" s="23"/>
      <c r="E145" s="24"/>
      <c r="F145" s="95"/>
      <c r="G145" s="23"/>
      <c r="H145" s="24"/>
    </row>
    <row r="146">
      <c r="A146" s="83">
        <f t="shared" si="82"/>
        <v>26</v>
      </c>
      <c r="B146" s="43" t="str">
        <f>IFERROR(__xludf.DUMMYFUNCTION("""COMPUTED_VALUE"""),"Joyce Zhu")</f>
        <v>Joyce Zhu</v>
      </c>
      <c r="C146" s="95"/>
      <c r="D146" s="23"/>
      <c r="E146" s="24"/>
      <c r="F146" s="95"/>
      <c r="G146" s="23"/>
      <c r="H146" s="24"/>
    </row>
    <row r="147">
      <c r="A147" s="83">
        <f t="shared" si="82"/>
        <v>27</v>
      </c>
      <c r="B147" s="43" t="str">
        <f>IFERROR(__xludf.DUMMYFUNCTION("""COMPUTED_VALUE"""),"Kumar Palakeel")</f>
        <v>Kumar Palakeel</v>
      </c>
      <c r="C147" s="95"/>
      <c r="D147" s="23"/>
      <c r="E147" s="24"/>
      <c r="F147" s="95"/>
      <c r="G147" s="23"/>
      <c r="H147" s="24"/>
    </row>
    <row r="148">
      <c r="A148" s="83">
        <f t="shared" si="82"/>
        <v>28</v>
      </c>
      <c r="B148" s="43" t="str">
        <f>IFERROR(__xludf.DUMMYFUNCTION("""COMPUTED_VALUE"""),"Lam Bui")</f>
        <v>Lam Bui</v>
      </c>
      <c r="C148" s="95"/>
      <c r="D148" s="23"/>
      <c r="E148" s="24"/>
      <c r="F148" s="95"/>
      <c r="G148" s="23"/>
      <c r="H148" s="24"/>
    </row>
    <row r="149">
      <c r="A149" s="83">
        <f t="shared" si="82"/>
        <v>29</v>
      </c>
      <c r="B149" s="43" t="str">
        <f>IFERROR(__xludf.DUMMYFUNCTION("""COMPUTED_VALUE"""),"Leigh-Anh Nguyen")</f>
        <v>Leigh-Anh Nguyen</v>
      </c>
      <c r="C149" s="95"/>
      <c r="D149" s="23"/>
      <c r="E149" s="24"/>
      <c r="F149" s="95"/>
      <c r="G149" s="23"/>
      <c r="H149" s="24"/>
    </row>
    <row r="150">
      <c r="A150" s="83">
        <f t="shared" si="82"/>
        <v>30</v>
      </c>
      <c r="B150" s="43" t="str">
        <f>IFERROR(__xludf.DUMMYFUNCTION("""COMPUTED_VALUE"""),"Lloyd Sagar")</f>
        <v>Lloyd Sagar</v>
      </c>
      <c r="C150" s="95"/>
      <c r="D150" s="23"/>
      <c r="E150" s="24"/>
      <c r="F150" s="95"/>
      <c r="G150" s="23"/>
      <c r="H150" s="24"/>
    </row>
    <row r="151">
      <c r="A151" s="83">
        <f t="shared" si="82"/>
        <v>31</v>
      </c>
      <c r="B151" s="43" t="str">
        <f>IFERROR(__xludf.DUMMYFUNCTION("""COMPUTED_VALUE"""),"Luis Hsu")</f>
        <v>Luis Hsu</v>
      </c>
      <c r="C151" s="95"/>
      <c r="D151" s="23"/>
      <c r="E151" s="24"/>
      <c r="F151" s="95"/>
      <c r="G151" s="23"/>
      <c r="H151" s="24"/>
    </row>
    <row r="152">
      <c r="A152" s="83">
        <f t="shared" si="82"/>
        <v>32</v>
      </c>
      <c r="B152" s="43" t="str">
        <f>IFERROR(__xludf.DUMMYFUNCTION("""COMPUTED_VALUE"""),"Manish Anand")</f>
        <v>Manish Anand</v>
      </c>
      <c r="C152" s="95"/>
      <c r="D152" s="23"/>
      <c r="E152" s="24"/>
      <c r="F152" s="95"/>
      <c r="G152" s="23"/>
      <c r="H152" s="24"/>
    </row>
    <row r="153">
      <c r="A153" s="83">
        <f t="shared" si="82"/>
        <v>33</v>
      </c>
      <c r="B153" s="43" t="str">
        <f>IFERROR(__xludf.DUMMYFUNCTION("""COMPUTED_VALUE"""),"Manuel Rivera")</f>
        <v>Manuel Rivera</v>
      </c>
      <c r="C153" s="95"/>
      <c r="D153" s="23"/>
      <c r="E153" s="24"/>
      <c r="F153" s="95"/>
      <c r="G153" s="23"/>
      <c r="H153" s="24"/>
    </row>
    <row r="154">
      <c r="A154" s="83">
        <f t="shared" si="82"/>
        <v>34</v>
      </c>
      <c r="B154" s="43" t="str">
        <f>IFERROR(__xludf.DUMMYFUNCTION("""COMPUTED_VALUE"""),"Matthew Huang")</f>
        <v>Matthew Huang</v>
      </c>
      <c r="C154" s="95"/>
      <c r="D154" s="23"/>
      <c r="E154" s="24"/>
      <c r="F154" s="95"/>
      <c r="G154" s="23"/>
      <c r="H154" s="24"/>
    </row>
    <row r="155">
      <c r="A155" s="83">
        <f t="shared" si="82"/>
        <v>35</v>
      </c>
      <c r="B155" s="43" t="str">
        <f>IFERROR(__xludf.DUMMYFUNCTION("""COMPUTED_VALUE"""),"Mauricio Palacios")</f>
        <v>Mauricio Palacios</v>
      </c>
      <c r="C155" s="95"/>
      <c r="D155" s="23"/>
      <c r="E155" s="24"/>
      <c r="F155" s="95"/>
      <c r="G155" s="23"/>
      <c r="H155" s="24"/>
    </row>
    <row r="156">
      <c r="A156" s="83">
        <f t="shared" si="82"/>
        <v>36</v>
      </c>
      <c r="B156" s="43" t="str">
        <f>IFERROR(__xludf.DUMMYFUNCTION("""COMPUTED_VALUE"""),"Naveen Raj")</f>
        <v>Naveen Raj</v>
      </c>
      <c r="C156" s="95"/>
      <c r="D156" s="23"/>
      <c r="E156" s="24"/>
      <c r="F156" s="95"/>
      <c r="G156" s="23"/>
      <c r="H156" s="24"/>
    </row>
    <row r="157">
      <c r="A157" s="83">
        <f t="shared" si="82"/>
        <v>37</v>
      </c>
      <c r="B157" s="43" t="str">
        <f>IFERROR(__xludf.DUMMYFUNCTION("""COMPUTED_VALUE"""),"Nicole Ni")</f>
        <v>Nicole Ni</v>
      </c>
      <c r="C157" s="95"/>
      <c r="D157" s="23"/>
      <c r="E157" s="24"/>
      <c r="F157" s="95"/>
      <c r="G157" s="23"/>
      <c r="H157" s="24"/>
    </row>
    <row r="158">
      <c r="A158" s="83">
        <f t="shared" si="82"/>
        <v>38</v>
      </c>
      <c r="B158" s="43" t="str">
        <f>IFERROR(__xludf.DUMMYFUNCTION("""COMPUTED_VALUE"""),"Oscar Bonilla")</f>
        <v>Oscar Bonilla</v>
      </c>
      <c r="C158" s="95"/>
      <c r="D158" s="23"/>
      <c r="E158" s="24"/>
      <c r="F158" s="95"/>
      <c r="G158" s="23"/>
      <c r="H158" s="24"/>
    </row>
    <row r="159">
      <c r="A159" s="83">
        <f t="shared" si="82"/>
        <v>39</v>
      </c>
      <c r="B159" s="43" t="str">
        <f>IFERROR(__xludf.DUMMYFUNCTION("""COMPUTED_VALUE"""),"Pavan Akkimsetty")</f>
        <v>Pavan Akkimsetty</v>
      </c>
      <c r="C159" s="95"/>
      <c r="D159" s="23"/>
      <c r="E159" s="24"/>
      <c r="F159" s="95"/>
      <c r="G159" s="23"/>
      <c r="H159" s="24"/>
    </row>
    <row r="160">
      <c r="A160" s="83">
        <f t="shared" si="82"/>
        <v>40</v>
      </c>
      <c r="B160" s="43" t="str">
        <f>IFERROR(__xludf.DUMMYFUNCTION("""COMPUTED_VALUE"""),"Pulkit Mathur")</f>
        <v>Pulkit Mathur</v>
      </c>
      <c r="C160" s="95"/>
      <c r="D160" s="23"/>
      <c r="E160" s="24"/>
      <c r="F160" s="95"/>
      <c r="G160" s="23"/>
      <c r="H160" s="24"/>
    </row>
    <row r="161">
      <c r="A161" s="83">
        <f t="shared" si="82"/>
        <v>41</v>
      </c>
      <c r="B161" s="43" t="str">
        <f>IFERROR(__xludf.DUMMYFUNCTION("""COMPUTED_VALUE"""),"Rajasekar Ramasamy")</f>
        <v>Rajasekar Ramasamy</v>
      </c>
      <c r="C161" s="95"/>
      <c r="D161" s="23"/>
      <c r="E161" s="24"/>
      <c r="F161" s="95"/>
      <c r="G161" s="23"/>
      <c r="H161" s="24"/>
    </row>
    <row r="162">
      <c r="A162" s="83">
        <f t="shared" si="82"/>
        <v>42</v>
      </c>
      <c r="B162" s="43" t="str">
        <f>IFERROR(__xludf.DUMMYFUNCTION("""COMPUTED_VALUE"""),"Rajesh Dorairaj")</f>
        <v>Rajesh Dorairaj</v>
      </c>
      <c r="C162" s="95"/>
      <c r="D162" s="23"/>
      <c r="E162" s="24"/>
      <c r="F162" s="95"/>
      <c r="G162" s="23"/>
      <c r="H162" s="24"/>
    </row>
    <row r="163">
      <c r="A163" s="83">
        <f t="shared" si="82"/>
        <v>43</v>
      </c>
      <c r="B163" s="43" t="str">
        <f>IFERROR(__xludf.DUMMYFUNCTION("""COMPUTED_VALUE"""),"Ramesh Bandaru")</f>
        <v>Ramesh Bandaru</v>
      </c>
      <c r="C163" s="95"/>
      <c r="D163" s="23"/>
      <c r="E163" s="24"/>
      <c r="F163" s="95"/>
      <c r="G163" s="23"/>
      <c r="H163" s="24"/>
    </row>
    <row r="164">
      <c r="A164" s="83">
        <f t="shared" si="82"/>
        <v>44</v>
      </c>
      <c r="B164" s="43" t="str">
        <f>IFERROR(__xludf.DUMMYFUNCTION("""COMPUTED_VALUE"""),"Robert Chang")</f>
        <v>Robert Chang</v>
      </c>
      <c r="C164" s="95"/>
      <c r="D164" s="23"/>
      <c r="E164" s="24"/>
      <c r="F164" s="95"/>
      <c r="G164" s="23"/>
      <c r="H164" s="24"/>
    </row>
    <row r="165">
      <c r="A165" s="83">
        <f t="shared" si="82"/>
        <v>45</v>
      </c>
      <c r="B165" s="43" t="str">
        <f>IFERROR(__xludf.DUMMYFUNCTION("""COMPUTED_VALUE"""),"Sandeep Kamalon")</f>
        <v>Sandeep Kamalon</v>
      </c>
      <c r="C165" s="95"/>
      <c r="D165" s="23"/>
      <c r="E165" s="24"/>
      <c r="F165" s="95"/>
      <c r="G165" s="23"/>
      <c r="H165" s="24"/>
    </row>
    <row r="166">
      <c r="A166" s="83">
        <f t="shared" si="82"/>
        <v>46</v>
      </c>
      <c r="B166" s="43" t="str">
        <f>IFERROR(__xludf.DUMMYFUNCTION("""COMPUTED_VALUE"""),"Sandy Weyant")</f>
        <v>Sandy Weyant</v>
      </c>
      <c r="C166" s="95"/>
      <c r="D166" s="23"/>
      <c r="E166" s="24"/>
      <c r="F166" s="95"/>
      <c r="G166" s="23"/>
      <c r="H166" s="24"/>
    </row>
    <row r="167">
      <c r="A167" s="83">
        <f t="shared" si="82"/>
        <v>47</v>
      </c>
      <c r="B167" s="43" t="str">
        <f>IFERROR(__xludf.DUMMYFUNCTION("""COMPUTED_VALUE"""),"Sanjaye Elayattu")</f>
        <v>Sanjaye Elayattu</v>
      </c>
      <c r="C167" s="95"/>
      <c r="D167" s="23"/>
      <c r="E167" s="24"/>
      <c r="F167" s="95"/>
      <c r="G167" s="23"/>
      <c r="H167" s="24"/>
    </row>
    <row r="168">
      <c r="A168" s="83">
        <f t="shared" si="82"/>
        <v>48</v>
      </c>
      <c r="B168" s="43" t="str">
        <f>IFERROR(__xludf.DUMMYFUNCTION("""COMPUTED_VALUE"""),"Santosh Sundaresan ")</f>
        <v>Santosh Sundaresan </v>
      </c>
      <c r="C168" s="95"/>
      <c r="D168" s="23"/>
      <c r="E168" s="24"/>
      <c r="F168" s="95"/>
      <c r="G168" s="23"/>
      <c r="H168" s="24"/>
    </row>
    <row r="169">
      <c r="A169" s="83">
        <f t="shared" si="82"/>
        <v>49</v>
      </c>
      <c r="B169" s="43" t="str">
        <f>IFERROR(__xludf.DUMMYFUNCTION("""COMPUTED_VALUE"""),"Saravanan Veerapandian")</f>
        <v>Saravanan Veerapandian</v>
      </c>
      <c r="C169" s="95"/>
      <c r="D169" s="23"/>
      <c r="E169" s="24"/>
      <c r="F169" s="95"/>
      <c r="G169" s="23"/>
      <c r="H169" s="24"/>
    </row>
    <row r="170">
      <c r="A170" s="83">
        <f t="shared" si="82"/>
        <v>50</v>
      </c>
      <c r="B170" s="43" t="str">
        <f>IFERROR(__xludf.DUMMYFUNCTION("""COMPUTED_VALUE"""),"Scott Li")</f>
        <v>Scott Li</v>
      </c>
      <c r="C170" s="95"/>
      <c r="D170" s="23"/>
      <c r="E170" s="24"/>
      <c r="F170" s="95"/>
      <c r="G170" s="23"/>
      <c r="H170" s="24"/>
    </row>
    <row r="171">
      <c r="A171" s="83">
        <f t="shared" si="82"/>
        <v>51</v>
      </c>
      <c r="B171" s="43" t="str">
        <f>IFERROR(__xludf.DUMMYFUNCTION("""COMPUTED_VALUE"""),"Sean Chang")</f>
        <v>Sean Chang</v>
      </c>
      <c r="C171" s="95"/>
      <c r="D171" s="23"/>
      <c r="E171" s="24"/>
      <c r="F171" s="95"/>
      <c r="G171" s="23"/>
      <c r="H171" s="24"/>
    </row>
    <row r="172">
      <c r="A172" s="83">
        <f t="shared" si="82"/>
        <v>52</v>
      </c>
      <c r="B172" s="43" t="str">
        <f>IFERROR(__xludf.DUMMYFUNCTION("""COMPUTED_VALUE"""),"Suleman Alidina")</f>
        <v>Suleman Alidina</v>
      </c>
      <c r="C172" s="95"/>
      <c r="D172" s="23"/>
      <c r="E172" s="24"/>
      <c r="F172" s="95"/>
      <c r="G172" s="23"/>
      <c r="H172" s="24"/>
    </row>
    <row r="173">
      <c r="A173" s="83">
        <f t="shared" si="82"/>
        <v>53</v>
      </c>
      <c r="B173" s="43" t="str">
        <f>IFERROR(__xludf.DUMMYFUNCTION("""COMPUTED_VALUE"""),"Susanta Mishra")</f>
        <v>Susanta Mishra</v>
      </c>
      <c r="C173" s="95"/>
      <c r="D173" s="23"/>
      <c r="E173" s="24"/>
      <c r="F173" s="95"/>
      <c r="G173" s="23"/>
      <c r="H173" s="24"/>
    </row>
    <row r="174">
      <c r="A174" s="83">
        <f t="shared" si="82"/>
        <v>54</v>
      </c>
      <c r="B174" s="43" t="str">
        <f>IFERROR(__xludf.DUMMYFUNCTION("""COMPUTED_VALUE"""),"Ted Shen")</f>
        <v>Ted Shen</v>
      </c>
      <c r="C174" s="95"/>
      <c r="D174" s="23"/>
      <c r="E174" s="24"/>
      <c r="F174" s="95"/>
      <c r="G174" s="23"/>
      <c r="H174" s="24"/>
    </row>
    <row r="175">
      <c r="A175" s="83">
        <f t="shared" si="82"/>
        <v>55</v>
      </c>
      <c r="B175" s="43" t="str">
        <f>IFERROR(__xludf.DUMMYFUNCTION("""COMPUTED_VALUE"""),"Tina Hanson")</f>
        <v>Tina Hanson</v>
      </c>
      <c r="C175" s="95"/>
      <c r="D175" s="23"/>
      <c r="E175" s="24"/>
      <c r="F175" s="95"/>
      <c r="G175" s="23"/>
      <c r="H175" s="24"/>
    </row>
    <row r="176">
      <c r="A176" s="83">
        <f t="shared" si="82"/>
        <v>56</v>
      </c>
      <c r="B176" s="43" t="str">
        <f>IFERROR(__xludf.DUMMYFUNCTION("""COMPUTED_VALUE"""),"Tom Le")</f>
        <v>Tom Le</v>
      </c>
      <c r="C176" s="95"/>
      <c r="D176" s="23"/>
      <c r="E176" s="24"/>
      <c r="F176" s="95"/>
      <c r="G176" s="23"/>
      <c r="H176" s="24"/>
    </row>
    <row r="177">
      <c r="A177" s="83">
        <f t="shared" si="82"/>
        <v>57</v>
      </c>
      <c r="B177" s="43" t="str">
        <f>IFERROR(__xludf.DUMMYFUNCTION("""COMPUTED_VALUE"""),"Trish Newlin")</f>
        <v>Trish Newlin</v>
      </c>
      <c r="C177" s="95"/>
      <c r="D177" s="23"/>
      <c r="E177" s="24"/>
      <c r="F177" s="95"/>
      <c r="G177" s="23"/>
      <c r="H177" s="24"/>
    </row>
    <row r="178">
      <c r="A178" s="83">
        <f t="shared" si="82"/>
        <v>58</v>
      </c>
      <c r="B178" s="43" t="str">
        <f>IFERROR(__xludf.DUMMYFUNCTION("""COMPUTED_VALUE"""),"Troy Wong")</f>
        <v>Troy Wong</v>
      </c>
      <c r="C178" s="95"/>
      <c r="D178" s="23"/>
      <c r="E178" s="24"/>
      <c r="F178" s="95"/>
      <c r="G178" s="23"/>
      <c r="H178" s="24"/>
    </row>
    <row r="179">
      <c r="A179" s="83">
        <f t="shared" si="82"/>
        <v>59</v>
      </c>
      <c r="B179" s="43" t="str">
        <f>IFERROR(__xludf.DUMMYFUNCTION("""COMPUTED_VALUE"""),"Tyler Leong")</f>
        <v>Tyler Leong</v>
      </c>
      <c r="C179" s="95"/>
      <c r="D179" s="23"/>
      <c r="E179" s="24"/>
      <c r="F179" s="95"/>
      <c r="G179" s="23"/>
      <c r="H179" s="24"/>
    </row>
    <row r="180">
      <c r="A180" s="83">
        <f t="shared" si="82"/>
        <v>60</v>
      </c>
      <c r="B180" s="43" t="str">
        <f>IFERROR(__xludf.DUMMYFUNCTION("""COMPUTED_VALUE"""),"Vicki Martinet")</f>
        <v>Vicki Martinet</v>
      </c>
      <c r="C180" s="95"/>
      <c r="D180" s="23"/>
      <c r="E180" s="24"/>
      <c r="F180" s="95"/>
      <c r="G180" s="23"/>
      <c r="H180" s="24"/>
    </row>
    <row r="181">
      <c r="A181" s="83">
        <f t="shared" si="82"/>
        <v>61</v>
      </c>
      <c r="B181" s="43" t="str">
        <f>IFERROR(__xludf.DUMMYFUNCTION("""COMPUTED_VALUE"""),"Vinaya Kajla")</f>
        <v>Vinaya Kajla</v>
      </c>
      <c r="C181" s="95"/>
      <c r="D181" s="23"/>
      <c r="E181" s="24"/>
      <c r="F181" s="95"/>
      <c r="G181" s="23"/>
      <c r="H181" s="24"/>
    </row>
    <row r="182">
      <c r="A182" s="83">
        <f t="shared" si="82"/>
        <v>62</v>
      </c>
      <c r="B182" s="43" t="str">
        <f>IFERROR(__xludf.DUMMYFUNCTION("""COMPUTED_VALUE"""),"Vishnu Amarnath")</f>
        <v>Vishnu Amarnath</v>
      </c>
      <c r="C182" s="95"/>
      <c r="D182" s="23"/>
      <c r="E182" s="24"/>
      <c r="F182" s="95"/>
      <c r="G182" s="23"/>
      <c r="H182" s="24"/>
    </row>
    <row r="183">
      <c r="A183" s="83">
        <f t="shared" si="82"/>
        <v>63</v>
      </c>
      <c r="B183" s="43" t="str">
        <f>IFERROR(__xludf.DUMMYFUNCTION("""COMPUTED_VALUE"""),"Wayne Liu")</f>
        <v>Wayne Liu</v>
      </c>
      <c r="C183" s="95"/>
      <c r="D183" s="23"/>
      <c r="E183" s="24"/>
      <c r="F183" s="95"/>
      <c r="G183" s="23"/>
      <c r="H183" s="24"/>
    </row>
    <row r="184">
      <c r="A184" s="83">
        <f t="shared" si="82"/>
        <v>64</v>
      </c>
      <c r="B184" s="43"/>
      <c r="C184" s="95"/>
      <c r="D184" s="23"/>
      <c r="E184" s="24"/>
      <c r="F184" s="95"/>
      <c r="G184" s="23"/>
      <c r="H184" s="24"/>
    </row>
    <row r="185">
      <c r="A185" s="83">
        <f t="shared" si="82"/>
        <v>65</v>
      </c>
      <c r="B185" s="43"/>
      <c r="C185" s="95"/>
      <c r="D185" s="23"/>
      <c r="E185" s="24"/>
      <c r="F185" s="95"/>
      <c r="G185" s="23"/>
      <c r="H185" s="24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45822.0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22.0</v>
      </c>
      <c r="E2" s="1"/>
      <c r="F2" s="1"/>
      <c r="R2" s="19"/>
      <c r="AB2" s="20" t="str">
        <f>text(C1-7,"mm/dd/yy")</f>
        <v>06/07/25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335.0</v>
      </c>
      <c r="D5" s="31">
        <v>42.0</v>
      </c>
      <c r="E5" s="36">
        <f t="shared" ref="E5:E69" si="2">if(($D$2-U5-S5)&lt;&gt;0,(C5-(U5*9)-(S5*13))/($D$2-U5-S5),0)</f>
        <v>15.33333333</v>
      </c>
      <c r="F5" s="73">
        <v>2.0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3.0</v>
      </c>
      <c r="N5" s="31">
        <f t="shared" ref="N5:O5" si="1">C5+L5</f>
        <v>353</v>
      </c>
      <c r="O5" s="31">
        <f t="shared" si="1"/>
        <v>45</v>
      </c>
      <c r="P5" s="45" t="s">
        <v>58</v>
      </c>
      <c r="Q5" s="45" t="s">
        <v>58</v>
      </c>
      <c r="R5" s="45" t="s">
        <v>58</v>
      </c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43" t="s">
        <v>64</v>
      </c>
      <c r="C6" s="47">
        <v>280.0</v>
      </c>
      <c r="D6" s="31">
        <v>26.0</v>
      </c>
      <c r="E6" s="36">
        <f t="shared" si="2"/>
        <v>13.55555556</v>
      </c>
      <c r="F6" s="73">
        <v>1.0</v>
      </c>
      <c r="G6" s="74">
        <v>1.0</v>
      </c>
      <c r="H6" s="75">
        <v>0.0</v>
      </c>
      <c r="I6" s="74">
        <v>3.0</v>
      </c>
      <c r="J6" s="74">
        <v>2.0</v>
      </c>
      <c r="K6" s="74">
        <v>6.0</v>
      </c>
      <c r="L6" s="76">
        <v>11.0</v>
      </c>
      <c r="M6" s="74">
        <v>1.0</v>
      </c>
      <c r="N6" s="47">
        <f t="shared" ref="N6:O6" si="3">C6+L6</f>
        <v>291</v>
      </c>
      <c r="O6" s="31">
        <f t="shared" si="3"/>
        <v>27</v>
      </c>
      <c r="P6" s="45" t="s">
        <v>58</v>
      </c>
      <c r="Q6" s="45" t="s">
        <v>58</v>
      </c>
      <c r="R6" s="45" t="s">
        <v>58</v>
      </c>
      <c r="S6" s="46">
        <f t="shared" si="4"/>
        <v>0</v>
      </c>
      <c r="T6" s="46"/>
      <c r="U6" s="46">
        <f t="shared" si="5"/>
        <v>4</v>
      </c>
      <c r="V6" s="46">
        <f t="shared" si="6"/>
        <v>3</v>
      </c>
      <c r="W6" s="30">
        <f t="shared" ref="W6:W69" si="9">W5+1</f>
        <v>2</v>
      </c>
    </row>
    <row r="7">
      <c r="A7" s="30">
        <f t="shared" si="7"/>
        <v>3</v>
      </c>
      <c r="B7" s="43" t="s">
        <v>87</v>
      </c>
      <c r="C7" s="47">
        <v>279.0</v>
      </c>
      <c r="D7" s="31">
        <v>26.0</v>
      </c>
      <c r="E7" s="36">
        <f t="shared" si="2"/>
        <v>14.0625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47">
        <f t="shared" ref="N7:O7" si="8">C7+L7</f>
        <v>288</v>
      </c>
      <c r="O7" s="31">
        <f t="shared" si="8"/>
        <v>26</v>
      </c>
      <c r="P7" s="45" t="s">
        <v>58</v>
      </c>
      <c r="Q7" s="45" t="s">
        <v>58</v>
      </c>
      <c r="R7" s="45" t="s">
        <v>58</v>
      </c>
      <c r="S7" s="46">
        <f t="shared" si="4"/>
        <v>0</v>
      </c>
      <c r="T7" s="46"/>
      <c r="U7" s="46">
        <f t="shared" si="5"/>
        <v>6</v>
      </c>
      <c r="V7" s="46">
        <f t="shared" si="6"/>
        <v>3</v>
      </c>
      <c r="W7" s="30">
        <f t="shared" si="9"/>
        <v>3</v>
      </c>
    </row>
    <row r="8">
      <c r="A8" s="30">
        <f t="shared" si="7"/>
        <v>4</v>
      </c>
      <c r="B8" s="28" t="s">
        <v>74</v>
      </c>
      <c r="C8" s="31">
        <v>278.0</v>
      </c>
      <c r="D8" s="31">
        <v>28.0</v>
      </c>
      <c r="E8" s="36">
        <f t="shared" si="2"/>
        <v>14.33333333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31">
        <f t="shared" ref="N8:O8" si="10">C8+L8</f>
        <v>287</v>
      </c>
      <c r="O8" s="31">
        <f t="shared" si="10"/>
        <v>28</v>
      </c>
      <c r="P8" s="45" t="s">
        <v>58</v>
      </c>
      <c r="Q8" s="45" t="s">
        <v>58</v>
      </c>
      <c r="R8" s="45" t="s">
        <v>58</v>
      </c>
      <c r="S8" s="46">
        <f t="shared" si="4"/>
        <v>0</v>
      </c>
      <c r="T8" s="46"/>
      <c r="U8" s="46">
        <f t="shared" si="5"/>
        <v>7</v>
      </c>
      <c r="V8" s="46">
        <f t="shared" si="6"/>
        <v>-1</v>
      </c>
      <c r="W8" s="30">
        <f t="shared" si="9"/>
        <v>4</v>
      </c>
    </row>
    <row r="9">
      <c r="A9" s="30">
        <f t="shared" si="7"/>
        <v>5</v>
      </c>
      <c r="B9" s="28" t="s">
        <v>101</v>
      </c>
      <c r="C9" s="31">
        <v>277.0</v>
      </c>
      <c r="D9" s="31">
        <v>22.0</v>
      </c>
      <c r="E9" s="36">
        <f t="shared" si="2"/>
        <v>14</v>
      </c>
      <c r="F9" s="73">
        <v>3.0</v>
      </c>
      <c r="G9" s="74">
        <v>0.0</v>
      </c>
      <c r="H9" s="75">
        <v>9.0</v>
      </c>
      <c r="I9" s="74">
        <v>0.0</v>
      </c>
      <c r="J9" s="74">
        <v>0.0</v>
      </c>
      <c r="K9" s="74">
        <v>0.0</v>
      </c>
      <c r="L9" s="76">
        <v>9.0</v>
      </c>
      <c r="M9" s="74">
        <v>0.0</v>
      </c>
      <c r="N9" s="31">
        <f t="shared" ref="N9:O9" si="11">C9+L9</f>
        <v>286</v>
      </c>
      <c r="O9" s="31">
        <f t="shared" si="11"/>
        <v>22</v>
      </c>
      <c r="P9" s="45" t="s">
        <v>58</v>
      </c>
      <c r="Q9" s="45" t="s">
        <v>58</v>
      </c>
      <c r="R9" s="45" t="s">
        <v>58</v>
      </c>
      <c r="S9" s="46">
        <f t="shared" si="4"/>
        <v>1</v>
      </c>
      <c r="T9" s="46"/>
      <c r="U9" s="46">
        <f t="shared" si="5"/>
        <v>6</v>
      </c>
      <c r="V9" s="46">
        <f t="shared" si="6"/>
        <v>-3</v>
      </c>
      <c r="W9" s="30">
        <f t="shared" si="9"/>
        <v>5</v>
      </c>
    </row>
    <row r="10">
      <c r="A10" s="30">
        <f t="shared" si="7"/>
        <v>6</v>
      </c>
      <c r="B10" s="28" t="s">
        <v>97</v>
      </c>
      <c r="C10" s="31">
        <v>276.0</v>
      </c>
      <c r="D10" s="31">
        <v>24.0</v>
      </c>
      <c r="E10" s="36">
        <f t="shared" si="2"/>
        <v>13.11764706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285</v>
      </c>
      <c r="O10" s="31">
        <f t="shared" si="12"/>
        <v>24</v>
      </c>
      <c r="P10" s="45" t="s">
        <v>58</v>
      </c>
      <c r="Q10" s="45" t="s">
        <v>58</v>
      </c>
      <c r="R10" s="45" t="s">
        <v>58</v>
      </c>
      <c r="S10" s="46">
        <f t="shared" si="4"/>
        <v>2</v>
      </c>
      <c r="T10" s="46"/>
      <c r="U10" s="46">
        <f t="shared" si="5"/>
        <v>3</v>
      </c>
      <c r="V10" s="46">
        <f t="shared" si="6"/>
        <v>-2</v>
      </c>
      <c r="W10" s="30">
        <f t="shared" si="9"/>
        <v>6</v>
      </c>
    </row>
    <row r="11">
      <c r="A11" s="30">
        <f t="shared" si="7"/>
        <v>7</v>
      </c>
      <c r="B11" s="43" t="s">
        <v>88</v>
      </c>
      <c r="C11" s="47">
        <v>272.0</v>
      </c>
      <c r="D11" s="31">
        <v>25.0</v>
      </c>
      <c r="E11" s="36">
        <f t="shared" si="2"/>
        <v>12.5</v>
      </c>
      <c r="F11" s="73">
        <v>1.0</v>
      </c>
      <c r="G11" s="74">
        <v>1.0</v>
      </c>
      <c r="H11" s="75">
        <v>0.0</v>
      </c>
      <c r="I11" s="74">
        <v>6.0</v>
      </c>
      <c r="J11" s="74">
        <v>2.0</v>
      </c>
      <c r="K11" s="74">
        <v>3.0</v>
      </c>
      <c r="L11" s="76">
        <v>11.0</v>
      </c>
      <c r="M11" s="74">
        <v>1.0</v>
      </c>
      <c r="N11" s="47">
        <f t="shared" ref="N11:O11" si="13">C11+L11</f>
        <v>283</v>
      </c>
      <c r="O11" s="31">
        <f t="shared" si="13"/>
        <v>26</v>
      </c>
      <c r="P11" s="45" t="s">
        <v>58</v>
      </c>
      <c r="Q11" s="45" t="s">
        <v>58</v>
      </c>
      <c r="R11" s="45" t="s">
        <v>58</v>
      </c>
      <c r="S11" s="46">
        <f t="shared" si="4"/>
        <v>1</v>
      </c>
      <c r="T11" s="46"/>
      <c r="U11" s="46">
        <f t="shared" si="5"/>
        <v>1</v>
      </c>
      <c r="V11" s="46">
        <f t="shared" si="6"/>
        <v>0</v>
      </c>
      <c r="W11" s="30">
        <f t="shared" si="9"/>
        <v>7</v>
      </c>
    </row>
    <row r="12">
      <c r="A12" s="30">
        <f t="shared" si="7"/>
        <v>8</v>
      </c>
      <c r="B12" s="48" t="s">
        <v>82</v>
      </c>
      <c r="C12" s="31">
        <v>271.0</v>
      </c>
      <c r="D12" s="31">
        <v>23.0</v>
      </c>
      <c r="E12" s="36">
        <f t="shared" si="2"/>
        <v>13.05882353</v>
      </c>
      <c r="F12" s="73">
        <v>1.0</v>
      </c>
      <c r="G12" s="74">
        <v>1.0</v>
      </c>
      <c r="H12" s="75">
        <v>0.0</v>
      </c>
      <c r="I12" s="74">
        <v>3.0</v>
      </c>
      <c r="J12" s="74">
        <v>6.0</v>
      </c>
      <c r="K12" s="74">
        <v>3.0</v>
      </c>
      <c r="L12" s="76">
        <v>12.0</v>
      </c>
      <c r="M12" s="74">
        <v>1.0</v>
      </c>
      <c r="N12" s="31">
        <f t="shared" ref="N12:O12" si="14">C12+L12</f>
        <v>283</v>
      </c>
      <c r="O12" s="31">
        <f t="shared" si="14"/>
        <v>24</v>
      </c>
      <c r="P12" s="45" t="s">
        <v>58</v>
      </c>
      <c r="Q12" s="45" t="s">
        <v>58</v>
      </c>
      <c r="R12" s="45" t="s">
        <v>58</v>
      </c>
      <c r="S12" s="46">
        <f t="shared" si="4"/>
        <v>1</v>
      </c>
      <c r="T12" s="46"/>
      <c r="U12" s="46">
        <f t="shared" si="5"/>
        <v>4</v>
      </c>
      <c r="V12" s="46">
        <f t="shared" si="6"/>
        <v>10</v>
      </c>
      <c r="W12" s="30">
        <f t="shared" si="9"/>
        <v>8</v>
      </c>
    </row>
    <row r="13">
      <c r="A13" s="30">
        <f t="shared" si="7"/>
        <v>9</v>
      </c>
      <c r="B13" s="43" t="s">
        <v>121</v>
      </c>
      <c r="C13" s="31">
        <v>269.0</v>
      </c>
      <c r="D13" s="31">
        <v>22.0</v>
      </c>
      <c r="E13" s="36">
        <f t="shared" si="2"/>
        <v>15.7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278</v>
      </c>
      <c r="O13" s="31">
        <f t="shared" si="15"/>
        <v>22</v>
      </c>
      <c r="P13" s="45" t="s">
        <v>58</v>
      </c>
      <c r="Q13" s="45" t="s">
        <v>58</v>
      </c>
      <c r="R13" s="45" t="s">
        <v>58</v>
      </c>
      <c r="S13" s="46">
        <f t="shared" si="4"/>
        <v>1</v>
      </c>
      <c r="T13" s="46"/>
      <c r="U13" s="46">
        <f t="shared" si="5"/>
        <v>11</v>
      </c>
      <c r="V13" s="46">
        <f t="shared" si="6"/>
        <v>-1</v>
      </c>
      <c r="W13" s="30">
        <f t="shared" si="9"/>
        <v>9</v>
      </c>
    </row>
    <row r="14">
      <c r="A14" s="30">
        <f t="shared" si="7"/>
        <v>10</v>
      </c>
      <c r="B14" s="43" t="s">
        <v>94</v>
      </c>
      <c r="C14" s="31">
        <v>269.0</v>
      </c>
      <c r="D14" s="31">
        <v>22.0</v>
      </c>
      <c r="E14" s="36">
        <f t="shared" si="2"/>
        <v>14.58333333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278</v>
      </c>
      <c r="O14" s="31">
        <f t="shared" si="16"/>
        <v>22</v>
      </c>
      <c r="P14" s="45" t="s">
        <v>58</v>
      </c>
      <c r="Q14" s="45" t="s">
        <v>58</v>
      </c>
      <c r="R14" s="45" t="s">
        <v>58</v>
      </c>
      <c r="S14" s="46">
        <f t="shared" si="4"/>
        <v>1</v>
      </c>
      <c r="T14" s="46"/>
      <c r="U14" s="46">
        <f t="shared" si="5"/>
        <v>9</v>
      </c>
      <c r="V14" s="46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28" t="s">
        <v>117</v>
      </c>
      <c r="C15" s="31">
        <v>268.0</v>
      </c>
      <c r="D15" s="31">
        <v>24.0</v>
      </c>
      <c r="E15" s="36">
        <f t="shared" si="2"/>
        <v>15.6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277</v>
      </c>
      <c r="O15" s="31">
        <f t="shared" si="17"/>
        <v>24</v>
      </c>
      <c r="P15" s="45" t="s">
        <v>58</v>
      </c>
      <c r="Q15" s="45" t="s">
        <v>58</v>
      </c>
      <c r="R15" s="45" t="s">
        <v>58</v>
      </c>
      <c r="S15" s="46">
        <f t="shared" si="4"/>
        <v>1</v>
      </c>
      <c r="T15" s="46"/>
      <c r="U15" s="46">
        <f t="shared" si="5"/>
        <v>11</v>
      </c>
      <c r="V15" s="46">
        <f t="shared" si="6"/>
        <v>-1</v>
      </c>
      <c r="W15" s="30">
        <f t="shared" si="9"/>
        <v>11</v>
      </c>
    </row>
    <row r="16">
      <c r="A16" s="30">
        <f t="shared" si="7"/>
        <v>12</v>
      </c>
      <c r="B16" s="28" t="s">
        <v>128</v>
      </c>
      <c r="C16" s="31">
        <v>266.0</v>
      </c>
      <c r="D16" s="31">
        <v>25.0</v>
      </c>
      <c r="E16" s="36">
        <f t="shared" si="2"/>
        <v>15.18181818</v>
      </c>
      <c r="F16" s="73">
        <v>1.0</v>
      </c>
      <c r="G16" s="74">
        <v>2.0</v>
      </c>
      <c r="H16" s="75">
        <v>0.0</v>
      </c>
      <c r="I16" s="74">
        <v>5.0</v>
      </c>
      <c r="J16" s="74">
        <v>4.0</v>
      </c>
      <c r="K16" s="74">
        <v>1.0</v>
      </c>
      <c r="L16" s="76">
        <v>10.0</v>
      </c>
      <c r="M16" s="74">
        <v>0.0</v>
      </c>
      <c r="N16" s="31">
        <f t="shared" ref="N16:O16" si="18">C16+L16</f>
        <v>276</v>
      </c>
      <c r="O16" s="31">
        <f t="shared" si="18"/>
        <v>25</v>
      </c>
      <c r="P16" s="45" t="s">
        <v>58</v>
      </c>
      <c r="Q16" s="45" t="s">
        <v>58</v>
      </c>
      <c r="R16" s="45" t="s">
        <v>58</v>
      </c>
      <c r="S16" s="46">
        <f t="shared" si="4"/>
        <v>0</v>
      </c>
      <c r="T16" s="46"/>
      <c r="U16" s="46">
        <f t="shared" si="5"/>
        <v>11</v>
      </c>
      <c r="V16" s="46">
        <f t="shared" si="6"/>
        <v>-1</v>
      </c>
      <c r="W16" s="30">
        <f t="shared" si="9"/>
        <v>12</v>
      </c>
    </row>
    <row r="17">
      <c r="A17" s="30">
        <f t="shared" si="7"/>
        <v>13</v>
      </c>
      <c r="B17" s="43" t="s">
        <v>106</v>
      </c>
      <c r="C17" s="31">
        <v>266.0</v>
      </c>
      <c r="D17" s="31">
        <v>25.0</v>
      </c>
      <c r="E17" s="36">
        <f t="shared" si="2"/>
        <v>13.57142857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275</v>
      </c>
      <c r="O17" s="31">
        <f t="shared" si="19"/>
        <v>25</v>
      </c>
      <c r="P17" s="45" t="s">
        <v>58</v>
      </c>
      <c r="Q17" s="45" t="s">
        <v>58</v>
      </c>
      <c r="R17" s="45" t="s">
        <v>58</v>
      </c>
      <c r="S17" s="46">
        <f t="shared" si="4"/>
        <v>1</v>
      </c>
      <c r="T17" s="46"/>
      <c r="U17" s="46">
        <f t="shared" si="5"/>
        <v>7</v>
      </c>
      <c r="V17" s="46">
        <f t="shared" si="6"/>
        <v>8</v>
      </c>
      <c r="W17" s="30">
        <f t="shared" si="9"/>
        <v>13</v>
      </c>
    </row>
    <row r="18">
      <c r="A18" s="30">
        <f t="shared" si="7"/>
        <v>14</v>
      </c>
      <c r="B18" s="28" t="s">
        <v>92</v>
      </c>
      <c r="C18" s="31">
        <v>266.0</v>
      </c>
      <c r="D18" s="31">
        <v>23.0</v>
      </c>
      <c r="E18" s="36">
        <f t="shared" si="2"/>
        <v>13.85714286</v>
      </c>
      <c r="F18" s="73">
        <v>1.0</v>
      </c>
      <c r="G18" s="74">
        <v>2.0</v>
      </c>
      <c r="H18" s="75">
        <v>0.0</v>
      </c>
      <c r="I18" s="74">
        <v>7.0</v>
      </c>
      <c r="J18" s="74">
        <v>4.0</v>
      </c>
      <c r="K18" s="74">
        <v>6.0</v>
      </c>
      <c r="L18" s="76">
        <v>17.0</v>
      </c>
      <c r="M18" s="74">
        <v>2.0</v>
      </c>
      <c r="N18" s="31">
        <f t="shared" ref="N18:O18" si="20">C18+L18</f>
        <v>283</v>
      </c>
      <c r="O18" s="31">
        <f t="shared" si="20"/>
        <v>25</v>
      </c>
      <c r="P18" s="45" t="s">
        <v>58</v>
      </c>
      <c r="Q18" s="45" t="s">
        <v>58</v>
      </c>
      <c r="R18" s="45" t="s">
        <v>58</v>
      </c>
      <c r="S18" s="46">
        <f t="shared" si="4"/>
        <v>0</v>
      </c>
      <c r="T18" s="46"/>
      <c r="U18" s="46">
        <f t="shared" si="5"/>
        <v>8</v>
      </c>
      <c r="V18" s="46">
        <f t="shared" si="6"/>
        <v>-2</v>
      </c>
      <c r="W18" s="30">
        <f t="shared" si="9"/>
        <v>14</v>
      </c>
    </row>
    <row r="19">
      <c r="A19" s="30">
        <f t="shared" si="7"/>
        <v>15</v>
      </c>
      <c r="B19" s="43" t="s">
        <v>130</v>
      </c>
      <c r="C19" s="31">
        <v>266.0</v>
      </c>
      <c r="D19" s="31">
        <v>20.0</v>
      </c>
      <c r="E19" s="36">
        <f t="shared" si="2"/>
        <v>15.18181818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275</v>
      </c>
      <c r="O19" s="31">
        <f t="shared" si="21"/>
        <v>20</v>
      </c>
      <c r="P19" s="45" t="s">
        <v>58</v>
      </c>
      <c r="Q19" s="45" t="s">
        <v>58</v>
      </c>
      <c r="R19" s="45" t="s">
        <v>58</v>
      </c>
      <c r="S19" s="46">
        <f t="shared" si="4"/>
        <v>0</v>
      </c>
      <c r="T19" s="46"/>
      <c r="U19" s="46">
        <f t="shared" si="5"/>
        <v>11</v>
      </c>
      <c r="V19" s="46">
        <f t="shared" si="6"/>
        <v>-2</v>
      </c>
      <c r="W19" s="30">
        <f t="shared" si="9"/>
        <v>15</v>
      </c>
    </row>
    <row r="20">
      <c r="A20" s="30">
        <f t="shared" si="7"/>
        <v>16</v>
      </c>
      <c r="B20" s="28" t="s">
        <v>95</v>
      </c>
      <c r="C20" s="31">
        <v>265.0</v>
      </c>
      <c r="D20" s="31">
        <v>25.0</v>
      </c>
      <c r="E20" s="36">
        <f t="shared" si="2"/>
        <v>13.46666667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274</v>
      </c>
      <c r="O20" s="31">
        <f t="shared" si="22"/>
        <v>25</v>
      </c>
      <c r="P20" s="45" t="s">
        <v>58</v>
      </c>
      <c r="Q20" s="45" t="s">
        <v>58</v>
      </c>
      <c r="R20" s="45" t="s">
        <v>58</v>
      </c>
      <c r="S20" s="46">
        <f t="shared" si="4"/>
        <v>0</v>
      </c>
      <c r="T20" s="46"/>
      <c r="U20" s="46">
        <f t="shared" si="5"/>
        <v>7</v>
      </c>
      <c r="V20" s="46">
        <f t="shared" si="6"/>
        <v>-2</v>
      </c>
      <c r="W20" s="30">
        <f t="shared" si="9"/>
        <v>16</v>
      </c>
    </row>
    <row r="21">
      <c r="A21" s="30">
        <f t="shared" si="7"/>
        <v>17</v>
      </c>
      <c r="B21" s="28" t="s">
        <v>104</v>
      </c>
      <c r="C21" s="31">
        <v>265.0</v>
      </c>
      <c r="D21" s="31">
        <v>21.0</v>
      </c>
      <c r="E21" s="36">
        <f t="shared" si="2"/>
        <v>12.5</v>
      </c>
      <c r="F21" s="73">
        <v>2.0</v>
      </c>
      <c r="G21" s="74">
        <v>2.0</v>
      </c>
      <c r="H21" s="75">
        <v>0.0</v>
      </c>
      <c r="I21" s="74">
        <v>5.0</v>
      </c>
      <c r="J21" s="74">
        <v>6.0</v>
      </c>
      <c r="K21" s="74">
        <v>6.0</v>
      </c>
      <c r="L21" s="76">
        <v>17.0</v>
      </c>
      <c r="M21" s="74">
        <v>2.0</v>
      </c>
      <c r="N21" s="31">
        <f t="shared" ref="N21:O21" si="23">C21+L21</f>
        <v>282</v>
      </c>
      <c r="O21" s="31">
        <f t="shared" si="23"/>
        <v>23</v>
      </c>
      <c r="P21" s="45" t="s">
        <v>58</v>
      </c>
      <c r="Q21" s="45" t="s">
        <v>58</v>
      </c>
      <c r="R21" s="45" t="s">
        <v>58</v>
      </c>
      <c r="S21" s="46">
        <f t="shared" si="4"/>
        <v>1</v>
      </c>
      <c r="T21" s="46"/>
      <c r="U21" s="46">
        <f t="shared" si="5"/>
        <v>3</v>
      </c>
      <c r="V21" s="46">
        <f t="shared" si="6"/>
        <v>-2</v>
      </c>
      <c r="W21" s="30">
        <f t="shared" si="9"/>
        <v>17</v>
      </c>
    </row>
    <row r="22">
      <c r="A22" s="30">
        <f t="shared" si="7"/>
        <v>18</v>
      </c>
      <c r="B22" s="28" t="s">
        <v>120</v>
      </c>
      <c r="C22" s="31">
        <v>263.0</v>
      </c>
      <c r="D22" s="31">
        <v>23.0</v>
      </c>
      <c r="E22" s="36">
        <f t="shared" si="2"/>
        <v>14.54545455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272</v>
      </c>
      <c r="O22" s="31">
        <f t="shared" si="24"/>
        <v>23</v>
      </c>
      <c r="P22" s="45" t="s">
        <v>58</v>
      </c>
      <c r="Q22" s="45" t="s">
        <v>58</v>
      </c>
      <c r="R22" s="45" t="s">
        <v>58</v>
      </c>
      <c r="S22" s="46">
        <f t="shared" si="4"/>
        <v>1</v>
      </c>
      <c r="T22" s="46"/>
      <c r="U22" s="46">
        <f t="shared" si="5"/>
        <v>10</v>
      </c>
      <c r="V22" s="46">
        <f t="shared" si="6"/>
        <v>5</v>
      </c>
      <c r="W22" s="30">
        <f t="shared" si="9"/>
        <v>18</v>
      </c>
    </row>
    <row r="23">
      <c r="A23" s="30">
        <f t="shared" si="7"/>
        <v>19</v>
      </c>
      <c r="B23" s="28" t="s">
        <v>105</v>
      </c>
      <c r="C23" s="31">
        <v>262.0</v>
      </c>
      <c r="D23" s="31">
        <v>23.0</v>
      </c>
      <c r="E23" s="36">
        <f t="shared" si="2"/>
        <v>13.28571429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271</v>
      </c>
      <c r="O23" s="31">
        <f t="shared" si="25"/>
        <v>23</v>
      </c>
      <c r="P23" s="45" t="s">
        <v>58</v>
      </c>
      <c r="Q23" s="45" t="s">
        <v>58</v>
      </c>
      <c r="R23" s="45" t="s">
        <v>58</v>
      </c>
      <c r="S23" s="46">
        <f t="shared" si="4"/>
        <v>1</v>
      </c>
      <c r="T23" s="46"/>
      <c r="U23" s="46">
        <f t="shared" si="5"/>
        <v>7</v>
      </c>
      <c r="V23" s="46">
        <f t="shared" si="6"/>
        <v>-3</v>
      </c>
      <c r="W23" s="30">
        <f t="shared" si="9"/>
        <v>19</v>
      </c>
    </row>
    <row r="24">
      <c r="A24" s="30">
        <f t="shared" si="7"/>
        <v>20</v>
      </c>
      <c r="B24" s="28" t="s">
        <v>116</v>
      </c>
      <c r="C24" s="31">
        <v>262.0</v>
      </c>
      <c r="D24" s="31">
        <v>22.0</v>
      </c>
      <c r="E24" s="36">
        <f t="shared" si="2"/>
        <v>14.45454545</v>
      </c>
      <c r="F24" s="73">
        <v>3.0</v>
      </c>
      <c r="G24" s="74">
        <v>0.0</v>
      </c>
      <c r="H24" s="75">
        <v>9.0</v>
      </c>
      <c r="I24" s="74">
        <v>0.0</v>
      </c>
      <c r="J24" s="74">
        <v>0.0</v>
      </c>
      <c r="K24" s="74">
        <v>0.0</v>
      </c>
      <c r="L24" s="76">
        <v>9.0</v>
      </c>
      <c r="M24" s="74">
        <v>0.0</v>
      </c>
      <c r="N24" s="31">
        <f t="shared" ref="N24:O24" si="26">C24+L24</f>
        <v>271</v>
      </c>
      <c r="O24" s="31">
        <f t="shared" si="26"/>
        <v>22</v>
      </c>
      <c r="P24" s="45" t="s">
        <v>58</v>
      </c>
      <c r="Q24" s="45" t="s">
        <v>58</v>
      </c>
      <c r="R24" s="45" t="s">
        <v>58</v>
      </c>
      <c r="S24" s="46">
        <f t="shared" si="4"/>
        <v>1</v>
      </c>
      <c r="T24" s="46"/>
      <c r="U24" s="46">
        <f t="shared" si="5"/>
        <v>10</v>
      </c>
      <c r="V24" s="46">
        <f t="shared" si="6"/>
        <v>-3</v>
      </c>
      <c r="W24" s="30">
        <f t="shared" si="9"/>
        <v>20</v>
      </c>
    </row>
    <row r="25">
      <c r="A25" s="30">
        <f t="shared" si="7"/>
        <v>21</v>
      </c>
      <c r="B25" s="43" t="s">
        <v>107</v>
      </c>
      <c r="C25" s="31">
        <v>261.0</v>
      </c>
      <c r="D25" s="31">
        <v>16.0</v>
      </c>
      <c r="E25" s="36">
        <f t="shared" si="2"/>
        <v>12.93333333</v>
      </c>
      <c r="F25" s="73">
        <v>2.0</v>
      </c>
      <c r="G25" s="74">
        <v>2.0</v>
      </c>
      <c r="H25" s="75">
        <v>0.0</v>
      </c>
      <c r="I25" s="74">
        <v>7.0</v>
      </c>
      <c r="J25" s="74">
        <v>6.0</v>
      </c>
      <c r="K25" s="74">
        <v>1.0</v>
      </c>
      <c r="L25" s="76">
        <v>14.0</v>
      </c>
      <c r="M25" s="74">
        <v>2.0</v>
      </c>
      <c r="N25" s="31">
        <f t="shared" ref="N25:O25" si="27">C25+L25</f>
        <v>275</v>
      </c>
      <c r="O25" s="31">
        <f t="shared" si="27"/>
        <v>18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6</v>
      </c>
      <c r="V25" s="46">
        <f t="shared" si="6"/>
        <v>3</v>
      </c>
      <c r="W25" s="30">
        <f t="shared" si="9"/>
        <v>21</v>
      </c>
    </row>
    <row r="26">
      <c r="A26" s="30">
        <f t="shared" si="7"/>
        <v>22</v>
      </c>
      <c r="B26" s="43" t="s">
        <v>129</v>
      </c>
      <c r="C26" s="47">
        <v>260.0</v>
      </c>
      <c r="D26" s="31">
        <v>23.0</v>
      </c>
      <c r="E26" s="36">
        <f t="shared" si="2"/>
        <v>12.26315789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47">
        <f t="shared" ref="N26:O26" si="28">C26+L26</f>
        <v>269</v>
      </c>
      <c r="O26" s="31">
        <f t="shared" si="28"/>
        <v>23</v>
      </c>
      <c r="P26" s="45" t="s">
        <v>58</v>
      </c>
      <c r="Q26" s="45" t="s">
        <v>58</v>
      </c>
      <c r="R26" s="45" t="s">
        <v>58</v>
      </c>
      <c r="S26" s="46">
        <f t="shared" si="4"/>
        <v>0</v>
      </c>
      <c r="T26" s="46"/>
      <c r="U26" s="46">
        <f t="shared" si="5"/>
        <v>3</v>
      </c>
      <c r="V26" s="46">
        <f t="shared" si="6"/>
        <v>0</v>
      </c>
      <c r="W26" s="30">
        <f t="shared" si="9"/>
        <v>22</v>
      </c>
    </row>
    <row r="27">
      <c r="A27" s="30">
        <f t="shared" si="7"/>
        <v>23</v>
      </c>
      <c r="B27" s="28" t="s">
        <v>44</v>
      </c>
      <c r="C27" s="31">
        <v>260.0</v>
      </c>
      <c r="D27" s="31">
        <v>22.0</v>
      </c>
      <c r="E27" s="36">
        <f t="shared" si="2"/>
        <v>14.63636364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31">
        <f t="shared" ref="N27:O27" si="29">C27+L27</f>
        <v>269</v>
      </c>
      <c r="O27" s="31">
        <f t="shared" si="29"/>
        <v>22</v>
      </c>
      <c r="P27" s="45" t="s">
        <v>58</v>
      </c>
      <c r="Q27" s="45" t="s">
        <v>58</v>
      </c>
      <c r="R27" s="45" t="s">
        <v>58</v>
      </c>
      <c r="S27" s="46">
        <f t="shared" si="4"/>
        <v>0</v>
      </c>
      <c r="T27" s="46"/>
      <c r="U27" s="46">
        <f t="shared" si="5"/>
        <v>11</v>
      </c>
      <c r="V27" s="46">
        <f t="shared" si="6"/>
        <v>-4</v>
      </c>
      <c r="W27" s="30">
        <f t="shared" si="9"/>
        <v>23</v>
      </c>
    </row>
    <row r="28">
      <c r="A28" s="30">
        <f t="shared" si="7"/>
        <v>24</v>
      </c>
      <c r="B28" s="28" t="s">
        <v>67</v>
      </c>
      <c r="C28" s="31">
        <v>260.0</v>
      </c>
      <c r="D28" s="31">
        <v>21.0</v>
      </c>
      <c r="E28" s="36">
        <f t="shared" si="2"/>
        <v>14.8</v>
      </c>
      <c r="F28" s="73">
        <v>1.0</v>
      </c>
      <c r="G28" s="74">
        <v>3.0</v>
      </c>
      <c r="H28" s="75">
        <v>0.0</v>
      </c>
      <c r="I28" s="74">
        <v>6.0</v>
      </c>
      <c r="J28" s="74">
        <v>6.0</v>
      </c>
      <c r="K28" s="74">
        <v>6.0</v>
      </c>
      <c r="L28" s="76">
        <v>18.0</v>
      </c>
      <c r="M28" s="74">
        <v>3.0</v>
      </c>
      <c r="N28" s="31">
        <f t="shared" ref="N28:O28" si="30">C28+L28</f>
        <v>278</v>
      </c>
      <c r="O28" s="31">
        <f t="shared" si="30"/>
        <v>24</v>
      </c>
      <c r="P28" s="45" t="s">
        <v>58</v>
      </c>
      <c r="Q28" s="45" t="s">
        <v>58</v>
      </c>
      <c r="R28" s="45" t="s">
        <v>58</v>
      </c>
      <c r="S28" s="46">
        <f t="shared" si="4"/>
        <v>1</v>
      </c>
      <c r="T28" s="46"/>
      <c r="U28" s="46">
        <f t="shared" si="5"/>
        <v>11</v>
      </c>
      <c r="V28" s="46">
        <f t="shared" si="6"/>
        <v>-4</v>
      </c>
      <c r="W28" s="30">
        <f t="shared" si="9"/>
        <v>24</v>
      </c>
    </row>
    <row r="29">
      <c r="A29" s="30">
        <f t="shared" si="7"/>
        <v>25</v>
      </c>
      <c r="B29" s="43" t="s">
        <v>56</v>
      </c>
      <c r="C29" s="31">
        <v>258.0</v>
      </c>
      <c r="D29" s="31">
        <v>25.0</v>
      </c>
      <c r="E29" s="36">
        <f t="shared" si="2"/>
        <v>11.72727273</v>
      </c>
      <c r="F29" s="73">
        <v>1.0</v>
      </c>
      <c r="G29" s="74">
        <v>3.0</v>
      </c>
      <c r="H29" s="75">
        <v>0.0</v>
      </c>
      <c r="I29" s="74">
        <v>3.0</v>
      </c>
      <c r="J29" s="74">
        <v>1.0</v>
      </c>
      <c r="K29" s="74">
        <v>6.0</v>
      </c>
      <c r="L29" s="76">
        <v>10.0</v>
      </c>
      <c r="M29" s="74">
        <v>1.0</v>
      </c>
      <c r="N29" s="31">
        <f t="shared" ref="N29:O29" si="31">C29+L29</f>
        <v>268</v>
      </c>
      <c r="O29" s="31">
        <f t="shared" si="31"/>
        <v>26</v>
      </c>
      <c r="P29" s="45" t="s">
        <v>58</v>
      </c>
      <c r="Q29" s="45" t="s">
        <v>58</v>
      </c>
      <c r="R29" s="45" t="s">
        <v>58</v>
      </c>
      <c r="S29" s="46">
        <f t="shared" si="4"/>
        <v>0</v>
      </c>
      <c r="T29" s="46"/>
      <c r="U29" s="46">
        <f t="shared" si="5"/>
        <v>0</v>
      </c>
      <c r="V29" s="46">
        <f t="shared" si="6"/>
        <v>3</v>
      </c>
      <c r="W29" s="30">
        <f t="shared" si="9"/>
        <v>25</v>
      </c>
    </row>
    <row r="30">
      <c r="A30" s="30">
        <f t="shared" si="7"/>
        <v>26</v>
      </c>
      <c r="B30" s="43" t="s">
        <v>111</v>
      </c>
      <c r="C30" s="47">
        <v>256.0</v>
      </c>
      <c r="D30" s="31">
        <v>21.0</v>
      </c>
      <c r="E30" s="36">
        <f t="shared" si="2"/>
        <v>12</v>
      </c>
      <c r="F30" s="73">
        <v>1.0</v>
      </c>
      <c r="G30" s="74">
        <v>3.0</v>
      </c>
      <c r="H30" s="75">
        <v>0.0</v>
      </c>
      <c r="I30" s="74">
        <v>3.0</v>
      </c>
      <c r="J30" s="74">
        <v>6.0</v>
      </c>
      <c r="K30" s="74">
        <v>0.0</v>
      </c>
      <c r="L30" s="76">
        <v>9.0</v>
      </c>
      <c r="M30" s="74">
        <v>1.0</v>
      </c>
      <c r="N30" s="47">
        <f t="shared" ref="N30:O30" si="32">C30+L30</f>
        <v>265</v>
      </c>
      <c r="O30" s="31">
        <f t="shared" si="32"/>
        <v>22</v>
      </c>
      <c r="P30" s="45" t="s">
        <v>58</v>
      </c>
      <c r="Q30" s="45" t="s">
        <v>58</v>
      </c>
      <c r="R30" s="45" t="s">
        <v>58</v>
      </c>
      <c r="S30" s="46">
        <f t="shared" si="4"/>
        <v>1</v>
      </c>
      <c r="T30" s="46"/>
      <c r="U30" s="46">
        <f t="shared" si="5"/>
        <v>3</v>
      </c>
      <c r="V30" s="46">
        <f t="shared" si="6"/>
        <v>4</v>
      </c>
      <c r="W30" s="30">
        <f t="shared" si="9"/>
        <v>26</v>
      </c>
    </row>
    <row r="31">
      <c r="A31" s="30">
        <f t="shared" si="7"/>
        <v>27</v>
      </c>
      <c r="B31" s="43" t="s">
        <v>90</v>
      </c>
      <c r="C31" s="31">
        <v>256.0</v>
      </c>
      <c r="D31" s="31">
        <v>20.0</v>
      </c>
      <c r="E31" s="36">
        <f t="shared" si="2"/>
        <v>12.06666667</v>
      </c>
      <c r="F31" s="73">
        <v>2.0</v>
      </c>
      <c r="G31" s="74">
        <v>3.0</v>
      </c>
      <c r="H31" s="75">
        <v>0.0</v>
      </c>
      <c r="I31" s="74">
        <v>6.0</v>
      </c>
      <c r="J31" s="74">
        <v>1.0</v>
      </c>
      <c r="K31" s="74">
        <v>0.0</v>
      </c>
      <c r="L31" s="76">
        <v>7.0</v>
      </c>
      <c r="M31" s="74">
        <v>1.0</v>
      </c>
      <c r="N31" s="31">
        <f t="shared" ref="N31:O31" si="33">C31+L31</f>
        <v>263</v>
      </c>
      <c r="O31" s="31">
        <f t="shared" si="33"/>
        <v>21</v>
      </c>
      <c r="P31" s="45" t="s">
        <v>58</v>
      </c>
      <c r="Q31" s="45" t="s">
        <v>58</v>
      </c>
      <c r="R31" s="45" t="s">
        <v>58</v>
      </c>
      <c r="S31" s="46">
        <f t="shared" si="4"/>
        <v>3</v>
      </c>
      <c r="T31" s="46"/>
      <c r="U31" s="46">
        <f t="shared" si="5"/>
        <v>4</v>
      </c>
      <c r="V31" s="46">
        <f t="shared" si="6"/>
        <v>-1</v>
      </c>
      <c r="W31" s="30">
        <f t="shared" si="9"/>
        <v>27</v>
      </c>
    </row>
    <row r="32">
      <c r="A32" s="30">
        <f t="shared" si="7"/>
        <v>28</v>
      </c>
      <c r="B32" s="28" t="s">
        <v>119</v>
      </c>
      <c r="C32" s="31">
        <v>252.0</v>
      </c>
      <c r="D32" s="31">
        <v>22.0</v>
      </c>
      <c r="E32" s="36">
        <f t="shared" si="2"/>
        <v>12.84615385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261</v>
      </c>
      <c r="O32" s="31">
        <f t="shared" si="34"/>
        <v>22</v>
      </c>
      <c r="P32" s="45" t="s">
        <v>58</v>
      </c>
      <c r="Q32" s="45" t="s">
        <v>58</v>
      </c>
      <c r="R32" s="45" t="s">
        <v>58</v>
      </c>
      <c r="S32" s="46">
        <f t="shared" si="4"/>
        <v>1</v>
      </c>
      <c r="T32" s="46"/>
      <c r="U32" s="46">
        <f t="shared" si="5"/>
        <v>8</v>
      </c>
      <c r="V32" s="46">
        <f t="shared" si="6"/>
        <v>-3</v>
      </c>
      <c r="W32" s="30">
        <f t="shared" si="9"/>
        <v>28</v>
      </c>
    </row>
    <row r="33">
      <c r="A33" s="30">
        <f t="shared" si="7"/>
        <v>29</v>
      </c>
      <c r="B33" s="43" t="s">
        <v>99</v>
      </c>
      <c r="C33" s="31">
        <v>252.0</v>
      </c>
      <c r="D33" s="31">
        <v>18.0</v>
      </c>
      <c r="E33" s="36">
        <f t="shared" si="2"/>
        <v>13.54545455</v>
      </c>
      <c r="F33" s="73">
        <v>1.0</v>
      </c>
      <c r="G33" s="74">
        <v>4.0</v>
      </c>
      <c r="H33" s="75">
        <v>0.0</v>
      </c>
      <c r="I33" s="74">
        <v>6.0</v>
      </c>
      <c r="J33" s="74">
        <v>2.0</v>
      </c>
      <c r="K33" s="74">
        <v>2.0</v>
      </c>
      <c r="L33" s="76">
        <v>10.0</v>
      </c>
      <c r="M33" s="74">
        <v>1.0</v>
      </c>
      <c r="N33" s="31">
        <f t="shared" ref="N33:O33" si="35">C33+L33</f>
        <v>262</v>
      </c>
      <c r="O33" s="31">
        <f t="shared" si="35"/>
        <v>19</v>
      </c>
      <c r="P33" s="45" t="s">
        <v>58</v>
      </c>
      <c r="Q33" s="45" t="s">
        <v>58</v>
      </c>
      <c r="R33" s="45" t="s">
        <v>58</v>
      </c>
      <c r="S33" s="46">
        <f t="shared" si="4"/>
        <v>1</v>
      </c>
      <c r="T33" s="46"/>
      <c r="U33" s="46">
        <f t="shared" si="5"/>
        <v>10</v>
      </c>
      <c r="V33" s="46">
        <f t="shared" si="6"/>
        <v>3</v>
      </c>
      <c r="W33" s="30">
        <f t="shared" si="9"/>
        <v>29</v>
      </c>
    </row>
    <row r="34">
      <c r="A34" s="30">
        <f t="shared" si="7"/>
        <v>30</v>
      </c>
      <c r="B34" s="28" t="s">
        <v>98</v>
      </c>
      <c r="C34" s="31">
        <v>252.0</v>
      </c>
      <c r="D34" s="31">
        <v>18.0</v>
      </c>
      <c r="E34" s="36">
        <f t="shared" si="2"/>
        <v>13.15384615</v>
      </c>
      <c r="F34" s="73">
        <v>2.0</v>
      </c>
      <c r="G34" s="74">
        <v>4.0</v>
      </c>
      <c r="H34" s="75">
        <v>0.0</v>
      </c>
      <c r="I34" s="74">
        <v>3.0</v>
      </c>
      <c r="J34" s="74">
        <v>2.0</v>
      </c>
      <c r="K34" s="74">
        <v>6.0</v>
      </c>
      <c r="L34" s="76">
        <v>11.0</v>
      </c>
      <c r="M34" s="74">
        <v>1.0</v>
      </c>
      <c r="N34" s="31">
        <f t="shared" ref="N34:O34" si="36">C34+L34</f>
        <v>263</v>
      </c>
      <c r="O34" s="31">
        <f t="shared" si="36"/>
        <v>19</v>
      </c>
      <c r="P34" s="45" t="s">
        <v>58</v>
      </c>
      <c r="Q34" s="45" t="s">
        <v>58</v>
      </c>
      <c r="R34" s="45" t="s">
        <v>58</v>
      </c>
      <c r="S34" s="46">
        <f t="shared" si="4"/>
        <v>0</v>
      </c>
      <c r="T34" s="46"/>
      <c r="U34" s="46">
        <f t="shared" si="5"/>
        <v>9</v>
      </c>
      <c r="V34" s="46">
        <f t="shared" si="6"/>
        <v>3</v>
      </c>
      <c r="W34" s="30">
        <f t="shared" si="9"/>
        <v>30</v>
      </c>
    </row>
    <row r="35">
      <c r="A35" s="30">
        <f t="shared" si="7"/>
        <v>31</v>
      </c>
      <c r="B35" s="43" t="s">
        <v>132</v>
      </c>
      <c r="C35" s="31">
        <v>251.0</v>
      </c>
      <c r="D35" s="31">
        <v>26.0</v>
      </c>
      <c r="E35" s="36">
        <f t="shared" si="2"/>
        <v>11.40909091</v>
      </c>
      <c r="F35" s="73">
        <v>1.0</v>
      </c>
      <c r="G35" s="74">
        <v>4.0</v>
      </c>
      <c r="H35" s="75">
        <v>0.0</v>
      </c>
      <c r="I35" s="74">
        <v>3.0</v>
      </c>
      <c r="J35" s="74">
        <v>6.0</v>
      </c>
      <c r="K35" s="74">
        <v>2.0</v>
      </c>
      <c r="L35" s="76">
        <v>11.0</v>
      </c>
      <c r="M35" s="74">
        <v>1.0</v>
      </c>
      <c r="N35" s="31">
        <f t="shared" ref="N35:O35" si="37">C35+L35</f>
        <v>262</v>
      </c>
      <c r="O35" s="31">
        <f t="shared" si="37"/>
        <v>27</v>
      </c>
      <c r="P35" s="45" t="s">
        <v>58</v>
      </c>
      <c r="Q35" s="45" t="s">
        <v>58</v>
      </c>
      <c r="R35" s="45" t="s">
        <v>58</v>
      </c>
      <c r="S35" s="46">
        <f t="shared" si="4"/>
        <v>0</v>
      </c>
      <c r="T35" s="46"/>
      <c r="U35" s="46">
        <f t="shared" si="5"/>
        <v>0</v>
      </c>
      <c r="V35" s="46">
        <f t="shared" si="6"/>
        <v>-4</v>
      </c>
      <c r="W35" s="30">
        <f t="shared" si="9"/>
        <v>31</v>
      </c>
    </row>
    <row r="36">
      <c r="A36" s="30">
        <f t="shared" si="7"/>
        <v>32</v>
      </c>
      <c r="B36" s="28" t="s">
        <v>34</v>
      </c>
      <c r="C36" s="31">
        <v>251.0</v>
      </c>
      <c r="D36" s="31">
        <v>20.0</v>
      </c>
      <c r="E36" s="36">
        <f t="shared" si="2"/>
        <v>15.625</v>
      </c>
      <c r="F36" s="73">
        <v>1.0</v>
      </c>
      <c r="G36" s="74">
        <v>4.0</v>
      </c>
      <c r="H36" s="75">
        <v>0.0</v>
      </c>
      <c r="I36" s="74">
        <v>6.0</v>
      </c>
      <c r="J36" s="74">
        <v>6.0</v>
      </c>
      <c r="K36" s="74">
        <v>6.0</v>
      </c>
      <c r="L36" s="76">
        <v>18.0</v>
      </c>
      <c r="M36" s="74">
        <v>3.0</v>
      </c>
      <c r="N36" s="31">
        <f t="shared" ref="N36:O36" si="38">C36+L36</f>
        <v>269</v>
      </c>
      <c r="O36" s="31">
        <f t="shared" si="38"/>
        <v>23</v>
      </c>
      <c r="P36" s="45" t="s">
        <v>58</v>
      </c>
      <c r="Q36" s="45" t="s">
        <v>58</v>
      </c>
      <c r="R36" s="45" t="s">
        <v>58</v>
      </c>
      <c r="S36" s="46">
        <f t="shared" si="4"/>
        <v>0</v>
      </c>
      <c r="T36" s="46"/>
      <c r="U36" s="46">
        <f t="shared" si="5"/>
        <v>14</v>
      </c>
      <c r="V36" s="46">
        <f t="shared" si="6"/>
        <v>-3</v>
      </c>
      <c r="W36" s="30">
        <f t="shared" si="9"/>
        <v>32</v>
      </c>
    </row>
    <row r="37">
      <c r="A37" s="30">
        <f t="shared" si="7"/>
        <v>33</v>
      </c>
      <c r="B37" s="43" t="s">
        <v>133</v>
      </c>
      <c r="C37" s="31">
        <v>248.0</v>
      </c>
      <c r="D37" s="31">
        <v>19.0</v>
      </c>
      <c r="E37" s="36">
        <f t="shared" si="2"/>
        <v>11.63157895</v>
      </c>
      <c r="F37" s="73">
        <v>1.0</v>
      </c>
      <c r="G37" s="74">
        <v>5.0</v>
      </c>
      <c r="H37" s="75">
        <v>0.0</v>
      </c>
      <c r="I37" s="74">
        <v>0.0</v>
      </c>
      <c r="J37" s="74">
        <v>6.0</v>
      </c>
      <c r="K37" s="74">
        <v>6.0</v>
      </c>
      <c r="L37" s="76">
        <v>12.0</v>
      </c>
      <c r="M37" s="74">
        <v>2.0</v>
      </c>
      <c r="N37" s="31">
        <f t="shared" ref="N37:O37" si="39">C37+L37</f>
        <v>260</v>
      </c>
      <c r="O37" s="31">
        <f t="shared" si="39"/>
        <v>21</v>
      </c>
      <c r="P37" s="45" t="s">
        <v>58</v>
      </c>
      <c r="Q37" s="45" t="s">
        <v>58</v>
      </c>
      <c r="R37" s="45" t="s">
        <v>58</v>
      </c>
      <c r="S37" s="46">
        <f t="shared" si="4"/>
        <v>0</v>
      </c>
      <c r="T37" s="46"/>
      <c r="U37" s="46">
        <f t="shared" si="5"/>
        <v>3</v>
      </c>
      <c r="V37" s="46">
        <f t="shared" si="6"/>
        <v>1</v>
      </c>
      <c r="W37" s="30">
        <f t="shared" si="9"/>
        <v>33</v>
      </c>
    </row>
    <row r="38">
      <c r="A38" s="30">
        <f t="shared" si="7"/>
        <v>34</v>
      </c>
      <c r="B38" s="43" t="s">
        <v>61</v>
      </c>
      <c r="C38" s="47">
        <v>247.0</v>
      </c>
      <c r="D38" s="31">
        <v>27.0</v>
      </c>
      <c r="E38" s="36">
        <f t="shared" si="2"/>
        <v>11.33333333</v>
      </c>
      <c r="F38" s="73">
        <v>1.0</v>
      </c>
      <c r="G38" s="74">
        <v>5.0</v>
      </c>
      <c r="H38" s="75">
        <v>0.0</v>
      </c>
      <c r="I38" s="74">
        <v>6.0</v>
      </c>
      <c r="J38" s="74">
        <v>6.0</v>
      </c>
      <c r="K38" s="74">
        <v>0.0</v>
      </c>
      <c r="L38" s="76">
        <v>12.0</v>
      </c>
      <c r="M38" s="74">
        <v>2.0</v>
      </c>
      <c r="N38" s="47">
        <f t="shared" ref="N38:O38" si="40">C38+L38</f>
        <v>259</v>
      </c>
      <c r="O38" s="31">
        <f t="shared" si="40"/>
        <v>29</v>
      </c>
      <c r="P38" s="45" t="s">
        <v>58</v>
      </c>
      <c r="Q38" s="45" t="s">
        <v>58</v>
      </c>
      <c r="R38" s="45" t="s">
        <v>58</v>
      </c>
      <c r="S38" s="46">
        <f t="shared" si="4"/>
        <v>0</v>
      </c>
      <c r="T38" s="46"/>
      <c r="U38" s="46">
        <f t="shared" si="5"/>
        <v>1</v>
      </c>
      <c r="V38" s="46">
        <f t="shared" si="6"/>
        <v>1</v>
      </c>
      <c r="W38" s="30">
        <f t="shared" si="9"/>
        <v>34</v>
      </c>
    </row>
    <row r="39">
      <c r="A39" s="30">
        <f t="shared" si="7"/>
        <v>35</v>
      </c>
      <c r="B39" s="48" t="s">
        <v>134</v>
      </c>
      <c r="C39" s="31">
        <v>247.0</v>
      </c>
      <c r="D39" s="31">
        <v>18.0</v>
      </c>
      <c r="E39" s="36">
        <f t="shared" si="2"/>
        <v>13.09090909</v>
      </c>
      <c r="F39" s="73">
        <v>3.0</v>
      </c>
      <c r="G39" s="74">
        <v>0.0</v>
      </c>
      <c r="H39" s="75">
        <v>9.0</v>
      </c>
      <c r="I39" s="74">
        <v>0.0</v>
      </c>
      <c r="J39" s="74">
        <v>0.0</v>
      </c>
      <c r="K39" s="74">
        <v>0.0</v>
      </c>
      <c r="L39" s="76">
        <v>9.0</v>
      </c>
      <c r="M39" s="74">
        <v>0.0</v>
      </c>
      <c r="N39" s="31">
        <f t="shared" ref="N39:O39" si="41">C39+L39</f>
        <v>256</v>
      </c>
      <c r="O39" s="31">
        <f t="shared" si="41"/>
        <v>18</v>
      </c>
      <c r="P39" s="45" t="s">
        <v>58</v>
      </c>
      <c r="Q39" s="45" t="s">
        <v>58</v>
      </c>
      <c r="R39" s="45" t="s">
        <v>58</v>
      </c>
      <c r="S39" s="46">
        <f t="shared" si="4"/>
        <v>1</v>
      </c>
      <c r="T39" s="46"/>
      <c r="U39" s="46">
        <f t="shared" si="5"/>
        <v>10</v>
      </c>
      <c r="V39" s="46">
        <f t="shared" si="6"/>
        <v>5</v>
      </c>
      <c r="W39" s="30">
        <f t="shared" si="9"/>
        <v>35</v>
      </c>
    </row>
    <row r="40">
      <c r="A40" s="30">
        <f t="shared" si="7"/>
        <v>36</v>
      </c>
      <c r="B40" s="28" t="s">
        <v>49</v>
      </c>
      <c r="C40" s="31">
        <v>245.0</v>
      </c>
      <c r="D40" s="31">
        <v>20.0</v>
      </c>
      <c r="E40" s="36">
        <f t="shared" si="2"/>
        <v>11.26315789</v>
      </c>
      <c r="F40" s="73">
        <v>1.0</v>
      </c>
      <c r="G40" s="74">
        <v>5.0</v>
      </c>
      <c r="H40" s="75">
        <v>0.0</v>
      </c>
      <c r="I40" s="74">
        <v>6.0</v>
      </c>
      <c r="J40" s="74">
        <v>0.0</v>
      </c>
      <c r="K40" s="74">
        <v>6.0</v>
      </c>
      <c r="L40" s="76">
        <v>12.0</v>
      </c>
      <c r="M40" s="74">
        <v>2.0</v>
      </c>
      <c r="N40" s="31">
        <f t="shared" ref="N40:O40" si="42">C40+L40</f>
        <v>257</v>
      </c>
      <c r="O40" s="31">
        <f t="shared" si="42"/>
        <v>22</v>
      </c>
      <c r="P40" s="45" t="s">
        <v>58</v>
      </c>
      <c r="Q40" s="45" t="s">
        <v>58</v>
      </c>
      <c r="R40" s="45" t="s">
        <v>58</v>
      </c>
      <c r="S40" s="46">
        <f t="shared" si="4"/>
        <v>1</v>
      </c>
      <c r="T40" s="46"/>
      <c r="U40" s="46">
        <f t="shared" si="5"/>
        <v>2</v>
      </c>
      <c r="V40" s="46">
        <f t="shared" si="6"/>
        <v>-5</v>
      </c>
      <c r="W40" s="30">
        <f t="shared" si="9"/>
        <v>36</v>
      </c>
    </row>
    <row r="41">
      <c r="A41" s="30">
        <f t="shared" si="7"/>
        <v>37</v>
      </c>
      <c r="B41" s="43" t="s">
        <v>122</v>
      </c>
      <c r="C41" s="31">
        <v>242.0</v>
      </c>
      <c r="D41" s="31">
        <v>17.0</v>
      </c>
      <c r="E41" s="36">
        <f t="shared" si="2"/>
        <v>13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251</v>
      </c>
      <c r="O41" s="31">
        <f t="shared" si="43"/>
        <v>17</v>
      </c>
      <c r="P41" s="45" t="s">
        <v>58</v>
      </c>
      <c r="Q41" s="45" t="s">
        <v>58</v>
      </c>
      <c r="R41" s="45" t="s">
        <v>58</v>
      </c>
      <c r="S41" s="46">
        <f t="shared" si="4"/>
        <v>0</v>
      </c>
      <c r="T41" s="46"/>
      <c r="U41" s="46">
        <f t="shared" si="5"/>
        <v>11</v>
      </c>
      <c r="V41" s="46">
        <f t="shared" si="6"/>
        <v>-1</v>
      </c>
      <c r="W41" s="30">
        <f t="shared" si="9"/>
        <v>37</v>
      </c>
    </row>
    <row r="42">
      <c r="A42" s="30">
        <f t="shared" si="7"/>
        <v>38</v>
      </c>
      <c r="B42" s="48" t="s">
        <v>54</v>
      </c>
      <c r="C42" s="31">
        <v>241.0</v>
      </c>
      <c r="D42" s="31">
        <v>17.0</v>
      </c>
      <c r="E42" s="36">
        <f t="shared" si="2"/>
        <v>11.6</v>
      </c>
      <c r="F42" s="73">
        <v>1.0</v>
      </c>
      <c r="G42" s="74">
        <v>5.0</v>
      </c>
      <c r="H42" s="75">
        <v>0.0</v>
      </c>
      <c r="I42" s="74">
        <v>0.0</v>
      </c>
      <c r="J42" s="74">
        <v>0.0</v>
      </c>
      <c r="K42" s="74">
        <v>0.0</v>
      </c>
      <c r="L42" s="76">
        <v>0.0</v>
      </c>
      <c r="M42" s="74">
        <v>0.0</v>
      </c>
      <c r="N42" s="31">
        <f t="shared" ref="N42:O42" si="44">C42+L42</f>
        <v>241</v>
      </c>
      <c r="O42" s="31">
        <f t="shared" si="44"/>
        <v>17</v>
      </c>
      <c r="P42" s="45" t="s">
        <v>58</v>
      </c>
      <c r="Q42" s="45" t="s">
        <v>58</v>
      </c>
      <c r="R42" s="45" t="s">
        <v>58</v>
      </c>
      <c r="S42" s="46">
        <f t="shared" si="4"/>
        <v>1</v>
      </c>
      <c r="T42" s="46"/>
      <c r="U42" s="46">
        <f t="shared" si="5"/>
        <v>6</v>
      </c>
      <c r="V42" s="46">
        <f t="shared" si="6"/>
        <v>0</v>
      </c>
      <c r="W42" s="30">
        <f t="shared" si="9"/>
        <v>38</v>
      </c>
    </row>
    <row r="43">
      <c r="A43" s="30">
        <f t="shared" si="7"/>
        <v>39</v>
      </c>
      <c r="B43" s="48" t="s">
        <v>70</v>
      </c>
      <c r="C43" s="31">
        <v>241.0</v>
      </c>
      <c r="D43" s="31">
        <v>17.0</v>
      </c>
      <c r="E43" s="36">
        <f t="shared" si="2"/>
        <v>12</v>
      </c>
      <c r="F43" s="73">
        <v>2.0</v>
      </c>
      <c r="G43" s="74">
        <v>6.0</v>
      </c>
      <c r="H43" s="75">
        <v>0.0</v>
      </c>
      <c r="I43" s="74">
        <v>3.0</v>
      </c>
      <c r="J43" s="74">
        <v>3.0</v>
      </c>
      <c r="K43" s="74">
        <v>6.0</v>
      </c>
      <c r="L43" s="76">
        <v>12.0</v>
      </c>
      <c r="M43" s="74">
        <v>1.0</v>
      </c>
      <c r="N43" s="31">
        <f t="shared" ref="N43:O43" si="45">C43+L43</f>
        <v>253</v>
      </c>
      <c r="O43" s="31">
        <f t="shared" si="45"/>
        <v>18</v>
      </c>
      <c r="P43" s="45" t="s">
        <v>58</v>
      </c>
      <c r="Q43" s="45" t="s">
        <v>58</v>
      </c>
      <c r="R43" s="45" t="s">
        <v>58</v>
      </c>
      <c r="S43" s="46">
        <f t="shared" si="4"/>
        <v>1</v>
      </c>
      <c r="T43" s="46"/>
      <c r="U43" s="46">
        <f t="shared" si="5"/>
        <v>8</v>
      </c>
      <c r="V43" s="46">
        <f t="shared" si="6"/>
        <v>6</v>
      </c>
      <c r="W43" s="30">
        <f t="shared" si="9"/>
        <v>39</v>
      </c>
    </row>
    <row r="44">
      <c r="A44" s="30">
        <f t="shared" si="7"/>
        <v>40</v>
      </c>
      <c r="B44" s="48" t="s">
        <v>125</v>
      </c>
      <c r="C44" s="31">
        <v>240.0</v>
      </c>
      <c r="D44" s="31">
        <v>17.0</v>
      </c>
      <c r="E44" s="36">
        <f t="shared" si="2"/>
        <v>11</v>
      </c>
      <c r="F44" s="73">
        <v>1.0</v>
      </c>
      <c r="G44" s="74">
        <v>6.0</v>
      </c>
      <c r="H44" s="75">
        <v>0.0</v>
      </c>
      <c r="I44" s="74">
        <v>3.0</v>
      </c>
      <c r="J44" s="74">
        <v>6.0</v>
      </c>
      <c r="K44" s="74">
        <v>1.0</v>
      </c>
      <c r="L44" s="76">
        <v>10.0</v>
      </c>
      <c r="M44" s="74">
        <v>1.0</v>
      </c>
      <c r="N44" s="31">
        <f t="shared" ref="N44:O44" si="46">C44+L44</f>
        <v>250</v>
      </c>
      <c r="O44" s="31">
        <f t="shared" si="46"/>
        <v>18</v>
      </c>
      <c r="P44" s="45" t="s">
        <v>58</v>
      </c>
      <c r="Q44" s="45" t="s">
        <v>58</v>
      </c>
      <c r="R44" s="45" t="s">
        <v>58</v>
      </c>
      <c r="S44" s="46">
        <f t="shared" si="4"/>
        <v>0</v>
      </c>
      <c r="T44" s="46"/>
      <c r="U44" s="46">
        <f t="shared" si="5"/>
        <v>1</v>
      </c>
      <c r="V44" s="46">
        <f t="shared" si="6"/>
        <v>1</v>
      </c>
      <c r="W44" s="30">
        <f t="shared" si="9"/>
        <v>40</v>
      </c>
    </row>
    <row r="45">
      <c r="A45" s="30">
        <f t="shared" si="7"/>
        <v>41</v>
      </c>
      <c r="B45" s="28" t="s">
        <v>84</v>
      </c>
      <c r="C45" s="31">
        <v>239.0</v>
      </c>
      <c r="D45" s="31">
        <v>20.0</v>
      </c>
      <c r="E45" s="36">
        <f t="shared" si="2"/>
        <v>11.92857143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7">C45+L45</f>
        <v>248</v>
      </c>
      <c r="O45" s="31">
        <f t="shared" si="47"/>
        <v>20</v>
      </c>
      <c r="P45" s="45" t="s">
        <v>58</v>
      </c>
      <c r="Q45" s="45" t="s">
        <v>58</v>
      </c>
      <c r="R45" s="45" t="s">
        <v>58</v>
      </c>
      <c r="S45" s="46">
        <f t="shared" si="4"/>
        <v>0</v>
      </c>
      <c r="T45" s="46"/>
      <c r="U45" s="46">
        <f t="shared" si="5"/>
        <v>8</v>
      </c>
      <c r="V45" s="46">
        <f t="shared" si="6"/>
        <v>-4</v>
      </c>
      <c r="W45" s="30">
        <f t="shared" si="9"/>
        <v>41</v>
      </c>
    </row>
    <row r="46">
      <c r="A46" s="30">
        <f t="shared" si="7"/>
        <v>42</v>
      </c>
      <c r="B46" s="28" t="s">
        <v>127</v>
      </c>
      <c r="C46" s="31">
        <v>239.0</v>
      </c>
      <c r="D46" s="31">
        <v>12.0</v>
      </c>
      <c r="E46" s="36">
        <f t="shared" si="2"/>
        <v>16.4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248</v>
      </c>
      <c r="O46" s="31">
        <f t="shared" si="48"/>
        <v>12</v>
      </c>
      <c r="P46" s="45" t="s">
        <v>58</v>
      </c>
      <c r="Q46" s="45" t="s">
        <v>58</v>
      </c>
      <c r="R46" s="45" t="s">
        <v>58</v>
      </c>
      <c r="S46" s="46">
        <f t="shared" si="4"/>
        <v>1</v>
      </c>
      <c r="T46" s="46"/>
      <c r="U46" s="46">
        <f t="shared" si="5"/>
        <v>16</v>
      </c>
      <c r="V46" s="46">
        <f t="shared" si="6"/>
        <v>7</v>
      </c>
      <c r="W46" s="30">
        <f t="shared" si="9"/>
        <v>42</v>
      </c>
    </row>
    <row r="47">
      <c r="A47" s="30">
        <f t="shared" si="7"/>
        <v>43</v>
      </c>
      <c r="B47" s="43" t="s">
        <v>136</v>
      </c>
      <c r="C47" s="31">
        <v>238.0</v>
      </c>
      <c r="D47" s="31">
        <v>21.0</v>
      </c>
      <c r="E47" s="36">
        <f t="shared" si="2"/>
        <v>11.35294118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247</v>
      </c>
      <c r="O47" s="31">
        <f t="shared" si="49"/>
        <v>21</v>
      </c>
      <c r="P47" s="45" t="s">
        <v>58</v>
      </c>
      <c r="Q47" s="45" t="s">
        <v>58</v>
      </c>
      <c r="R47" s="45" t="s">
        <v>58</v>
      </c>
      <c r="S47" s="46">
        <f t="shared" si="4"/>
        <v>0</v>
      </c>
      <c r="T47" s="46"/>
      <c r="U47" s="46">
        <f t="shared" si="5"/>
        <v>5</v>
      </c>
      <c r="V47" s="46">
        <f t="shared" si="6"/>
        <v>-4</v>
      </c>
      <c r="W47" s="30">
        <f t="shared" si="9"/>
        <v>43</v>
      </c>
    </row>
    <row r="48">
      <c r="A48" s="30">
        <f t="shared" si="7"/>
        <v>44</v>
      </c>
      <c r="B48" s="48" t="s">
        <v>103</v>
      </c>
      <c r="C48" s="31">
        <v>235.0</v>
      </c>
      <c r="D48" s="31">
        <v>21.0</v>
      </c>
      <c r="E48" s="36">
        <f t="shared" si="2"/>
        <v>11.05555556</v>
      </c>
      <c r="F48" s="73">
        <v>1.0</v>
      </c>
      <c r="G48" s="74">
        <v>6.0</v>
      </c>
      <c r="H48" s="75">
        <v>0.0</v>
      </c>
      <c r="I48" s="74">
        <v>6.0</v>
      </c>
      <c r="J48" s="74">
        <v>3.0</v>
      </c>
      <c r="K48" s="74">
        <v>1.0</v>
      </c>
      <c r="L48" s="76">
        <v>10.0</v>
      </c>
      <c r="M48" s="74">
        <v>1.0</v>
      </c>
      <c r="N48" s="31">
        <f t="shared" ref="N48:O48" si="50">C48+L48</f>
        <v>245</v>
      </c>
      <c r="O48" s="31">
        <f t="shared" si="50"/>
        <v>22</v>
      </c>
      <c r="P48" s="45" t="s">
        <v>58</v>
      </c>
      <c r="Q48" s="45" t="s">
        <v>58</v>
      </c>
      <c r="R48" s="45" t="s">
        <v>58</v>
      </c>
      <c r="S48" s="46">
        <f t="shared" si="4"/>
        <v>0</v>
      </c>
      <c r="T48" s="46"/>
      <c r="U48" s="46">
        <f t="shared" si="5"/>
        <v>4</v>
      </c>
      <c r="V48" s="46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28" t="s">
        <v>89</v>
      </c>
      <c r="C49" s="31">
        <v>234.0</v>
      </c>
      <c r="D49" s="31">
        <v>14.0</v>
      </c>
      <c r="E49" s="36">
        <f t="shared" si="2"/>
        <v>12.11111111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1">C49+L49</f>
        <v>243</v>
      </c>
      <c r="O49" s="31">
        <f t="shared" si="51"/>
        <v>14</v>
      </c>
      <c r="P49" s="45" t="s">
        <v>58</v>
      </c>
      <c r="Q49" s="45" t="s">
        <v>58</v>
      </c>
      <c r="R49" s="45" t="s">
        <v>58</v>
      </c>
      <c r="S49" s="46">
        <f t="shared" si="4"/>
        <v>2</v>
      </c>
      <c r="T49" s="46"/>
      <c r="U49" s="46">
        <f t="shared" si="5"/>
        <v>11</v>
      </c>
      <c r="V49" s="46">
        <f t="shared" si="6"/>
        <v>-3</v>
      </c>
      <c r="W49" s="30">
        <f t="shared" si="9"/>
        <v>45</v>
      </c>
    </row>
    <row r="50">
      <c r="A50" s="30">
        <f t="shared" si="7"/>
        <v>46</v>
      </c>
      <c r="B50" s="43" t="s">
        <v>62</v>
      </c>
      <c r="C50" s="31">
        <v>233.0</v>
      </c>
      <c r="D50" s="31">
        <v>14.0</v>
      </c>
      <c r="E50" s="36">
        <f t="shared" si="2"/>
        <v>13.375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242</v>
      </c>
      <c r="O50" s="31">
        <f t="shared" si="52"/>
        <v>14</v>
      </c>
      <c r="P50" s="45" t="s">
        <v>58</v>
      </c>
      <c r="Q50" s="45" t="s">
        <v>58</v>
      </c>
      <c r="R50" s="45" t="s">
        <v>58</v>
      </c>
      <c r="S50" s="46">
        <f t="shared" si="4"/>
        <v>0</v>
      </c>
      <c r="T50" s="46"/>
      <c r="U50" s="46">
        <f t="shared" si="5"/>
        <v>14</v>
      </c>
      <c r="V50" s="46">
        <f t="shared" si="6"/>
        <v>-2</v>
      </c>
      <c r="W50" s="30">
        <f t="shared" si="9"/>
        <v>46</v>
      </c>
    </row>
    <row r="51">
      <c r="A51" s="30">
        <f t="shared" si="7"/>
        <v>47</v>
      </c>
      <c r="B51" s="43" t="s">
        <v>131</v>
      </c>
      <c r="C51" s="31">
        <v>233.0</v>
      </c>
      <c r="D51" s="31">
        <v>9.0</v>
      </c>
      <c r="E51" s="36">
        <f t="shared" si="2"/>
        <v>12.875</v>
      </c>
      <c r="F51" s="73">
        <v>1.0</v>
      </c>
      <c r="G51" s="74">
        <v>6.0</v>
      </c>
      <c r="H51" s="75">
        <v>0.0</v>
      </c>
      <c r="I51" s="74">
        <v>6.0</v>
      </c>
      <c r="J51" s="74">
        <v>6.0</v>
      </c>
      <c r="K51" s="74">
        <v>6.0</v>
      </c>
      <c r="L51" s="76">
        <v>18.0</v>
      </c>
      <c r="M51" s="74">
        <v>3.0</v>
      </c>
      <c r="N51" s="31">
        <f t="shared" ref="N51:O51" si="53">C51+L51</f>
        <v>251</v>
      </c>
      <c r="O51" s="31">
        <f t="shared" si="53"/>
        <v>12</v>
      </c>
      <c r="P51" s="45" t="s">
        <v>58</v>
      </c>
      <c r="Q51" s="45" t="s">
        <v>58</v>
      </c>
      <c r="R51" s="45" t="s">
        <v>58</v>
      </c>
      <c r="S51" s="46">
        <f t="shared" si="4"/>
        <v>1</v>
      </c>
      <c r="T51" s="46"/>
      <c r="U51" s="46">
        <f t="shared" si="5"/>
        <v>13</v>
      </c>
      <c r="V51" s="46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28" t="s">
        <v>137</v>
      </c>
      <c r="C52" s="31">
        <v>232.0</v>
      </c>
      <c r="D52" s="31">
        <v>10.0</v>
      </c>
      <c r="E52" s="36">
        <f t="shared" si="2"/>
        <v>13.33333333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4">C52+L52</f>
        <v>241</v>
      </c>
      <c r="O52" s="31">
        <f t="shared" si="54"/>
        <v>10</v>
      </c>
      <c r="P52" s="45" t="s">
        <v>58</v>
      </c>
      <c r="Q52" s="45" t="s">
        <v>58</v>
      </c>
      <c r="R52" s="45" t="s">
        <v>58</v>
      </c>
      <c r="S52" s="46">
        <f t="shared" si="4"/>
        <v>2</v>
      </c>
      <c r="T52" s="46"/>
      <c r="U52" s="46">
        <f t="shared" si="5"/>
        <v>14</v>
      </c>
      <c r="V52" s="46">
        <f t="shared" si="6"/>
        <v>-2</v>
      </c>
      <c r="W52" s="30">
        <f t="shared" si="9"/>
        <v>48</v>
      </c>
    </row>
    <row r="53">
      <c r="A53" s="30">
        <f t="shared" si="7"/>
        <v>49</v>
      </c>
      <c r="B53" s="28" t="s">
        <v>93</v>
      </c>
      <c r="C53" s="31">
        <v>229.0</v>
      </c>
      <c r="D53" s="31">
        <v>14.0</v>
      </c>
      <c r="E53" s="36">
        <f t="shared" si="2"/>
        <v>12.44444444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5">C53+L53</f>
        <v>238</v>
      </c>
      <c r="O53" s="31">
        <f t="shared" si="55"/>
        <v>14</v>
      </c>
      <c r="P53" s="45" t="s">
        <v>58</v>
      </c>
      <c r="Q53" s="45" t="s">
        <v>58</v>
      </c>
      <c r="R53" s="45" t="s">
        <v>58</v>
      </c>
      <c r="S53" s="46">
        <f t="shared" si="4"/>
        <v>0</v>
      </c>
      <c r="T53" s="46"/>
      <c r="U53" s="46">
        <f t="shared" si="5"/>
        <v>13</v>
      </c>
      <c r="V53" s="46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43" t="s">
        <v>138</v>
      </c>
      <c r="C54" s="47">
        <v>225.0</v>
      </c>
      <c r="D54" s="31">
        <v>18.0</v>
      </c>
      <c r="E54" s="36">
        <f t="shared" si="2"/>
        <v>11.25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47">
        <f t="shared" ref="N54:O54" si="56">C54+L54</f>
        <v>234</v>
      </c>
      <c r="O54" s="31">
        <f t="shared" si="56"/>
        <v>18</v>
      </c>
      <c r="P54" s="45" t="s">
        <v>58</v>
      </c>
      <c r="Q54" s="45" t="s">
        <v>58</v>
      </c>
      <c r="R54" s="45" t="s">
        <v>58</v>
      </c>
      <c r="S54" s="46">
        <f t="shared" si="4"/>
        <v>0</v>
      </c>
      <c r="T54" s="46"/>
      <c r="U54" s="46">
        <f t="shared" si="5"/>
        <v>10</v>
      </c>
      <c r="V54" s="46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43" t="s">
        <v>96</v>
      </c>
      <c r="C55" s="31">
        <v>224.0</v>
      </c>
      <c r="D55" s="31">
        <v>9.0</v>
      </c>
      <c r="E55" s="36">
        <f t="shared" si="2"/>
        <v>10.5</v>
      </c>
      <c r="F55" s="73">
        <v>2.0</v>
      </c>
      <c r="G55" s="74">
        <v>7.0</v>
      </c>
      <c r="H55" s="75">
        <v>0.0</v>
      </c>
      <c r="I55" s="74">
        <v>5.0</v>
      </c>
      <c r="J55" s="74">
        <v>1.0</v>
      </c>
      <c r="K55" s="74">
        <v>4.0</v>
      </c>
      <c r="L55" s="76">
        <v>10.0</v>
      </c>
      <c r="M55" s="74">
        <v>0.0</v>
      </c>
      <c r="N55" s="31">
        <f t="shared" ref="N55:O55" si="57">C55+L55</f>
        <v>234</v>
      </c>
      <c r="O55" s="31">
        <f t="shared" si="57"/>
        <v>9</v>
      </c>
      <c r="P55" s="45" t="s">
        <v>58</v>
      </c>
      <c r="Q55" s="45" t="s">
        <v>58</v>
      </c>
      <c r="R55" s="45" t="s">
        <v>58</v>
      </c>
      <c r="S55" s="46">
        <f t="shared" si="4"/>
        <v>2</v>
      </c>
      <c r="T55" s="46"/>
      <c r="U55" s="46">
        <f t="shared" si="5"/>
        <v>8</v>
      </c>
      <c r="V55" s="46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43" t="s">
        <v>140</v>
      </c>
      <c r="C56" s="31">
        <v>220.0</v>
      </c>
      <c r="D56" s="31">
        <v>11.0</v>
      </c>
      <c r="E56" s="36">
        <f t="shared" si="2"/>
        <v>11.25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229</v>
      </c>
      <c r="O56" s="31">
        <f t="shared" si="58"/>
        <v>11</v>
      </c>
      <c r="P56" s="45" t="s">
        <v>58</v>
      </c>
      <c r="Q56" s="45" t="s">
        <v>58</v>
      </c>
      <c r="R56" s="45" t="s">
        <v>58</v>
      </c>
      <c r="S56" s="46">
        <f t="shared" si="4"/>
        <v>1</v>
      </c>
      <c r="T56" s="46"/>
      <c r="U56" s="46">
        <f t="shared" si="5"/>
        <v>13</v>
      </c>
      <c r="V56" s="46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28" t="s">
        <v>102</v>
      </c>
      <c r="C57" s="31">
        <v>220.0</v>
      </c>
      <c r="D57" s="31">
        <v>9.0</v>
      </c>
      <c r="E57" s="36">
        <f t="shared" si="2"/>
        <v>15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229</v>
      </c>
      <c r="O57" s="31">
        <f t="shared" si="59"/>
        <v>9</v>
      </c>
      <c r="P57" s="45" t="s">
        <v>58</v>
      </c>
      <c r="Q57" s="45" t="s">
        <v>58</v>
      </c>
      <c r="R57" s="45" t="s">
        <v>58</v>
      </c>
      <c r="S57" s="46">
        <f t="shared" si="4"/>
        <v>1</v>
      </c>
      <c r="T57" s="46"/>
      <c r="U57" s="46">
        <f t="shared" si="5"/>
        <v>18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139</v>
      </c>
      <c r="C58" s="31">
        <v>217.0</v>
      </c>
      <c r="D58" s="31">
        <v>7.0</v>
      </c>
      <c r="E58" s="36">
        <f t="shared" si="2"/>
        <v>12.75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226</v>
      </c>
      <c r="O58" s="31">
        <f t="shared" si="60"/>
        <v>7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17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208.0</v>
      </c>
      <c r="D59" s="31">
        <v>14.0</v>
      </c>
      <c r="E59" s="36">
        <f t="shared" si="2"/>
        <v>9.714285714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217</v>
      </c>
      <c r="O59" s="31">
        <f t="shared" si="61"/>
        <v>14</v>
      </c>
      <c r="P59" s="45" t="s">
        <v>58</v>
      </c>
      <c r="Q59" s="45" t="s">
        <v>58</v>
      </c>
      <c r="R59" s="45" t="s">
        <v>58</v>
      </c>
      <c r="S59" s="46">
        <f t="shared" si="4"/>
        <v>0</v>
      </c>
      <c r="T59" s="46"/>
      <c r="U59" s="46">
        <f t="shared" si="5"/>
        <v>8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205.0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214</v>
      </c>
      <c r="O60" s="31">
        <f t="shared" si="62"/>
        <v>4</v>
      </c>
      <c r="P60" s="45" t="s">
        <v>58</v>
      </c>
      <c r="Q60" s="45" t="s">
        <v>58</v>
      </c>
      <c r="R60" s="45" t="s">
        <v>58</v>
      </c>
      <c r="S60" s="46">
        <f t="shared" si="4"/>
        <v>0</v>
      </c>
      <c r="T60" s="46"/>
      <c r="U60" s="46">
        <f t="shared" si="5"/>
        <v>16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202.0</v>
      </c>
      <c r="D61" s="31">
        <v>5.0</v>
      </c>
      <c r="E61" s="36">
        <f t="shared" si="2"/>
        <v>9</v>
      </c>
      <c r="F61" s="73">
        <v>2.0</v>
      </c>
      <c r="G61" s="74">
        <v>7.0</v>
      </c>
      <c r="H61" s="75">
        <v>0.0</v>
      </c>
      <c r="I61" s="74">
        <v>7.0</v>
      </c>
      <c r="J61" s="74">
        <v>6.0</v>
      </c>
      <c r="K61" s="74">
        <v>4.0</v>
      </c>
      <c r="L61" s="76">
        <v>17.0</v>
      </c>
      <c r="M61" s="74">
        <v>2.0</v>
      </c>
      <c r="N61" s="31">
        <f t="shared" ref="N61:O61" si="63">C61+L61</f>
        <v>219</v>
      </c>
      <c r="O61" s="31">
        <f t="shared" si="63"/>
        <v>7</v>
      </c>
      <c r="P61" s="45" t="s">
        <v>58</v>
      </c>
      <c r="Q61" s="45" t="s">
        <v>58</v>
      </c>
      <c r="R61" s="45" t="s">
        <v>58</v>
      </c>
      <c r="S61" s="46">
        <f t="shared" si="4"/>
        <v>1</v>
      </c>
      <c r="T61" s="46"/>
      <c r="U61" s="46">
        <f t="shared" si="5"/>
        <v>17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199.0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208</v>
      </c>
      <c r="O62" s="31">
        <f t="shared" si="64"/>
        <v>8</v>
      </c>
      <c r="P62" s="45" t="s">
        <v>58</v>
      </c>
      <c r="Q62" s="45" t="s">
        <v>58</v>
      </c>
      <c r="R62" s="45" t="s">
        <v>58</v>
      </c>
      <c r="S62" s="46">
        <f t="shared" si="4"/>
        <v>0</v>
      </c>
      <c r="T62" s="46"/>
      <c r="U62" s="46">
        <f t="shared" si="5"/>
        <v>15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194.0</v>
      </c>
      <c r="D63" s="31">
        <v>6.0</v>
      </c>
      <c r="E63" s="36">
        <f t="shared" si="2"/>
        <v>8.2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203</v>
      </c>
      <c r="O63" s="31">
        <f t="shared" si="65"/>
        <v>6</v>
      </c>
      <c r="P63" s="45" t="s">
        <v>58</v>
      </c>
      <c r="Q63" s="45" t="s">
        <v>58</v>
      </c>
      <c r="R63" s="45" t="s">
        <v>58</v>
      </c>
      <c r="S63" s="46">
        <f t="shared" si="4"/>
        <v>0</v>
      </c>
      <c r="T63" s="46"/>
      <c r="U63" s="46">
        <f t="shared" si="5"/>
        <v>17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193.0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202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21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192.0</v>
      </c>
      <c r="D65" s="31">
        <v>1.0</v>
      </c>
      <c r="E65" s="36">
        <f t="shared" si="2"/>
        <v>-1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201</v>
      </c>
      <c r="O65" s="31">
        <f t="shared" si="67"/>
        <v>1</v>
      </c>
      <c r="P65" s="45" t="s">
        <v>58</v>
      </c>
      <c r="Q65" s="45" t="s">
        <v>58</v>
      </c>
      <c r="R65" s="45" t="s">
        <v>58</v>
      </c>
      <c r="S65" s="46">
        <f t="shared" si="4"/>
        <v>1</v>
      </c>
      <c r="T65" s="46"/>
      <c r="U65" s="46">
        <f t="shared" si="5"/>
        <v>20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135</v>
      </c>
      <c r="C66" s="31">
        <v>189.0</v>
      </c>
      <c r="D66" s="31">
        <v>4.0</v>
      </c>
      <c r="E66" s="36">
        <f t="shared" si="2"/>
        <v>7.875</v>
      </c>
      <c r="F66" s="73">
        <v>1.0</v>
      </c>
      <c r="G66" s="74">
        <v>7.0</v>
      </c>
      <c r="H66" s="75">
        <v>0.0</v>
      </c>
      <c r="I66" s="74">
        <v>7.0</v>
      </c>
      <c r="J66" s="74">
        <v>1.0</v>
      </c>
      <c r="K66" s="74">
        <v>6.0</v>
      </c>
      <c r="L66" s="76">
        <v>14.0</v>
      </c>
      <c r="M66" s="74">
        <v>2.0</v>
      </c>
      <c r="N66" s="31">
        <f t="shared" ref="N66:O66" si="68">C66+L66</f>
        <v>203</v>
      </c>
      <c r="O66" s="31">
        <f t="shared" si="68"/>
        <v>6</v>
      </c>
      <c r="P66" s="45" t="s">
        <v>58</v>
      </c>
      <c r="Q66" s="45" t="s">
        <v>58</v>
      </c>
      <c r="R66" s="45" t="s">
        <v>58</v>
      </c>
      <c r="S66" s="46">
        <f t="shared" si="4"/>
        <v>0</v>
      </c>
      <c r="T66" s="46"/>
      <c r="U66" s="46">
        <f t="shared" si="5"/>
        <v>14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76</v>
      </c>
      <c r="C67" s="31">
        <v>189.0</v>
      </c>
      <c r="D67" s="31">
        <v>0.0</v>
      </c>
      <c r="E67" s="36">
        <f t="shared" si="2"/>
        <v>0</v>
      </c>
      <c r="F67" s="73">
        <v>1.0</v>
      </c>
      <c r="G67" s="74">
        <v>7.0</v>
      </c>
      <c r="H67" s="75">
        <v>0.0</v>
      </c>
      <c r="I67" s="74">
        <v>5.0</v>
      </c>
      <c r="J67" s="74">
        <v>6.0</v>
      </c>
      <c r="K67" s="74">
        <v>6.0</v>
      </c>
      <c r="L67" s="76">
        <v>17.0</v>
      </c>
      <c r="M67" s="74">
        <v>2.0</v>
      </c>
      <c r="N67" s="31">
        <f t="shared" ref="N67:O67" si="69">C67+L67</f>
        <v>206</v>
      </c>
      <c r="O67" s="31">
        <f t="shared" si="69"/>
        <v>2</v>
      </c>
      <c r="P67" s="45" t="s">
        <v>58</v>
      </c>
      <c r="Q67" s="45" t="s">
        <v>58</v>
      </c>
      <c r="R67" s="45" t="s">
        <v>58</v>
      </c>
      <c r="S67" s="46">
        <f t="shared" si="4"/>
        <v>0</v>
      </c>
      <c r="T67" s="46"/>
      <c r="U67" s="46">
        <f t="shared" si="5"/>
        <v>21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126</v>
      </c>
      <c r="C68" s="31">
        <v>189.0</v>
      </c>
      <c r="D68" s="31">
        <v>0.0</v>
      </c>
      <c r="E68" s="36">
        <f t="shared" si="2"/>
        <v>0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198</v>
      </c>
      <c r="O68" s="31">
        <f t="shared" si="70"/>
        <v>0</v>
      </c>
      <c r="P68" s="45" t="s">
        <v>58</v>
      </c>
      <c r="Q68" s="45" t="s">
        <v>58</v>
      </c>
      <c r="R68" s="45" t="s">
        <v>58</v>
      </c>
      <c r="S68" s="46">
        <f t="shared" si="4"/>
        <v>0</v>
      </c>
      <c r="T68" s="46"/>
      <c r="U68" s="46">
        <f t="shared" si="5"/>
        <v>22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174.0</v>
      </c>
      <c r="D69" s="31">
        <v>3.0</v>
      </c>
      <c r="E69" s="36">
        <f t="shared" si="2"/>
        <v>6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183</v>
      </c>
      <c r="O69" s="31">
        <f t="shared" si="71"/>
        <v>3</v>
      </c>
      <c r="P69" s="45" t="s">
        <v>58</v>
      </c>
      <c r="Q69" s="45" t="s">
        <v>58</v>
      </c>
      <c r="R69" s="45" t="s">
        <v>58</v>
      </c>
      <c r="S69" s="46">
        <f t="shared" si="4"/>
        <v>0</v>
      </c>
      <c r="T69" s="46"/>
      <c r="U69" s="46">
        <f t="shared" si="5"/>
        <v>14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63</v>
      </c>
      <c r="S74" s="80">
        <f>R74/R78</f>
        <v>0.9692307692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/>
      <c r="C76" s="83"/>
      <c r="D76" s="83"/>
      <c r="E76" s="84"/>
      <c r="F76" s="1"/>
      <c r="L76" s="77"/>
      <c r="M76" s="78"/>
      <c r="P76" s="79" t="s">
        <v>150</v>
      </c>
      <c r="Q76" s="24"/>
      <c r="R76" s="14">
        <v>1.0</v>
      </c>
    </row>
    <row r="77">
      <c r="A77" s="1"/>
      <c r="B77" s="43" t="str">
        <f>IFERROR(__xludf.DUMMYFUNCTION("QUERY(B5:M69,""Select B, L, M, G where L &gt;= 18 order by L desc,M desc"",0)"),"Pulkit Mathur")</f>
        <v>Pulkit Mathur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L77" s="77"/>
      <c r="M77" s="78"/>
      <c r="P77" s="79" t="s">
        <v>151</v>
      </c>
      <c r="Q77" s="24"/>
      <c r="R77" s="18">
        <f>countif(R5:R69,"")</f>
        <v>1</v>
      </c>
    </row>
    <row r="78">
      <c r="A78" s="1"/>
      <c r="B78" s="43" t="str">
        <f>IFERROR(__xludf.DUMMYFUNCTION("""COMPUTED_VALUE"""),"Susanta Mishra")</f>
        <v>Susanta Mishra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IFERROR(__xludf.DUMMYFUNCTION("""COMPUTED_VALUE"""),3.0)</f>
        <v>3</v>
      </c>
      <c r="F78" s="1"/>
      <c r="M78" s="85"/>
      <c r="P78" s="79" t="s">
        <v>66</v>
      </c>
      <c r="Q78" s="24"/>
      <c r="R78" s="18">
        <f>sum(R74:R77)-R76</f>
        <v>65</v>
      </c>
    </row>
    <row r="79">
      <c r="A79" s="1"/>
      <c r="B79" s="43" t="str">
        <f>IFERROR(__xludf.DUMMYFUNCTION("""COMPUTED_VALUE"""),"Adrian Tay")</f>
        <v>Adrian Tay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IFERROR(__xludf.DUMMYFUNCTION("""COMPUTED_VALUE"""),4.0)</f>
        <v>4</v>
      </c>
      <c r="F79" s="1"/>
    </row>
    <row r="80">
      <c r="A80" s="1"/>
      <c r="B80" s="43" t="str">
        <f>IFERROR(__xludf.DUMMYFUNCTION("""COMPUTED_VALUE"""),"Nicole Ni")</f>
        <v>Nicole Ni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IFERROR(__xludf.DUMMYFUNCTION("""COMPUTED_VALUE"""),6.0)</f>
        <v>6</v>
      </c>
      <c r="F80" s="1"/>
    </row>
    <row r="81">
      <c r="A81" s="1"/>
      <c r="B81" s="43"/>
      <c r="C81" s="84"/>
      <c r="D81" s="84"/>
      <c r="E81" s="84"/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  <c r="L84" s="33"/>
    </row>
    <row r="85">
      <c r="A85" s="1"/>
      <c r="B85" s="43"/>
      <c r="C85" s="84"/>
      <c r="D85" s="84"/>
      <c r="E85" s="84"/>
      <c r="F85" s="1"/>
    </row>
    <row r="86">
      <c r="A86" s="1"/>
      <c r="B86" s="43"/>
      <c r="C86" s="84"/>
      <c r="D86" s="84"/>
      <c r="E86" s="84"/>
      <c r="F86" s="1"/>
    </row>
    <row r="87">
      <c r="A87" s="1"/>
      <c r="C87" s="1"/>
      <c r="D87" s="1"/>
      <c r="E87" s="1"/>
      <c r="F87" s="1"/>
    </row>
    <row r="88">
      <c r="A88" s="1"/>
      <c r="B88" s="33"/>
      <c r="C88" s="1"/>
      <c r="D88" s="1"/>
      <c r="E88" s="1"/>
      <c r="F88" s="1"/>
      <c r="G88" s="1"/>
      <c r="H88" s="1"/>
    </row>
    <row r="89">
      <c r="A89" s="1"/>
      <c r="B89" s="33"/>
      <c r="C89" s="1"/>
      <c r="D89" s="1"/>
      <c r="E89" s="1"/>
      <c r="F89" s="1"/>
    </row>
    <row r="90" ht="37.5" customHeight="1">
      <c r="A90" s="1"/>
      <c r="B90" s="86" t="s">
        <v>152</v>
      </c>
      <c r="C90" s="86" t="s">
        <v>153</v>
      </c>
      <c r="D90" s="87" t="s">
        <v>154</v>
      </c>
      <c r="E90" s="88" t="s">
        <v>155</v>
      </c>
      <c r="F90" s="89" t="s">
        <v>156</v>
      </c>
      <c r="G90" s="86" t="s">
        <v>157</v>
      </c>
      <c r="L90" s="86" t="s">
        <v>158</v>
      </c>
    </row>
    <row r="91">
      <c r="A91" s="1"/>
      <c r="B91" s="43" t="str">
        <f>IFERROR(__xludf.DUMMYFUNCTION("query(B5:V69,""select B, V order by V Desc Limit 10"")"),"Scott Li")</f>
        <v>Scott Li</v>
      </c>
      <c r="C91" s="84">
        <f>IFERROR(__xludf.DUMMYFUNCTION("""COMPUTED_VALUE"""),10.0)</f>
        <v>10</v>
      </c>
      <c r="D91" s="84">
        <f t="shared" ref="D91:D100" si="72">VLOOKUP(B91,indirect($AB$2&amp;"!B$5:w$70"),22, false)</f>
        <v>18</v>
      </c>
      <c r="E91" s="84">
        <f t="shared" ref="E91:E100" si="73">VLOOKUP(B91,B$5:W$69,22, false)</f>
        <v>8</v>
      </c>
      <c r="F91" s="84">
        <f t="shared" ref="F91:F100" si="74">VLOOKUP(B91,indirect($AB$2&amp;"!B$5:U$70"),11, false)</f>
        <v>18</v>
      </c>
      <c r="G91" s="84">
        <f t="shared" ref="G91:G100" si="75">VLOOKUP(B91,indirect($AB$2&amp;"!B$5:U$70"),6, false)</f>
        <v>3</v>
      </c>
      <c r="L91" s="84" t="str">
        <f t="shared" ref="L91:L100" si="76">if(D91-E91=C91,"ok","Error")</f>
        <v>ok</v>
      </c>
    </row>
    <row r="92">
      <c r="A92" s="1"/>
      <c r="B92" s="43" t="str">
        <f>IFERROR(__xludf.DUMMYFUNCTION("""COMPUTED_VALUE"""),"Lloyd Sagar")</f>
        <v>Lloyd Sagar</v>
      </c>
      <c r="C92" s="84">
        <f>IFERROR(__xludf.DUMMYFUNCTION("""COMPUTED_VALUE"""),8.0)</f>
        <v>8</v>
      </c>
      <c r="D92" s="84">
        <f t="shared" si="72"/>
        <v>21</v>
      </c>
      <c r="E92" s="84">
        <f t="shared" si="73"/>
        <v>13</v>
      </c>
      <c r="F92" s="84">
        <f t="shared" si="74"/>
        <v>18</v>
      </c>
      <c r="G92" s="84">
        <f t="shared" si="75"/>
        <v>3</v>
      </c>
      <c r="L92" s="84" t="str">
        <f t="shared" si="76"/>
        <v>ok</v>
      </c>
    </row>
    <row r="93">
      <c r="A93" s="1"/>
      <c r="B93" s="43" t="str">
        <f>IFERROR(__xludf.DUMMYFUNCTION("""COMPUTED_VALUE"""),"Matthew Huang")</f>
        <v>Matthew Huang</v>
      </c>
      <c r="C93" s="84">
        <f>IFERROR(__xludf.DUMMYFUNCTION("""COMPUTED_VALUE"""),7.0)</f>
        <v>7</v>
      </c>
      <c r="D93" s="84">
        <f t="shared" si="72"/>
        <v>49</v>
      </c>
      <c r="E93" s="84">
        <f t="shared" si="73"/>
        <v>42</v>
      </c>
      <c r="F93" s="84">
        <f t="shared" si="74"/>
        <v>18</v>
      </c>
      <c r="G93" s="84">
        <f t="shared" si="75"/>
        <v>8</v>
      </c>
      <c r="L93" s="84" t="str">
        <f t="shared" si="76"/>
        <v>ok</v>
      </c>
      <c r="Q93" s="90"/>
    </row>
    <row r="94">
      <c r="A94" s="1"/>
      <c r="B94" s="43" t="str">
        <f>IFERROR(__xludf.DUMMYFUNCTION("""COMPUTED_VALUE"""),"Andrew Wen")</f>
        <v>Andrew Wen</v>
      </c>
      <c r="C94" s="84">
        <f>IFERROR(__xludf.DUMMYFUNCTION("""COMPUTED_VALUE"""),6.0)</f>
        <v>6</v>
      </c>
      <c r="D94" s="84">
        <f t="shared" si="72"/>
        <v>45</v>
      </c>
      <c r="E94" s="84">
        <f t="shared" si="73"/>
        <v>39</v>
      </c>
      <c r="F94" s="84">
        <f t="shared" si="74"/>
        <v>18</v>
      </c>
      <c r="G94" s="84">
        <f t="shared" si="75"/>
        <v>7</v>
      </c>
      <c r="L94" s="84" t="str">
        <f t="shared" si="76"/>
        <v>ok</v>
      </c>
    </row>
    <row r="95">
      <c r="A95" s="1"/>
      <c r="B95" s="43" t="str">
        <f>IFERROR(__xludf.DUMMYFUNCTION("""COMPUTED_VALUE"""),"Tom Le")</f>
        <v>Tom Le</v>
      </c>
      <c r="C95" s="84">
        <f>IFERROR(__xludf.DUMMYFUNCTION("""COMPUTED_VALUE"""),5.0)</f>
        <v>5</v>
      </c>
      <c r="D95" s="84">
        <f t="shared" si="72"/>
        <v>23</v>
      </c>
      <c r="E95" s="84">
        <f t="shared" si="73"/>
        <v>18</v>
      </c>
      <c r="F95" s="84">
        <f t="shared" si="74"/>
        <v>18</v>
      </c>
      <c r="G95" s="84">
        <f t="shared" si="75"/>
        <v>3</v>
      </c>
      <c r="L95" s="84" t="str">
        <f t="shared" si="76"/>
        <v>ok</v>
      </c>
    </row>
    <row r="96">
      <c r="A96" s="1"/>
      <c r="B96" s="43" t="str">
        <f>IFERROR(__xludf.DUMMYFUNCTION("""COMPUTED_VALUE"""),"Ramesh Bandaru")</f>
        <v>Ramesh Bandaru</v>
      </c>
      <c r="C96" s="84">
        <f>IFERROR(__xludf.DUMMYFUNCTION("""COMPUTED_VALUE"""),5.0)</f>
        <v>5</v>
      </c>
      <c r="D96" s="84">
        <f t="shared" si="72"/>
        <v>40</v>
      </c>
      <c r="E96" s="84">
        <f t="shared" si="73"/>
        <v>35</v>
      </c>
      <c r="F96" s="84">
        <f t="shared" si="74"/>
        <v>19</v>
      </c>
      <c r="G96" s="84">
        <f t="shared" si="75"/>
        <v>6</v>
      </c>
      <c r="L96" s="84" t="str">
        <f t="shared" si="76"/>
        <v>ok</v>
      </c>
    </row>
    <row r="97">
      <c r="A97" s="1"/>
      <c r="B97" s="43" t="str">
        <f>IFERROR(__xludf.DUMMYFUNCTION("""COMPUTED_VALUE"""),"Hongyuan Wen")</f>
        <v>Hongyuan Wen</v>
      </c>
      <c r="C97" s="84">
        <f>IFERROR(__xludf.DUMMYFUNCTION("""COMPUTED_VALUE"""),4.0)</f>
        <v>4</v>
      </c>
      <c r="D97" s="84">
        <f t="shared" si="72"/>
        <v>30</v>
      </c>
      <c r="E97" s="84">
        <f t="shared" si="73"/>
        <v>26</v>
      </c>
      <c r="F97" s="84">
        <f t="shared" si="74"/>
        <v>15</v>
      </c>
      <c r="G97" s="84">
        <f t="shared" si="75"/>
        <v>5</v>
      </c>
      <c r="L97" s="84" t="str">
        <f t="shared" si="76"/>
        <v>ok</v>
      </c>
    </row>
    <row r="98">
      <c r="A98" s="1"/>
      <c r="B98" s="43" t="str">
        <f>IFERROR(__xludf.DUMMYFUNCTION("""COMPUTED_VALUE"""),"Ethan Gu")</f>
        <v>Ethan Gu</v>
      </c>
      <c r="C98" s="84">
        <f>IFERROR(__xludf.DUMMYFUNCTION("""COMPUTED_VALUE"""),3.0)</f>
        <v>3</v>
      </c>
      <c r="D98" s="84">
        <f t="shared" si="72"/>
        <v>5</v>
      </c>
      <c r="E98" s="84">
        <f t="shared" si="73"/>
        <v>2</v>
      </c>
      <c r="F98" s="84">
        <f t="shared" si="74"/>
        <v>18</v>
      </c>
      <c r="G98" s="84">
        <f t="shared" si="75"/>
        <v>1</v>
      </c>
      <c r="L98" s="84" t="str">
        <f t="shared" si="76"/>
        <v>ok</v>
      </c>
    </row>
    <row r="99">
      <c r="A99" s="1"/>
      <c r="B99" s="43" t="str">
        <f>IFERROR(__xludf.DUMMYFUNCTION("""COMPUTED_VALUE"""),"Basudev Thoppai Vidyasankar")</f>
        <v>Basudev Thoppai Vidyasankar</v>
      </c>
      <c r="C99" s="84">
        <f>IFERROR(__xludf.DUMMYFUNCTION("""COMPUTED_VALUE"""),3.0)</f>
        <v>3</v>
      </c>
      <c r="D99" s="84">
        <f t="shared" si="72"/>
        <v>6</v>
      </c>
      <c r="E99" s="84">
        <f t="shared" si="73"/>
        <v>3</v>
      </c>
      <c r="F99" s="84">
        <f t="shared" si="74"/>
        <v>18</v>
      </c>
      <c r="G99" s="84">
        <f t="shared" si="75"/>
        <v>2</v>
      </c>
      <c r="L99" s="84" t="str">
        <f t="shared" si="76"/>
        <v>ok</v>
      </c>
    </row>
    <row r="100">
      <c r="A100" s="1"/>
      <c r="B100" s="43" t="str">
        <f>IFERROR(__xludf.DUMMYFUNCTION("""COMPUTED_VALUE"""),"Herman Au")</f>
        <v>Herman Au</v>
      </c>
      <c r="C100" s="84">
        <f>IFERROR(__xludf.DUMMYFUNCTION("""COMPUTED_VALUE"""),3.0)</f>
        <v>3</v>
      </c>
      <c r="D100" s="84">
        <f t="shared" si="72"/>
        <v>24</v>
      </c>
      <c r="E100" s="84">
        <f t="shared" si="73"/>
        <v>21</v>
      </c>
      <c r="F100" s="84">
        <f t="shared" si="74"/>
        <v>16</v>
      </c>
      <c r="G100" s="84">
        <f t="shared" si="75"/>
        <v>4</v>
      </c>
      <c r="L100" s="84" t="str">
        <f t="shared" si="76"/>
        <v>ok</v>
      </c>
    </row>
    <row r="101">
      <c r="A101" s="1"/>
      <c r="B101" s="33"/>
      <c r="C101" s="1"/>
      <c r="E101" s="1"/>
      <c r="F101" s="1"/>
    </row>
    <row r="102">
      <c r="A102" s="1"/>
      <c r="B102" s="33"/>
      <c r="C102" s="1"/>
      <c r="E102" s="1"/>
      <c r="F102" s="1"/>
    </row>
    <row r="103">
      <c r="A103" s="1"/>
      <c r="B103" s="81" t="s">
        <v>159</v>
      </c>
      <c r="C103" s="81" t="s">
        <v>160</v>
      </c>
      <c r="D103" s="87" t="s">
        <v>154</v>
      </c>
      <c r="E103" s="88" t="s">
        <v>155</v>
      </c>
      <c r="F103" s="89" t="s">
        <v>156</v>
      </c>
      <c r="G103" s="86" t="s">
        <v>157</v>
      </c>
      <c r="L103" s="86" t="s">
        <v>158</v>
      </c>
    </row>
    <row r="104">
      <c r="A104" s="1"/>
      <c r="B104" s="43" t="str">
        <f>IFERROR(__xludf.DUMMYFUNCTION("query(B5:V69,""select B, V order by V asc Limit 10"")"),"Jimmy Awolesi")</f>
        <v>Jimmy Awolesi</v>
      </c>
      <c r="C104" s="84">
        <f>IFERROR(__xludf.DUMMYFUNCTION("""COMPUTED_VALUE"""),-5.0)</f>
        <v>-5</v>
      </c>
      <c r="D104" s="84">
        <f t="shared" ref="D104:D113" si="77">VLOOKUP(B104,indirect($AB$2&amp;"!B$5:w$70"),22, false)</f>
        <v>31</v>
      </c>
      <c r="E104" s="84">
        <f t="shared" ref="E104:E113" si="78">VLOOKUP(B104,B$5:W$69,22, false)</f>
        <v>36</v>
      </c>
      <c r="F104" s="84">
        <f t="shared" ref="F104:F113" si="79">VLOOKUP(B104,indirect($AB$2&amp;"!B$5:U$70"),11, false)</f>
        <v>7</v>
      </c>
      <c r="G104" s="84">
        <f t="shared" ref="G104:G113" si="80">VLOOKUP(B104,indirect($AB$2&amp;"!B$5:U$70"),6, false)</f>
        <v>5</v>
      </c>
      <c r="L104" s="84" t="str">
        <f t="shared" ref="L104:L113" si="81">if(D104-E104=C104,"ok","Error")</f>
        <v>ok</v>
      </c>
    </row>
    <row r="105">
      <c r="A105" s="1"/>
      <c r="B105" s="43" t="str">
        <f>IFERROR(__xludf.DUMMYFUNCTION("""COMPUTED_VALUE"""),"Alejandro Mejia")</f>
        <v>Alejandro Mejia</v>
      </c>
      <c r="C105" s="84">
        <f>IFERROR(__xludf.DUMMYFUNCTION("""COMPUTED_VALUE"""),-4.0)</f>
        <v>-4</v>
      </c>
      <c r="D105" s="84">
        <f t="shared" si="77"/>
        <v>19</v>
      </c>
      <c r="E105" s="84">
        <f t="shared" si="78"/>
        <v>23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IFERROR(__xludf.DUMMYFUNCTION("""COMPUTED_VALUE"""),"Susanta Mishra")</f>
        <v>Susanta Mishra</v>
      </c>
      <c r="C106" s="84">
        <f>IFERROR(__xludf.DUMMYFUNCTION("""COMPUTED_VALUE"""),-4.0)</f>
        <v>-4</v>
      </c>
      <c r="D106" s="84">
        <f t="shared" si="77"/>
        <v>20</v>
      </c>
      <c r="E106" s="84">
        <f t="shared" si="78"/>
        <v>24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IFERROR(__xludf.DUMMYFUNCTION("""COMPUTED_VALUE"""),"Wayne Liu")</f>
        <v>Wayne Liu</v>
      </c>
      <c r="C107" s="84">
        <f>IFERROR(__xludf.DUMMYFUNCTION("""COMPUTED_VALUE"""),-4.0)</f>
        <v>-4</v>
      </c>
      <c r="D107" s="84">
        <f t="shared" si="77"/>
        <v>27</v>
      </c>
      <c r="E107" s="84">
        <f t="shared" si="78"/>
        <v>31</v>
      </c>
      <c r="F107" s="84">
        <f t="shared" si="79"/>
        <v>9</v>
      </c>
      <c r="G107" s="84">
        <f t="shared" si="80"/>
        <v>4</v>
      </c>
      <c r="L107" s="84" t="str">
        <f t="shared" si="81"/>
        <v>ok</v>
      </c>
    </row>
    <row r="108">
      <c r="A108" s="1"/>
      <c r="B108" s="43" t="str">
        <f>IFERROR(__xludf.DUMMYFUNCTION("""COMPUTED_VALUE"""),"Naveen Raj")</f>
        <v>Naveen Raj</v>
      </c>
      <c r="C108" s="84">
        <f>IFERROR(__xludf.DUMMYFUNCTION("""COMPUTED_VALUE"""),-4.0)</f>
        <v>-4</v>
      </c>
      <c r="D108" s="84">
        <f t="shared" si="77"/>
        <v>37</v>
      </c>
      <c r="E108" s="84">
        <f t="shared" si="78"/>
        <v>41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IFERROR(__xludf.DUMMYFUNCTION("""COMPUTED_VALUE"""),"Sandy Weyant")</f>
        <v>Sandy Weyant</v>
      </c>
      <c r="C109" s="84">
        <f>IFERROR(__xludf.DUMMYFUNCTION("""COMPUTED_VALUE"""),-4.0)</f>
        <v>-4</v>
      </c>
      <c r="D109" s="84">
        <f t="shared" si="77"/>
        <v>39</v>
      </c>
      <c r="E109" s="84">
        <f t="shared" si="78"/>
        <v>43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IFERROR(__xludf.DUMMYFUNCTION("""COMPUTED_VALUE"""),"Manish Anand")</f>
        <v>Manish Anand</v>
      </c>
      <c r="C110" s="84">
        <f>IFERROR(__xludf.DUMMYFUNCTION("""COMPUTED_VALUE"""),-3.0)</f>
        <v>-3</v>
      </c>
      <c r="D110" s="84">
        <f t="shared" si="77"/>
        <v>2</v>
      </c>
      <c r="E110" s="84">
        <f t="shared" si="78"/>
        <v>5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IFERROR(__xludf.DUMMYFUNCTION("""COMPUTED_VALUE"""),"Erik Hoeckmann")</f>
        <v>Erik Hoeckmann</v>
      </c>
      <c r="C111" s="84">
        <f>IFERROR(__xludf.DUMMYFUNCTION("""COMPUTED_VALUE"""),-3.0)</f>
        <v>-3</v>
      </c>
      <c r="D111" s="84">
        <f t="shared" si="77"/>
        <v>16</v>
      </c>
      <c r="E111" s="84">
        <f t="shared" si="78"/>
        <v>19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IFERROR(__xludf.DUMMYFUNCTION("""COMPUTED_VALUE"""),"Lam Bui")</f>
        <v>Lam Bui</v>
      </c>
      <c r="C112" s="84">
        <f>IFERROR(__xludf.DUMMYFUNCTION("""COMPUTED_VALUE"""),-3.0)</f>
        <v>-3</v>
      </c>
      <c r="D112" s="84">
        <f t="shared" si="77"/>
        <v>17</v>
      </c>
      <c r="E112" s="84">
        <f t="shared" si="78"/>
        <v>20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43" t="str">
        <f>IFERROR(__xludf.DUMMYFUNCTION("""COMPUTED_VALUE"""),"Sean Chang")</f>
        <v>Sean Chang</v>
      </c>
      <c r="C113" s="84">
        <f>IFERROR(__xludf.DUMMYFUNCTION("""COMPUTED_VALUE"""),-3.0)</f>
        <v>-3</v>
      </c>
      <c r="D113" s="84">
        <f t="shared" si="77"/>
        <v>25</v>
      </c>
      <c r="E113" s="84">
        <f t="shared" si="78"/>
        <v>28</v>
      </c>
      <c r="F113" s="84">
        <f t="shared" si="79"/>
        <v>9</v>
      </c>
      <c r="G113" s="84">
        <f t="shared" si="80"/>
        <v>0</v>
      </c>
      <c r="L113" s="84" t="str">
        <f t="shared" si="81"/>
        <v>ok</v>
      </c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E117" s="1"/>
      <c r="F117" s="1"/>
    </row>
    <row r="118">
      <c r="A118" s="1"/>
      <c r="B118" s="33"/>
      <c r="C118" s="1"/>
      <c r="D118" s="1"/>
      <c r="E118" s="1"/>
      <c r="F118" s="1"/>
    </row>
    <row r="119">
      <c r="A119" s="91" t="s">
        <v>161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4"/>
    </row>
    <row r="120">
      <c r="A120" s="92"/>
      <c r="B120" s="81" t="s">
        <v>162</v>
      </c>
      <c r="C120" s="93" t="s">
        <v>163</v>
      </c>
      <c r="D120" s="23"/>
      <c r="E120" s="24"/>
      <c r="F120" s="93" t="s">
        <v>164</v>
      </c>
      <c r="G120" s="23"/>
      <c r="H120" s="24"/>
      <c r="I120" s="94" t="s">
        <v>165</v>
      </c>
      <c r="J120" s="23"/>
      <c r="K120" s="23"/>
      <c r="L120" s="23"/>
      <c r="M120" s="24"/>
    </row>
    <row r="121">
      <c r="A121" s="83">
        <v>1.0</v>
      </c>
      <c r="B121" s="43" t="str">
        <f>IFERROR(__xludf.DUMMYFUNCTION("query(B5:V69,""select B where R = 'X' order by B asc"")"),"Adrian Tay")</f>
        <v>Adrian Tay</v>
      </c>
      <c r="C121" s="95" t="str">
        <f>IFERROR(__xludf.DUMMYFUNCTION("query(B5:V69,""select B where R = '' order by B asc"")"),"Herman Au")</f>
        <v>Herman Au</v>
      </c>
      <c r="D121" s="23"/>
      <c r="E121" s="24"/>
      <c r="F121" s="95" t="str">
        <f>IFERROR(__xludf.DUMMYFUNCTION("query(B5:V69,""select B where R = 'N' order by B asc"")"),"Trinath Goteti")</f>
        <v>Trinath Goteti</v>
      </c>
      <c r="G121" s="23"/>
      <c r="H121" s="24"/>
      <c r="I121" s="95" t="s">
        <v>166</v>
      </c>
      <c r="J121" s="23"/>
      <c r="K121" s="23"/>
      <c r="L121" s="23"/>
      <c r="M121" s="24"/>
    </row>
    <row r="122">
      <c r="A122" s="83">
        <f t="shared" ref="A122:A185" si="82">A121+1</f>
        <v>2</v>
      </c>
      <c r="B122" s="43" t="str">
        <f>IFERROR(__xludf.DUMMYFUNCTION("""COMPUTED_VALUE"""),"Alejandro Mejia")</f>
        <v>Alejandro Mejia</v>
      </c>
      <c r="C122" s="95"/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3</v>
      </c>
      <c r="B123" s="43" t="str">
        <f>IFERROR(__xludf.DUMMYFUNCTION("""COMPUTED_VALUE"""),"Alex Hou")</f>
        <v>Alex Hou</v>
      </c>
      <c r="C123" s="95"/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4</v>
      </c>
      <c r="B124" s="43" t="str">
        <f>IFERROR(__xludf.DUMMYFUNCTION("""COMPUTED_VALUE"""),"Allen Zhang")</f>
        <v>Allen Zhang</v>
      </c>
      <c r="C124" s="95"/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5</v>
      </c>
      <c r="B125" s="43" t="str">
        <f>IFERROR(__xludf.DUMMYFUNCTION("""COMPUTED_VALUE"""),"Andrew Wen")</f>
        <v>Andrew Wen</v>
      </c>
      <c r="C125" s="95"/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6</v>
      </c>
      <c r="B126" s="43" t="str">
        <f>IFERROR(__xludf.DUMMYFUNCTION("""COMPUTED_VALUE"""),"Balaji Alahari")</f>
        <v>Balaji Alahari</v>
      </c>
      <c r="C126" s="95"/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7</v>
      </c>
      <c r="B127" s="43" t="str">
        <f>IFERROR(__xludf.DUMMYFUNCTION("""COMPUTED_VALUE"""),"Barathi Sundaram")</f>
        <v>Barathi Sundaram</v>
      </c>
      <c r="C127" s="95"/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8</v>
      </c>
      <c r="B128" s="43" t="str">
        <f>IFERROR(__xludf.DUMMYFUNCTION("""COMPUTED_VALUE"""),"Basudev Thoppai Vidyasankar")</f>
        <v>Basudev Thoppai Vidyasankar</v>
      </c>
      <c r="C128" s="95"/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9</v>
      </c>
      <c r="B129" s="43" t="str">
        <f>IFERROR(__xludf.DUMMYFUNCTION("""COMPUTED_VALUE"""),"Chinna Ponnaganti")</f>
        <v>Chinna Ponnaganti</v>
      </c>
      <c r="C129" s="95"/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10</v>
      </c>
      <c r="B130" s="43" t="str">
        <f>IFERROR(__xludf.DUMMYFUNCTION("""COMPUTED_VALUE"""),"Cid Macaraeg")</f>
        <v>Cid Macaraeg</v>
      </c>
      <c r="C130" s="95"/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11</v>
      </c>
      <c r="B131" s="43" t="str">
        <f>IFERROR(__xludf.DUMMYFUNCTION("""COMPUTED_VALUE"""),"Coco Yan")</f>
        <v>Coco Yan</v>
      </c>
      <c r="C131" s="95"/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12</v>
      </c>
      <c r="B132" s="43" t="str">
        <f>IFERROR(__xludf.DUMMYFUNCTION("""COMPUTED_VALUE"""),"David Shin")</f>
        <v>David Shin</v>
      </c>
      <c r="C132" s="95"/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13</v>
      </c>
      <c r="B133" s="43" t="str">
        <f>IFERROR(__xludf.DUMMYFUNCTION("""COMPUTED_VALUE"""),"Elayaraja Thangaraj ")</f>
        <v>Elayaraja Thangaraj </v>
      </c>
      <c r="C133" s="95"/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14</v>
      </c>
      <c r="B134" s="43" t="str">
        <f>IFERROR(__xludf.DUMMYFUNCTION("""COMPUTED_VALUE"""),"Eric Pan")</f>
        <v>Eric Pan</v>
      </c>
      <c r="C134" s="95"/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15</v>
      </c>
      <c r="B135" s="43" t="str">
        <f>IFERROR(__xludf.DUMMYFUNCTION("""COMPUTED_VALUE"""),"Eric Tan")</f>
        <v>Eric Tan</v>
      </c>
      <c r="C135" s="95"/>
      <c r="D135" s="23"/>
      <c r="E135" s="24"/>
      <c r="F135" s="95"/>
      <c r="G135" s="23"/>
      <c r="H135" s="24"/>
      <c r="I135" s="95"/>
      <c r="J135" s="23"/>
      <c r="K135" s="23"/>
      <c r="L135" s="23"/>
      <c r="M135" s="24"/>
    </row>
    <row r="136">
      <c r="A136" s="83">
        <f t="shared" si="82"/>
        <v>16</v>
      </c>
      <c r="B136" s="43" t="str">
        <f>IFERROR(__xludf.DUMMYFUNCTION("""COMPUTED_VALUE"""),"Erik Hoeckmann")</f>
        <v>Erik Hoeckmann</v>
      </c>
      <c r="C136" s="95"/>
      <c r="D136" s="23"/>
      <c r="E136" s="24"/>
      <c r="F136" s="95"/>
      <c r="G136" s="23"/>
      <c r="H136" s="24"/>
    </row>
    <row r="137">
      <c r="A137" s="83">
        <f t="shared" si="82"/>
        <v>17</v>
      </c>
      <c r="B137" s="43" t="str">
        <f>IFERROR(__xludf.DUMMYFUNCTION("""COMPUTED_VALUE"""),"Ethan Gu")</f>
        <v>Ethan Gu</v>
      </c>
      <c r="C137" s="95"/>
      <c r="D137" s="23"/>
      <c r="E137" s="24"/>
      <c r="F137" s="95"/>
      <c r="G137" s="23"/>
      <c r="H137" s="24"/>
    </row>
    <row r="138">
      <c r="A138" s="83">
        <f t="shared" si="82"/>
        <v>18</v>
      </c>
      <c r="B138" s="43" t="str">
        <f>IFERROR(__xludf.DUMMYFUNCTION("""COMPUTED_VALUE"""),"Frank Moon")</f>
        <v>Frank Moon</v>
      </c>
      <c r="C138" s="95"/>
      <c r="D138" s="23"/>
      <c r="E138" s="24"/>
      <c r="F138" s="95"/>
      <c r="G138" s="23"/>
      <c r="H138" s="24"/>
    </row>
    <row r="139">
      <c r="A139" s="83">
        <f t="shared" si="82"/>
        <v>19</v>
      </c>
      <c r="B139" s="43" t="str">
        <f>IFERROR(__xludf.DUMMYFUNCTION("""COMPUTED_VALUE"""),"Hongyuan Wen")</f>
        <v>Hongyuan Wen</v>
      </c>
      <c r="C139" s="95"/>
      <c r="D139" s="23"/>
      <c r="E139" s="24"/>
      <c r="F139" s="95"/>
      <c r="G139" s="23"/>
      <c r="H139" s="24"/>
    </row>
    <row r="140">
      <c r="A140" s="83">
        <f t="shared" si="82"/>
        <v>20</v>
      </c>
      <c r="B140" s="43" t="str">
        <f>IFERROR(__xludf.DUMMYFUNCTION("""COMPUTED_VALUE"""),"Hubert J Sung")</f>
        <v>Hubert J Sung</v>
      </c>
      <c r="C140" s="95"/>
      <c r="D140" s="23"/>
      <c r="E140" s="24"/>
      <c r="F140" s="95"/>
      <c r="G140" s="23"/>
      <c r="H140" s="24"/>
    </row>
    <row r="141">
      <c r="A141" s="83">
        <f t="shared" si="82"/>
        <v>21</v>
      </c>
      <c r="B141" s="43" t="str">
        <f>IFERROR(__xludf.DUMMYFUNCTION("""COMPUTED_VALUE"""),"James Phan")</f>
        <v>James Phan</v>
      </c>
      <c r="C141" s="95"/>
      <c r="D141" s="23"/>
      <c r="E141" s="24"/>
      <c r="F141" s="95"/>
      <c r="G141" s="23"/>
      <c r="H141" s="24"/>
    </row>
    <row r="142">
      <c r="A142" s="83">
        <f t="shared" si="82"/>
        <v>22</v>
      </c>
      <c r="B142" s="43" t="str">
        <f>IFERROR(__xludf.DUMMYFUNCTION("""COMPUTED_VALUE"""),"Jim Miao")</f>
        <v>Jim Miao</v>
      </c>
      <c r="C142" s="95"/>
      <c r="D142" s="23"/>
      <c r="E142" s="24"/>
      <c r="F142" s="95"/>
      <c r="G142" s="23"/>
      <c r="H142" s="24"/>
    </row>
    <row r="143">
      <c r="A143" s="83">
        <f t="shared" si="82"/>
        <v>23</v>
      </c>
      <c r="B143" s="43" t="str">
        <f>IFERROR(__xludf.DUMMYFUNCTION("""COMPUTED_VALUE"""),"Jimmy Awolesi")</f>
        <v>Jimmy Awolesi</v>
      </c>
      <c r="C143" s="95"/>
      <c r="D143" s="23"/>
      <c r="E143" s="24"/>
      <c r="F143" s="95"/>
      <c r="G143" s="23"/>
      <c r="H143" s="24"/>
    </row>
    <row r="144">
      <c r="A144" s="83">
        <f t="shared" si="82"/>
        <v>24</v>
      </c>
      <c r="B144" s="43" t="str">
        <f>IFERROR(__xludf.DUMMYFUNCTION("""COMPUTED_VALUE"""),"Joe Luzzi")</f>
        <v>Joe Luzzi</v>
      </c>
      <c r="C144" s="95"/>
      <c r="D144" s="23"/>
      <c r="E144" s="24"/>
      <c r="F144" s="95"/>
      <c r="G144" s="23"/>
      <c r="H144" s="24"/>
    </row>
    <row r="145">
      <c r="A145" s="83">
        <f t="shared" si="82"/>
        <v>25</v>
      </c>
      <c r="B145" s="43" t="str">
        <f>IFERROR(__xludf.DUMMYFUNCTION("""COMPUTED_VALUE"""),"Jonathan Phan")</f>
        <v>Jonathan Phan</v>
      </c>
      <c r="C145" s="95"/>
      <c r="D145" s="23"/>
      <c r="E145" s="24"/>
      <c r="F145" s="95"/>
      <c r="G145" s="23"/>
      <c r="H145" s="24"/>
    </row>
    <row r="146">
      <c r="A146" s="83">
        <f t="shared" si="82"/>
        <v>26</v>
      </c>
      <c r="B146" s="43" t="str">
        <f>IFERROR(__xludf.DUMMYFUNCTION("""COMPUTED_VALUE"""),"Joyce Zhu")</f>
        <v>Joyce Zhu</v>
      </c>
      <c r="C146" s="95"/>
      <c r="D146" s="23"/>
      <c r="E146" s="24"/>
      <c r="F146" s="95"/>
      <c r="G146" s="23"/>
      <c r="H146" s="24"/>
    </row>
    <row r="147">
      <c r="A147" s="83">
        <f t="shared" si="82"/>
        <v>27</v>
      </c>
      <c r="B147" s="43" t="str">
        <f>IFERROR(__xludf.DUMMYFUNCTION("""COMPUTED_VALUE"""),"Kumar Palakeel")</f>
        <v>Kumar Palakeel</v>
      </c>
      <c r="C147" s="95"/>
      <c r="D147" s="23"/>
      <c r="E147" s="24"/>
      <c r="F147" s="95"/>
      <c r="G147" s="23"/>
      <c r="H147" s="24"/>
    </row>
    <row r="148">
      <c r="A148" s="83">
        <f t="shared" si="82"/>
        <v>28</v>
      </c>
      <c r="B148" s="43" t="str">
        <f>IFERROR(__xludf.DUMMYFUNCTION("""COMPUTED_VALUE"""),"Lam Bui")</f>
        <v>Lam Bui</v>
      </c>
      <c r="C148" s="95"/>
      <c r="D148" s="23"/>
      <c r="E148" s="24"/>
      <c r="F148" s="95"/>
      <c r="G148" s="23"/>
      <c r="H148" s="24"/>
    </row>
    <row r="149">
      <c r="A149" s="83">
        <f t="shared" si="82"/>
        <v>29</v>
      </c>
      <c r="B149" s="43" t="str">
        <f>IFERROR(__xludf.DUMMYFUNCTION("""COMPUTED_VALUE"""),"Leigh-Anh Nguyen")</f>
        <v>Leigh-Anh Nguyen</v>
      </c>
      <c r="C149" s="95"/>
      <c r="D149" s="23"/>
      <c r="E149" s="24"/>
      <c r="F149" s="95"/>
      <c r="G149" s="23"/>
      <c r="H149" s="24"/>
    </row>
    <row r="150">
      <c r="A150" s="83">
        <f t="shared" si="82"/>
        <v>30</v>
      </c>
      <c r="B150" s="43" t="str">
        <f>IFERROR(__xludf.DUMMYFUNCTION("""COMPUTED_VALUE"""),"Lloyd Sagar")</f>
        <v>Lloyd Sagar</v>
      </c>
      <c r="C150" s="95"/>
      <c r="D150" s="23"/>
      <c r="E150" s="24"/>
      <c r="F150" s="95"/>
      <c r="G150" s="23"/>
      <c r="H150" s="24"/>
    </row>
    <row r="151">
      <c r="A151" s="83">
        <f t="shared" si="82"/>
        <v>31</v>
      </c>
      <c r="B151" s="43" t="str">
        <f>IFERROR(__xludf.DUMMYFUNCTION("""COMPUTED_VALUE"""),"Luis Hsu")</f>
        <v>Luis Hsu</v>
      </c>
      <c r="C151" s="95"/>
      <c r="D151" s="23"/>
      <c r="E151" s="24"/>
      <c r="F151" s="95"/>
      <c r="G151" s="23"/>
      <c r="H151" s="24"/>
    </row>
    <row r="152">
      <c r="A152" s="83">
        <f t="shared" si="82"/>
        <v>32</v>
      </c>
      <c r="B152" s="43" t="str">
        <f>IFERROR(__xludf.DUMMYFUNCTION("""COMPUTED_VALUE"""),"Manish Anand")</f>
        <v>Manish Anand</v>
      </c>
      <c r="C152" s="95"/>
      <c r="D152" s="23"/>
      <c r="E152" s="24"/>
      <c r="F152" s="95"/>
      <c r="G152" s="23"/>
      <c r="H152" s="24"/>
    </row>
    <row r="153">
      <c r="A153" s="83">
        <f t="shared" si="82"/>
        <v>33</v>
      </c>
      <c r="B153" s="43" t="str">
        <f>IFERROR(__xludf.DUMMYFUNCTION("""COMPUTED_VALUE"""),"Manuel Rivera")</f>
        <v>Manuel Rivera</v>
      </c>
      <c r="C153" s="95"/>
      <c r="D153" s="23"/>
      <c r="E153" s="24"/>
      <c r="F153" s="95"/>
      <c r="G153" s="23"/>
      <c r="H153" s="24"/>
    </row>
    <row r="154">
      <c r="A154" s="83">
        <f t="shared" si="82"/>
        <v>34</v>
      </c>
      <c r="B154" s="43" t="str">
        <f>IFERROR(__xludf.DUMMYFUNCTION("""COMPUTED_VALUE"""),"Matthew Huang")</f>
        <v>Matthew Huang</v>
      </c>
      <c r="C154" s="95"/>
      <c r="D154" s="23"/>
      <c r="E154" s="24"/>
      <c r="F154" s="95"/>
      <c r="G154" s="23"/>
      <c r="H154" s="24"/>
    </row>
    <row r="155">
      <c r="A155" s="83">
        <f t="shared" si="82"/>
        <v>35</v>
      </c>
      <c r="B155" s="43" t="str">
        <f>IFERROR(__xludf.DUMMYFUNCTION("""COMPUTED_VALUE"""),"Mauricio Palacios")</f>
        <v>Mauricio Palacios</v>
      </c>
      <c r="C155" s="95"/>
      <c r="D155" s="23"/>
      <c r="E155" s="24"/>
      <c r="F155" s="95"/>
      <c r="G155" s="23"/>
      <c r="H155" s="24"/>
    </row>
    <row r="156">
      <c r="A156" s="83">
        <f t="shared" si="82"/>
        <v>36</v>
      </c>
      <c r="B156" s="43" t="str">
        <f>IFERROR(__xludf.DUMMYFUNCTION("""COMPUTED_VALUE"""),"Naveen Raj")</f>
        <v>Naveen Raj</v>
      </c>
      <c r="C156" s="95"/>
      <c r="D156" s="23"/>
      <c r="E156" s="24"/>
      <c r="F156" s="95"/>
      <c r="G156" s="23"/>
      <c r="H156" s="24"/>
    </row>
    <row r="157">
      <c r="A157" s="83">
        <f t="shared" si="82"/>
        <v>37</v>
      </c>
      <c r="B157" s="43" t="str">
        <f>IFERROR(__xludf.DUMMYFUNCTION("""COMPUTED_VALUE"""),"Nicole Ni")</f>
        <v>Nicole Ni</v>
      </c>
      <c r="C157" s="95"/>
      <c r="D157" s="23"/>
      <c r="E157" s="24"/>
      <c r="F157" s="95"/>
      <c r="G157" s="23"/>
      <c r="H157" s="24"/>
    </row>
    <row r="158">
      <c r="A158" s="83">
        <f t="shared" si="82"/>
        <v>38</v>
      </c>
      <c r="B158" s="43" t="str">
        <f>IFERROR(__xludf.DUMMYFUNCTION("""COMPUTED_VALUE"""),"Oscar Bonilla")</f>
        <v>Oscar Bonilla</v>
      </c>
      <c r="C158" s="95"/>
      <c r="D158" s="23"/>
      <c r="E158" s="24"/>
      <c r="F158" s="95"/>
      <c r="G158" s="23"/>
      <c r="H158" s="24"/>
    </row>
    <row r="159">
      <c r="A159" s="83">
        <f t="shared" si="82"/>
        <v>39</v>
      </c>
      <c r="B159" s="43" t="str">
        <f>IFERROR(__xludf.DUMMYFUNCTION("""COMPUTED_VALUE"""),"Pavan Akkimsetty")</f>
        <v>Pavan Akkimsetty</v>
      </c>
      <c r="C159" s="95"/>
      <c r="D159" s="23"/>
      <c r="E159" s="24"/>
      <c r="F159" s="95"/>
      <c r="G159" s="23"/>
      <c r="H159" s="24"/>
    </row>
    <row r="160">
      <c r="A160" s="83">
        <f t="shared" si="82"/>
        <v>40</v>
      </c>
      <c r="B160" s="43" t="str">
        <f>IFERROR(__xludf.DUMMYFUNCTION("""COMPUTED_VALUE"""),"Pulkit Mathur")</f>
        <v>Pulkit Mathur</v>
      </c>
      <c r="C160" s="95"/>
      <c r="D160" s="23"/>
      <c r="E160" s="24"/>
      <c r="F160" s="95"/>
      <c r="G160" s="23"/>
      <c r="H160" s="24"/>
    </row>
    <row r="161">
      <c r="A161" s="83">
        <f t="shared" si="82"/>
        <v>41</v>
      </c>
      <c r="B161" s="43" t="str">
        <f>IFERROR(__xludf.DUMMYFUNCTION("""COMPUTED_VALUE"""),"Rajasekar Ramasamy")</f>
        <v>Rajasekar Ramasamy</v>
      </c>
      <c r="C161" s="95"/>
      <c r="D161" s="23"/>
      <c r="E161" s="24"/>
      <c r="F161" s="95"/>
      <c r="G161" s="23"/>
      <c r="H161" s="24"/>
    </row>
    <row r="162">
      <c r="A162" s="83">
        <f t="shared" si="82"/>
        <v>42</v>
      </c>
      <c r="B162" s="43" t="str">
        <f>IFERROR(__xludf.DUMMYFUNCTION("""COMPUTED_VALUE"""),"Rajesh Dorairaj")</f>
        <v>Rajesh Dorairaj</v>
      </c>
      <c r="C162" s="95"/>
      <c r="D162" s="23"/>
      <c r="E162" s="24"/>
      <c r="F162" s="95"/>
      <c r="G162" s="23"/>
      <c r="H162" s="24"/>
    </row>
    <row r="163">
      <c r="A163" s="83">
        <f t="shared" si="82"/>
        <v>43</v>
      </c>
      <c r="B163" s="43" t="str">
        <f>IFERROR(__xludf.DUMMYFUNCTION("""COMPUTED_VALUE"""),"Ramesh Bandaru")</f>
        <v>Ramesh Bandaru</v>
      </c>
      <c r="C163" s="95"/>
      <c r="D163" s="23"/>
      <c r="E163" s="24"/>
      <c r="F163" s="95"/>
      <c r="G163" s="23"/>
      <c r="H163" s="24"/>
    </row>
    <row r="164">
      <c r="A164" s="83">
        <f t="shared" si="82"/>
        <v>44</v>
      </c>
      <c r="B164" s="43" t="str">
        <f>IFERROR(__xludf.DUMMYFUNCTION("""COMPUTED_VALUE"""),"Robert Chang")</f>
        <v>Robert Chang</v>
      </c>
      <c r="C164" s="95"/>
      <c r="D164" s="23"/>
      <c r="E164" s="24"/>
      <c r="F164" s="95"/>
      <c r="G164" s="23"/>
      <c r="H164" s="24"/>
    </row>
    <row r="165">
      <c r="A165" s="83">
        <f t="shared" si="82"/>
        <v>45</v>
      </c>
      <c r="B165" s="43" t="str">
        <f>IFERROR(__xludf.DUMMYFUNCTION("""COMPUTED_VALUE"""),"Sandeep Kamalon")</f>
        <v>Sandeep Kamalon</v>
      </c>
      <c r="C165" s="95"/>
      <c r="D165" s="23"/>
      <c r="E165" s="24"/>
      <c r="F165" s="95"/>
      <c r="G165" s="23"/>
      <c r="H165" s="24"/>
    </row>
    <row r="166">
      <c r="A166" s="83">
        <f t="shared" si="82"/>
        <v>46</v>
      </c>
      <c r="B166" s="43" t="str">
        <f>IFERROR(__xludf.DUMMYFUNCTION("""COMPUTED_VALUE"""),"Sandy Weyant")</f>
        <v>Sandy Weyant</v>
      </c>
      <c r="C166" s="95"/>
      <c r="D166" s="23"/>
      <c r="E166" s="24"/>
      <c r="F166" s="95"/>
      <c r="G166" s="23"/>
      <c r="H166" s="24"/>
    </row>
    <row r="167">
      <c r="A167" s="83">
        <f t="shared" si="82"/>
        <v>47</v>
      </c>
      <c r="B167" s="43" t="str">
        <f>IFERROR(__xludf.DUMMYFUNCTION("""COMPUTED_VALUE"""),"Sanjaye Elayattu")</f>
        <v>Sanjaye Elayattu</v>
      </c>
      <c r="C167" s="95"/>
      <c r="D167" s="23"/>
      <c r="E167" s="24"/>
      <c r="F167" s="95"/>
      <c r="G167" s="23"/>
      <c r="H167" s="24"/>
    </row>
    <row r="168">
      <c r="A168" s="83">
        <f t="shared" si="82"/>
        <v>48</v>
      </c>
      <c r="B168" s="43" t="str">
        <f>IFERROR(__xludf.DUMMYFUNCTION("""COMPUTED_VALUE"""),"Santosh Sundaresan ")</f>
        <v>Santosh Sundaresan </v>
      </c>
      <c r="C168" s="95"/>
      <c r="D168" s="23"/>
      <c r="E168" s="24"/>
      <c r="F168" s="95"/>
      <c r="G168" s="23"/>
      <c r="H168" s="24"/>
    </row>
    <row r="169">
      <c r="A169" s="83">
        <f t="shared" si="82"/>
        <v>49</v>
      </c>
      <c r="B169" s="43" t="str">
        <f>IFERROR(__xludf.DUMMYFUNCTION("""COMPUTED_VALUE"""),"Saravanan Veerapandian")</f>
        <v>Saravanan Veerapandian</v>
      </c>
      <c r="C169" s="95"/>
      <c r="D169" s="23"/>
      <c r="E169" s="24"/>
      <c r="F169" s="95"/>
      <c r="G169" s="23"/>
      <c r="H169" s="24"/>
    </row>
    <row r="170">
      <c r="A170" s="83">
        <f t="shared" si="82"/>
        <v>50</v>
      </c>
      <c r="B170" s="43" t="str">
        <f>IFERROR(__xludf.DUMMYFUNCTION("""COMPUTED_VALUE"""),"Scott Li")</f>
        <v>Scott Li</v>
      </c>
      <c r="C170" s="95"/>
      <c r="D170" s="23"/>
      <c r="E170" s="24"/>
      <c r="F170" s="95"/>
      <c r="G170" s="23"/>
      <c r="H170" s="24"/>
    </row>
    <row r="171">
      <c r="A171" s="83">
        <f t="shared" si="82"/>
        <v>51</v>
      </c>
      <c r="B171" s="43" t="str">
        <f>IFERROR(__xludf.DUMMYFUNCTION("""COMPUTED_VALUE"""),"Sean Chang")</f>
        <v>Sean Chang</v>
      </c>
      <c r="C171" s="95"/>
      <c r="D171" s="23"/>
      <c r="E171" s="24"/>
      <c r="F171" s="95"/>
      <c r="G171" s="23"/>
      <c r="H171" s="24"/>
    </row>
    <row r="172">
      <c r="A172" s="83">
        <f t="shared" si="82"/>
        <v>52</v>
      </c>
      <c r="B172" s="43" t="str">
        <f>IFERROR(__xludf.DUMMYFUNCTION("""COMPUTED_VALUE"""),"Suleman Alidina")</f>
        <v>Suleman Alidina</v>
      </c>
      <c r="C172" s="95"/>
      <c r="D172" s="23"/>
      <c r="E172" s="24"/>
      <c r="F172" s="95"/>
      <c r="G172" s="23"/>
      <c r="H172" s="24"/>
    </row>
    <row r="173">
      <c r="A173" s="83">
        <f t="shared" si="82"/>
        <v>53</v>
      </c>
      <c r="B173" s="43" t="str">
        <f>IFERROR(__xludf.DUMMYFUNCTION("""COMPUTED_VALUE"""),"Susanta Mishra")</f>
        <v>Susanta Mishra</v>
      </c>
      <c r="C173" s="95"/>
      <c r="D173" s="23"/>
      <c r="E173" s="24"/>
      <c r="F173" s="95"/>
      <c r="G173" s="23"/>
      <c r="H173" s="24"/>
    </row>
    <row r="174">
      <c r="A174" s="83">
        <f t="shared" si="82"/>
        <v>54</v>
      </c>
      <c r="B174" s="43" t="str">
        <f>IFERROR(__xludf.DUMMYFUNCTION("""COMPUTED_VALUE"""),"Ted Shen")</f>
        <v>Ted Shen</v>
      </c>
      <c r="C174" s="95"/>
      <c r="D174" s="23"/>
      <c r="E174" s="24"/>
      <c r="F174" s="95"/>
      <c r="G174" s="23"/>
      <c r="H174" s="24"/>
    </row>
    <row r="175">
      <c r="A175" s="83">
        <f t="shared" si="82"/>
        <v>55</v>
      </c>
      <c r="B175" s="43" t="str">
        <f>IFERROR(__xludf.DUMMYFUNCTION("""COMPUTED_VALUE"""),"Tina Hanson")</f>
        <v>Tina Hanson</v>
      </c>
      <c r="C175" s="95"/>
      <c r="D175" s="23"/>
      <c r="E175" s="24"/>
      <c r="F175" s="95"/>
      <c r="G175" s="23"/>
      <c r="H175" s="24"/>
    </row>
    <row r="176">
      <c r="A176" s="83">
        <f t="shared" si="82"/>
        <v>56</v>
      </c>
      <c r="B176" s="43" t="str">
        <f>IFERROR(__xludf.DUMMYFUNCTION("""COMPUTED_VALUE"""),"Tom Le")</f>
        <v>Tom Le</v>
      </c>
      <c r="C176" s="95"/>
      <c r="D176" s="23"/>
      <c r="E176" s="24"/>
      <c r="F176" s="95"/>
      <c r="G176" s="23"/>
      <c r="H176" s="24"/>
    </row>
    <row r="177">
      <c r="A177" s="83">
        <f t="shared" si="82"/>
        <v>57</v>
      </c>
      <c r="B177" s="43" t="str">
        <f>IFERROR(__xludf.DUMMYFUNCTION("""COMPUTED_VALUE"""),"Trish Newlin")</f>
        <v>Trish Newlin</v>
      </c>
      <c r="C177" s="95"/>
      <c r="D177" s="23"/>
      <c r="E177" s="24"/>
      <c r="F177" s="95"/>
      <c r="G177" s="23"/>
      <c r="H177" s="24"/>
    </row>
    <row r="178">
      <c r="A178" s="83">
        <f t="shared" si="82"/>
        <v>58</v>
      </c>
      <c r="B178" s="43" t="str">
        <f>IFERROR(__xludf.DUMMYFUNCTION("""COMPUTED_VALUE"""),"Troy Wong")</f>
        <v>Troy Wong</v>
      </c>
      <c r="C178" s="95"/>
      <c r="D178" s="23"/>
      <c r="E178" s="24"/>
      <c r="F178" s="95"/>
      <c r="G178" s="23"/>
      <c r="H178" s="24"/>
    </row>
    <row r="179">
      <c r="A179" s="83">
        <f t="shared" si="82"/>
        <v>59</v>
      </c>
      <c r="B179" s="43" t="str">
        <f>IFERROR(__xludf.DUMMYFUNCTION("""COMPUTED_VALUE"""),"Tyler Leong")</f>
        <v>Tyler Leong</v>
      </c>
      <c r="C179" s="95"/>
      <c r="D179" s="23"/>
      <c r="E179" s="24"/>
      <c r="F179" s="95"/>
      <c r="G179" s="23"/>
      <c r="H179" s="24"/>
    </row>
    <row r="180">
      <c r="A180" s="83">
        <f t="shared" si="82"/>
        <v>60</v>
      </c>
      <c r="B180" s="43" t="str">
        <f>IFERROR(__xludf.DUMMYFUNCTION("""COMPUTED_VALUE"""),"Vicki Martinet")</f>
        <v>Vicki Martinet</v>
      </c>
      <c r="C180" s="95"/>
      <c r="D180" s="23"/>
      <c r="E180" s="24"/>
      <c r="F180" s="95"/>
      <c r="G180" s="23"/>
      <c r="H180" s="24"/>
    </row>
    <row r="181">
      <c r="A181" s="83">
        <f t="shared" si="82"/>
        <v>61</v>
      </c>
      <c r="B181" s="43" t="str">
        <f>IFERROR(__xludf.DUMMYFUNCTION("""COMPUTED_VALUE"""),"Vinaya Kajla")</f>
        <v>Vinaya Kajla</v>
      </c>
      <c r="C181" s="95"/>
      <c r="D181" s="23"/>
      <c r="E181" s="24"/>
      <c r="F181" s="95"/>
      <c r="G181" s="23"/>
      <c r="H181" s="24"/>
    </row>
    <row r="182">
      <c r="A182" s="83">
        <f t="shared" si="82"/>
        <v>62</v>
      </c>
      <c r="B182" s="43" t="str">
        <f>IFERROR(__xludf.DUMMYFUNCTION("""COMPUTED_VALUE"""),"Vishnu Amarnath")</f>
        <v>Vishnu Amarnath</v>
      </c>
      <c r="C182" s="95"/>
      <c r="D182" s="23"/>
      <c r="E182" s="24"/>
      <c r="F182" s="95"/>
      <c r="G182" s="23"/>
      <c r="H182" s="24"/>
    </row>
    <row r="183">
      <c r="A183" s="83">
        <f t="shared" si="82"/>
        <v>63</v>
      </c>
      <c r="B183" s="43" t="str">
        <f>IFERROR(__xludf.DUMMYFUNCTION("""COMPUTED_VALUE"""),"Wayne Liu")</f>
        <v>Wayne Liu</v>
      </c>
      <c r="C183" s="95"/>
      <c r="D183" s="23"/>
      <c r="E183" s="24"/>
      <c r="F183" s="95"/>
      <c r="G183" s="23"/>
      <c r="H183" s="24"/>
    </row>
    <row r="184">
      <c r="A184" s="83">
        <f t="shared" si="82"/>
        <v>64</v>
      </c>
      <c r="B184" s="43"/>
      <c r="C184" s="95"/>
      <c r="D184" s="23"/>
      <c r="E184" s="24"/>
      <c r="F184" s="95"/>
      <c r="G184" s="23"/>
      <c r="H184" s="24"/>
    </row>
    <row r="185">
      <c r="A185" s="83">
        <f t="shared" si="82"/>
        <v>65</v>
      </c>
      <c r="B185" s="43"/>
      <c r="C185" s="95"/>
      <c r="D185" s="23"/>
      <c r="E185" s="24"/>
      <c r="F185" s="95"/>
      <c r="G185" s="23"/>
      <c r="H185" s="24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  <row r="705">
      <c r="A705" s="1"/>
      <c r="C705" s="1"/>
      <c r="D705" s="1"/>
      <c r="E705" s="1"/>
      <c r="F705" s="1"/>
    </row>
  </sheetData>
  <mergeCells count="160"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P78:Q78"/>
    <mergeCell ref="A119:M119"/>
    <mergeCell ref="F120:H120"/>
    <mergeCell ref="I120:M120"/>
    <mergeCell ref="C120:E120"/>
    <mergeCell ref="C121:E121"/>
    <mergeCell ref="F121:H121"/>
    <mergeCell ref="I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81:E181"/>
    <mergeCell ref="C182:E182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76:H176"/>
    <mergeCell ref="F184:H184"/>
    <mergeCell ref="F185:H185"/>
    <mergeCell ref="F177:H177"/>
    <mergeCell ref="F178:H178"/>
    <mergeCell ref="F179:H179"/>
    <mergeCell ref="F180:H180"/>
    <mergeCell ref="F181:H181"/>
    <mergeCell ref="F182:H182"/>
    <mergeCell ref="F183:H183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35:E135"/>
    <mergeCell ref="F135:H135"/>
    <mergeCell ref="I135:M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F141:H141"/>
    <mergeCell ref="F142:H142"/>
    <mergeCell ref="F143:H143"/>
    <mergeCell ref="F144:H144"/>
    <mergeCell ref="F145:H145"/>
    <mergeCell ref="F146:H146"/>
    <mergeCell ref="F147:H147"/>
    <mergeCell ref="F148:H148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8">
    <cfRule type="containsText" dxfId="0" priority="7" operator="containsText" text="Good">
      <formula>NOT(ISERROR(SEARCH(("Good"),(M78))))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45815.0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21.0</v>
      </c>
      <c r="E2" s="1"/>
      <c r="F2" s="1"/>
      <c r="R2" s="19"/>
      <c r="AB2" s="20" t="str">
        <f>text(C1-7,"mm/dd/yy")</f>
        <v>05/31/25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322.0</v>
      </c>
      <c r="D5" s="31">
        <v>41.0</v>
      </c>
      <c r="E5" s="36">
        <f t="shared" ref="E5:E69" si="2">if(($D$2-U5-S5)&lt;&gt;0,(C5-(U5*9)-(S5*13))/($D$2-U5-S5),0)</f>
        <v>15.45</v>
      </c>
      <c r="F5" s="73">
        <v>2.0</v>
      </c>
      <c r="G5" s="74">
        <v>1.0</v>
      </c>
      <c r="H5" s="75">
        <v>0.0</v>
      </c>
      <c r="I5" s="74">
        <v>4.0</v>
      </c>
      <c r="J5" s="74">
        <v>3.0</v>
      </c>
      <c r="K5" s="74">
        <v>6.0</v>
      </c>
      <c r="L5" s="76">
        <v>13.0</v>
      </c>
      <c r="M5" s="74">
        <v>1.0</v>
      </c>
      <c r="N5" s="31">
        <f t="shared" ref="N5:O5" si="1">C5+L5</f>
        <v>335</v>
      </c>
      <c r="O5" s="31">
        <f t="shared" si="1"/>
        <v>42</v>
      </c>
      <c r="P5" s="45" t="s">
        <v>58</v>
      </c>
      <c r="Q5" s="45" t="s">
        <v>58</v>
      </c>
      <c r="R5" s="45" t="s">
        <v>58</v>
      </c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101</v>
      </c>
      <c r="C6" s="31">
        <v>268.0</v>
      </c>
      <c r="D6" s="31">
        <v>22.0</v>
      </c>
      <c r="E6" s="36">
        <f t="shared" si="2"/>
        <v>14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277</v>
      </c>
      <c r="O6" s="31">
        <f t="shared" si="3"/>
        <v>22</v>
      </c>
      <c r="P6" s="45" t="s">
        <v>58</v>
      </c>
      <c r="Q6" s="45" t="s">
        <v>58</v>
      </c>
      <c r="R6" s="45" t="s">
        <v>58</v>
      </c>
      <c r="S6" s="46">
        <f t="shared" si="4"/>
        <v>1</v>
      </c>
      <c r="T6" s="46"/>
      <c r="U6" s="46">
        <f t="shared" si="5"/>
        <v>5</v>
      </c>
      <c r="V6" s="46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28" t="s">
        <v>74</v>
      </c>
      <c r="C7" s="31">
        <v>267.0</v>
      </c>
      <c r="D7" s="31">
        <v>27.0</v>
      </c>
      <c r="E7" s="36">
        <f t="shared" si="2"/>
        <v>14.2</v>
      </c>
      <c r="F7" s="73">
        <v>1.0</v>
      </c>
      <c r="G7" s="74">
        <v>1.0</v>
      </c>
      <c r="H7" s="75">
        <v>0.0</v>
      </c>
      <c r="I7" s="74">
        <v>4.0</v>
      </c>
      <c r="J7" s="74">
        <v>6.0</v>
      </c>
      <c r="K7" s="74">
        <v>1.0</v>
      </c>
      <c r="L7" s="76">
        <v>11.0</v>
      </c>
      <c r="M7" s="74">
        <v>1.0</v>
      </c>
      <c r="N7" s="31">
        <f t="shared" ref="N7:O7" si="8">C7+L7</f>
        <v>278</v>
      </c>
      <c r="O7" s="31">
        <f t="shared" si="8"/>
        <v>28</v>
      </c>
      <c r="P7" s="45" t="s">
        <v>58</v>
      </c>
      <c r="Q7" s="45" t="s">
        <v>58</v>
      </c>
      <c r="R7" s="45" t="s">
        <v>58</v>
      </c>
      <c r="S7" s="46">
        <f t="shared" si="4"/>
        <v>0</v>
      </c>
      <c r="T7" s="46"/>
      <c r="U7" s="46">
        <f t="shared" si="5"/>
        <v>6</v>
      </c>
      <c r="V7" s="46">
        <f t="shared" si="6"/>
        <v>6</v>
      </c>
      <c r="W7" s="30">
        <f t="shared" si="9"/>
        <v>3</v>
      </c>
    </row>
    <row r="8">
      <c r="A8" s="30">
        <f t="shared" si="7"/>
        <v>4</v>
      </c>
      <c r="B8" s="28" t="s">
        <v>97</v>
      </c>
      <c r="C8" s="31">
        <v>266.0</v>
      </c>
      <c r="D8" s="31">
        <v>23.0</v>
      </c>
      <c r="E8" s="36">
        <f t="shared" si="2"/>
        <v>13.05882353</v>
      </c>
      <c r="F8" s="73">
        <v>2.0</v>
      </c>
      <c r="G8" s="74">
        <v>1.0</v>
      </c>
      <c r="H8" s="75">
        <v>0.0</v>
      </c>
      <c r="I8" s="74">
        <v>6.0</v>
      </c>
      <c r="J8" s="74">
        <v>3.0</v>
      </c>
      <c r="K8" s="74">
        <v>1.0</v>
      </c>
      <c r="L8" s="76">
        <v>10.0</v>
      </c>
      <c r="M8" s="74">
        <v>1.0</v>
      </c>
      <c r="N8" s="31">
        <f t="shared" ref="N8:O8" si="10">C8+L8</f>
        <v>276</v>
      </c>
      <c r="O8" s="31">
        <f t="shared" si="10"/>
        <v>24</v>
      </c>
      <c r="P8" s="45" t="s">
        <v>58</v>
      </c>
      <c r="Q8" s="45" t="s">
        <v>58</v>
      </c>
      <c r="R8" s="45" t="s">
        <v>58</v>
      </c>
      <c r="S8" s="46">
        <f t="shared" si="4"/>
        <v>2</v>
      </c>
      <c r="T8" s="46"/>
      <c r="U8" s="46">
        <f t="shared" si="5"/>
        <v>2</v>
      </c>
      <c r="V8" s="46">
        <f t="shared" si="6"/>
        <v>-2</v>
      </c>
      <c r="W8" s="30">
        <f t="shared" si="9"/>
        <v>4</v>
      </c>
    </row>
    <row r="9">
      <c r="A9" s="30">
        <f t="shared" si="7"/>
        <v>5</v>
      </c>
      <c r="B9" s="43" t="s">
        <v>64</v>
      </c>
      <c r="C9" s="47">
        <v>262.0</v>
      </c>
      <c r="D9" s="31">
        <v>23.0</v>
      </c>
      <c r="E9" s="36">
        <f t="shared" si="2"/>
        <v>13.29411765</v>
      </c>
      <c r="F9" s="73">
        <v>1.0</v>
      </c>
      <c r="G9" s="74">
        <v>1.0</v>
      </c>
      <c r="H9" s="75">
        <v>0.0</v>
      </c>
      <c r="I9" s="74">
        <v>6.0</v>
      </c>
      <c r="J9" s="74">
        <v>6.0</v>
      </c>
      <c r="K9" s="74">
        <v>6.0</v>
      </c>
      <c r="L9" s="76">
        <v>18.0</v>
      </c>
      <c r="M9" s="74">
        <v>3.0</v>
      </c>
      <c r="N9" s="47">
        <f t="shared" ref="N9:O9" si="11">C9+L9</f>
        <v>280</v>
      </c>
      <c r="O9" s="31">
        <f t="shared" si="11"/>
        <v>26</v>
      </c>
      <c r="P9" s="45" t="s">
        <v>58</v>
      </c>
      <c r="Q9" s="45" t="s">
        <v>58</v>
      </c>
      <c r="R9" s="45" t="s">
        <v>58</v>
      </c>
      <c r="S9" s="46">
        <f t="shared" si="4"/>
        <v>0</v>
      </c>
      <c r="T9" s="46"/>
      <c r="U9" s="46">
        <f t="shared" si="5"/>
        <v>4</v>
      </c>
      <c r="V9" s="46">
        <f t="shared" si="6"/>
        <v>6</v>
      </c>
      <c r="W9" s="30">
        <f t="shared" si="9"/>
        <v>5</v>
      </c>
    </row>
    <row r="10">
      <c r="A10" s="30">
        <f t="shared" si="7"/>
        <v>6</v>
      </c>
      <c r="B10" s="43" t="s">
        <v>87</v>
      </c>
      <c r="C10" s="47">
        <v>261.0</v>
      </c>
      <c r="D10" s="31">
        <v>23.0</v>
      </c>
      <c r="E10" s="36">
        <f t="shared" si="2"/>
        <v>13.5</v>
      </c>
      <c r="F10" s="73">
        <v>1.0</v>
      </c>
      <c r="G10" s="74">
        <v>2.0</v>
      </c>
      <c r="H10" s="75">
        <v>0.0</v>
      </c>
      <c r="I10" s="74">
        <v>6.0</v>
      </c>
      <c r="J10" s="74">
        <v>6.0</v>
      </c>
      <c r="K10" s="74">
        <v>6.0</v>
      </c>
      <c r="L10" s="76">
        <v>18.0</v>
      </c>
      <c r="M10" s="74">
        <v>3.0</v>
      </c>
      <c r="N10" s="47">
        <f t="shared" ref="N10:O10" si="12">C10+L10</f>
        <v>279</v>
      </c>
      <c r="O10" s="31">
        <f t="shared" si="12"/>
        <v>26</v>
      </c>
      <c r="P10" s="45" t="s">
        <v>58</v>
      </c>
      <c r="Q10" s="45" t="s">
        <v>58</v>
      </c>
      <c r="R10" s="45" t="s">
        <v>58</v>
      </c>
      <c r="S10" s="46">
        <f t="shared" si="4"/>
        <v>0</v>
      </c>
      <c r="T10" s="46"/>
      <c r="U10" s="46">
        <f t="shared" si="5"/>
        <v>5</v>
      </c>
      <c r="V10" s="46">
        <f t="shared" si="6"/>
        <v>1</v>
      </c>
      <c r="W10" s="30">
        <f t="shared" si="9"/>
        <v>6</v>
      </c>
    </row>
    <row r="11">
      <c r="A11" s="30">
        <f t="shared" si="7"/>
        <v>7</v>
      </c>
      <c r="B11" s="43" t="s">
        <v>88</v>
      </c>
      <c r="C11" s="47">
        <v>260.0</v>
      </c>
      <c r="D11" s="31">
        <v>24.0</v>
      </c>
      <c r="E11" s="36">
        <f t="shared" si="2"/>
        <v>12.52631579</v>
      </c>
      <c r="F11" s="73">
        <v>1.0</v>
      </c>
      <c r="G11" s="74">
        <v>2.0</v>
      </c>
      <c r="H11" s="75">
        <v>0.0</v>
      </c>
      <c r="I11" s="74">
        <v>3.0</v>
      </c>
      <c r="J11" s="74">
        <v>3.0</v>
      </c>
      <c r="K11" s="74">
        <v>6.0</v>
      </c>
      <c r="L11" s="76">
        <v>12.0</v>
      </c>
      <c r="M11" s="74">
        <v>1.0</v>
      </c>
      <c r="N11" s="47">
        <f t="shared" ref="N11:O11" si="13">C11+L11</f>
        <v>272</v>
      </c>
      <c r="O11" s="31">
        <f t="shared" si="13"/>
        <v>25</v>
      </c>
      <c r="P11" s="45" t="s">
        <v>58</v>
      </c>
      <c r="Q11" s="45" t="s">
        <v>58</v>
      </c>
      <c r="R11" s="45" t="s">
        <v>58</v>
      </c>
      <c r="S11" s="46">
        <f t="shared" si="4"/>
        <v>1</v>
      </c>
      <c r="T11" s="46"/>
      <c r="U11" s="46">
        <f t="shared" si="5"/>
        <v>1</v>
      </c>
      <c r="V11" s="46">
        <f t="shared" si="6"/>
        <v>1</v>
      </c>
      <c r="W11" s="30">
        <f t="shared" si="9"/>
        <v>7</v>
      </c>
    </row>
    <row r="12">
      <c r="A12" s="30">
        <f t="shared" si="7"/>
        <v>8</v>
      </c>
      <c r="B12" s="43" t="s">
        <v>121</v>
      </c>
      <c r="C12" s="31">
        <v>260.0</v>
      </c>
      <c r="D12" s="31">
        <v>22.0</v>
      </c>
      <c r="E12" s="36">
        <f t="shared" si="2"/>
        <v>15.7</v>
      </c>
      <c r="F12" s="73">
        <v>3.0</v>
      </c>
      <c r="G12" s="74">
        <v>0.0</v>
      </c>
      <c r="H12" s="75">
        <v>9.0</v>
      </c>
      <c r="I12" s="74">
        <v>0.0</v>
      </c>
      <c r="J12" s="74">
        <v>0.0</v>
      </c>
      <c r="K12" s="74">
        <v>0.0</v>
      </c>
      <c r="L12" s="76">
        <v>9.0</v>
      </c>
      <c r="M12" s="74">
        <v>0.0</v>
      </c>
      <c r="N12" s="31">
        <f t="shared" ref="N12:O12" si="14">C12+L12</f>
        <v>269</v>
      </c>
      <c r="O12" s="31">
        <f t="shared" si="14"/>
        <v>22</v>
      </c>
      <c r="P12" s="45" t="s">
        <v>58</v>
      </c>
      <c r="Q12" s="45" t="s">
        <v>58</v>
      </c>
      <c r="R12" s="45" t="s">
        <v>58</v>
      </c>
      <c r="S12" s="46">
        <f t="shared" si="4"/>
        <v>1</v>
      </c>
      <c r="T12" s="46"/>
      <c r="U12" s="46">
        <f t="shared" si="5"/>
        <v>10</v>
      </c>
      <c r="V12" s="46">
        <f t="shared" si="6"/>
        <v>-4</v>
      </c>
      <c r="W12" s="30">
        <f t="shared" si="9"/>
        <v>8</v>
      </c>
    </row>
    <row r="13">
      <c r="A13" s="30">
        <f t="shared" si="7"/>
        <v>9</v>
      </c>
      <c r="B13" s="43" t="s">
        <v>94</v>
      </c>
      <c r="C13" s="31">
        <v>260.0</v>
      </c>
      <c r="D13" s="31">
        <v>22.0</v>
      </c>
      <c r="E13" s="36">
        <f t="shared" si="2"/>
        <v>14.58333333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269</v>
      </c>
      <c r="O13" s="31">
        <f t="shared" si="15"/>
        <v>22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8</v>
      </c>
      <c r="V13" s="46">
        <f t="shared" si="6"/>
        <v>-4</v>
      </c>
      <c r="W13" s="30">
        <f t="shared" si="9"/>
        <v>9</v>
      </c>
    </row>
    <row r="14">
      <c r="A14" s="30">
        <f t="shared" si="7"/>
        <v>10</v>
      </c>
      <c r="B14" s="28" t="s">
        <v>117</v>
      </c>
      <c r="C14" s="31">
        <v>259.0</v>
      </c>
      <c r="D14" s="31">
        <v>24.0</v>
      </c>
      <c r="E14" s="36">
        <f t="shared" si="2"/>
        <v>15.6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268</v>
      </c>
      <c r="O14" s="31">
        <f t="shared" si="16"/>
        <v>24</v>
      </c>
      <c r="P14" s="45" t="s">
        <v>58</v>
      </c>
      <c r="Q14" s="45" t="s">
        <v>58</v>
      </c>
      <c r="R14" s="45" t="s">
        <v>58</v>
      </c>
      <c r="S14" s="46">
        <f t="shared" si="4"/>
        <v>1</v>
      </c>
      <c r="T14" s="46"/>
      <c r="U14" s="46">
        <f t="shared" si="5"/>
        <v>10</v>
      </c>
      <c r="V14" s="46">
        <f t="shared" si="6"/>
        <v>-4</v>
      </c>
      <c r="W14" s="30">
        <f t="shared" si="9"/>
        <v>10</v>
      </c>
    </row>
    <row r="15">
      <c r="A15" s="30">
        <f t="shared" si="7"/>
        <v>11</v>
      </c>
      <c r="B15" s="28" t="s">
        <v>128</v>
      </c>
      <c r="C15" s="31">
        <v>257.0</v>
      </c>
      <c r="D15" s="31">
        <v>25.0</v>
      </c>
      <c r="E15" s="36">
        <f t="shared" si="2"/>
        <v>15.8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266</v>
      </c>
      <c r="O15" s="31">
        <f t="shared" si="17"/>
        <v>25</v>
      </c>
      <c r="P15" s="45" t="s">
        <v>58</v>
      </c>
      <c r="Q15" s="45" t="s">
        <v>58</v>
      </c>
      <c r="R15" s="45" t="s">
        <v>58</v>
      </c>
      <c r="S15" s="46">
        <f t="shared" si="4"/>
        <v>0</v>
      </c>
      <c r="T15" s="46"/>
      <c r="U15" s="46">
        <f t="shared" si="5"/>
        <v>11</v>
      </c>
      <c r="V15" s="46">
        <f t="shared" si="6"/>
        <v>8</v>
      </c>
      <c r="W15" s="30">
        <f t="shared" si="9"/>
        <v>11</v>
      </c>
    </row>
    <row r="16">
      <c r="A16" s="30">
        <f t="shared" si="7"/>
        <v>12</v>
      </c>
      <c r="B16" s="28" t="s">
        <v>92</v>
      </c>
      <c r="C16" s="31">
        <v>257.0</v>
      </c>
      <c r="D16" s="31">
        <v>23.0</v>
      </c>
      <c r="E16" s="36">
        <f t="shared" si="2"/>
        <v>14.23076923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266</v>
      </c>
      <c r="O16" s="31">
        <f t="shared" si="18"/>
        <v>23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8</v>
      </c>
      <c r="V16" s="46">
        <f t="shared" si="6"/>
        <v>1</v>
      </c>
      <c r="W16" s="30">
        <f t="shared" si="9"/>
        <v>12</v>
      </c>
    </row>
    <row r="17">
      <c r="A17" s="30">
        <f t="shared" si="7"/>
        <v>13</v>
      </c>
      <c r="B17" s="43" t="s">
        <v>130</v>
      </c>
      <c r="C17" s="31">
        <v>257.0</v>
      </c>
      <c r="D17" s="31">
        <v>20.0</v>
      </c>
      <c r="E17" s="36">
        <f t="shared" si="2"/>
        <v>15.18181818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266</v>
      </c>
      <c r="O17" s="31">
        <f t="shared" si="19"/>
        <v>20</v>
      </c>
      <c r="P17" s="45" t="s">
        <v>58</v>
      </c>
      <c r="Q17" s="45" t="s">
        <v>58</v>
      </c>
      <c r="R17" s="45" t="s">
        <v>58</v>
      </c>
      <c r="S17" s="46">
        <f t="shared" si="4"/>
        <v>0</v>
      </c>
      <c r="T17" s="46"/>
      <c r="U17" s="46">
        <f t="shared" si="5"/>
        <v>10</v>
      </c>
      <c r="V17" s="46">
        <f t="shared" si="6"/>
        <v>-3</v>
      </c>
      <c r="W17" s="30">
        <f t="shared" si="9"/>
        <v>13</v>
      </c>
    </row>
    <row r="18">
      <c r="A18" s="30">
        <f t="shared" si="7"/>
        <v>14</v>
      </c>
      <c r="B18" s="28" t="s">
        <v>95</v>
      </c>
      <c r="C18" s="31">
        <v>254.0</v>
      </c>
      <c r="D18" s="31">
        <v>24.0</v>
      </c>
      <c r="E18" s="36">
        <f t="shared" si="2"/>
        <v>13.33333333</v>
      </c>
      <c r="F18" s="73">
        <v>1.0</v>
      </c>
      <c r="G18" s="74">
        <v>2.0</v>
      </c>
      <c r="H18" s="75">
        <v>0.0</v>
      </c>
      <c r="I18" s="74">
        <v>6.0</v>
      </c>
      <c r="J18" s="74">
        <v>3.0</v>
      </c>
      <c r="K18" s="74">
        <v>2.0</v>
      </c>
      <c r="L18" s="76">
        <v>11.0</v>
      </c>
      <c r="M18" s="74">
        <v>1.0</v>
      </c>
      <c r="N18" s="31">
        <f t="shared" ref="N18:O18" si="20">C18+L18</f>
        <v>265</v>
      </c>
      <c r="O18" s="31">
        <f t="shared" si="20"/>
        <v>25</v>
      </c>
      <c r="P18" s="45" t="s">
        <v>58</v>
      </c>
      <c r="Q18" s="45" t="s">
        <v>58</v>
      </c>
      <c r="R18" s="45" t="s">
        <v>58</v>
      </c>
      <c r="S18" s="46">
        <f t="shared" si="4"/>
        <v>0</v>
      </c>
      <c r="T18" s="46"/>
      <c r="U18" s="46">
        <f t="shared" si="5"/>
        <v>6</v>
      </c>
      <c r="V18" s="46">
        <f t="shared" si="6"/>
        <v>-2</v>
      </c>
      <c r="W18" s="30">
        <f t="shared" si="9"/>
        <v>14</v>
      </c>
    </row>
    <row r="19">
      <c r="A19" s="30">
        <f t="shared" si="7"/>
        <v>15</v>
      </c>
      <c r="B19" s="28" t="s">
        <v>104</v>
      </c>
      <c r="C19" s="31">
        <v>254.0</v>
      </c>
      <c r="D19" s="31">
        <v>20.0</v>
      </c>
      <c r="E19" s="36">
        <f t="shared" si="2"/>
        <v>12.58823529</v>
      </c>
      <c r="F19" s="73">
        <v>2.0</v>
      </c>
      <c r="G19" s="74">
        <v>2.0</v>
      </c>
      <c r="H19" s="75">
        <v>0.0</v>
      </c>
      <c r="I19" s="74">
        <v>3.0</v>
      </c>
      <c r="J19" s="74">
        <v>6.0</v>
      </c>
      <c r="K19" s="74">
        <v>2.0</v>
      </c>
      <c r="L19" s="76">
        <v>11.0</v>
      </c>
      <c r="M19" s="74">
        <v>1.0</v>
      </c>
      <c r="N19" s="31">
        <f t="shared" ref="N19:O19" si="21">C19+L19</f>
        <v>265</v>
      </c>
      <c r="O19" s="31">
        <f t="shared" si="21"/>
        <v>21</v>
      </c>
      <c r="P19" s="45" t="s">
        <v>58</v>
      </c>
      <c r="Q19" s="45" t="s">
        <v>58</v>
      </c>
      <c r="R19" s="45" t="s">
        <v>58</v>
      </c>
      <c r="S19" s="46">
        <f t="shared" si="4"/>
        <v>1</v>
      </c>
      <c r="T19" s="46"/>
      <c r="U19" s="46">
        <f t="shared" si="5"/>
        <v>3</v>
      </c>
      <c r="V19" s="46">
        <f t="shared" si="6"/>
        <v>1</v>
      </c>
      <c r="W19" s="30">
        <f t="shared" si="9"/>
        <v>15</v>
      </c>
    </row>
    <row r="20">
      <c r="A20" s="30">
        <f t="shared" si="7"/>
        <v>16</v>
      </c>
      <c r="B20" s="28" t="s">
        <v>105</v>
      </c>
      <c r="C20" s="31">
        <v>253.0</v>
      </c>
      <c r="D20" s="31">
        <v>23.0</v>
      </c>
      <c r="E20" s="36">
        <f t="shared" si="2"/>
        <v>13.28571429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262</v>
      </c>
      <c r="O20" s="31">
        <f t="shared" si="22"/>
        <v>23</v>
      </c>
      <c r="P20" s="45" t="s">
        <v>58</v>
      </c>
      <c r="Q20" s="45" t="s">
        <v>58</v>
      </c>
      <c r="R20" s="45" t="s">
        <v>58</v>
      </c>
      <c r="S20" s="46">
        <f t="shared" si="4"/>
        <v>1</v>
      </c>
      <c r="T20" s="46"/>
      <c r="U20" s="46">
        <f t="shared" si="5"/>
        <v>6</v>
      </c>
      <c r="V20" s="46">
        <f t="shared" si="6"/>
        <v>1</v>
      </c>
      <c r="W20" s="30">
        <f t="shared" si="9"/>
        <v>16</v>
      </c>
    </row>
    <row r="21">
      <c r="A21" s="30">
        <f t="shared" si="7"/>
        <v>17</v>
      </c>
      <c r="B21" s="28" t="s">
        <v>116</v>
      </c>
      <c r="C21" s="31">
        <v>253.0</v>
      </c>
      <c r="D21" s="31">
        <v>22.0</v>
      </c>
      <c r="E21" s="36">
        <f t="shared" si="2"/>
        <v>14.45454545</v>
      </c>
      <c r="F21" s="73">
        <v>3.0</v>
      </c>
      <c r="G21" s="74">
        <v>0.0</v>
      </c>
      <c r="H21" s="75">
        <v>9.0</v>
      </c>
      <c r="I21" s="74">
        <v>0.0</v>
      </c>
      <c r="J21" s="74">
        <v>0.0</v>
      </c>
      <c r="K21" s="74">
        <v>0.0</v>
      </c>
      <c r="L21" s="76">
        <v>9.0</v>
      </c>
      <c r="M21" s="74">
        <v>0.0</v>
      </c>
      <c r="N21" s="31">
        <f t="shared" ref="N21:O21" si="23">C21+L21</f>
        <v>262</v>
      </c>
      <c r="O21" s="31">
        <f t="shared" si="23"/>
        <v>22</v>
      </c>
      <c r="P21" s="45" t="s">
        <v>58</v>
      </c>
      <c r="Q21" s="45" t="s">
        <v>58</v>
      </c>
      <c r="R21" s="45" t="s">
        <v>58</v>
      </c>
      <c r="S21" s="46">
        <f t="shared" si="4"/>
        <v>1</v>
      </c>
      <c r="T21" s="46"/>
      <c r="U21" s="46">
        <f t="shared" si="5"/>
        <v>9</v>
      </c>
      <c r="V21" s="46">
        <f t="shared" si="6"/>
        <v>-3</v>
      </c>
      <c r="W21" s="30">
        <f t="shared" si="9"/>
        <v>17</v>
      </c>
    </row>
    <row r="22">
      <c r="A22" s="30">
        <f t="shared" si="7"/>
        <v>18</v>
      </c>
      <c r="B22" s="48" t="s">
        <v>82</v>
      </c>
      <c r="C22" s="31">
        <v>253.0</v>
      </c>
      <c r="D22" s="31">
        <v>21.0</v>
      </c>
      <c r="E22" s="36">
        <f t="shared" si="2"/>
        <v>12.75</v>
      </c>
      <c r="F22" s="73">
        <v>1.0</v>
      </c>
      <c r="G22" s="74">
        <v>3.0</v>
      </c>
      <c r="H22" s="75">
        <v>0.0</v>
      </c>
      <c r="I22" s="74">
        <v>5.0</v>
      </c>
      <c r="J22" s="74">
        <v>6.0</v>
      </c>
      <c r="K22" s="74">
        <v>7.0</v>
      </c>
      <c r="L22" s="76">
        <v>18.0</v>
      </c>
      <c r="M22" s="74">
        <v>2.0</v>
      </c>
      <c r="N22" s="31">
        <f t="shared" ref="N22:O22" si="24">C22+L22</f>
        <v>271</v>
      </c>
      <c r="O22" s="31">
        <f t="shared" si="24"/>
        <v>23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4</v>
      </c>
      <c r="V22" s="46">
        <f t="shared" si="6"/>
        <v>0</v>
      </c>
      <c r="W22" s="30">
        <f t="shared" si="9"/>
        <v>18</v>
      </c>
    </row>
    <row r="23">
      <c r="A23" s="30">
        <f t="shared" si="7"/>
        <v>19</v>
      </c>
      <c r="B23" s="28" t="s">
        <v>44</v>
      </c>
      <c r="C23" s="31">
        <v>251.0</v>
      </c>
      <c r="D23" s="31">
        <v>22.0</v>
      </c>
      <c r="E23" s="36">
        <f t="shared" si="2"/>
        <v>14.63636364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260</v>
      </c>
      <c r="O23" s="31">
        <f t="shared" si="25"/>
        <v>22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10</v>
      </c>
      <c r="V23" s="46">
        <f t="shared" si="6"/>
        <v>-4</v>
      </c>
      <c r="W23" s="30">
        <f t="shared" si="9"/>
        <v>19</v>
      </c>
    </row>
    <row r="24">
      <c r="A24" s="30">
        <f t="shared" si="7"/>
        <v>20</v>
      </c>
      <c r="B24" s="28" t="s">
        <v>67</v>
      </c>
      <c r="C24" s="31">
        <v>251.0</v>
      </c>
      <c r="D24" s="31">
        <v>21.0</v>
      </c>
      <c r="E24" s="36">
        <f t="shared" si="2"/>
        <v>15.44444444</v>
      </c>
      <c r="F24" s="73">
        <v>3.0</v>
      </c>
      <c r="G24" s="74">
        <v>0.0</v>
      </c>
      <c r="H24" s="75">
        <v>9.0</v>
      </c>
      <c r="I24" s="74">
        <v>0.0</v>
      </c>
      <c r="J24" s="74">
        <v>0.0</v>
      </c>
      <c r="K24" s="74">
        <v>0.0</v>
      </c>
      <c r="L24" s="76">
        <v>9.0</v>
      </c>
      <c r="M24" s="74">
        <v>0.0</v>
      </c>
      <c r="N24" s="31">
        <f t="shared" ref="N24:O24" si="26">C24+L24</f>
        <v>260</v>
      </c>
      <c r="O24" s="31">
        <f t="shared" si="26"/>
        <v>21</v>
      </c>
      <c r="P24" s="45" t="s">
        <v>58</v>
      </c>
      <c r="Q24" s="45" t="s">
        <v>58</v>
      </c>
      <c r="R24" s="45" t="s">
        <v>58</v>
      </c>
      <c r="S24" s="46">
        <f t="shared" si="4"/>
        <v>1</v>
      </c>
      <c r="T24" s="46"/>
      <c r="U24" s="46">
        <f t="shared" si="5"/>
        <v>11</v>
      </c>
      <c r="V24" s="46">
        <f t="shared" si="6"/>
        <v>4</v>
      </c>
      <c r="W24" s="30">
        <f t="shared" si="9"/>
        <v>20</v>
      </c>
    </row>
    <row r="25">
      <c r="A25" s="30">
        <f t="shared" si="7"/>
        <v>21</v>
      </c>
      <c r="B25" s="43" t="s">
        <v>106</v>
      </c>
      <c r="C25" s="31">
        <v>248.0</v>
      </c>
      <c r="D25" s="31">
        <v>23.0</v>
      </c>
      <c r="E25" s="36">
        <f t="shared" si="2"/>
        <v>12.92857143</v>
      </c>
      <c r="F25" s="73">
        <v>1.0</v>
      </c>
      <c r="G25" s="74">
        <v>3.0</v>
      </c>
      <c r="H25" s="75">
        <v>0.0</v>
      </c>
      <c r="I25" s="74">
        <v>7.0</v>
      </c>
      <c r="J25" s="74">
        <v>6.0</v>
      </c>
      <c r="K25" s="74">
        <v>5.0</v>
      </c>
      <c r="L25" s="76">
        <v>18.0</v>
      </c>
      <c r="M25" s="74">
        <v>2.0</v>
      </c>
      <c r="N25" s="31">
        <f t="shared" ref="N25:O25" si="27">C25+L25</f>
        <v>266</v>
      </c>
      <c r="O25" s="31">
        <f t="shared" si="27"/>
        <v>25</v>
      </c>
      <c r="P25" s="45" t="s">
        <v>58</v>
      </c>
      <c r="Q25" s="45" t="s">
        <v>58</v>
      </c>
      <c r="R25" s="45" t="s">
        <v>58</v>
      </c>
      <c r="S25" s="46">
        <f t="shared" si="4"/>
        <v>1</v>
      </c>
      <c r="T25" s="46"/>
      <c r="U25" s="46">
        <f t="shared" si="5"/>
        <v>6</v>
      </c>
      <c r="V25" s="46">
        <f t="shared" si="6"/>
        <v>-1</v>
      </c>
      <c r="W25" s="30">
        <f t="shared" si="9"/>
        <v>21</v>
      </c>
    </row>
    <row r="26">
      <c r="A26" s="30">
        <f t="shared" si="7"/>
        <v>22</v>
      </c>
      <c r="B26" s="43" t="s">
        <v>129</v>
      </c>
      <c r="C26" s="47">
        <v>246.0</v>
      </c>
      <c r="D26" s="31">
        <v>23.0</v>
      </c>
      <c r="E26" s="36">
        <f t="shared" si="2"/>
        <v>12</v>
      </c>
      <c r="F26" s="73">
        <v>1.0</v>
      </c>
      <c r="G26" s="74">
        <v>3.0</v>
      </c>
      <c r="H26" s="75">
        <v>0.0</v>
      </c>
      <c r="I26" s="74">
        <v>5.0</v>
      </c>
      <c r="J26" s="74">
        <v>4.0</v>
      </c>
      <c r="K26" s="74">
        <v>5.0</v>
      </c>
      <c r="L26" s="76">
        <v>14.0</v>
      </c>
      <c r="M26" s="74">
        <v>0.0</v>
      </c>
      <c r="N26" s="47">
        <f t="shared" ref="N26:O26" si="28">C26+L26</f>
        <v>260</v>
      </c>
      <c r="O26" s="31">
        <f t="shared" si="28"/>
        <v>23</v>
      </c>
      <c r="P26" s="45" t="s">
        <v>58</v>
      </c>
      <c r="Q26" s="45" t="s">
        <v>58</v>
      </c>
      <c r="R26" s="45" t="s">
        <v>58</v>
      </c>
      <c r="S26" s="46">
        <f t="shared" si="4"/>
        <v>0</v>
      </c>
      <c r="T26" s="46"/>
      <c r="U26" s="46">
        <f t="shared" si="5"/>
        <v>2</v>
      </c>
      <c r="V26" s="46">
        <f t="shared" si="6"/>
        <v>1</v>
      </c>
      <c r="W26" s="30">
        <f t="shared" si="9"/>
        <v>22</v>
      </c>
    </row>
    <row r="27">
      <c r="A27" s="30">
        <f t="shared" si="7"/>
        <v>23</v>
      </c>
      <c r="B27" s="28" t="s">
        <v>120</v>
      </c>
      <c r="C27" s="31">
        <v>245.0</v>
      </c>
      <c r="D27" s="31">
        <v>21.0</v>
      </c>
      <c r="E27" s="36">
        <f t="shared" si="2"/>
        <v>13.72727273</v>
      </c>
      <c r="F27" s="73">
        <v>2.0</v>
      </c>
      <c r="G27" s="74">
        <v>3.0</v>
      </c>
      <c r="H27" s="75">
        <v>0.0</v>
      </c>
      <c r="I27" s="74">
        <v>7.0</v>
      </c>
      <c r="J27" s="74">
        <v>4.0</v>
      </c>
      <c r="K27" s="74">
        <v>7.0</v>
      </c>
      <c r="L27" s="76">
        <v>18.0</v>
      </c>
      <c r="M27" s="74">
        <v>2.0</v>
      </c>
      <c r="N27" s="31">
        <f t="shared" ref="N27:O27" si="29">C27+L27</f>
        <v>263</v>
      </c>
      <c r="O27" s="31">
        <f t="shared" si="29"/>
        <v>23</v>
      </c>
      <c r="P27" s="45" t="s">
        <v>58</v>
      </c>
      <c r="Q27" s="45" t="s">
        <v>58</v>
      </c>
      <c r="R27" s="45" t="s">
        <v>58</v>
      </c>
      <c r="S27" s="46">
        <f t="shared" si="4"/>
        <v>1</v>
      </c>
      <c r="T27" s="46"/>
      <c r="U27" s="46">
        <f t="shared" si="5"/>
        <v>9</v>
      </c>
      <c r="V27" s="46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43" t="s">
        <v>107</v>
      </c>
      <c r="C28" s="31">
        <v>245.0</v>
      </c>
      <c r="D28" s="31">
        <v>14.0</v>
      </c>
      <c r="E28" s="36">
        <f t="shared" si="2"/>
        <v>12.71428571</v>
      </c>
      <c r="F28" s="73">
        <v>2.0</v>
      </c>
      <c r="G28" s="74">
        <v>4.0</v>
      </c>
      <c r="H28" s="75">
        <v>0.0</v>
      </c>
      <c r="I28" s="74">
        <v>4.0</v>
      </c>
      <c r="J28" s="74">
        <v>6.0</v>
      </c>
      <c r="K28" s="74">
        <v>6.0</v>
      </c>
      <c r="L28" s="76">
        <v>16.0</v>
      </c>
      <c r="M28" s="74">
        <v>2.0</v>
      </c>
      <c r="N28" s="31">
        <f t="shared" ref="N28:O28" si="30">C28+L28</f>
        <v>261</v>
      </c>
      <c r="O28" s="31">
        <f t="shared" si="30"/>
        <v>16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6</v>
      </c>
      <c r="V28" s="46">
        <f t="shared" si="6"/>
        <v>7</v>
      </c>
      <c r="W28" s="30">
        <f t="shared" si="9"/>
        <v>24</v>
      </c>
    </row>
    <row r="29">
      <c r="A29" s="30">
        <f t="shared" si="7"/>
        <v>25</v>
      </c>
      <c r="B29" s="28" t="s">
        <v>119</v>
      </c>
      <c r="C29" s="31">
        <v>243.0</v>
      </c>
      <c r="D29" s="31">
        <v>22.0</v>
      </c>
      <c r="E29" s="36">
        <f t="shared" si="2"/>
        <v>12.84615385</v>
      </c>
      <c r="F29" s="73">
        <v>4.0</v>
      </c>
      <c r="G29" s="74">
        <v>0.0</v>
      </c>
      <c r="H29" s="75">
        <v>9.0</v>
      </c>
      <c r="I29" s="74">
        <v>0.0</v>
      </c>
      <c r="J29" s="74">
        <v>0.0</v>
      </c>
      <c r="K29" s="74">
        <v>0.0</v>
      </c>
      <c r="L29" s="76">
        <v>9.0</v>
      </c>
      <c r="M29" s="74">
        <v>0.0</v>
      </c>
      <c r="N29" s="31">
        <f t="shared" ref="N29:O29" si="31">C29+L29</f>
        <v>252</v>
      </c>
      <c r="O29" s="31">
        <f t="shared" si="31"/>
        <v>22</v>
      </c>
      <c r="P29" s="45" t="s">
        <v>58</v>
      </c>
      <c r="Q29" s="45" t="s">
        <v>58</v>
      </c>
      <c r="R29" s="45" t="s">
        <v>58</v>
      </c>
      <c r="S29" s="46">
        <f t="shared" si="4"/>
        <v>1</v>
      </c>
      <c r="T29" s="46"/>
      <c r="U29" s="46">
        <f t="shared" si="5"/>
        <v>7</v>
      </c>
      <c r="V29" s="46">
        <f t="shared" si="6"/>
        <v>2</v>
      </c>
      <c r="W29" s="30">
        <f t="shared" si="9"/>
        <v>25</v>
      </c>
    </row>
    <row r="30">
      <c r="A30" s="30">
        <f t="shared" si="7"/>
        <v>26</v>
      </c>
      <c r="B30" s="43" t="s">
        <v>90</v>
      </c>
      <c r="C30" s="31">
        <v>243.0</v>
      </c>
      <c r="D30" s="31">
        <v>18.0</v>
      </c>
      <c r="E30" s="36">
        <f t="shared" si="2"/>
        <v>12</v>
      </c>
      <c r="F30" s="73">
        <v>2.0</v>
      </c>
      <c r="G30" s="74">
        <v>4.0</v>
      </c>
      <c r="H30" s="75">
        <v>0.0</v>
      </c>
      <c r="I30" s="74">
        <v>6.0</v>
      </c>
      <c r="J30" s="74">
        <v>6.0</v>
      </c>
      <c r="K30" s="74">
        <v>1.0</v>
      </c>
      <c r="L30" s="76">
        <v>13.0</v>
      </c>
      <c r="M30" s="74">
        <v>2.0</v>
      </c>
      <c r="N30" s="31">
        <f t="shared" ref="N30:O30" si="32">C30+L30</f>
        <v>256</v>
      </c>
      <c r="O30" s="31">
        <f t="shared" si="32"/>
        <v>20</v>
      </c>
      <c r="P30" s="45" t="s">
        <v>58</v>
      </c>
      <c r="Q30" s="45" t="s">
        <v>58</v>
      </c>
      <c r="R30" s="45" t="s">
        <v>58</v>
      </c>
      <c r="S30" s="46">
        <f t="shared" si="4"/>
        <v>3</v>
      </c>
      <c r="T30" s="46"/>
      <c r="U30" s="46">
        <f t="shared" si="5"/>
        <v>4</v>
      </c>
      <c r="V30" s="46">
        <f t="shared" si="6"/>
        <v>0</v>
      </c>
      <c r="W30" s="30">
        <f t="shared" si="9"/>
        <v>26</v>
      </c>
    </row>
    <row r="31">
      <c r="A31" s="30">
        <f t="shared" si="7"/>
        <v>27</v>
      </c>
      <c r="B31" s="43" t="s">
        <v>132</v>
      </c>
      <c r="C31" s="31">
        <v>242.0</v>
      </c>
      <c r="D31" s="31">
        <v>26.0</v>
      </c>
      <c r="E31" s="36">
        <f t="shared" si="2"/>
        <v>11.52380952</v>
      </c>
      <c r="F31" s="73">
        <v>1.0</v>
      </c>
      <c r="G31" s="74">
        <v>4.0</v>
      </c>
      <c r="H31" s="75">
        <v>0.0</v>
      </c>
      <c r="I31" s="74">
        <v>4.0</v>
      </c>
      <c r="J31" s="74">
        <v>4.0</v>
      </c>
      <c r="K31" s="74">
        <v>1.0</v>
      </c>
      <c r="L31" s="76">
        <v>9.0</v>
      </c>
      <c r="M31" s="74">
        <v>0.0</v>
      </c>
      <c r="N31" s="31">
        <f t="shared" ref="N31:O31" si="33">C31+L31</f>
        <v>251</v>
      </c>
      <c r="O31" s="31">
        <f t="shared" si="33"/>
        <v>26</v>
      </c>
      <c r="P31" s="45" t="s">
        <v>58</v>
      </c>
      <c r="Q31" s="45" t="s">
        <v>58</v>
      </c>
      <c r="R31" s="45" t="s">
        <v>58</v>
      </c>
      <c r="S31" s="46">
        <f t="shared" si="4"/>
        <v>0</v>
      </c>
      <c r="T31" s="46"/>
      <c r="U31" s="46">
        <f t="shared" si="5"/>
        <v>0</v>
      </c>
      <c r="V31" s="46">
        <f t="shared" si="6"/>
        <v>5</v>
      </c>
      <c r="W31" s="30">
        <f t="shared" si="9"/>
        <v>27</v>
      </c>
    </row>
    <row r="32">
      <c r="A32" s="30">
        <f t="shared" si="7"/>
        <v>28</v>
      </c>
      <c r="B32" s="43" t="s">
        <v>56</v>
      </c>
      <c r="C32" s="31">
        <v>242.0</v>
      </c>
      <c r="D32" s="31">
        <v>23.0</v>
      </c>
      <c r="E32" s="36">
        <f t="shared" si="2"/>
        <v>11.52380952</v>
      </c>
      <c r="F32" s="73">
        <v>1.0</v>
      </c>
      <c r="G32" s="74">
        <v>4.0</v>
      </c>
      <c r="H32" s="75">
        <v>0.0</v>
      </c>
      <c r="I32" s="74">
        <v>6.0</v>
      </c>
      <c r="J32" s="74">
        <v>4.0</v>
      </c>
      <c r="K32" s="74">
        <v>6.0</v>
      </c>
      <c r="L32" s="76">
        <v>16.0</v>
      </c>
      <c r="M32" s="74">
        <v>2.0</v>
      </c>
      <c r="N32" s="31">
        <f t="shared" ref="N32:O32" si="34">C32+L32</f>
        <v>258</v>
      </c>
      <c r="O32" s="31">
        <f t="shared" si="34"/>
        <v>25</v>
      </c>
      <c r="P32" s="45" t="s">
        <v>58</v>
      </c>
      <c r="Q32" s="45" t="s">
        <v>58</v>
      </c>
      <c r="R32" s="45" t="s">
        <v>58</v>
      </c>
      <c r="S32" s="46">
        <f t="shared" si="4"/>
        <v>0</v>
      </c>
      <c r="T32" s="46"/>
      <c r="U32" s="46">
        <f t="shared" si="5"/>
        <v>0</v>
      </c>
      <c r="V32" s="46">
        <f t="shared" si="6"/>
        <v>7</v>
      </c>
      <c r="W32" s="30">
        <f t="shared" si="9"/>
        <v>28</v>
      </c>
    </row>
    <row r="33">
      <c r="A33" s="30">
        <f t="shared" si="7"/>
        <v>29</v>
      </c>
      <c r="B33" s="28" t="s">
        <v>34</v>
      </c>
      <c r="C33" s="31">
        <v>242.0</v>
      </c>
      <c r="D33" s="31">
        <v>20.0</v>
      </c>
      <c r="E33" s="36">
        <f t="shared" si="2"/>
        <v>16.57142857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251</v>
      </c>
      <c r="O33" s="31">
        <f t="shared" si="35"/>
        <v>20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14</v>
      </c>
      <c r="V33" s="46">
        <f t="shared" si="6"/>
        <v>-7</v>
      </c>
      <c r="W33" s="30">
        <f t="shared" si="9"/>
        <v>29</v>
      </c>
    </row>
    <row r="34">
      <c r="A34" s="30">
        <f t="shared" si="7"/>
        <v>30</v>
      </c>
      <c r="B34" s="43" t="s">
        <v>111</v>
      </c>
      <c r="C34" s="47">
        <v>241.0</v>
      </c>
      <c r="D34" s="31">
        <v>19.0</v>
      </c>
      <c r="E34" s="36">
        <f t="shared" si="2"/>
        <v>11.82352941</v>
      </c>
      <c r="F34" s="73">
        <v>1.0</v>
      </c>
      <c r="G34" s="74">
        <v>5.0</v>
      </c>
      <c r="H34" s="75">
        <v>0.0</v>
      </c>
      <c r="I34" s="74">
        <v>6.0</v>
      </c>
      <c r="J34" s="74">
        <v>3.0</v>
      </c>
      <c r="K34" s="74">
        <v>6.0</v>
      </c>
      <c r="L34" s="76">
        <v>15.0</v>
      </c>
      <c r="M34" s="74">
        <v>2.0</v>
      </c>
      <c r="N34" s="47">
        <f t="shared" ref="N34:O34" si="36">C34+L34</f>
        <v>256</v>
      </c>
      <c r="O34" s="31">
        <f t="shared" si="36"/>
        <v>21</v>
      </c>
      <c r="P34" s="45" t="s">
        <v>58</v>
      </c>
      <c r="Q34" s="45" t="s">
        <v>58</v>
      </c>
      <c r="R34" s="45" t="s">
        <v>58</v>
      </c>
      <c r="S34" s="46">
        <f t="shared" si="4"/>
        <v>1</v>
      </c>
      <c r="T34" s="46"/>
      <c r="U34" s="46">
        <f t="shared" si="5"/>
        <v>3</v>
      </c>
      <c r="V34" s="46">
        <f t="shared" si="6"/>
        <v>-5</v>
      </c>
      <c r="W34" s="30">
        <f t="shared" si="9"/>
        <v>30</v>
      </c>
    </row>
    <row r="35">
      <c r="A35" s="30">
        <f t="shared" si="7"/>
        <v>31</v>
      </c>
      <c r="B35" s="28" t="s">
        <v>49</v>
      </c>
      <c r="C35" s="31">
        <v>238.0</v>
      </c>
      <c r="D35" s="31">
        <v>20.0</v>
      </c>
      <c r="E35" s="36">
        <f t="shared" si="2"/>
        <v>11.5</v>
      </c>
      <c r="F35" s="73">
        <v>1.0</v>
      </c>
      <c r="G35" s="74">
        <v>5.0</v>
      </c>
      <c r="H35" s="75">
        <v>0.0</v>
      </c>
      <c r="I35" s="74">
        <v>2.0</v>
      </c>
      <c r="J35" s="74">
        <v>3.0</v>
      </c>
      <c r="K35" s="74">
        <v>2.0</v>
      </c>
      <c r="L35" s="76">
        <v>7.0</v>
      </c>
      <c r="M35" s="74">
        <v>0.0</v>
      </c>
      <c r="N35" s="31">
        <f t="shared" ref="N35:O35" si="37">C35+L35</f>
        <v>245</v>
      </c>
      <c r="O35" s="31">
        <f t="shared" si="37"/>
        <v>20</v>
      </c>
      <c r="P35" s="45" t="s">
        <v>58</v>
      </c>
      <c r="Q35" s="45" t="s">
        <v>58</v>
      </c>
      <c r="R35" s="45" t="s">
        <v>58</v>
      </c>
      <c r="S35" s="46">
        <f t="shared" si="4"/>
        <v>1</v>
      </c>
      <c r="T35" s="46"/>
      <c r="U35" s="46">
        <f t="shared" si="5"/>
        <v>2</v>
      </c>
      <c r="V35" s="46">
        <f t="shared" si="6"/>
        <v>-3</v>
      </c>
      <c r="W35" s="30">
        <f t="shared" si="9"/>
        <v>31</v>
      </c>
    </row>
    <row r="36">
      <c r="A36" s="30">
        <f t="shared" si="7"/>
        <v>32</v>
      </c>
      <c r="B36" s="43" t="s">
        <v>99</v>
      </c>
      <c r="C36" s="31">
        <v>238.0</v>
      </c>
      <c r="D36" s="31">
        <v>16.0</v>
      </c>
      <c r="E36" s="36">
        <f t="shared" si="2"/>
        <v>13.5</v>
      </c>
      <c r="F36" s="73">
        <v>1.0</v>
      </c>
      <c r="G36" s="74">
        <v>5.0</v>
      </c>
      <c r="H36" s="75">
        <v>0.0</v>
      </c>
      <c r="I36" s="74">
        <v>2.0</v>
      </c>
      <c r="J36" s="74">
        <v>6.0</v>
      </c>
      <c r="K36" s="74">
        <v>6.0</v>
      </c>
      <c r="L36" s="76">
        <v>14.0</v>
      </c>
      <c r="M36" s="74">
        <v>2.0</v>
      </c>
      <c r="N36" s="31">
        <f t="shared" ref="N36:O36" si="38">C36+L36</f>
        <v>252</v>
      </c>
      <c r="O36" s="31">
        <f t="shared" si="38"/>
        <v>18</v>
      </c>
      <c r="P36" s="45" t="s">
        <v>58</v>
      </c>
      <c r="Q36" s="45" t="s">
        <v>58</v>
      </c>
      <c r="R36" s="45"/>
      <c r="S36" s="46">
        <f t="shared" si="4"/>
        <v>1</v>
      </c>
      <c r="T36" s="46"/>
      <c r="U36" s="46">
        <f t="shared" si="5"/>
        <v>10</v>
      </c>
      <c r="V36" s="46">
        <f t="shared" si="6"/>
        <v>-3</v>
      </c>
      <c r="W36" s="30">
        <f t="shared" si="9"/>
        <v>32</v>
      </c>
    </row>
    <row r="37">
      <c r="A37" s="30">
        <f t="shared" si="7"/>
        <v>33</v>
      </c>
      <c r="B37" s="28" t="s">
        <v>98</v>
      </c>
      <c r="C37" s="31">
        <v>238.0</v>
      </c>
      <c r="D37" s="31">
        <v>16.0</v>
      </c>
      <c r="E37" s="36">
        <f t="shared" si="2"/>
        <v>13.08333333</v>
      </c>
      <c r="F37" s="73">
        <v>1.0</v>
      </c>
      <c r="G37" s="74">
        <v>5.0</v>
      </c>
      <c r="H37" s="75">
        <v>0.0</v>
      </c>
      <c r="I37" s="74">
        <v>6.0</v>
      </c>
      <c r="J37" s="74">
        <v>6.0</v>
      </c>
      <c r="K37" s="74">
        <v>2.0</v>
      </c>
      <c r="L37" s="76">
        <v>14.0</v>
      </c>
      <c r="M37" s="74">
        <v>2.0</v>
      </c>
      <c r="N37" s="31">
        <f t="shared" ref="N37:O37" si="39">C37+L37</f>
        <v>252</v>
      </c>
      <c r="O37" s="31">
        <f t="shared" si="39"/>
        <v>18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9</v>
      </c>
      <c r="V37" s="46">
        <f t="shared" si="6"/>
        <v>-3</v>
      </c>
      <c r="W37" s="30">
        <f t="shared" si="9"/>
        <v>33</v>
      </c>
    </row>
    <row r="38">
      <c r="A38" s="30">
        <f t="shared" si="7"/>
        <v>34</v>
      </c>
      <c r="B38" s="43" t="s">
        <v>133</v>
      </c>
      <c r="C38" s="31">
        <v>235.0</v>
      </c>
      <c r="D38" s="31">
        <v>18.0</v>
      </c>
      <c r="E38" s="36">
        <f t="shared" si="2"/>
        <v>11.55555556</v>
      </c>
      <c r="F38" s="73">
        <v>1.0</v>
      </c>
      <c r="G38" s="74">
        <v>6.0</v>
      </c>
      <c r="H38" s="75">
        <v>0.0</v>
      </c>
      <c r="I38" s="74">
        <v>6.0</v>
      </c>
      <c r="J38" s="74">
        <v>5.0</v>
      </c>
      <c r="K38" s="74">
        <v>2.0</v>
      </c>
      <c r="L38" s="76">
        <v>13.0</v>
      </c>
      <c r="M38" s="74">
        <v>1.0</v>
      </c>
      <c r="N38" s="31">
        <f t="shared" ref="N38:O38" si="40">C38+L38</f>
        <v>248</v>
      </c>
      <c r="O38" s="31">
        <f t="shared" si="40"/>
        <v>19</v>
      </c>
      <c r="P38" s="45" t="s">
        <v>58</v>
      </c>
      <c r="Q38" s="45" t="s">
        <v>58</v>
      </c>
      <c r="R38" s="45" t="s">
        <v>58</v>
      </c>
      <c r="S38" s="46">
        <f t="shared" si="4"/>
        <v>0</v>
      </c>
      <c r="T38" s="46"/>
      <c r="U38" s="46">
        <f t="shared" si="5"/>
        <v>3</v>
      </c>
      <c r="V38" s="46">
        <f t="shared" si="6"/>
        <v>-1</v>
      </c>
      <c r="W38" s="30">
        <f t="shared" si="9"/>
        <v>34</v>
      </c>
    </row>
    <row r="39">
      <c r="A39" s="30">
        <f t="shared" si="7"/>
        <v>35</v>
      </c>
      <c r="B39" s="43" t="s">
        <v>61</v>
      </c>
      <c r="C39" s="47">
        <v>234.0</v>
      </c>
      <c r="D39" s="31">
        <v>26.0</v>
      </c>
      <c r="E39" s="36">
        <f t="shared" si="2"/>
        <v>11.25</v>
      </c>
      <c r="F39" s="73">
        <v>1.0</v>
      </c>
      <c r="G39" s="74">
        <v>6.0</v>
      </c>
      <c r="H39" s="75">
        <v>0.0</v>
      </c>
      <c r="I39" s="74">
        <v>2.0</v>
      </c>
      <c r="J39" s="74">
        <v>5.0</v>
      </c>
      <c r="K39" s="74">
        <v>6.0</v>
      </c>
      <c r="L39" s="76">
        <v>13.0</v>
      </c>
      <c r="M39" s="74">
        <v>1.0</v>
      </c>
      <c r="N39" s="47">
        <f t="shared" ref="N39:O39" si="41">C39+L39</f>
        <v>247</v>
      </c>
      <c r="O39" s="31">
        <f t="shared" si="41"/>
        <v>27</v>
      </c>
      <c r="P39" s="45" t="s">
        <v>58</v>
      </c>
      <c r="Q39" s="45" t="s">
        <v>58</v>
      </c>
      <c r="R39" s="45" t="s">
        <v>58</v>
      </c>
      <c r="S39" s="46">
        <f t="shared" si="4"/>
        <v>0</v>
      </c>
      <c r="T39" s="46"/>
      <c r="U39" s="46">
        <f t="shared" si="5"/>
        <v>1</v>
      </c>
      <c r="V39" s="46">
        <f t="shared" si="6"/>
        <v>-1</v>
      </c>
      <c r="W39" s="30">
        <f t="shared" si="9"/>
        <v>35</v>
      </c>
    </row>
    <row r="40">
      <c r="A40" s="30">
        <f t="shared" si="7"/>
        <v>36</v>
      </c>
      <c r="B40" s="43" t="s">
        <v>122</v>
      </c>
      <c r="C40" s="31">
        <v>233.0</v>
      </c>
      <c r="D40" s="31">
        <v>17.0</v>
      </c>
      <c r="E40" s="36">
        <f t="shared" si="2"/>
        <v>13</v>
      </c>
      <c r="F40" s="73">
        <v>3.0</v>
      </c>
      <c r="G40" s="74">
        <v>0.0</v>
      </c>
      <c r="H40" s="75">
        <v>9.0</v>
      </c>
      <c r="I40" s="74">
        <v>0.0</v>
      </c>
      <c r="J40" s="74">
        <v>0.0</v>
      </c>
      <c r="K40" s="74">
        <v>0.0</v>
      </c>
      <c r="L40" s="76">
        <v>9.0</v>
      </c>
      <c r="M40" s="74">
        <v>0.0</v>
      </c>
      <c r="N40" s="31">
        <f t="shared" ref="N40:O40" si="42">C40+L40</f>
        <v>242</v>
      </c>
      <c r="O40" s="31">
        <f t="shared" si="42"/>
        <v>17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10</v>
      </c>
      <c r="V40" s="46">
        <f t="shared" si="6"/>
        <v>0</v>
      </c>
      <c r="W40" s="30">
        <f t="shared" si="9"/>
        <v>36</v>
      </c>
    </row>
    <row r="41">
      <c r="A41" s="30">
        <f t="shared" si="7"/>
        <v>37</v>
      </c>
      <c r="B41" s="28" t="s">
        <v>84</v>
      </c>
      <c r="C41" s="31">
        <v>230.0</v>
      </c>
      <c r="D41" s="31">
        <v>20.0</v>
      </c>
      <c r="E41" s="36">
        <f t="shared" si="2"/>
        <v>11.92857143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239</v>
      </c>
      <c r="O41" s="31">
        <f t="shared" si="43"/>
        <v>20</v>
      </c>
      <c r="P41" s="45" t="s">
        <v>58</v>
      </c>
      <c r="Q41" s="45" t="s">
        <v>58</v>
      </c>
      <c r="R41" s="45" t="s">
        <v>58</v>
      </c>
      <c r="S41" s="46">
        <f t="shared" si="4"/>
        <v>0</v>
      </c>
      <c r="T41" s="46"/>
      <c r="U41" s="46">
        <f t="shared" si="5"/>
        <v>7</v>
      </c>
      <c r="V41" s="46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48" t="s">
        <v>54</v>
      </c>
      <c r="C42" s="31">
        <v>230.0</v>
      </c>
      <c r="D42" s="31">
        <v>16.0</v>
      </c>
      <c r="E42" s="36">
        <f t="shared" si="2"/>
        <v>11.64285714</v>
      </c>
      <c r="F42" s="73">
        <v>1.0</v>
      </c>
      <c r="G42" s="74">
        <v>6.0</v>
      </c>
      <c r="H42" s="75">
        <v>0.0</v>
      </c>
      <c r="I42" s="74">
        <v>2.0</v>
      </c>
      <c r="J42" s="74">
        <v>7.0</v>
      </c>
      <c r="K42" s="74">
        <v>2.0</v>
      </c>
      <c r="L42" s="76">
        <v>11.0</v>
      </c>
      <c r="M42" s="74">
        <v>1.0</v>
      </c>
      <c r="N42" s="31">
        <f t="shared" ref="N42:O42" si="44">C42+L42</f>
        <v>241</v>
      </c>
      <c r="O42" s="31">
        <f t="shared" si="44"/>
        <v>17</v>
      </c>
      <c r="P42" s="45" t="s">
        <v>58</v>
      </c>
      <c r="Q42" s="45" t="s">
        <v>58</v>
      </c>
      <c r="R42" s="45" t="s">
        <v>58</v>
      </c>
      <c r="S42" s="46">
        <f t="shared" si="4"/>
        <v>1</v>
      </c>
      <c r="T42" s="46"/>
      <c r="U42" s="46">
        <f t="shared" si="5"/>
        <v>6</v>
      </c>
      <c r="V42" s="46">
        <f t="shared" si="6"/>
        <v>0</v>
      </c>
      <c r="W42" s="30">
        <f t="shared" si="9"/>
        <v>38</v>
      </c>
    </row>
    <row r="43">
      <c r="A43" s="30">
        <f t="shared" si="7"/>
        <v>39</v>
      </c>
      <c r="B43" s="43" t="s">
        <v>136</v>
      </c>
      <c r="C43" s="31">
        <v>229.0</v>
      </c>
      <c r="D43" s="31">
        <v>21.0</v>
      </c>
      <c r="E43" s="36">
        <f t="shared" si="2"/>
        <v>11.35294118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5">C43+L43</f>
        <v>238</v>
      </c>
      <c r="O43" s="31">
        <f t="shared" si="45"/>
        <v>21</v>
      </c>
      <c r="P43" s="45" t="s">
        <v>58</v>
      </c>
      <c r="Q43" s="45" t="s">
        <v>58</v>
      </c>
      <c r="R43" s="45" t="s">
        <v>58</v>
      </c>
      <c r="S43" s="46">
        <f t="shared" si="4"/>
        <v>0</v>
      </c>
      <c r="T43" s="46"/>
      <c r="U43" s="46">
        <f t="shared" si="5"/>
        <v>4</v>
      </c>
      <c r="V43" s="46">
        <f t="shared" si="6"/>
        <v>1</v>
      </c>
      <c r="W43" s="30">
        <f t="shared" si="9"/>
        <v>39</v>
      </c>
    </row>
    <row r="44">
      <c r="A44" s="30">
        <f t="shared" si="7"/>
        <v>40</v>
      </c>
      <c r="B44" s="48" t="s">
        <v>134</v>
      </c>
      <c r="C44" s="31">
        <v>228.0</v>
      </c>
      <c r="D44" s="31">
        <v>15.0</v>
      </c>
      <c r="E44" s="36">
        <f t="shared" si="2"/>
        <v>12.18181818</v>
      </c>
      <c r="F44" s="73">
        <v>1.0</v>
      </c>
      <c r="G44" s="74">
        <v>6.0</v>
      </c>
      <c r="H44" s="75">
        <v>0.0</v>
      </c>
      <c r="I44" s="74">
        <v>6.0</v>
      </c>
      <c r="J44" s="74">
        <v>7.0</v>
      </c>
      <c r="K44" s="74">
        <v>6.0</v>
      </c>
      <c r="L44" s="76">
        <v>19.0</v>
      </c>
      <c r="M44" s="74">
        <v>3.0</v>
      </c>
      <c r="N44" s="31">
        <f t="shared" ref="N44:O44" si="46">C44+L44</f>
        <v>247</v>
      </c>
      <c r="O44" s="31">
        <f t="shared" si="46"/>
        <v>18</v>
      </c>
      <c r="P44" s="45" t="s">
        <v>58</v>
      </c>
      <c r="Q44" s="45" t="s">
        <v>58</v>
      </c>
      <c r="R44" s="45" t="s">
        <v>58</v>
      </c>
      <c r="S44" s="46">
        <f t="shared" si="4"/>
        <v>1</v>
      </c>
      <c r="T44" s="46"/>
      <c r="U44" s="46">
        <f t="shared" si="5"/>
        <v>9</v>
      </c>
      <c r="V44" s="46">
        <f t="shared" si="6"/>
        <v>-1</v>
      </c>
      <c r="W44" s="30">
        <f t="shared" si="9"/>
        <v>40</v>
      </c>
    </row>
    <row r="45">
      <c r="A45" s="30">
        <f t="shared" si="7"/>
        <v>41</v>
      </c>
      <c r="B45" s="48" t="s">
        <v>125</v>
      </c>
      <c r="C45" s="31">
        <v>226.0</v>
      </c>
      <c r="D45" s="31">
        <v>16.0</v>
      </c>
      <c r="E45" s="36">
        <f t="shared" si="2"/>
        <v>10.85</v>
      </c>
      <c r="F45" s="73">
        <v>1.0</v>
      </c>
      <c r="G45" s="74">
        <v>7.0</v>
      </c>
      <c r="H45" s="75">
        <v>0.0</v>
      </c>
      <c r="I45" s="74">
        <v>6.0</v>
      </c>
      <c r="J45" s="74">
        <v>4.0</v>
      </c>
      <c r="K45" s="74">
        <v>4.0</v>
      </c>
      <c r="L45" s="76">
        <v>14.0</v>
      </c>
      <c r="M45" s="74">
        <v>1.0</v>
      </c>
      <c r="N45" s="31">
        <f t="shared" ref="N45:O45" si="47">C45+L45</f>
        <v>240</v>
      </c>
      <c r="O45" s="31">
        <f t="shared" si="47"/>
        <v>17</v>
      </c>
      <c r="P45" s="45" t="s">
        <v>58</v>
      </c>
      <c r="Q45" s="45" t="s">
        <v>58</v>
      </c>
      <c r="R45" s="45" t="s">
        <v>58</v>
      </c>
      <c r="S45" s="46">
        <f t="shared" si="4"/>
        <v>0</v>
      </c>
      <c r="T45" s="46"/>
      <c r="U45" s="46">
        <f t="shared" si="5"/>
        <v>1</v>
      </c>
      <c r="V45" s="46">
        <f t="shared" si="6"/>
        <v>0</v>
      </c>
      <c r="W45" s="30">
        <f t="shared" si="9"/>
        <v>41</v>
      </c>
    </row>
    <row r="46">
      <c r="A46" s="30">
        <f t="shared" si="7"/>
        <v>42</v>
      </c>
      <c r="B46" s="28" t="s">
        <v>89</v>
      </c>
      <c r="C46" s="31">
        <v>225.0</v>
      </c>
      <c r="D46" s="31">
        <v>14.0</v>
      </c>
      <c r="E46" s="36">
        <f t="shared" si="2"/>
        <v>12.11111111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234</v>
      </c>
      <c r="O46" s="31">
        <f t="shared" si="48"/>
        <v>14</v>
      </c>
      <c r="P46" s="45" t="s">
        <v>58</v>
      </c>
      <c r="Q46" s="45" t="s">
        <v>58</v>
      </c>
      <c r="R46" s="45" t="s">
        <v>58</v>
      </c>
      <c r="S46" s="46">
        <f t="shared" si="4"/>
        <v>2</v>
      </c>
      <c r="T46" s="46"/>
      <c r="U46" s="46">
        <f t="shared" si="5"/>
        <v>10</v>
      </c>
      <c r="V46" s="46">
        <f t="shared" si="6"/>
        <v>0</v>
      </c>
      <c r="W46" s="30">
        <f t="shared" si="9"/>
        <v>42</v>
      </c>
    </row>
    <row r="47">
      <c r="A47" s="30">
        <f t="shared" si="7"/>
        <v>43</v>
      </c>
      <c r="B47" s="48" t="s">
        <v>103</v>
      </c>
      <c r="C47" s="31">
        <v>224.0</v>
      </c>
      <c r="D47" s="31">
        <v>20.0</v>
      </c>
      <c r="E47" s="36">
        <f t="shared" si="2"/>
        <v>11.05882353</v>
      </c>
      <c r="F47" s="73">
        <v>1.0</v>
      </c>
      <c r="G47" s="74">
        <v>7.0</v>
      </c>
      <c r="H47" s="75">
        <v>0.0</v>
      </c>
      <c r="I47" s="74">
        <v>1.0</v>
      </c>
      <c r="J47" s="74">
        <v>4.0</v>
      </c>
      <c r="K47" s="74">
        <v>6.0</v>
      </c>
      <c r="L47" s="76">
        <v>11.0</v>
      </c>
      <c r="M47" s="74">
        <v>1.0</v>
      </c>
      <c r="N47" s="31">
        <f t="shared" ref="N47:O47" si="49">C47+L47</f>
        <v>235</v>
      </c>
      <c r="O47" s="31">
        <f t="shared" si="49"/>
        <v>21</v>
      </c>
      <c r="P47" s="45" t="s">
        <v>58</v>
      </c>
      <c r="Q47" s="45" t="s">
        <v>58</v>
      </c>
      <c r="R47" s="45" t="s">
        <v>58</v>
      </c>
      <c r="S47" s="46">
        <f t="shared" si="4"/>
        <v>0</v>
      </c>
      <c r="T47" s="46"/>
      <c r="U47" s="46">
        <f t="shared" si="5"/>
        <v>4</v>
      </c>
      <c r="V47" s="46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43" t="s">
        <v>62</v>
      </c>
      <c r="C48" s="31">
        <v>224.0</v>
      </c>
      <c r="D48" s="31">
        <v>14.0</v>
      </c>
      <c r="E48" s="36">
        <f t="shared" si="2"/>
        <v>13.375</v>
      </c>
      <c r="F48" s="73">
        <v>3.0</v>
      </c>
      <c r="G48" s="74">
        <v>0.0</v>
      </c>
      <c r="H48" s="75">
        <v>9.0</v>
      </c>
      <c r="I48" s="74">
        <v>0.0</v>
      </c>
      <c r="J48" s="74">
        <v>0.0</v>
      </c>
      <c r="K48" s="74">
        <v>0.0</v>
      </c>
      <c r="L48" s="76">
        <v>9.0</v>
      </c>
      <c r="M48" s="74">
        <v>0.0</v>
      </c>
      <c r="N48" s="31">
        <f t="shared" ref="N48:O48" si="50">C48+L48</f>
        <v>233</v>
      </c>
      <c r="O48" s="31">
        <f t="shared" si="50"/>
        <v>14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13</v>
      </c>
      <c r="V48" s="46">
        <f t="shared" si="6"/>
        <v>0</v>
      </c>
      <c r="W48" s="30">
        <f t="shared" si="9"/>
        <v>44</v>
      </c>
    </row>
    <row r="49">
      <c r="A49" s="30">
        <f t="shared" si="7"/>
        <v>45</v>
      </c>
      <c r="B49" s="48" t="s">
        <v>70</v>
      </c>
      <c r="C49" s="31">
        <v>223.0</v>
      </c>
      <c r="D49" s="31">
        <v>14.0</v>
      </c>
      <c r="E49" s="36">
        <f t="shared" si="2"/>
        <v>11.5</v>
      </c>
      <c r="F49" s="73">
        <v>2.0</v>
      </c>
      <c r="G49" s="74">
        <v>7.0</v>
      </c>
      <c r="H49" s="75">
        <v>0.0</v>
      </c>
      <c r="I49" s="74">
        <v>6.0</v>
      </c>
      <c r="J49" s="74">
        <v>6.0</v>
      </c>
      <c r="K49" s="74">
        <v>6.0</v>
      </c>
      <c r="L49" s="76">
        <v>18.0</v>
      </c>
      <c r="M49" s="74">
        <v>3.0</v>
      </c>
      <c r="N49" s="31">
        <f t="shared" ref="N49:O49" si="51">C49+L49</f>
        <v>241</v>
      </c>
      <c r="O49" s="31">
        <f t="shared" si="51"/>
        <v>17</v>
      </c>
      <c r="P49" s="45" t="s">
        <v>58</v>
      </c>
      <c r="Q49" s="45" t="s">
        <v>58</v>
      </c>
      <c r="R49" s="45" t="s">
        <v>58</v>
      </c>
      <c r="S49" s="46">
        <f t="shared" si="4"/>
        <v>1</v>
      </c>
      <c r="T49" s="46"/>
      <c r="U49" s="46">
        <f t="shared" si="5"/>
        <v>8</v>
      </c>
      <c r="V49" s="46">
        <f t="shared" si="6"/>
        <v>5</v>
      </c>
      <c r="W49" s="30">
        <f t="shared" si="9"/>
        <v>45</v>
      </c>
    </row>
    <row r="50">
      <c r="A50" s="30">
        <f t="shared" si="7"/>
        <v>46</v>
      </c>
      <c r="B50" s="28" t="s">
        <v>137</v>
      </c>
      <c r="C50" s="31">
        <v>223.0</v>
      </c>
      <c r="D50" s="31">
        <v>10.0</v>
      </c>
      <c r="E50" s="36">
        <f t="shared" si="2"/>
        <v>13.33333333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232</v>
      </c>
      <c r="O50" s="31">
        <f t="shared" si="52"/>
        <v>10</v>
      </c>
      <c r="P50" s="45" t="s">
        <v>58</v>
      </c>
      <c r="Q50" s="45" t="s">
        <v>58</v>
      </c>
      <c r="R50" s="45" t="s">
        <v>58</v>
      </c>
      <c r="S50" s="46">
        <f t="shared" si="4"/>
        <v>2</v>
      </c>
      <c r="T50" s="46"/>
      <c r="U50" s="46">
        <f t="shared" si="5"/>
        <v>13</v>
      </c>
      <c r="V50" s="46">
        <f t="shared" si="6"/>
        <v>-1</v>
      </c>
      <c r="W50" s="30">
        <f t="shared" si="9"/>
        <v>46</v>
      </c>
    </row>
    <row r="51">
      <c r="A51" s="30">
        <f t="shared" si="7"/>
        <v>47</v>
      </c>
      <c r="B51" s="43" t="s">
        <v>131</v>
      </c>
      <c r="C51" s="31">
        <v>222.0</v>
      </c>
      <c r="D51" s="31">
        <v>8.0</v>
      </c>
      <c r="E51" s="36">
        <f t="shared" si="2"/>
        <v>13.14285714</v>
      </c>
      <c r="F51" s="73">
        <v>2.0</v>
      </c>
      <c r="G51" s="74">
        <v>7.0</v>
      </c>
      <c r="H51" s="75">
        <v>0.0</v>
      </c>
      <c r="I51" s="74">
        <v>1.0</v>
      </c>
      <c r="J51" s="74">
        <v>6.0</v>
      </c>
      <c r="K51" s="74">
        <v>4.0</v>
      </c>
      <c r="L51" s="76">
        <v>11.0</v>
      </c>
      <c r="M51" s="74">
        <v>1.0</v>
      </c>
      <c r="N51" s="31">
        <f t="shared" ref="N51:O51" si="53">C51+L51</f>
        <v>233</v>
      </c>
      <c r="O51" s="31">
        <f t="shared" si="53"/>
        <v>9</v>
      </c>
      <c r="P51" s="45" t="s">
        <v>58</v>
      </c>
      <c r="Q51" s="45" t="s">
        <v>58</v>
      </c>
      <c r="R51" s="45" t="s">
        <v>58</v>
      </c>
      <c r="S51" s="46">
        <f t="shared" si="4"/>
        <v>1</v>
      </c>
      <c r="T51" s="46"/>
      <c r="U51" s="46">
        <f t="shared" si="5"/>
        <v>13</v>
      </c>
      <c r="V51" s="46">
        <f t="shared" si="6"/>
        <v>1</v>
      </c>
      <c r="W51" s="30">
        <f t="shared" si="9"/>
        <v>47</v>
      </c>
    </row>
    <row r="52">
      <c r="A52" s="30">
        <f t="shared" si="7"/>
        <v>48</v>
      </c>
      <c r="B52" s="28" t="s">
        <v>93</v>
      </c>
      <c r="C52" s="31">
        <v>221.0</v>
      </c>
      <c r="D52" s="31">
        <v>13.0</v>
      </c>
      <c r="E52" s="36">
        <f t="shared" si="2"/>
        <v>12.55555556</v>
      </c>
      <c r="F52" s="73">
        <v>2.0</v>
      </c>
      <c r="G52" s="74">
        <v>8.0</v>
      </c>
      <c r="H52" s="75">
        <v>0.0</v>
      </c>
      <c r="I52" s="74">
        <v>2.0</v>
      </c>
      <c r="J52" s="74">
        <v>6.0</v>
      </c>
      <c r="K52" s="74">
        <v>0.0</v>
      </c>
      <c r="L52" s="76">
        <v>8.0</v>
      </c>
      <c r="M52" s="74">
        <v>1.0</v>
      </c>
      <c r="N52" s="31">
        <f t="shared" ref="N52:O52" si="54">C52+L52</f>
        <v>229</v>
      </c>
      <c r="O52" s="31">
        <f t="shared" si="54"/>
        <v>14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12</v>
      </c>
      <c r="V52" s="46">
        <f t="shared" si="6"/>
        <v>-2</v>
      </c>
      <c r="W52" s="30">
        <f t="shared" si="9"/>
        <v>48</v>
      </c>
    </row>
    <row r="53">
      <c r="A53" s="30">
        <f t="shared" si="7"/>
        <v>49</v>
      </c>
      <c r="B53" s="28" t="s">
        <v>127</v>
      </c>
      <c r="C53" s="31">
        <v>221.0</v>
      </c>
      <c r="D53" s="31">
        <v>9.0</v>
      </c>
      <c r="E53" s="36">
        <f t="shared" si="2"/>
        <v>14.6</v>
      </c>
      <c r="F53" s="73">
        <v>2.0</v>
      </c>
      <c r="G53" s="74">
        <v>8.0</v>
      </c>
      <c r="H53" s="75">
        <v>0.0</v>
      </c>
      <c r="I53" s="74">
        <v>6.0</v>
      </c>
      <c r="J53" s="74">
        <v>6.0</v>
      </c>
      <c r="K53" s="74">
        <v>6.0</v>
      </c>
      <c r="L53" s="76">
        <v>18.0</v>
      </c>
      <c r="M53" s="74">
        <v>3.0</v>
      </c>
      <c r="N53" s="31">
        <f t="shared" ref="N53:O53" si="55">C53+L53</f>
        <v>239</v>
      </c>
      <c r="O53" s="31">
        <f t="shared" si="55"/>
        <v>12</v>
      </c>
      <c r="P53" s="45" t="s">
        <v>58</v>
      </c>
      <c r="Q53" s="45" t="s">
        <v>58</v>
      </c>
      <c r="R53" s="45" t="s">
        <v>58</v>
      </c>
      <c r="S53" s="46">
        <f t="shared" si="4"/>
        <v>1</v>
      </c>
      <c r="T53" s="46"/>
      <c r="U53" s="46">
        <f t="shared" si="5"/>
        <v>15</v>
      </c>
      <c r="V53" s="46">
        <f t="shared" si="6"/>
        <v>-2</v>
      </c>
      <c r="W53" s="30">
        <f t="shared" si="9"/>
        <v>49</v>
      </c>
    </row>
    <row r="54">
      <c r="A54" s="30">
        <f t="shared" si="7"/>
        <v>50</v>
      </c>
      <c r="B54" s="43" t="s">
        <v>138</v>
      </c>
      <c r="C54" s="47">
        <v>216.0</v>
      </c>
      <c r="D54" s="31">
        <v>18.0</v>
      </c>
      <c r="E54" s="36">
        <f t="shared" si="2"/>
        <v>11.25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47">
        <f t="shared" ref="N54:O54" si="56">C54+L54</f>
        <v>225</v>
      </c>
      <c r="O54" s="31">
        <f t="shared" si="56"/>
        <v>18</v>
      </c>
      <c r="P54" s="45" t="s">
        <v>58</v>
      </c>
      <c r="Q54" s="45" t="s">
        <v>58</v>
      </c>
      <c r="R54" s="45" t="s">
        <v>58</v>
      </c>
      <c r="S54" s="46">
        <f t="shared" si="4"/>
        <v>0</v>
      </c>
      <c r="T54" s="46"/>
      <c r="U54" s="46">
        <f t="shared" si="5"/>
        <v>9</v>
      </c>
      <c r="V54" s="46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43" t="s">
        <v>96</v>
      </c>
      <c r="C55" s="31">
        <v>215.0</v>
      </c>
      <c r="D55" s="31">
        <v>9.0</v>
      </c>
      <c r="E55" s="36">
        <f t="shared" si="2"/>
        <v>10.63636364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7">C55+L55</f>
        <v>224</v>
      </c>
      <c r="O55" s="31">
        <f t="shared" si="57"/>
        <v>9</v>
      </c>
      <c r="P55" s="45" t="s">
        <v>58</v>
      </c>
      <c r="Q55" s="45" t="s">
        <v>58</v>
      </c>
      <c r="R55" s="45"/>
      <c r="S55" s="46">
        <f t="shared" si="4"/>
        <v>2</v>
      </c>
      <c r="T55" s="46"/>
      <c r="U55" s="46">
        <f t="shared" si="5"/>
        <v>8</v>
      </c>
      <c r="V55" s="46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43" t="s">
        <v>140</v>
      </c>
      <c r="C56" s="31">
        <v>211.0</v>
      </c>
      <c r="D56" s="31">
        <v>11.0</v>
      </c>
      <c r="E56" s="36">
        <f t="shared" si="2"/>
        <v>11.25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220</v>
      </c>
      <c r="O56" s="31">
        <f t="shared" si="58"/>
        <v>11</v>
      </c>
      <c r="P56" s="45" t="s">
        <v>58</v>
      </c>
      <c r="Q56" s="45" t="s">
        <v>58</v>
      </c>
      <c r="R56" s="45" t="s">
        <v>58</v>
      </c>
      <c r="S56" s="46">
        <f t="shared" si="4"/>
        <v>1</v>
      </c>
      <c r="T56" s="46"/>
      <c r="U56" s="46">
        <f t="shared" si="5"/>
        <v>12</v>
      </c>
      <c r="V56" s="46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28" t="s">
        <v>102</v>
      </c>
      <c r="C57" s="31">
        <v>211.0</v>
      </c>
      <c r="D57" s="31">
        <v>9.0</v>
      </c>
      <c r="E57" s="36">
        <f t="shared" si="2"/>
        <v>15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220</v>
      </c>
      <c r="O57" s="31">
        <f t="shared" si="59"/>
        <v>9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17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139</v>
      </c>
      <c r="C58" s="31">
        <v>208.0</v>
      </c>
      <c r="D58" s="31">
        <v>7.0</v>
      </c>
      <c r="E58" s="36">
        <f t="shared" si="2"/>
        <v>12.75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217</v>
      </c>
      <c r="O58" s="31">
        <f t="shared" si="60"/>
        <v>7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16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199.0</v>
      </c>
      <c r="D59" s="31">
        <v>14.0</v>
      </c>
      <c r="E59" s="36">
        <f t="shared" si="2"/>
        <v>9.714285714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208</v>
      </c>
      <c r="O59" s="31">
        <f t="shared" si="61"/>
        <v>14</v>
      </c>
      <c r="P59" s="45" t="s">
        <v>58</v>
      </c>
      <c r="Q59" s="45" t="s">
        <v>58</v>
      </c>
      <c r="R59" s="45" t="s">
        <v>58</v>
      </c>
      <c r="S59" s="46">
        <f t="shared" si="4"/>
        <v>0</v>
      </c>
      <c r="T59" s="46"/>
      <c r="U59" s="46">
        <f t="shared" si="5"/>
        <v>7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196.0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205</v>
      </c>
      <c r="O60" s="31">
        <f t="shared" si="62"/>
        <v>4</v>
      </c>
      <c r="P60" s="45" t="s">
        <v>58</v>
      </c>
      <c r="Q60" s="45" t="s">
        <v>58</v>
      </c>
      <c r="R60" s="45" t="s">
        <v>58</v>
      </c>
      <c r="S60" s="46">
        <f t="shared" si="4"/>
        <v>0</v>
      </c>
      <c r="T60" s="46"/>
      <c r="U60" s="46">
        <f t="shared" si="5"/>
        <v>15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193.0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202</v>
      </c>
      <c r="O61" s="31">
        <f t="shared" si="63"/>
        <v>5</v>
      </c>
      <c r="P61" s="45" t="s">
        <v>58</v>
      </c>
      <c r="Q61" s="45" t="s">
        <v>58</v>
      </c>
      <c r="R61" s="45" t="s">
        <v>58</v>
      </c>
      <c r="S61" s="46">
        <f t="shared" si="4"/>
        <v>1</v>
      </c>
      <c r="T61" s="46"/>
      <c r="U61" s="46">
        <f t="shared" si="5"/>
        <v>17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190.0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199</v>
      </c>
      <c r="O62" s="31">
        <f t="shared" si="64"/>
        <v>8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14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188.0</v>
      </c>
      <c r="D63" s="31">
        <v>5.0</v>
      </c>
      <c r="E63" s="36">
        <f t="shared" si="2"/>
        <v>8.8</v>
      </c>
      <c r="F63" s="73">
        <v>1.0</v>
      </c>
      <c r="G63" s="74">
        <v>8.0</v>
      </c>
      <c r="H63" s="75">
        <v>0.0</v>
      </c>
      <c r="I63" s="74">
        <v>6.0</v>
      </c>
      <c r="J63" s="74">
        <v>0.0</v>
      </c>
      <c r="K63" s="74">
        <v>0.0</v>
      </c>
      <c r="L63" s="76">
        <v>6.0</v>
      </c>
      <c r="M63" s="74">
        <v>1.0</v>
      </c>
      <c r="N63" s="47">
        <f t="shared" ref="N63:O63" si="65">C63+L63</f>
        <v>194</v>
      </c>
      <c r="O63" s="31">
        <f t="shared" si="65"/>
        <v>6</v>
      </c>
      <c r="P63" s="45" t="s">
        <v>58</v>
      </c>
      <c r="Q63" s="45" t="s">
        <v>58</v>
      </c>
      <c r="R63" s="45" t="s">
        <v>58</v>
      </c>
      <c r="S63" s="46">
        <f t="shared" si="4"/>
        <v>0</v>
      </c>
      <c r="T63" s="46"/>
      <c r="U63" s="46">
        <f t="shared" si="5"/>
        <v>16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184.0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193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20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184.0</v>
      </c>
      <c r="D65" s="31">
        <v>0.0</v>
      </c>
      <c r="E65" s="36">
        <f t="shared" si="2"/>
        <v>0</v>
      </c>
      <c r="F65" s="73">
        <v>1.0</v>
      </c>
      <c r="G65" s="74">
        <v>8.0</v>
      </c>
      <c r="H65" s="75">
        <v>0.0</v>
      </c>
      <c r="I65" s="74">
        <v>2.0</v>
      </c>
      <c r="J65" s="74">
        <v>0.0</v>
      </c>
      <c r="K65" s="74">
        <v>6.0</v>
      </c>
      <c r="L65" s="76">
        <v>8.0</v>
      </c>
      <c r="M65" s="74">
        <v>1.0</v>
      </c>
      <c r="N65" s="31">
        <f t="shared" ref="N65:O65" si="67">C65+L65</f>
        <v>192</v>
      </c>
      <c r="O65" s="31">
        <f t="shared" si="67"/>
        <v>1</v>
      </c>
      <c r="P65" s="45" t="s">
        <v>58</v>
      </c>
      <c r="Q65" s="45" t="s">
        <v>58</v>
      </c>
      <c r="R65" s="45" t="s">
        <v>58</v>
      </c>
      <c r="S65" s="46">
        <f t="shared" si="4"/>
        <v>1</v>
      </c>
      <c r="T65" s="46"/>
      <c r="U65" s="46">
        <f t="shared" si="5"/>
        <v>19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135</v>
      </c>
      <c r="C66" s="31">
        <v>180.0</v>
      </c>
      <c r="D66" s="31">
        <v>4.0</v>
      </c>
      <c r="E66" s="36">
        <f t="shared" si="2"/>
        <v>7.714285714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189</v>
      </c>
      <c r="O66" s="31">
        <f t="shared" si="68"/>
        <v>4</v>
      </c>
      <c r="P66" s="45" t="s">
        <v>58</v>
      </c>
      <c r="Q66" s="45" t="s">
        <v>58</v>
      </c>
      <c r="R66" s="45" t="s">
        <v>58</v>
      </c>
      <c r="S66" s="46">
        <f t="shared" si="4"/>
        <v>0</v>
      </c>
      <c r="T66" s="46"/>
      <c r="U66" s="46">
        <f t="shared" si="5"/>
        <v>14</v>
      </c>
      <c r="V66" s="46">
        <f t="shared" si="6"/>
        <v>2</v>
      </c>
      <c r="W66" s="30">
        <f t="shared" si="9"/>
        <v>62</v>
      </c>
    </row>
    <row r="67">
      <c r="A67" s="30">
        <f t="shared" si="7"/>
        <v>63</v>
      </c>
      <c r="B67" s="43" t="s">
        <v>76</v>
      </c>
      <c r="C67" s="31">
        <v>180.0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189</v>
      </c>
      <c r="O67" s="31">
        <f t="shared" si="69"/>
        <v>0</v>
      </c>
      <c r="P67" s="45" t="s">
        <v>58</v>
      </c>
      <c r="Q67" s="45" t="s">
        <v>58</v>
      </c>
      <c r="R67" s="45" t="s">
        <v>58</v>
      </c>
      <c r="S67" s="46">
        <f t="shared" si="4"/>
        <v>0</v>
      </c>
      <c r="T67" s="46"/>
      <c r="U67" s="46">
        <f t="shared" si="5"/>
        <v>21</v>
      </c>
      <c r="V67" s="46">
        <f t="shared" si="6"/>
        <v>-1</v>
      </c>
      <c r="W67" s="30">
        <f t="shared" si="9"/>
        <v>63</v>
      </c>
    </row>
    <row r="68">
      <c r="A68" s="30">
        <f t="shared" si="7"/>
        <v>64</v>
      </c>
      <c r="B68" s="43" t="s">
        <v>126</v>
      </c>
      <c r="C68" s="31">
        <v>180.0</v>
      </c>
      <c r="D68" s="31">
        <v>0.0</v>
      </c>
      <c r="E68" s="36">
        <f t="shared" si="2"/>
        <v>0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189</v>
      </c>
      <c r="O68" s="31">
        <f t="shared" si="70"/>
        <v>0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21</v>
      </c>
      <c r="V68" s="46">
        <f t="shared" si="6"/>
        <v>-1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165.0</v>
      </c>
      <c r="D69" s="31">
        <v>3.0</v>
      </c>
      <c r="E69" s="36">
        <f t="shared" si="2"/>
        <v>6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174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13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48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desc"",0)"),"Ramesh Bandaru")</f>
        <v>Ramesh Bandaru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IFERROR(__xludf.DUMMYFUNCTION("""COMPUTED_VALUE"""),6.0)</f>
        <v>6</v>
      </c>
      <c r="F76" s="1"/>
      <c r="L76" s="77"/>
      <c r="M76" s="78"/>
      <c r="P76" s="79" t="s">
        <v>151</v>
      </c>
      <c r="Q76" s="24"/>
      <c r="R76" s="18">
        <f>countif(R5:R69,"")</f>
        <v>16</v>
      </c>
    </row>
    <row r="77">
      <c r="A77" s="1"/>
      <c r="B77" s="43" t="str">
        <f>IFERROR(__xludf.DUMMYFUNCTION("""COMPUTED_VALUE"""),"Ethan Gu")</f>
        <v>Ethan Gu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IFERROR(__xludf.DUMMYFUNCTION("""COMPUTED_VALUE"""),"Basudev Thoppai Vidyasankar")</f>
        <v>Basudev Thoppai Vidyasankar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IFERROR(__xludf.DUMMYFUNCTION("""COMPUTED_VALUE"""),2.0)</f>
        <v>2</v>
      </c>
      <c r="F78" s="1"/>
    </row>
    <row r="79">
      <c r="A79" s="1"/>
      <c r="B79" s="43" t="str">
        <f>IFERROR(__xludf.DUMMYFUNCTION("""COMPUTED_VALUE"""),"Andrew Wen")</f>
        <v>Andrew Wen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IFERROR(__xludf.DUMMYFUNCTION("""COMPUTED_VALUE"""),7.0)</f>
        <v>7</v>
      </c>
      <c r="F79" s="1"/>
    </row>
    <row r="80">
      <c r="A80" s="1"/>
      <c r="B80" s="43" t="str">
        <f>IFERROR(__xludf.DUMMYFUNCTION("""COMPUTED_VALUE"""),"Matthew Huang")</f>
        <v>Matthew Huang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IFERROR(__xludf.DUMMYFUNCTION("""COMPUTED_VALUE"""),8.0)</f>
        <v>8</v>
      </c>
      <c r="F80" s="1"/>
      <c r="L80" s="33"/>
    </row>
    <row r="81">
      <c r="A81" s="1"/>
      <c r="B81" s="43" t="str">
        <f>IFERROR(__xludf.DUMMYFUNCTION("""COMPUTED_VALUE"""),"Scott Li")</f>
        <v>Scott Li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IFERROR(__xludf.DUMMYFUNCTION("""COMPUTED_VALUE"""),3.0)</f>
        <v>3</v>
      </c>
      <c r="F81" s="1"/>
      <c r="L81" s="33"/>
    </row>
    <row r="82">
      <c r="A82" s="1"/>
      <c r="B82" s="43" t="str">
        <f>IFERROR(__xludf.DUMMYFUNCTION("""COMPUTED_VALUE"""),"Lloyd Sagar")</f>
        <v>Lloyd Sagar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IFERROR(__xludf.DUMMYFUNCTION("""COMPUTED_VALUE"""),3.0)</f>
        <v>3</v>
      </c>
      <c r="F82" s="1"/>
      <c r="L82" s="33"/>
    </row>
    <row r="83">
      <c r="A83" s="1"/>
      <c r="B83" s="43" t="str">
        <f>IFERROR(__xludf.DUMMYFUNCTION("""COMPUTED_VALUE"""),"Tom Le")</f>
        <v>Tom Le</v>
      </c>
      <c r="C83" s="84">
        <f>IFERROR(__xludf.DUMMYFUNCTION("""COMPUTED_VALUE"""),18.0)</f>
        <v>18</v>
      </c>
      <c r="D83" s="84">
        <f>IFERROR(__xludf.DUMMYFUNCTION("""COMPUTED_VALUE"""),2.0)</f>
        <v>2</v>
      </c>
      <c r="E83" s="84">
        <f>IFERROR(__xludf.DUMMYFUNCTION("""COMPUTED_VALUE"""),3.0)</f>
        <v>3</v>
      </c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10"")"),"Oscar Bonilla")</f>
        <v>Oscar Bonilla</v>
      </c>
      <c r="C90" s="84">
        <f>IFERROR(__xludf.DUMMYFUNCTION("""COMPUTED_VALUE"""),8.0)</f>
        <v>8</v>
      </c>
      <c r="D90" s="84">
        <f t="shared" ref="D90:D99" si="72">VLOOKUP(B90,indirect($AB$2&amp;"!B$5:w$70"),22, false)</f>
        <v>19</v>
      </c>
      <c r="E90" s="84">
        <f t="shared" ref="E90:E99" si="73">VLOOKUP(B90,B$5:W$69,22, false)</f>
        <v>11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3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IFERROR(__xludf.DUMMYFUNCTION("""COMPUTED_VALUE"""),"Herman Au")</f>
        <v>Herman Au</v>
      </c>
      <c r="C91" s="84">
        <f>IFERROR(__xludf.DUMMYFUNCTION("""COMPUTED_VALUE"""),7.0)</f>
        <v>7</v>
      </c>
      <c r="D91" s="84">
        <f t="shared" si="72"/>
        <v>31</v>
      </c>
      <c r="E91" s="84">
        <f t="shared" si="73"/>
        <v>24</v>
      </c>
      <c r="F91" s="84">
        <f t="shared" si="74"/>
        <v>18</v>
      </c>
      <c r="G91" s="84">
        <f t="shared" si="75"/>
        <v>5</v>
      </c>
      <c r="L91" s="84" t="str">
        <f t="shared" si="76"/>
        <v>ok</v>
      </c>
    </row>
    <row r="92">
      <c r="A92" s="1"/>
      <c r="B92" s="43" t="str">
        <f>IFERROR(__xludf.DUMMYFUNCTION("""COMPUTED_VALUE"""),"Alex Hou")</f>
        <v>Alex Hou</v>
      </c>
      <c r="C92" s="84">
        <f>IFERROR(__xludf.DUMMYFUNCTION("""COMPUTED_VALUE"""),7.0)</f>
        <v>7</v>
      </c>
      <c r="D92" s="84">
        <f t="shared" si="72"/>
        <v>35</v>
      </c>
      <c r="E92" s="84">
        <f t="shared" si="73"/>
        <v>28</v>
      </c>
      <c r="F92" s="84">
        <f t="shared" si="74"/>
        <v>18</v>
      </c>
      <c r="G92" s="84">
        <f t="shared" si="75"/>
        <v>6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IFERROR(__xludf.DUMMYFUNCTION("""COMPUTED_VALUE"""),"Pavan Akkimsetty")</f>
        <v>Pavan Akkimsetty</v>
      </c>
      <c r="C93" s="84">
        <f>IFERROR(__xludf.DUMMYFUNCTION("""COMPUTED_VALUE"""),6.0)</f>
        <v>6</v>
      </c>
      <c r="D93" s="84">
        <f t="shared" si="72"/>
        <v>9</v>
      </c>
      <c r="E93" s="84">
        <f t="shared" si="73"/>
        <v>3</v>
      </c>
      <c r="F93" s="84">
        <f t="shared" si="74"/>
        <v>19</v>
      </c>
      <c r="G93" s="84">
        <f t="shared" si="75"/>
        <v>2</v>
      </c>
      <c r="L93" s="84" t="str">
        <f t="shared" si="76"/>
        <v>ok</v>
      </c>
    </row>
    <row r="94">
      <c r="A94" s="1"/>
      <c r="B94" s="43" t="str">
        <f>IFERROR(__xludf.DUMMYFUNCTION("""COMPUTED_VALUE"""),"Ethan Gu")</f>
        <v>Ethan Gu</v>
      </c>
      <c r="C94" s="84">
        <f>IFERROR(__xludf.DUMMYFUNCTION("""COMPUTED_VALUE"""),6.0)</f>
        <v>6</v>
      </c>
      <c r="D94" s="84">
        <f t="shared" si="72"/>
        <v>11</v>
      </c>
      <c r="E94" s="84">
        <f t="shared" si="73"/>
        <v>5</v>
      </c>
      <c r="F94" s="84">
        <f t="shared" si="74"/>
        <v>15</v>
      </c>
      <c r="G94" s="84">
        <f t="shared" si="75"/>
        <v>2</v>
      </c>
      <c r="L94" s="84" t="str">
        <f t="shared" si="76"/>
        <v>ok</v>
      </c>
    </row>
    <row r="95">
      <c r="A95" s="1"/>
      <c r="B95" s="43" t="str">
        <f>IFERROR(__xludf.DUMMYFUNCTION("""COMPUTED_VALUE"""),"Wayne Liu")</f>
        <v>Wayne Liu</v>
      </c>
      <c r="C95" s="84">
        <f>IFERROR(__xludf.DUMMYFUNCTION("""COMPUTED_VALUE"""),5.0)</f>
        <v>5</v>
      </c>
      <c r="D95" s="84">
        <f t="shared" si="72"/>
        <v>32</v>
      </c>
      <c r="E95" s="84">
        <f t="shared" si="73"/>
        <v>27</v>
      </c>
      <c r="F95" s="84">
        <f t="shared" si="74"/>
        <v>16</v>
      </c>
      <c r="G95" s="84">
        <f t="shared" si="75"/>
        <v>5</v>
      </c>
      <c r="L95" s="84" t="str">
        <f t="shared" si="76"/>
        <v>ok</v>
      </c>
    </row>
    <row r="96">
      <c r="A96" s="1"/>
      <c r="B96" s="43" t="str">
        <f>IFERROR(__xludf.DUMMYFUNCTION("""COMPUTED_VALUE"""),"Andrew Wen")</f>
        <v>Andrew Wen</v>
      </c>
      <c r="C96" s="84">
        <f>IFERROR(__xludf.DUMMYFUNCTION("""COMPUTED_VALUE"""),5.0)</f>
        <v>5</v>
      </c>
      <c r="D96" s="84">
        <f t="shared" si="72"/>
        <v>50</v>
      </c>
      <c r="E96" s="84">
        <f t="shared" si="73"/>
        <v>45</v>
      </c>
      <c r="F96" s="84">
        <f t="shared" si="74"/>
        <v>18</v>
      </c>
      <c r="G96" s="84">
        <f t="shared" si="75"/>
        <v>7</v>
      </c>
      <c r="L96" s="84" t="str">
        <f t="shared" si="76"/>
        <v>ok</v>
      </c>
    </row>
    <row r="97">
      <c r="A97" s="1"/>
      <c r="B97" s="43" t="str">
        <f>IFERROR(__xludf.DUMMYFUNCTION("""COMPUTED_VALUE"""),"Susanta Mishra")</f>
        <v>Susanta Mishra</v>
      </c>
      <c r="C97" s="84">
        <f>IFERROR(__xludf.DUMMYFUNCTION("""COMPUTED_VALUE"""),4.0)</f>
        <v>4</v>
      </c>
      <c r="D97" s="84">
        <f t="shared" si="72"/>
        <v>24</v>
      </c>
      <c r="E97" s="84">
        <f t="shared" si="73"/>
        <v>20</v>
      </c>
      <c r="F97" s="84">
        <f t="shared" si="74"/>
        <v>19</v>
      </c>
      <c r="G97" s="84">
        <f t="shared" si="75"/>
        <v>4</v>
      </c>
      <c r="L97" s="84" t="str">
        <f t="shared" si="76"/>
        <v>ok</v>
      </c>
    </row>
    <row r="98">
      <c r="A98" s="1"/>
      <c r="B98" s="43" t="str">
        <f>IFERROR(__xludf.DUMMYFUNCTION("""COMPUTED_VALUE"""),"Sean Chang")</f>
        <v>Sean Chang</v>
      </c>
      <c r="C98" s="84">
        <f>IFERROR(__xludf.DUMMYFUNCTION("""COMPUTED_VALUE"""),2.0)</f>
        <v>2</v>
      </c>
      <c r="D98" s="84">
        <f t="shared" si="72"/>
        <v>27</v>
      </c>
      <c r="E98" s="84">
        <f t="shared" si="73"/>
        <v>25</v>
      </c>
      <c r="F98" s="84">
        <f t="shared" si="74"/>
        <v>14</v>
      </c>
      <c r="G98" s="84">
        <f t="shared" si="75"/>
        <v>5</v>
      </c>
      <c r="L98" s="84" t="str">
        <f t="shared" si="76"/>
        <v>ok</v>
      </c>
    </row>
    <row r="99">
      <c r="A99" s="1"/>
      <c r="B99" s="43" t="str">
        <f>IFERROR(__xludf.DUMMYFUNCTION("""COMPUTED_VALUE"""),"Rajesh Dorairaj")</f>
        <v>Rajesh Dorairaj</v>
      </c>
      <c r="C99" s="84">
        <f>IFERROR(__xludf.DUMMYFUNCTION("""COMPUTED_VALUE"""),2.0)</f>
        <v>2</v>
      </c>
      <c r="D99" s="84">
        <f t="shared" si="72"/>
        <v>64</v>
      </c>
      <c r="E99" s="84">
        <f t="shared" si="73"/>
        <v>62</v>
      </c>
      <c r="F99" s="84">
        <f t="shared" si="74"/>
        <v>12</v>
      </c>
      <c r="G99" s="84">
        <f t="shared" si="75"/>
        <v>7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10"")"),"Adrian Tay")</f>
        <v>Adrian Tay</v>
      </c>
      <c r="C103" s="84">
        <f>IFERROR(__xludf.DUMMYFUNCTION("""COMPUTED_VALUE"""),-7.0)</f>
        <v>-7</v>
      </c>
      <c r="D103" s="84">
        <f t="shared" ref="D103:D112" si="77">VLOOKUP(B103,indirect($AB$2&amp;"!B$5:w$70"),22, false)</f>
        <v>22</v>
      </c>
      <c r="E103" s="84">
        <f t="shared" ref="E103:E112" si="78">VLOOKUP(B103,B$5:W$69,22, false)</f>
        <v>29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0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IFERROR(__xludf.DUMMYFUNCTION("""COMPUTED_VALUE"""),"Hongyuan Wen")</f>
        <v>Hongyuan Wen</v>
      </c>
      <c r="C104" s="84">
        <f>IFERROR(__xludf.DUMMYFUNCTION("""COMPUTED_VALUE"""),-5.0)</f>
        <v>-5</v>
      </c>
      <c r="D104" s="84">
        <f t="shared" si="77"/>
        <v>25</v>
      </c>
      <c r="E104" s="84">
        <f t="shared" si="78"/>
        <v>30</v>
      </c>
      <c r="F104" s="84">
        <f t="shared" si="79"/>
        <v>10</v>
      </c>
      <c r="G104" s="84">
        <f t="shared" si="80"/>
        <v>4</v>
      </c>
      <c r="L104" s="84" t="str">
        <f t="shared" si="81"/>
        <v>ok</v>
      </c>
    </row>
    <row r="105">
      <c r="A105" s="1"/>
      <c r="B105" s="43" t="str">
        <f>IFERROR(__xludf.DUMMYFUNCTION("""COMPUTED_VALUE"""),"James Phan")</f>
        <v>James Phan</v>
      </c>
      <c r="C105" s="84">
        <f>IFERROR(__xludf.DUMMYFUNCTION("""COMPUTED_VALUE"""),-4.0)</f>
        <v>-4</v>
      </c>
      <c r="D105" s="84">
        <f t="shared" si="77"/>
        <v>4</v>
      </c>
      <c r="E105" s="84">
        <f t="shared" si="78"/>
        <v>8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IFERROR(__xludf.DUMMYFUNCTION("""COMPUTED_VALUE"""),"Cid Macaraeg")</f>
        <v>Cid Macaraeg</v>
      </c>
      <c r="C106" s="84">
        <f>IFERROR(__xludf.DUMMYFUNCTION("""COMPUTED_VALUE"""),-4.0)</f>
        <v>-4</v>
      </c>
      <c r="D106" s="84">
        <f t="shared" si="77"/>
        <v>5</v>
      </c>
      <c r="E106" s="84">
        <f t="shared" si="78"/>
        <v>9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IFERROR(__xludf.DUMMYFUNCTION("""COMPUTED_VALUE"""),"Robert Chang")</f>
        <v>Robert Chang</v>
      </c>
      <c r="C107" s="84">
        <f>IFERROR(__xludf.DUMMYFUNCTION("""COMPUTED_VALUE"""),-4.0)</f>
        <v>-4</v>
      </c>
      <c r="D107" s="84">
        <f t="shared" si="77"/>
        <v>6</v>
      </c>
      <c r="E107" s="84">
        <f t="shared" si="78"/>
        <v>10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IFERROR(__xludf.DUMMYFUNCTION("""COMPUTED_VALUE"""),"Alejandro Mejia")</f>
        <v>Alejandro Mejia</v>
      </c>
      <c r="C108" s="84">
        <f>IFERROR(__xludf.DUMMYFUNCTION("""COMPUTED_VALUE"""),-4.0)</f>
        <v>-4</v>
      </c>
      <c r="D108" s="84">
        <f t="shared" si="77"/>
        <v>15</v>
      </c>
      <c r="E108" s="84">
        <f t="shared" si="78"/>
        <v>19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IFERROR(__xludf.DUMMYFUNCTION("""COMPUTED_VALUE"""),"Troy Wong")</f>
        <v>Troy Wong</v>
      </c>
      <c r="C109" s="84">
        <f>IFERROR(__xludf.DUMMYFUNCTION("""COMPUTED_VALUE"""),-3.0)</f>
        <v>-3</v>
      </c>
      <c r="D109" s="84">
        <f t="shared" si="77"/>
        <v>10</v>
      </c>
      <c r="E109" s="84">
        <f t="shared" si="78"/>
        <v>13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IFERROR(__xludf.DUMMYFUNCTION("""COMPUTED_VALUE"""),"Lam Bui")</f>
        <v>Lam Bui</v>
      </c>
      <c r="C110" s="84">
        <f>IFERROR(__xludf.DUMMYFUNCTION("""COMPUTED_VALUE"""),-3.0)</f>
        <v>-3</v>
      </c>
      <c r="D110" s="84">
        <f t="shared" si="77"/>
        <v>14</v>
      </c>
      <c r="E110" s="84">
        <f t="shared" si="78"/>
        <v>17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IFERROR(__xludf.DUMMYFUNCTION("""COMPUTED_VALUE"""),"Jimmy Awolesi")</f>
        <v>Jimmy Awolesi</v>
      </c>
      <c r="C111" s="84">
        <f>IFERROR(__xludf.DUMMYFUNCTION("""COMPUTED_VALUE"""),-3.0)</f>
        <v>-3</v>
      </c>
      <c r="D111" s="84">
        <f t="shared" si="77"/>
        <v>28</v>
      </c>
      <c r="E111" s="84">
        <f t="shared" si="78"/>
        <v>31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IFERROR(__xludf.DUMMYFUNCTION("""COMPUTED_VALUE"""),"Elayaraja Thangaraj ")</f>
        <v>Elayaraja Thangaraj </v>
      </c>
      <c r="C112" s="84">
        <f>IFERROR(__xludf.DUMMYFUNCTION("""COMPUTED_VALUE"""),-3.0)</f>
        <v>-3</v>
      </c>
      <c r="D112" s="84">
        <f t="shared" si="77"/>
        <v>29</v>
      </c>
      <c r="E112" s="84">
        <f t="shared" si="78"/>
        <v>32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asc"")"),"Alex Hou")</f>
        <v>Alex Hou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 t="s">
        <v>166</v>
      </c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IFERROR(__xludf.DUMMYFUNCTION("""COMPUTED_VALUE"""),"Allen Zhang")</f>
        <v>Allen Zhang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 t="str">
        <f>IFERROR(__xludf.DUMMYFUNCTION("""COMPUTED_VALUE"""),"Andrew Wen")</f>
        <v>Andrew Wen</v>
      </c>
      <c r="C122" s="95" t="str">
        <f>IFERROR(__xludf.DUMMYFUNCTION("""COMPUTED_VALUE"""),"Barathi Sundaram")</f>
        <v>Barathi Sundaram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 t="str">
        <f>IFERROR(__xludf.DUMMYFUNCTION("""COMPUTED_VALUE"""),"Balaji Alahari")</f>
        <v>Balaji Alahari</v>
      </c>
      <c r="C123" s="95" t="str">
        <f>IFERROR(__xludf.DUMMYFUNCTION("""COMPUTED_VALUE"""),"Cid Macaraeg")</f>
        <v>Cid Macaraeg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 t="str">
        <f>IFERROR(__xludf.DUMMYFUNCTION("""COMPUTED_VALUE"""),"Basudev Thoppai Vidyasankar")</f>
        <v>Basudev Thoppai Vidyasankar</v>
      </c>
      <c r="C124" s="95" t="str">
        <f>IFERROR(__xludf.DUMMYFUNCTION("""COMPUTED_VALUE"""),"Coco Yan")</f>
        <v>Coco Yan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 t="str">
        <f>IFERROR(__xludf.DUMMYFUNCTION("""COMPUTED_VALUE"""),"Chinna Ponnaganti")</f>
        <v>Chinna Ponnaganti</v>
      </c>
      <c r="C125" s="95" t="str">
        <f>IFERROR(__xludf.DUMMYFUNCTION("""COMPUTED_VALUE"""),"Elayaraja Thangaraj ")</f>
        <v>Elayaraja Thangaraj 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 t="str">
        <f>IFERROR(__xludf.DUMMYFUNCTION("""COMPUTED_VALUE"""),"David Shin")</f>
        <v>David Shin</v>
      </c>
      <c r="C126" s="95" t="str">
        <f>IFERROR(__xludf.DUMMYFUNCTION("""COMPUTED_VALUE"""),"Eric Pan")</f>
        <v>Eric Pan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 t="str">
        <f>IFERROR(__xludf.DUMMYFUNCTION("""COMPUTED_VALUE"""),"Eric Tan")</f>
        <v>Eric Tan</v>
      </c>
      <c r="C127" s="95" t="str">
        <f>IFERROR(__xludf.DUMMYFUNCTION("""COMPUTED_VALUE"""),"Herman Au")</f>
        <v>Herman Au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 t="str">
        <f>IFERROR(__xludf.DUMMYFUNCTION("""COMPUTED_VALUE"""),"Erik Hoeckmann")</f>
        <v>Erik Hoeckmann</v>
      </c>
      <c r="C128" s="95" t="str">
        <f>IFERROR(__xludf.DUMMYFUNCTION("""COMPUTED_VALUE"""),"Hubert J Sung")</f>
        <v>Hubert J Sung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 t="str">
        <f>IFERROR(__xludf.DUMMYFUNCTION("""COMPUTED_VALUE"""),"Ethan Gu")</f>
        <v>Ethan Gu</v>
      </c>
      <c r="C129" s="95" t="str">
        <f>IFERROR(__xludf.DUMMYFUNCTION("""COMPUTED_VALUE"""),"Jim Miao")</f>
        <v>Jim Miao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 t="str">
        <f>IFERROR(__xludf.DUMMYFUNCTION("""COMPUTED_VALUE"""),"Frank Moon")</f>
        <v>Frank Moon</v>
      </c>
      <c r="C130" s="95" t="str">
        <f>IFERROR(__xludf.DUMMYFUNCTION("""COMPUTED_VALUE"""),"Jonathan Phan")</f>
        <v>Jonathan Phan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 t="str">
        <f>IFERROR(__xludf.DUMMYFUNCTION("""COMPUTED_VALUE"""),"Hongyuan Wen")</f>
        <v>Hongyuan Wen</v>
      </c>
      <c r="C131" s="95" t="str">
        <f>IFERROR(__xludf.DUMMYFUNCTION("""COMPUTED_VALUE"""),"Luis Hsu")</f>
        <v>Luis Hsu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 t="str">
        <f>IFERROR(__xludf.DUMMYFUNCTION("""COMPUTED_VALUE"""),"James Phan")</f>
        <v>James Phan</v>
      </c>
      <c r="C132" s="95" t="str">
        <f>IFERROR(__xludf.DUMMYFUNCTION("""COMPUTED_VALUE"""),"Manuel Rivera")</f>
        <v>Manuel Rivera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 t="str">
        <f>IFERROR(__xludf.DUMMYFUNCTION("""COMPUTED_VALUE"""),"Jimmy Awolesi")</f>
        <v>Jimmy Awolesi</v>
      </c>
      <c r="C133" s="95" t="str">
        <f>IFERROR(__xludf.DUMMYFUNCTION("""COMPUTED_VALUE"""),"Mauricio Palacios")</f>
        <v>Mauricio Palacios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 t="str">
        <f>IFERROR(__xludf.DUMMYFUNCTION("""COMPUTED_VALUE"""),"Joe Luzzi")</f>
        <v>Joe Luzzi</v>
      </c>
      <c r="C134" s="95" t="str">
        <f>IFERROR(__xludf.DUMMYFUNCTION("""COMPUTED_VALUE"""),"Scott Li")</f>
        <v>Scott Li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 t="str">
        <f>IFERROR(__xludf.DUMMYFUNCTION("""COMPUTED_VALUE"""),"Joyce Zhu")</f>
        <v>Joyce Zhu</v>
      </c>
      <c r="C135" s="95" t="str">
        <f>IFERROR(__xludf.DUMMYFUNCTION("""COMPUTED_VALUE"""),"Suleman Alidina")</f>
        <v>Suleman Alidina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 t="str">
        <f>IFERROR(__xludf.DUMMYFUNCTION("""COMPUTED_VALUE"""),"Kumar Palakeel")</f>
        <v>Kumar Palakeel</v>
      </c>
      <c r="C136" s="95"/>
      <c r="D136" s="23"/>
      <c r="E136" s="24"/>
      <c r="F136" s="95"/>
      <c r="G136" s="23"/>
      <c r="H136" s="24"/>
    </row>
    <row r="137">
      <c r="A137" s="83">
        <f t="shared" si="82"/>
        <v>18</v>
      </c>
      <c r="B137" s="43" t="str">
        <f>IFERROR(__xludf.DUMMYFUNCTION("""COMPUTED_VALUE"""),"Lam Bui")</f>
        <v>Lam Bui</v>
      </c>
      <c r="C137" s="95"/>
      <c r="D137" s="23"/>
      <c r="E137" s="24"/>
      <c r="F137" s="95"/>
      <c r="G137" s="23"/>
      <c r="H137" s="24"/>
    </row>
    <row r="138">
      <c r="A138" s="83">
        <f t="shared" si="82"/>
        <v>19</v>
      </c>
      <c r="B138" s="43" t="str">
        <f>IFERROR(__xludf.DUMMYFUNCTION("""COMPUTED_VALUE"""),"Leigh-Anh Nguyen")</f>
        <v>Leigh-Anh Nguyen</v>
      </c>
      <c r="C138" s="95"/>
      <c r="D138" s="23"/>
      <c r="E138" s="24"/>
      <c r="F138" s="95"/>
      <c r="G138" s="23"/>
      <c r="H138" s="24"/>
    </row>
    <row r="139">
      <c r="A139" s="83">
        <f t="shared" si="82"/>
        <v>20</v>
      </c>
      <c r="B139" s="43" t="str">
        <f>IFERROR(__xludf.DUMMYFUNCTION("""COMPUTED_VALUE"""),"Lloyd Sagar")</f>
        <v>Lloyd Sagar</v>
      </c>
      <c r="C139" s="95"/>
      <c r="D139" s="23"/>
      <c r="E139" s="24"/>
      <c r="F139" s="95"/>
      <c r="G139" s="23"/>
      <c r="H139" s="24"/>
    </row>
    <row r="140">
      <c r="A140" s="83">
        <f t="shared" si="82"/>
        <v>21</v>
      </c>
      <c r="B140" s="43" t="str">
        <f>IFERROR(__xludf.DUMMYFUNCTION("""COMPUTED_VALUE"""),"Manish Anand")</f>
        <v>Manish Anand</v>
      </c>
      <c r="C140" s="95"/>
      <c r="D140" s="23"/>
      <c r="E140" s="24"/>
      <c r="F140" s="95"/>
      <c r="G140" s="23"/>
      <c r="H140" s="24"/>
    </row>
    <row r="141">
      <c r="A141" s="83">
        <f t="shared" si="82"/>
        <v>22</v>
      </c>
      <c r="B141" s="43" t="str">
        <f>IFERROR(__xludf.DUMMYFUNCTION("""COMPUTED_VALUE"""),"Matthew Huang")</f>
        <v>Matthew Huang</v>
      </c>
      <c r="C141" s="95"/>
      <c r="D141" s="23"/>
      <c r="E141" s="24"/>
      <c r="F141" s="95"/>
      <c r="G141" s="23"/>
      <c r="H141" s="24"/>
    </row>
    <row r="142">
      <c r="A142" s="83">
        <f t="shared" si="82"/>
        <v>23</v>
      </c>
      <c r="B142" s="43" t="str">
        <f>IFERROR(__xludf.DUMMYFUNCTION("""COMPUTED_VALUE"""),"Naveen Raj")</f>
        <v>Naveen Raj</v>
      </c>
      <c r="C142" s="95"/>
      <c r="D142" s="23"/>
      <c r="E142" s="24"/>
      <c r="F142" s="95"/>
      <c r="G142" s="23"/>
      <c r="H142" s="24"/>
    </row>
    <row r="143">
      <c r="A143" s="83">
        <f t="shared" si="82"/>
        <v>24</v>
      </c>
      <c r="B143" s="43" t="str">
        <f>IFERROR(__xludf.DUMMYFUNCTION("""COMPUTED_VALUE"""),"Nicole Ni")</f>
        <v>Nicole Ni</v>
      </c>
      <c r="C143" s="95"/>
      <c r="D143" s="23"/>
      <c r="E143" s="24"/>
      <c r="F143" s="95"/>
      <c r="G143" s="23"/>
      <c r="H143" s="24"/>
    </row>
    <row r="144">
      <c r="A144" s="83">
        <f t="shared" si="82"/>
        <v>25</v>
      </c>
      <c r="B144" s="43" t="str">
        <f>IFERROR(__xludf.DUMMYFUNCTION("""COMPUTED_VALUE"""),"Oscar Bonilla")</f>
        <v>Oscar Bonilla</v>
      </c>
      <c r="C144" s="95"/>
      <c r="D144" s="23"/>
      <c r="E144" s="24"/>
      <c r="F144" s="95"/>
      <c r="G144" s="23"/>
      <c r="H144" s="24"/>
    </row>
    <row r="145">
      <c r="A145" s="83">
        <f t="shared" si="82"/>
        <v>26</v>
      </c>
      <c r="B145" s="43" t="str">
        <f>IFERROR(__xludf.DUMMYFUNCTION("""COMPUTED_VALUE"""),"Pavan Akkimsetty")</f>
        <v>Pavan Akkimsetty</v>
      </c>
      <c r="C145" s="95"/>
      <c r="D145" s="23"/>
      <c r="E145" s="24"/>
      <c r="F145" s="95"/>
      <c r="G145" s="23"/>
      <c r="H145" s="24"/>
    </row>
    <row r="146">
      <c r="A146" s="83">
        <f t="shared" si="82"/>
        <v>27</v>
      </c>
      <c r="B146" s="43" t="str">
        <f>IFERROR(__xludf.DUMMYFUNCTION("""COMPUTED_VALUE"""),"Pulkit Mathur")</f>
        <v>Pulkit Mathur</v>
      </c>
      <c r="C146" s="95"/>
      <c r="D146" s="23"/>
      <c r="E146" s="24"/>
      <c r="F146" s="95"/>
      <c r="G146" s="23"/>
      <c r="H146" s="24"/>
    </row>
    <row r="147">
      <c r="A147" s="83">
        <f t="shared" si="82"/>
        <v>28</v>
      </c>
      <c r="B147" s="43" t="str">
        <f>IFERROR(__xludf.DUMMYFUNCTION("""COMPUTED_VALUE"""),"Rajasekar Ramasamy")</f>
        <v>Rajasekar Ramasamy</v>
      </c>
      <c r="C147" s="95"/>
      <c r="D147" s="23"/>
      <c r="E147" s="24"/>
      <c r="F147" s="95"/>
      <c r="G147" s="23"/>
      <c r="H147" s="24"/>
    </row>
    <row r="148">
      <c r="A148" s="83">
        <f t="shared" si="82"/>
        <v>29</v>
      </c>
      <c r="B148" s="43" t="str">
        <f>IFERROR(__xludf.DUMMYFUNCTION("""COMPUTED_VALUE"""),"Rajesh Dorairaj")</f>
        <v>Rajesh Dorairaj</v>
      </c>
      <c r="C148" s="95"/>
      <c r="D148" s="23"/>
      <c r="E148" s="24"/>
      <c r="F148" s="95"/>
      <c r="G148" s="23"/>
      <c r="H148" s="24"/>
    </row>
    <row r="149">
      <c r="A149" s="83">
        <f t="shared" si="82"/>
        <v>30</v>
      </c>
      <c r="B149" s="43" t="str">
        <f>IFERROR(__xludf.DUMMYFUNCTION("""COMPUTED_VALUE"""),"Ramesh Bandaru")</f>
        <v>Ramesh Bandaru</v>
      </c>
      <c r="C149" s="95"/>
      <c r="D149" s="23"/>
      <c r="E149" s="24"/>
      <c r="F149" s="95"/>
      <c r="G149" s="23"/>
      <c r="H149" s="24"/>
    </row>
    <row r="150">
      <c r="A150" s="83">
        <f t="shared" si="82"/>
        <v>31</v>
      </c>
      <c r="B150" s="43" t="str">
        <f>IFERROR(__xludf.DUMMYFUNCTION("""COMPUTED_VALUE"""),"Robert Chang")</f>
        <v>Robert Chang</v>
      </c>
      <c r="C150" s="95"/>
      <c r="D150" s="23"/>
      <c r="E150" s="24"/>
      <c r="F150" s="95"/>
      <c r="G150" s="23"/>
      <c r="H150" s="24"/>
    </row>
    <row r="151">
      <c r="A151" s="83">
        <f t="shared" si="82"/>
        <v>32</v>
      </c>
      <c r="B151" s="43" t="str">
        <f>IFERROR(__xludf.DUMMYFUNCTION("""COMPUTED_VALUE"""),"Sandeep Kamalon")</f>
        <v>Sandeep Kamalon</v>
      </c>
      <c r="C151" s="95"/>
      <c r="D151" s="23"/>
      <c r="E151" s="24"/>
      <c r="F151" s="95"/>
      <c r="G151" s="23"/>
      <c r="H151" s="24"/>
    </row>
    <row r="152">
      <c r="A152" s="83">
        <f t="shared" si="82"/>
        <v>33</v>
      </c>
      <c r="B152" s="43" t="str">
        <f>IFERROR(__xludf.DUMMYFUNCTION("""COMPUTED_VALUE"""),"Sandy Weyant")</f>
        <v>Sandy Weyant</v>
      </c>
      <c r="C152" s="95"/>
      <c r="D152" s="23"/>
      <c r="E152" s="24"/>
      <c r="F152" s="95"/>
      <c r="G152" s="23"/>
      <c r="H152" s="24"/>
    </row>
    <row r="153">
      <c r="A153" s="83">
        <f t="shared" si="82"/>
        <v>34</v>
      </c>
      <c r="B153" s="43" t="str">
        <f>IFERROR(__xludf.DUMMYFUNCTION("""COMPUTED_VALUE"""),"Sanjaye Elayattu")</f>
        <v>Sanjaye Elayattu</v>
      </c>
      <c r="C153" s="95"/>
      <c r="D153" s="23"/>
      <c r="E153" s="24"/>
      <c r="F153" s="95"/>
      <c r="G153" s="23"/>
      <c r="H153" s="24"/>
    </row>
    <row r="154">
      <c r="A154" s="83">
        <f t="shared" si="82"/>
        <v>35</v>
      </c>
      <c r="B154" s="43" t="str">
        <f>IFERROR(__xludf.DUMMYFUNCTION("""COMPUTED_VALUE"""),"Santosh Sundaresan ")</f>
        <v>Santosh Sundaresan </v>
      </c>
      <c r="C154" s="95"/>
      <c r="D154" s="23"/>
      <c r="E154" s="24"/>
      <c r="F154" s="95"/>
      <c r="G154" s="23"/>
      <c r="H154" s="24"/>
    </row>
    <row r="155">
      <c r="A155" s="83">
        <f t="shared" si="82"/>
        <v>36</v>
      </c>
      <c r="B155" s="43" t="str">
        <f>IFERROR(__xludf.DUMMYFUNCTION("""COMPUTED_VALUE"""),"Saravanan Veerapandian")</f>
        <v>Saravanan Veerapandian</v>
      </c>
      <c r="C155" s="95"/>
      <c r="D155" s="23"/>
      <c r="E155" s="24"/>
      <c r="F155" s="95"/>
      <c r="G155" s="23"/>
      <c r="H155" s="24"/>
    </row>
    <row r="156">
      <c r="A156" s="83">
        <f t="shared" si="82"/>
        <v>37</v>
      </c>
      <c r="B156" s="43" t="str">
        <f>IFERROR(__xludf.DUMMYFUNCTION("""COMPUTED_VALUE"""),"Sean Chang")</f>
        <v>Sean Chang</v>
      </c>
      <c r="C156" s="95"/>
      <c r="D156" s="23"/>
      <c r="E156" s="24"/>
      <c r="F156" s="95"/>
      <c r="G156" s="23"/>
      <c r="H156" s="24"/>
    </row>
    <row r="157">
      <c r="A157" s="83">
        <f t="shared" si="82"/>
        <v>38</v>
      </c>
      <c r="B157" s="43" t="str">
        <f>IFERROR(__xludf.DUMMYFUNCTION("""COMPUTED_VALUE"""),"Susanta Mishra")</f>
        <v>Susanta Mishra</v>
      </c>
      <c r="C157" s="95"/>
      <c r="D157" s="23"/>
      <c r="E157" s="24"/>
      <c r="F157" s="95"/>
      <c r="G157" s="23"/>
      <c r="H157" s="24"/>
    </row>
    <row r="158">
      <c r="A158" s="83">
        <f t="shared" si="82"/>
        <v>39</v>
      </c>
      <c r="B158" s="43" t="str">
        <f>IFERROR(__xludf.DUMMYFUNCTION("""COMPUTED_VALUE"""),"Ted Shen")</f>
        <v>Ted Shen</v>
      </c>
      <c r="C158" s="95"/>
      <c r="D158" s="23"/>
      <c r="E158" s="24"/>
      <c r="F158" s="95"/>
      <c r="G158" s="23"/>
      <c r="H158" s="24"/>
    </row>
    <row r="159">
      <c r="A159" s="83">
        <f t="shared" si="82"/>
        <v>40</v>
      </c>
      <c r="B159" s="43" t="str">
        <f>IFERROR(__xludf.DUMMYFUNCTION("""COMPUTED_VALUE"""),"Tina Hanson")</f>
        <v>Tina Hanson</v>
      </c>
      <c r="C159" s="95"/>
      <c r="D159" s="23"/>
      <c r="E159" s="24"/>
      <c r="F159" s="95"/>
      <c r="G159" s="23"/>
      <c r="H159" s="24"/>
    </row>
    <row r="160">
      <c r="A160" s="83">
        <f t="shared" si="82"/>
        <v>41</v>
      </c>
      <c r="B160" s="43" t="str">
        <f>IFERROR(__xludf.DUMMYFUNCTION("""COMPUTED_VALUE"""),"Tom Le")</f>
        <v>Tom Le</v>
      </c>
      <c r="C160" s="95"/>
      <c r="D160" s="23"/>
      <c r="E160" s="24"/>
      <c r="F160" s="95"/>
      <c r="G160" s="23"/>
      <c r="H160" s="24"/>
    </row>
    <row r="161">
      <c r="A161" s="83">
        <f t="shared" si="82"/>
        <v>42</v>
      </c>
      <c r="B161" s="43" t="str">
        <f>IFERROR(__xludf.DUMMYFUNCTION("""COMPUTED_VALUE"""),"Trish Newlin")</f>
        <v>Trish Newlin</v>
      </c>
      <c r="C161" s="95"/>
      <c r="D161" s="23"/>
      <c r="E161" s="24"/>
      <c r="F161" s="95"/>
      <c r="G161" s="23"/>
      <c r="H161" s="24"/>
    </row>
    <row r="162">
      <c r="A162" s="83">
        <f t="shared" si="82"/>
        <v>43</v>
      </c>
      <c r="B162" s="43" t="str">
        <f>IFERROR(__xludf.DUMMYFUNCTION("""COMPUTED_VALUE"""),"Troy Wong")</f>
        <v>Troy Wong</v>
      </c>
      <c r="C162" s="95"/>
      <c r="D162" s="23"/>
      <c r="E162" s="24"/>
      <c r="F162" s="95"/>
      <c r="G162" s="23"/>
      <c r="H162" s="24"/>
    </row>
    <row r="163">
      <c r="A163" s="83">
        <f t="shared" si="82"/>
        <v>44</v>
      </c>
      <c r="B163" s="43" t="str">
        <f>IFERROR(__xludf.DUMMYFUNCTION("""COMPUTED_VALUE"""),"Tyler Leong")</f>
        <v>Tyler Leong</v>
      </c>
      <c r="C163" s="95"/>
      <c r="D163" s="23"/>
      <c r="E163" s="24"/>
      <c r="F163" s="95"/>
      <c r="G163" s="23"/>
      <c r="H163" s="24"/>
    </row>
    <row r="164">
      <c r="A164" s="83">
        <f t="shared" si="82"/>
        <v>45</v>
      </c>
      <c r="B164" s="43" t="str">
        <f>IFERROR(__xludf.DUMMYFUNCTION("""COMPUTED_VALUE"""),"Vicki Martinet")</f>
        <v>Vicki Martinet</v>
      </c>
      <c r="C164" s="95"/>
      <c r="D164" s="23"/>
      <c r="E164" s="24"/>
      <c r="F164" s="95"/>
      <c r="G164" s="23"/>
      <c r="H164" s="24"/>
    </row>
    <row r="165">
      <c r="A165" s="83">
        <f t="shared" si="82"/>
        <v>46</v>
      </c>
      <c r="B165" s="43" t="str">
        <f>IFERROR(__xludf.DUMMYFUNCTION("""COMPUTED_VALUE"""),"Vinaya Kajla")</f>
        <v>Vinaya Kajla</v>
      </c>
      <c r="C165" s="95"/>
      <c r="D165" s="23"/>
      <c r="E165" s="24"/>
      <c r="F165" s="95"/>
      <c r="G165" s="23"/>
      <c r="H165" s="24"/>
    </row>
    <row r="166">
      <c r="A166" s="83">
        <f t="shared" si="82"/>
        <v>47</v>
      </c>
      <c r="B166" s="43" t="str">
        <f>IFERROR(__xludf.DUMMYFUNCTION("""COMPUTED_VALUE"""),"Vishnu Amarnath")</f>
        <v>Vishnu Amarnath</v>
      </c>
      <c r="C166" s="95"/>
      <c r="D166" s="23"/>
      <c r="E166" s="24"/>
      <c r="F166" s="95"/>
      <c r="G166" s="23"/>
      <c r="H166" s="24"/>
    </row>
    <row r="167">
      <c r="A167" s="83">
        <f t="shared" si="82"/>
        <v>48</v>
      </c>
      <c r="B167" s="43" t="str">
        <f>IFERROR(__xludf.DUMMYFUNCTION("""COMPUTED_VALUE"""),"Wayne Liu")</f>
        <v>Wayne Liu</v>
      </c>
      <c r="C167" s="95"/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/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/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/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/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/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/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/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/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/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/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/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/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/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/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45808.0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20.0</v>
      </c>
      <c r="E2" s="1"/>
      <c r="F2" s="1"/>
      <c r="R2" s="19"/>
      <c r="AB2" s="20" t="str">
        <f>text(C1-7,"mm/dd/yy")</f>
        <v>05/24/25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303.0</v>
      </c>
      <c r="D5" s="31">
        <v>38.0</v>
      </c>
      <c r="E5" s="36">
        <f t="shared" ref="E5:E69" si="2">if(($D$2-U5-S5)&lt;&gt;0,(C5-(U5*9)-(S5*13))/($D$2-U5-S5),0)</f>
        <v>15.26315789</v>
      </c>
      <c r="F5" s="73">
        <v>2.0</v>
      </c>
      <c r="G5" s="74">
        <v>1.0</v>
      </c>
      <c r="H5" s="75">
        <v>0.0</v>
      </c>
      <c r="I5" s="74">
        <v>6.0</v>
      </c>
      <c r="J5" s="74">
        <v>6.0</v>
      </c>
      <c r="K5" s="74">
        <v>7.0</v>
      </c>
      <c r="L5" s="76">
        <v>19.0</v>
      </c>
      <c r="M5" s="74">
        <v>3.0</v>
      </c>
      <c r="N5" s="31">
        <f t="shared" ref="N5:O5" si="1">C5+L5</f>
        <v>322</v>
      </c>
      <c r="O5" s="31">
        <f t="shared" si="1"/>
        <v>41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97</v>
      </c>
      <c r="C6" s="31">
        <v>257.0</v>
      </c>
      <c r="D6" s="31">
        <v>23.0</v>
      </c>
      <c r="E6" s="36">
        <f t="shared" si="2"/>
        <v>13.3125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266</v>
      </c>
      <c r="O6" s="31">
        <f t="shared" si="3"/>
        <v>23</v>
      </c>
      <c r="P6" s="45" t="s">
        <v>58</v>
      </c>
      <c r="Q6" s="45" t="s">
        <v>58</v>
      </c>
      <c r="R6" s="45" t="s">
        <v>58</v>
      </c>
      <c r="S6" s="46">
        <f t="shared" si="4"/>
        <v>2</v>
      </c>
      <c r="T6" s="46"/>
      <c r="U6" s="46">
        <f t="shared" si="5"/>
        <v>2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101</v>
      </c>
      <c r="C7" s="31">
        <v>253.0</v>
      </c>
      <c r="D7" s="31">
        <v>21.0</v>
      </c>
      <c r="E7" s="36">
        <f t="shared" si="2"/>
        <v>13.6</v>
      </c>
      <c r="F7" s="73">
        <v>1.0</v>
      </c>
      <c r="G7" s="74">
        <v>1.0</v>
      </c>
      <c r="H7" s="75">
        <v>0.0</v>
      </c>
      <c r="I7" s="74">
        <v>6.0</v>
      </c>
      <c r="J7" s="74">
        <v>4.0</v>
      </c>
      <c r="K7" s="74">
        <v>5.0</v>
      </c>
      <c r="L7" s="76">
        <v>15.0</v>
      </c>
      <c r="M7" s="74">
        <v>1.0</v>
      </c>
      <c r="N7" s="31">
        <f t="shared" ref="N7:O7" si="8">C7+L7</f>
        <v>268</v>
      </c>
      <c r="O7" s="31">
        <f t="shared" si="8"/>
        <v>22</v>
      </c>
      <c r="P7" s="45" t="s">
        <v>58</v>
      </c>
      <c r="Q7" s="45" t="s">
        <v>58</v>
      </c>
      <c r="R7" s="45" t="s">
        <v>58</v>
      </c>
      <c r="S7" s="46">
        <f t="shared" si="4"/>
        <v>1</v>
      </c>
      <c r="T7" s="46"/>
      <c r="U7" s="46">
        <f t="shared" si="5"/>
        <v>4</v>
      </c>
      <c r="V7" s="46">
        <f t="shared" si="6"/>
        <v>5</v>
      </c>
      <c r="W7" s="30">
        <f t="shared" si="9"/>
        <v>3</v>
      </c>
    </row>
    <row r="8">
      <c r="A8" s="30">
        <f t="shared" si="7"/>
        <v>4</v>
      </c>
      <c r="B8" s="43" t="s">
        <v>121</v>
      </c>
      <c r="C8" s="31">
        <v>251.0</v>
      </c>
      <c r="D8" s="31">
        <v>22.0</v>
      </c>
      <c r="E8" s="36">
        <f t="shared" si="2"/>
        <v>15.7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31">
        <f t="shared" ref="N8:O8" si="10">C8+L8</f>
        <v>260</v>
      </c>
      <c r="O8" s="31">
        <f t="shared" si="10"/>
        <v>22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9</v>
      </c>
      <c r="V8" s="46">
        <f t="shared" si="6"/>
        <v>8</v>
      </c>
      <c r="W8" s="30">
        <f t="shared" si="9"/>
        <v>4</v>
      </c>
    </row>
    <row r="9">
      <c r="A9" s="30">
        <f t="shared" si="7"/>
        <v>5</v>
      </c>
      <c r="B9" s="43" t="s">
        <v>94</v>
      </c>
      <c r="C9" s="31">
        <v>251.0</v>
      </c>
      <c r="D9" s="31">
        <v>22.0</v>
      </c>
      <c r="E9" s="36">
        <f t="shared" si="2"/>
        <v>14.58333333</v>
      </c>
      <c r="F9" s="73">
        <v>3.0</v>
      </c>
      <c r="G9" s="74">
        <v>0.0</v>
      </c>
      <c r="H9" s="75">
        <v>9.0</v>
      </c>
      <c r="I9" s="74">
        <v>0.0</v>
      </c>
      <c r="J9" s="74">
        <v>0.0</v>
      </c>
      <c r="K9" s="74">
        <v>0.0</v>
      </c>
      <c r="L9" s="76">
        <v>9.0</v>
      </c>
      <c r="M9" s="74">
        <v>0.0</v>
      </c>
      <c r="N9" s="31">
        <f t="shared" ref="N9:O9" si="11">C9+L9</f>
        <v>260</v>
      </c>
      <c r="O9" s="31">
        <f t="shared" si="11"/>
        <v>22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7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28" t="s">
        <v>117</v>
      </c>
      <c r="C10" s="31">
        <v>250.0</v>
      </c>
      <c r="D10" s="31">
        <v>24.0</v>
      </c>
      <c r="E10" s="36">
        <f t="shared" si="2"/>
        <v>15.6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259</v>
      </c>
      <c r="O10" s="31">
        <f t="shared" si="12"/>
        <v>24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9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43" t="s">
        <v>87</v>
      </c>
      <c r="C11" s="47">
        <v>250.0</v>
      </c>
      <c r="D11" s="31">
        <v>22.0</v>
      </c>
      <c r="E11" s="36">
        <f t="shared" si="2"/>
        <v>13.66666667</v>
      </c>
      <c r="F11" s="73">
        <v>1.0</v>
      </c>
      <c r="G11" s="74">
        <v>1.0</v>
      </c>
      <c r="H11" s="75">
        <v>0.0</v>
      </c>
      <c r="I11" s="74">
        <v>0.0</v>
      </c>
      <c r="J11" s="74">
        <v>6.0</v>
      </c>
      <c r="K11" s="74">
        <v>5.0</v>
      </c>
      <c r="L11" s="76">
        <v>11.0</v>
      </c>
      <c r="M11" s="74">
        <v>1.0</v>
      </c>
      <c r="N11" s="47">
        <f t="shared" ref="N11:O11" si="13">C11+L11</f>
        <v>261</v>
      </c>
      <c r="O11" s="31">
        <f t="shared" si="13"/>
        <v>23</v>
      </c>
      <c r="P11" s="45" t="s">
        <v>58</v>
      </c>
      <c r="Q11" s="45" t="s">
        <v>58</v>
      </c>
      <c r="R11" s="45" t="s">
        <v>58</v>
      </c>
      <c r="S11" s="46">
        <f t="shared" si="4"/>
        <v>0</v>
      </c>
      <c r="T11" s="46"/>
      <c r="U11" s="46">
        <f t="shared" si="5"/>
        <v>5</v>
      </c>
      <c r="V11" s="46">
        <f t="shared" si="6"/>
        <v>-3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47">
        <v>249.0</v>
      </c>
      <c r="D12" s="31">
        <v>23.0</v>
      </c>
      <c r="E12" s="36">
        <f t="shared" si="2"/>
        <v>12.61111111</v>
      </c>
      <c r="F12" s="73">
        <v>1.0</v>
      </c>
      <c r="G12" s="74">
        <v>1.0</v>
      </c>
      <c r="H12" s="75">
        <v>0.0</v>
      </c>
      <c r="I12" s="74">
        <v>0.0</v>
      </c>
      <c r="J12" s="74">
        <v>4.0</v>
      </c>
      <c r="K12" s="74">
        <v>7.0</v>
      </c>
      <c r="L12" s="76">
        <v>11.0</v>
      </c>
      <c r="M12" s="74">
        <v>1.0</v>
      </c>
      <c r="N12" s="47">
        <f t="shared" ref="N12:O12" si="14">C12+L12</f>
        <v>260</v>
      </c>
      <c r="O12" s="31">
        <f t="shared" si="14"/>
        <v>24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1</v>
      </c>
      <c r="V12" s="46">
        <f t="shared" si="6"/>
        <v>2</v>
      </c>
      <c r="W12" s="30">
        <f t="shared" si="9"/>
        <v>8</v>
      </c>
    </row>
    <row r="13">
      <c r="A13" s="30">
        <f t="shared" si="7"/>
        <v>9</v>
      </c>
      <c r="B13" s="28" t="s">
        <v>74</v>
      </c>
      <c r="C13" s="31">
        <v>248.0</v>
      </c>
      <c r="D13" s="31">
        <v>24.0</v>
      </c>
      <c r="E13" s="36">
        <f t="shared" si="2"/>
        <v>13.85714286</v>
      </c>
      <c r="F13" s="73">
        <v>1.0</v>
      </c>
      <c r="G13" s="74">
        <v>2.0</v>
      </c>
      <c r="H13" s="75">
        <v>0.0</v>
      </c>
      <c r="I13" s="74">
        <v>6.0</v>
      </c>
      <c r="J13" s="74">
        <v>7.0</v>
      </c>
      <c r="K13" s="74">
        <v>6.0</v>
      </c>
      <c r="L13" s="76">
        <v>19.0</v>
      </c>
      <c r="M13" s="74">
        <v>3.0</v>
      </c>
      <c r="N13" s="31">
        <f t="shared" ref="N13:O13" si="15">C13+L13</f>
        <v>267</v>
      </c>
      <c r="O13" s="31">
        <f t="shared" si="15"/>
        <v>27</v>
      </c>
      <c r="P13" s="45" t="s">
        <v>58</v>
      </c>
      <c r="Q13" s="45" t="s">
        <v>58</v>
      </c>
      <c r="R13" s="45" t="s">
        <v>58</v>
      </c>
      <c r="S13" s="46">
        <f t="shared" si="4"/>
        <v>0</v>
      </c>
      <c r="T13" s="46"/>
      <c r="U13" s="46">
        <f t="shared" si="5"/>
        <v>6</v>
      </c>
      <c r="V13" s="46">
        <f t="shared" si="6"/>
        <v>-3</v>
      </c>
      <c r="W13" s="30">
        <f t="shared" si="9"/>
        <v>9</v>
      </c>
    </row>
    <row r="14">
      <c r="A14" s="30">
        <f t="shared" si="7"/>
        <v>10</v>
      </c>
      <c r="B14" s="43" t="s">
        <v>130</v>
      </c>
      <c r="C14" s="31">
        <v>248.0</v>
      </c>
      <c r="D14" s="31">
        <v>20.0</v>
      </c>
      <c r="E14" s="36">
        <f t="shared" si="2"/>
        <v>15.18181818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257</v>
      </c>
      <c r="O14" s="31">
        <f t="shared" si="16"/>
        <v>20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9</v>
      </c>
      <c r="V14" s="46">
        <f t="shared" si="6"/>
        <v>-3</v>
      </c>
      <c r="W14" s="30">
        <f t="shared" si="9"/>
        <v>10</v>
      </c>
    </row>
    <row r="15">
      <c r="A15" s="30">
        <f t="shared" si="7"/>
        <v>11</v>
      </c>
      <c r="B15" s="43" t="s">
        <v>64</v>
      </c>
      <c r="C15" s="47">
        <v>247.0</v>
      </c>
      <c r="D15" s="31">
        <v>22.0</v>
      </c>
      <c r="E15" s="36">
        <f t="shared" si="2"/>
        <v>13.1875</v>
      </c>
      <c r="F15" s="73">
        <v>1.0</v>
      </c>
      <c r="G15" s="74">
        <v>2.0</v>
      </c>
      <c r="H15" s="75">
        <v>0.0</v>
      </c>
      <c r="I15" s="74">
        <v>6.0</v>
      </c>
      <c r="J15" s="74">
        <v>5.0</v>
      </c>
      <c r="K15" s="74">
        <v>4.0</v>
      </c>
      <c r="L15" s="76">
        <v>15.0</v>
      </c>
      <c r="M15" s="74">
        <v>1.0</v>
      </c>
      <c r="N15" s="47">
        <f t="shared" ref="N15:O15" si="17">C15+L15</f>
        <v>262</v>
      </c>
      <c r="O15" s="31">
        <f t="shared" si="17"/>
        <v>23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4</v>
      </c>
      <c r="V15" s="46">
        <f t="shared" si="6"/>
        <v>-2</v>
      </c>
      <c r="W15" s="30">
        <f t="shared" si="9"/>
        <v>11</v>
      </c>
    </row>
    <row r="16">
      <c r="A16" s="30">
        <f t="shared" si="7"/>
        <v>12</v>
      </c>
      <c r="B16" s="28" t="s">
        <v>95</v>
      </c>
      <c r="C16" s="31">
        <v>245.0</v>
      </c>
      <c r="D16" s="31">
        <v>24.0</v>
      </c>
      <c r="E16" s="36">
        <f t="shared" si="2"/>
        <v>13.64285714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254</v>
      </c>
      <c r="O16" s="31">
        <f t="shared" si="18"/>
        <v>24</v>
      </c>
      <c r="P16" s="45" t="s">
        <v>58</v>
      </c>
      <c r="Q16" s="45" t="s">
        <v>58</v>
      </c>
      <c r="R16" s="45" t="s">
        <v>58</v>
      </c>
      <c r="S16" s="46">
        <f t="shared" si="4"/>
        <v>0</v>
      </c>
      <c r="T16" s="46"/>
      <c r="U16" s="46">
        <f t="shared" si="5"/>
        <v>6</v>
      </c>
      <c r="V16" s="46">
        <f t="shared" si="6"/>
        <v>5</v>
      </c>
      <c r="W16" s="30">
        <f t="shared" si="9"/>
        <v>12</v>
      </c>
    </row>
    <row r="17">
      <c r="A17" s="30">
        <f t="shared" si="7"/>
        <v>13</v>
      </c>
      <c r="B17" s="28" t="s">
        <v>92</v>
      </c>
      <c r="C17" s="31">
        <v>245.0</v>
      </c>
      <c r="D17" s="31">
        <v>22.0</v>
      </c>
      <c r="E17" s="36">
        <f t="shared" si="2"/>
        <v>14</v>
      </c>
      <c r="F17" s="73">
        <v>1.0</v>
      </c>
      <c r="G17" s="74">
        <v>2.0</v>
      </c>
      <c r="H17" s="75">
        <v>0.0</v>
      </c>
      <c r="I17" s="74">
        <v>1.0</v>
      </c>
      <c r="J17" s="74">
        <v>7.0</v>
      </c>
      <c r="K17" s="74">
        <v>4.0</v>
      </c>
      <c r="L17" s="76">
        <v>12.0</v>
      </c>
      <c r="M17" s="74">
        <v>1.0</v>
      </c>
      <c r="N17" s="31">
        <f t="shared" ref="N17:O17" si="19">C17+L17</f>
        <v>257</v>
      </c>
      <c r="O17" s="31">
        <f t="shared" si="19"/>
        <v>23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7</v>
      </c>
      <c r="V17" s="46">
        <f t="shared" si="6"/>
        <v>0</v>
      </c>
      <c r="W17" s="30">
        <f t="shared" si="9"/>
        <v>13</v>
      </c>
    </row>
    <row r="18">
      <c r="A18" s="30">
        <f t="shared" si="7"/>
        <v>14</v>
      </c>
      <c r="B18" s="28" t="s">
        <v>116</v>
      </c>
      <c r="C18" s="31">
        <v>244.0</v>
      </c>
      <c r="D18" s="31">
        <v>22.0</v>
      </c>
      <c r="E18" s="36">
        <f t="shared" si="2"/>
        <v>14.45454545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253</v>
      </c>
      <c r="O18" s="31">
        <f t="shared" si="20"/>
        <v>22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8</v>
      </c>
      <c r="V18" s="46">
        <f t="shared" si="6"/>
        <v>2</v>
      </c>
      <c r="W18" s="30">
        <f t="shared" si="9"/>
        <v>14</v>
      </c>
    </row>
    <row r="19">
      <c r="A19" s="30">
        <f t="shared" si="7"/>
        <v>15</v>
      </c>
      <c r="B19" s="28" t="s">
        <v>44</v>
      </c>
      <c r="C19" s="31">
        <v>242.0</v>
      </c>
      <c r="D19" s="31">
        <v>22.0</v>
      </c>
      <c r="E19" s="36">
        <f t="shared" si="2"/>
        <v>14.63636364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251</v>
      </c>
      <c r="O19" s="31">
        <f t="shared" si="21"/>
        <v>22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9</v>
      </c>
      <c r="V19" s="46">
        <f t="shared" si="6"/>
        <v>-4</v>
      </c>
      <c r="W19" s="30">
        <f t="shared" si="9"/>
        <v>15</v>
      </c>
    </row>
    <row r="20">
      <c r="A20" s="30">
        <f t="shared" si="7"/>
        <v>16</v>
      </c>
      <c r="B20" s="28" t="s">
        <v>104</v>
      </c>
      <c r="C20" s="31">
        <v>242.0</v>
      </c>
      <c r="D20" s="31">
        <v>19.0</v>
      </c>
      <c r="E20" s="36">
        <f t="shared" si="2"/>
        <v>12.625</v>
      </c>
      <c r="F20" s="73">
        <v>2.0</v>
      </c>
      <c r="G20" s="74">
        <v>2.0</v>
      </c>
      <c r="H20" s="75">
        <v>0.0</v>
      </c>
      <c r="I20" s="74">
        <v>1.0</v>
      </c>
      <c r="J20" s="74">
        <v>5.0</v>
      </c>
      <c r="K20" s="74">
        <v>6.0</v>
      </c>
      <c r="L20" s="76">
        <v>12.0</v>
      </c>
      <c r="M20" s="74">
        <v>1.0</v>
      </c>
      <c r="N20" s="31">
        <f t="shared" ref="N20:O20" si="22">C20+L20</f>
        <v>254</v>
      </c>
      <c r="O20" s="31">
        <f t="shared" si="22"/>
        <v>20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3</v>
      </c>
      <c r="V20" s="46">
        <f t="shared" si="6"/>
        <v>-1</v>
      </c>
      <c r="W20" s="30">
        <f t="shared" si="9"/>
        <v>16</v>
      </c>
    </row>
    <row r="21">
      <c r="A21" s="30">
        <f t="shared" si="7"/>
        <v>17</v>
      </c>
      <c r="B21" s="28" t="s">
        <v>105</v>
      </c>
      <c r="C21" s="31">
        <v>241.0</v>
      </c>
      <c r="D21" s="31">
        <v>22.0</v>
      </c>
      <c r="E21" s="36">
        <f t="shared" si="2"/>
        <v>13.07142857</v>
      </c>
      <c r="F21" s="73">
        <v>2.0</v>
      </c>
      <c r="G21" s="74">
        <v>3.0</v>
      </c>
      <c r="H21" s="75">
        <v>0.0</v>
      </c>
      <c r="I21" s="74">
        <v>3.0</v>
      </c>
      <c r="J21" s="74">
        <v>3.0</v>
      </c>
      <c r="K21" s="74">
        <v>6.0</v>
      </c>
      <c r="L21" s="76">
        <v>12.0</v>
      </c>
      <c r="M21" s="74">
        <v>1.0</v>
      </c>
      <c r="N21" s="31">
        <f t="shared" ref="N21:O21" si="23">C21+L21</f>
        <v>253</v>
      </c>
      <c r="O21" s="31">
        <f t="shared" si="23"/>
        <v>23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5</v>
      </c>
      <c r="V21" s="46">
        <f t="shared" si="6"/>
        <v>4</v>
      </c>
      <c r="W21" s="30">
        <f t="shared" si="9"/>
        <v>17</v>
      </c>
    </row>
    <row r="22">
      <c r="A22" s="30">
        <f t="shared" si="7"/>
        <v>18</v>
      </c>
      <c r="B22" s="48" t="s">
        <v>82</v>
      </c>
      <c r="C22" s="31">
        <v>241.0</v>
      </c>
      <c r="D22" s="31">
        <v>20.0</v>
      </c>
      <c r="E22" s="36">
        <f t="shared" si="2"/>
        <v>12.8</v>
      </c>
      <c r="F22" s="73">
        <v>1.0</v>
      </c>
      <c r="G22" s="74">
        <v>3.0</v>
      </c>
      <c r="H22" s="75">
        <v>0.0</v>
      </c>
      <c r="I22" s="74">
        <v>6.0</v>
      </c>
      <c r="J22" s="74">
        <v>3.0</v>
      </c>
      <c r="K22" s="74">
        <v>3.0</v>
      </c>
      <c r="L22" s="76">
        <v>12.0</v>
      </c>
      <c r="M22" s="74">
        <v>1.0</v>
      </c>
      <c r="N22" s="31">
        <f t="shared" ref="N22:O22" si="24">C22+L22</f>
        <v>253</v>
      </c>
      <c r="O22" s="31">
        <f t="shared" si="24"/>
        <v>21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4</v>
      </c>
      <c r="V22" s="46">
        <f t="shared" si="6"/>
        <v>-4</v>
      </c>
      <c r="W22" s="30">
        <f t="shared" si="9"/>
        <v>18</v>
      </c>
    </row>
    <row r="23">
      <c r="A23" s="30">
        <f t="shared" si="7"/>
        <v>19</v>
      </c>
      <c r="B23" s="28" t="s">
        <v>128</v>
      </c>
      <c r="C23" s="31">
        <v>239.0</v>
      </c>
      <c r="D23" s="31">
        <v>22.0</v>
      </c>
      <c r="E23" s="36">
        <f t="shared" si="2"/>
        <v>14.9</v>
      </c>
      <c r="F23" s="73">
        <v>1.0</v>
      </c>
      <c r="G23" s="74">
        <v>3.0</v>
      </c>
      <c r="H23" s="75">
        <v>0.0</v>
      </c>
      <c r="I23" s="74">
        <v>6.0</v>
      </c>
      <c r="J23" s="74">
        <v>6.0</v>
      </c>
      <c r="K23" s="74">
        <v>6.0</v>
      </c>
      <c r="L23" s="76">
        <v>18.0</v>
      </c>
      <c r="M23" s="74">
        <v>3.0</v>
      </c>
      <c r="N23" s="31">
        <f t="shared" ref="N23:O23" si="25">C23+L23</f>
        <v>257</v>
      </c>
      <c r="O23" s="31">
        <f t="shared" si="25"/>
        <v>25</v>
      </c>
      <c r="P23" s="45" t="s">
        <v>58</v>
      </c>
      <c r="Q23" s="45" t="s">
        <v>58</v>
      </c>
      <c r="R23" s="45" t="s">
        <v>58</v>
      </c>
      <c r="S23" s="46">
        <f t="shared" si="4"/>
        <v>0</v>
      </c>
      <c r="T23" s="46"/>
      <c r="U23" s="46">
        <f t="shared" si="5"/>
        <v>10</v>
      </c>
      <c r="V23" s="46">
        <f t="shared" si="6"/>
        <v>7</v>
      </c>
      <c r="W23" s="30">
        <f t="shared" si="9"/>
        <v>19</v>
      </c>
    </row>
    <row r="24">
      <c r="A24" s="30">
        <f t="shared" si="7"/>
        <v>20</v>
      </c>
      <c r="B24" s="43" t="s">
        <v>106</v>
      </c>
      <c r="C24" s="31">
        <v>236.0</v>
      </c>
      <c r="D24" s="31">
        <v>22.0</v>
      </c>
      <c r="E24" s="36">
        <f t="shared" si="2"/>
        <v>13</v>
      </c>
      <c r="F24" s="73">
        <v>1.0</v>
      </c>
      <c r="G24" s="74">
        <v>3.0</v>
      </c>
      <c r="H24" s="75">
        <v>0.0</v>
      </c>
      <c r="I24" s="74">
        <v>3.0</v>
      </c>
      <c r="J24" s="74">
        <v>6.0</v>
      </c>
      <c r="K24" s="74">
        <v>3.0</v>
      </c>
      <c r="L24" s="76">
        <v>12.0</v>
      </c>
      <c r="M24" s="74">
        <v>1.0</v>
      </c>
      <c r="N24" s="31">
        <f t="shared" ref="N24:O24" si="26">C24+L24</f>
        <v>248</v>
      </c>
      <c r="O24" s="31">
        <f t="shared" si="26"/>
        <v>23</v>
      </c>
      <c r="P24" s="45" t="s">
        <v>58</v>
      </c>
      <c r="Q24" s="45" t="s">
        <v>58</v>
      </c>
      <c r="R24" s="45"/>
      <c r="S24" s="46">
        <f t="shared" si="4"/>
        <v>1</v>
      </c>
      <c r="T24" s="46"/>
      <c r="U24" s="46">
        <f t="shared" si="5"/>
        <v>6</v>
      </c>
      <c r="V24" s="46">
        <f t="shared" si="6"/>
        <v>-2</v>
      </c>
      <c r="W24" s="30">
        <f t="shared" si="9"/>
        <v>20</v>
      </c>
    </row>
    <row r="25">
      <c r="A25" s="30">
        <f t="shared" si="7"/>
        <v>21</v>
      </c>
      <c r="B25" s="28" t="s">
        <v>120</v>
      </c>
      <c r="C25" s="31">
        <v>236.0</v>
      </c>
      <c r="D25" s="31">
        <v>21.0</v>
      </c>
      <c r="E25" s="36">
        <f t="shared" si="2"/>
        <v>14.2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245</v>
      </c>
      <c r="O25" s="31">
        <f t="shared" si="27"/>
        <v>21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9</v>
      </c>
      <c r="V25" s="46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28" t="s">
        <v>34</v>
      </c>
      <c r="C26" s="31">
        <v>233.0</v>
      </c>
      <c r="D26" s="31">
        <v>20.0</v>
      </c>
      <c r="E26" s="36">
        <f t="shared" si="2"/>
        <v>16.57142857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242</v>
      </c>
      <c r="O26" s="31">
        <f t="shared" si="28"/>
        <v>20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13</v>
      </c>
      <c r="V26" s="46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43" t="s">
        <v>129</v>
      </c>
      <c r="C27" s="47">
        <v>232.0</v>
      </c>
      <c r="D27" s="31">
        <v>22.0</v>
      </c>
      <c r="E27" s="36">
        <f t="shared" si="2"/>
        <v>11.88888889</v>
      </c>
      <c r="F27" s="73">
        <v>1.0</v>
      </c>
      <c r="G27" s="74">
        <v>4.0</v>
      </c>
      <c r="H27" s="75">
        <v>0.0</v>
      </c>
      <c r="I27" s="74">
        <v>2.0</v>
      </c>
      <c r="J27" s="74">
        <v>6.0</v>
      </c>
      <c r="K27" s="74">
        <v>6.0</v>
      </c>
      <c r="L27" s="76">
        <v>14.0</v>
      </c>
      <c r="M27" s="74">
        <v>1.0</v>
      </c>
      <c r="N27" s="47">
        <f t="shared" ref="N27:O27" si="29">C27+L27</f>
        <v>246</v>
      </c>
      <c r="O27" s="31">
        <f t="shared" si="29"/>
        <v>23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2</v>
      </c>
      <c r="V27" s="46">
        <f t="shared" si="6"/>
        <v>10</v>
      </c>
      <c r="W27" s="30">
        <f t="shared" si="9"/>
        <v>23</v>
      </c>
    </row>
    <row r="28">
      <c r="A28" s="30">
        <f t="shared" si="7"/>
        <v>24</v>
      </c>
      <c r="B28" s="28" t="s">
        <v>67</v>
      </c>
      <c r="C28" s="31">
        <v>232.0</v>
      </c>
      <c r="D28" s="31">
        <v>18.0</v>
      </c>
      <c r="E28" s="36">
        <f t="shared" si="2"/>
        <v>14.33333333</v>
      </c>
      <c r="F28" s="73">
        <v>1.0</v>
      </c>
      <c r="G28" s="74">
        <v>4.0</v>
      </c>
      <c r="H28" s="75">
        <v>0.0</v>
      </c>
      <c r="I28" s="74">
        <v>6.0</v>
      </c>
      <c r="J28" s="74">
        <v>7.0</v>
      </c>
      <c r="K28" s="74">
        <v>6.0</v>
      </c>
      <c r="L28" s="76">
        <v>19.0</v>
      </c>
      <c r="M28" s="74">
        <v>3.0</v>
      </c>
      <c r="N28" s="31">
        <f t="shared" ref="N28:O28" si="30">C28+L28</f>
        <v>251</v>
      </c>
      <c r="O28" s="31">
        <f t="shared" si="30"/>
        <v>21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10</v>
      </c>
      <c r="V28" s="46">
        <f t="shared" si="6"/>
        <v>-2</v>
      </c>
      <c r="W28" s="30">
        <f t="shared" si="9"/>
        <v>24</v>
      </c>
    </row>
    <row r="29">
      <c r="A29" s="30">
        <f t="shared" si="7"/>
        <v>25</v>
      </c>
      <c r="B29" s="43" t="s">
        <v>111</v>
      </c>
      <c r="C29" s="47">
        <v>231.0</v>
      </c>
      <c r="D29" s="31">
        <v>18.0</v>
      </c>
      <c r="E29" s="36">
        <f t="shared" si="2"/>
        <v>11.9375</v>
      </c>
      <c r="F29" s="73">
        <v>1.0</v>
      </c>
      <c r="G29" s="74">
        <v>4.0</v>
      </c>
      <c r="H29" s="75">
        <v>0.0</v>
      </c>
      <c r="I29" s="74">
        <v>2.0</v>
      </c>
      <c r="J29" s="74">
        <v>7.0</v>
      </c>
      <c r="K29" s="74">
        <v>1.0</v>
      </c>
      <c r="L29" s="76">
        <v>10.0</v>
      </c>
      <c r="M29" s="74">
        <v>1.0</v>
      </c>
      <c r="N29" s="47">
        <f t="shared" ref="N29:O29" si="31">C29+L29</f>
        <v>241</v>
      </c>
      <c r="O29" s="31">
        <f t="shared" si="31"/>
        <v>19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3</v>
      </c>
      <c r="V29" s="46">
        <f t="shared" si="6"/>
        <v>-2</v>
      </c>
      <c r="W29" s="30">
        <f t="shared" si="9"/>
        <v>25</v>
      </c>
    </row>
    <row r="30">
      <c r="A30" s="30">
        <f t="shared" si="7"/>
        <v>26</v>
      </c>
      <c r="B30" s="43" t="s">
        <v>90</v>
      </c>
      <c r="C30" s="31">
        <v>230.0</v>
      </c>
      <c r="D30" s="31">
        <v>17.0</v>
      </c>
      <c r="E30" s="36">
        <f t="shared" si="2"/>
        <v>11.92307692</v>
      </c>
      <c r="F30" s="73">
        <v>2.0</v>
      </c>
      <c r="G30" s="74">
        <v>4.0</v>
      </c>
      <c r="H30" s="75">
        <v>0.0</v>
      </c>
      <c r="I30" s="74">
        <v>6.0</v>
      </c>
      <c r="J30" s="74">
        <v>6.0</v>
      </c>
      <c r="K30" s="74">
        <v>1.0</v>
      </c>
      <c r="L30" s="76">
        <v>13.0</v>
      </c>
      <c r="M30" s="74">
        <v>1.0</v>
      </c>
      <c r="N30" s="31">
        <f t="shared" ref="N30:O30" si="32">C30+L30</f>
        <v>243</v>
      </c>
      <c r="O30" s="31">
        <f t="shared" si="32"/>
        <v>18</v>
      </c>
      <c r="P30" s="45" t="s">
        <v>58</v>
      </c>
      <c r="Q30" s="45" t="s">
        <v>58</v>
      </c>
      <c r="R30" s="45"/>
      <c r="S30" s="46">
        <f t="shared" si="4"/>
        <v>3</v>
      </c>
      <c r="T30" s="46"/>
      <c r="U30" s="46">
        <f t="shared" si="5"/>
        <v>4</v>
      </c>
      <c r="V30" s="46">
        <f t="shared" si="6"/>
        <v>-2</v>
      </c>
      <c r="W30" s="30">
        <f t="shared" si="9"/>
        <v>26</v>
      </c>
    </row>
    <row r="31">
      <c r="A31" s="30">
        <f t="shared" si="7"/>
        <v>27</v>
      </c>
      <c r="B31" s="28" t="s">
        <v>119</v>
      </c>
      <c r="C31" s="31">
        <v>229.0</v>
      </c>
      <c r="D31" s="31">
        <v>20.0</v>
      </c>
      <c r="E31" s="36">
        <f t="shared" si="2"/>
        <v>12.46153846</v>
      </c>
      <c r="F31" s="73">
        <v>1.0</v>
      </c>
      <c r="G31" s="74">
        <v>5.0</v>
      </c>
      <c r="H31" s="75">
        <v>0.0</v>
      </c>
      <c r="I31" s="74">
        <v>6.0</v>
      </c>
      <c r="J31" s="74">
        <v>7.0</v>
      </c>
      <c r="K31" s="74">
        <v>1.0</v>
      </c>
      <c r="L31" s="76">
        <v>14.0</v>
      </c>
      <c r="M31" s="74">
        <v>2.0</v>
      </c>
      <c r="N31" s="31">
        <f t="shared" ref="N31:O31" si="33">C31+L31</f>
        <v>243</v>
      </c>
      <c r="O31" s="31">
        <f t="shared" si="33"/>
        <v>22</v>
      </c>
      <c r="P31" s="45" t="s">
        <v>58</v>
      </c>
      <c r="Q31" s="45" t="s">
        <v>58</v>
      </c>
      <c r="R31" s="45" t="s">
        <v>58</v>
      </c>
      <c r="S31" s="46">
        <f t="shared" si="4"/>
        <v>1</v>
      </c>
      <c r="T31" s="46"/>
      <c r="U31" s="46">
        <f t="shared" si="5"/>
        <v>6</v>
      </c>
      <c r="V31" s="46">
        <f t="shared" si="6"/>
        <v>-2</v>
      </c>
      <c r="W31" s="30">
        <f t="shared" si="9"/>
        <v>27</v>
      </c>
    </row>
    <row r="32">
      <c r="A32" s="30">
        <f t="shared" si="7"/>
        <v>28</v>
      </c>
      <c r="B32" s="28" t="s">
        <v>49</v>
      </c>
      <c r="C32" s="31">
        <v>229.0</v>
      </c>
      <c r="D32" s="31">
        <v>20.0</v>
      </c>
      <c r="E32" s="36">
        <f t="shared" si="2"/>
        <v>11.64705882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238</v>
      </c>
      <c r="O32" s="31">
        <f t="shared" si="34"/>
        <v>20</v>
      </c>
      <c r="P32" s="45" t="s">
        <v>58</v>
      </c>
      <c r="Q32" s="45" t="s">
        <v>58</v>
      </c>
      <c r="R32" s="45" t="s">
        <v>58</v>
      </c>
      <c r="S32" s="46">
        <f t="shared" si="4"/>
        <v>1</v>
      </c>
      <c r="T32" s="46"/>
      <c r="U32" s="46">
        <f t="shared" si="5"/>
        <v>2</v>
      </c>
      <c r="V32" s="46">
        <f t="shared" si="6"/>
        <v>0</v>
      </c>
      <c r="W32" s="30">
        <f t="shared" si="9"/>
        <v>28</v>
      </c>
    </row>
    <row r="33">
      <c r="A33" s="30">
        <f t="shared" si="7"/>
        <v>29</v>
      </c>
      <c r="B33" s="43" t="s">
        <v>99</v>
      </c>
      <c r="C33" s="31">
        <v>229.0</v>
      </c>
      <c r="D33" s="31">
        <v>16.0</v>
      </c>
      <c r="E33" s="36">
        <f t="shared" si="2"/>
        <v>14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238</v>
      </c>
      <c r="O33" s="31">
        <f t="shared" si="35"/>
        <v>16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10</v>
      </c>
      <c r="V33" s="46">
        <f t="shared" si="6"/>
        <v>-2</v>
      </c>
      <c r="W33" s="30">
        <f t="shared" si="9"/>
        <v>29</v>
      </c>
    </row>
    <row r="34">
      <c r="A34" s="30">
        <f t="shared" si="7"/>
        <v>30</v>
      </c>
      <c r="B34" s="28" t="s">
        <v>98</v>
      </c>
      <c r="C34" s="31">
        <v>229.0</v>
      </c>
      <c r="D34" s="31">
        <v>16.0</v>
      </c>
      <c r="E34" s="36">
        <f t="shared" si="2"/>
        <v>13.45454545</v>
      </c>
      <c r="F34" s="73">
        <v>3.0</v>
      </c>
      <c r="G34" s="74">
        <v>0.0</v>
      </c>
      <c r="H34" s="75">
        <v>9.0</v>
      </c>
      <c r="I34" s="74">
        <v>0.0</v>
      </c>
      <c r="J34" s="74">
        <v>0.0</v>
      </c>
      <c r="K34" s="74">
        <v>0.0</v>
      </c>
      <c r="L34" s="76">
        <v>9.0</v>
      </c>
      <c r="M34" s="74">
        <v>0.0</v>
      </c>
      <c r="N34" s="31">
        <f t="shared" ref="N34:O34" si="36">C34+L34</f>
        <v>238</v>
      </c>
      <c r="O34" s="31">
        <f t="shared" si="36"/>
        <v>16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9</v>
      </c>
      <c r="V34" s="46">
        <f t="shared" si="6"/>
        <v>4</v>
      </c>
      <c r="W34" s="30">
        <f t="shared" si="9"/>
        <v>30</v>
      </c>
    </row>
    <row r="35">
      <c r="A35" s="30">
        <f t="shared" si="7"/>
        <v>31</v>
      </c>
      <c r="B35" s="43" t="s">
        <v>107</v>
      </c>
      <c r="C35" s="31">
        <v>227.0</v>
      </c>
      <c r="D35" s="31">
        <v>12.0</v>
      </c>
      <c r="E35" s="36">
        <f t="shared" si="2"/>
        <v>12.30769231</v>
      </c>
      <c r="F35" s="73">
        <v>1.0</v>
      </c>
      <c r="G35" s="74">
        <v>5.0</v>
      </c>
      <c r="H35" s="75">
        <v>0.0</v>
      </c>
      <c r="I35" s="74">
        <v>6.0</v>
      </c>
      <c r="J35" s="74">
        <v>6.0</v>
      </c>
      <c r="K35" s="74">
        <v>6.0</v>
      </c>
      <c r="L35" s="76">
        <v>18.0</v>
      </c>
      <c r="M35" s="74">
        <v>2.0</v>
      </c>
      <c r="N35" s="31">
        <f t="shared" ref="N35:O35" si="37">C35+L35</f>
        <v>245</v>
      </c>
      <c r="O35" s="31">
        <f t="shared" si="37"/>
        <v>14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6</v>
      </c>
      <c r="V35" s="46">
        <f t="shared" si="6"/>
        <v>0</v>
      </c>
      <c r="W35" s="30">
        <f t="shared" si="9"/>
        <v>31</v>
      </c>
    </row>
    <row r="36">
      <c r="A36" s="30">
        <f t="shared" si="7"/>
        <v>32</v>
      </c>
      <c r="B36" s="43" t="s">
        <v>132</v>
      </c>
      <c r="C36" s="31">
        <v>226.0</v>
      </c>
      <c r="D36" s="31">
        <v>24.0</v>
      </c>
      <c r="E36" s="36">
        <f t="shared" si="2"/>
        <v>11.3</v>
      </c>
      <c r="F36" s="73">
        <v>1.0</v>
      </c>
      <c r="G36" s="74">
        <v>5.0</v>
      </c>
      <c r="H36" s="75">
        <v>0.0</v>
      </c>
      <c r="I36" s="74">
        <v>3.0</v>
      </c>
      <c r="J36" s="74">
        <v>7.0</v>
      </c>
      <c r="K36" s="74">
        <v>6.0</v>
      </c>
      <c r="L36" s="76">
        <v>16.0</v>
      </c>
      <c r="M36" s="74">
        <v>2.0</v>
      </c>
      <c r="N36" s="31">
        <f t="shared" ref="N36:O36" si="38">C36+L36</f>
        <v>242</v>
      </c>
      <c r="O36" s="31">
        <f t="shared" si="38"/>
        <v>26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43" t="s">
        <v>133</v>
      </c>
      <c r="C37" s="31">
        <v>226.0</v>
      </c>
      <c r="D37" s="31">
        <v>18.0</v>
      </c>
      <c r="E37" s="36">
        <f t="shared" si="2"/>
        <v>11.70588235</v>
      </c>
      <c r="F37" s="73">
        <v>3.0</v>
      </c>
      <c r="G37" s="74">
        <v>0.0</v>
      </c>
      <c r="H37" s="75">
        <v>9.0</v>
      </c>
      <c r="I37" s="74">
        <v>0.0</v>
      </c>
      <c r="J37" s="74">
        <v>0.0</v>
      </c>
      <c r="K37" s="74">
        <v>0.0</v>
      </c>
      <c r="L37" s="76">
        <v>9.0</v>
      </c>
      <c r="M37" s="74">
        <v>0.0</v>
      </c>
      <c r="N37" s="31">
        <f t="shared" ref="N37:O37" si="39">C37+L37</f>
        <v>235</v>
      </c>
      <c r="O37" s="31">
        <f t="shared" si="39"/>
        <v>18</v>
      </c>
      <c r="P37" s="45" t="s">
        <v>58</v>
      </c>
      <c r="Q37" s="45" t="s">
        <v>58</v>
      </c>
      <c r="R37" s="45" t="s">
        <v>58</v>
      </c>
      <c r="S37" s="46">
        <f t="shared" si="4"/>
        <v>0</v>
      </c>
      <c r="T37" s="46"/>
      <c r="U37" s="46">
        <f t="shared" si="5"/>
        <v>3</v>
      </c>
      <c r="V37" s="46">
        <f t="shared" si="6"/>
        <v>-4</v>
      </c>
      <c r="W37" s="30">
        <f t="shared" si="9"/>
        <v>33</v>
      </c>
    </row>
    <row r="38">
      <c r="A38" s="30">
        <f t="shared" si="7"/>
        <v>34</v>
      </c>
      <c r="B38" s="43" t="s">
        <v>61</v>
      </c>
      <c r="C38" s="47">
        <v>224.0</v>
      </c>
      <c r="D38" s="31">
        <v>25.0</v>
      </c>
      <c r="E38" s="36">
        <f t="shared" si="2"/>
        <v>11.31578947</v>
      </c>
      <c r="F38" s="73">
        <v>1.0</v>
      </c>
      <c r="G38" s="74">
        <v>5.0</v>
      </c>
      <c r="H38" s="75">
        <v>0.0</v>
      </c>
      <c r="I38" s="74">
        <v>3.0</v>
      </c>
      <c r="J38" s="74">
        <v>6.0</v>
      </c>
      <c r="K38" s="74">
        <v>1.0</v>
      </c>
      <c r="L38" s="76">
        <v>10.0</v>
      </c>
      <c r="M38" s="74">
        <v>1.0</v>
      </c>
      <c r="N38" s="47">
        <f t="shared" ref="N38:O38" si="40">C38+L38</f>
        <v>234</v>
      </c>
      <c r="O38" s="31">
        <f t="shared" si="40"/>
        <v>26</v>
      </c>
      <c r="P38" s="45" t="s">
        <v>58</v>
      </c>
      <c r="Q38" s="45" t="s">
        <v>58</v>
      </c>
      <c r="R38" s="45" t="s">
        <v>58</v>
      </c>
      <c r="S38" s="46">
        <f t="shared" si="4"/>
        <v>0</v>
      </c>
      <c r="T38" s="46"/>
      <c r="U38" s="46">
        <f t="shared" si="5"/>
        <v>1</v>
      </c>
      <c r="V38" s="46">
        <f t="shared" si="6"/>
        <v>2</v>
      </c>
      <c r="W38" s="30">
        <f t="shared" si="9"/>
        <v>34</v>
      </c>
    </row>
    <row r="39">
      <c r="A39" s="30">
        <f t="shared" si="7"/>
        <v>35</v>
      </c>
      <c r="B39" s="43" t="s">
        <v>56</v>
      </c>
      <c r="C39" s="31">
        <v>224.0</v>
      </c>
      <c r="D39" s="31">
        <v>20.0</v>
      </c>
      <c r="E39" s="36">
        <f t="shared" si="2"/>
        <v>11.2</v>
      </c>
      <c r="F39" s="73">
        <v>1.0</v>
      </c>
      <c r="G39" s="74">
        <v>6.0</v>
      </c>
      <c r="H39" s="75">
        <v>0.0</v>
      </c>
      <c r="I39" s="74">
        <v>6.0</v>
      </c>
      <c r="J39" s="74">
        <v>6.0</v>
      </c>
      <c r="K39" s="74">
        <v>6.0</v>
      </c>
      <c r="L39" s="76">
        <v>18.0</v>
      </c>
      <c r="M39" s="74">
        <v>3.0</v>
      </c>
      <c r="N39" s="31">
        <f t="shared" ref="N39:O39" si="41">C39+L39</f>
        <v>242</v>
      </c>
      <c r="O39" s="31">
        <f t="shared" si="41"/>
        <v>23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0</v>
      </c>
      <c r="V39" s="46">
        <f t="shared" si="6"/>
        <v>-5</v>
      </c>
      <c r="W39" s="30">
        <f t="shared" si="9"/>
        <v>35</v>
      </c>
    </row>
    <row r="40">
      <c r="A40" s="30">
        <f t="shared" si="7"/>
        <v>36</v>
      </c>
      <c r="B40" s="43" t="s">
        <v>122</v>
      </c>
      <c r="C40" s="31">
        <v>224.0</v>
      </c>
      <c r="D40" s="31">
        <v>17.0</v>
      </c>
      <c r="E40" s="36">
        <f t="shared" si="2"/>
        <v>13</v>
      </c>
      <c r="F40" s="73">
        <v>3.0</v>
      </c>
      <c r="G40" s="74">
        <v>0.0</v>
      </c>
      <c r="H40" s="75">
        <v>9.0</v>
      </c>
      <c r="I40" s="74">
        <v>0.0</v>
      </c>
      <c r="J40" s="74">
        <v>0.0</v>
      </c>
      <c r="K40" s="74">
        <v>0.0</v>
      </c>
      <c r="L40" s="76">
        <v>9.0</v>
      </c>
      <c r="M40" s="74">
        <v>0.0</v>
      </c>
      <c r="N40" s="31">
        <f t="shared" ref="N40:O40" si="42">C40+L40</f>
        <v>233</v>
      </c>
      <c r="O40" s="31">
        <f t="shared" si="42"/>
        <v>17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9</v>
      </c>
      <c r="V40" s="46">
        <f t="shared" si="6"/>
        <v>5</v>
      </c>
      <c r="W40" s="30">
        <f t="shared" si="9"/>
        <v>36</v>
      </c>
    </row>
    <row r="41">
      <c r="A41" s="30">
        <f t="shared" si="7"/>
        <v>37</v>
      </c>
      <c r="B41" s="28" t="s">
        <v>84</v>
      </c>
      <c r="C41" s="31">
        <v>221.0</v>
      </c>
      <c r="D41" s="31">
        <v>20.0</v>
      </c>
      <c r="E41" s="36">
        <f t="shared" si="2"/>
        <v>11.92857143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230</v>
      </c>
      <c r="O41" s="31">
        <f t="shared" si="43"/>
        <v>20</v>
      </c>
      <c r="P41" s="45" t="s">
        <v>58</v>
      </c>
      <c r="Q41" s="45" t="s">
        <v>58</v>
      </c>
      <c r="R41" s="45" t="s">
        <v>58</v>
      </c>
      <c r="S41" s="46">
        <f t="shared" si="4"/>
        <v>0</v>
      </c>
      <c r="T41" s="46"/>
      <c r="U41" s="46">
        <f t="shared" si="5"/>
        <v>6</v>
      </c>
      <c r="V41" s="46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48" t="s">
        <v>54</v>
      </c>
      <c r="C42" s="31">
        <v>221.0</v>
      </c>
      <c r="D42" s="31">
        <v>16.0</v>
      </c>
      <c r="E42" s="36">
        <f t="shared" si="2"/>
        <v>11.84615385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4">C42+L42</f>
        <v>230</v>
      </c>
      <c r="O42" s="31">
        <f t="shared" si="44"/>
        <v>16</v>
      </c>
      <c r="P42" s="45" t="s">
        <v>58</v>
      </c>
      <c r="Q42" s="45" t="s">
        <v>58</v>
      </c>
      <c r="R42" s="45" t="s">
        <v>58</v>
      </c>
      <c r="S42" s="46">
        <f t="shared" si="4"/>
        <v>1</v>
      </c>
      <c r="T42" s="46"/>
      <c r="U42" s="46">
        <f t="shared" si="5"/>
        <v>6</v>
      </c>
      <c r="V42" s="46">
        <f t="shared" si="6"/>
        <v>-3</v>
      </c>
      <c r="W42" s="30">
        <f t="shared" si="9"/>
        <v>38</v>
      </c>
    </row>
    <row r="43">
      <c r="A43" s="30">
        <f t="shared" si="7"/>
        <v>39</v>
      </c>
      <c r="B43" s="48" t="s">
        <v>134</v>
      </c>
      <c r="C43" s="31">
        <v>219.0</v>
      </c>
      <c r="D43" s="31">
        <v>15.0</v>
      </c>
      <c r="E43" s="36">
        <f t="shared" si="2"/>
        <v>12.5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5">C43+L43</f>
        <v>228</v>
      </c>
      <c r="O43" s="31">
        <f t="shared" si="45"/>
        <v>15</v>
      </c>
      <c r="P43" s="45" t="s">
        <v>58</v>
      </c>
      <c r="Q43" s="45" t="s">
        <v>58</v>
      </c>
      <c r="R43" s="45"/>
      <c r="S43" s="46">
        <f t="shared" si="4"/>
        <v>1</v>
      </c>
      <c r="T43" s="46"/>
      <c r="U43" s="46">
        <f t="shared" si="5"/>
        <v>9</v>
      </c>
      <c r="V43" s="46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43" t="s">
        <v>136</v>
      </c>
      <c r="C44" s="31">
        <v>217.0</v>
      </c>
      <c r="D44" s="31">
        <v>20.0</v>
      </c>
      <c r="E44" s="36">
        <f t="shared" si="2"/>
        <v>11.17647059</v>
      </c>
      <c r="F44" s="73">
        <v>1.0</v>
      </c>
      <c r="G44" s="74">
        <v>6.0</v>
      </c>
      <c r="H44" s="75">
        <v>0.0</v>
      </c>
      <c r="I44" s="74">
        <v>3.0</v>
      </c>
      <c r="J44" s="74">
        <v>3.0</v>
      </c>
      <c r="K44" s="74">
        <v>6.0</v>
      </c>
      <c r="L44" s="76">
        <v>12.0</v>
      </c>
      <c r="M44" s="74">
        <v>1.0</v>
      </c>
      <c r="N44" s="31">
        <f t="shared" ref="N44:O44" si="46">C44+L44</f>
        <v>229</v>
      </c>
      <c r="O44" s="31">
        <f t="shared" si="46"/>
        <v>21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3</v>
      </c>
      <c r="V44" s="46">
        <f t="shared" si="6"/>
        <v>6</v>
      </c>
      <c r="W44" s="30">
        <f t="shared" si="9"/>
        <v>40</v>
      </c>
    </row>
    <row r="45">
      <c r="A45" s="30">
        <f t="shared" si="7"/>
        <v>41</v>
      </c>
      <c r="B45" s="48" t="s">
        <v>125</v>
      </c>
      <c r="C45" s="31">
        <v>217.0</v>
      </c>
      <c r="D45" s="31">
        <v>15.0</v>
      </c>
      <c r="E45" s="36">
        <f t="shared" si="2"/>
        <v>10.94736842</v>
      </c>
      <c r="F45" s="73">
        <v>1.0</v>
      </c>
      <c r="G45" s="74">
        <v>6.0</v>
      </c>
      <c r="H45" s="75">
        <v>0.0</v>
      </c>
      <c r="I45" s="74">
        <v>3.0</v>
      </c>
      <c r="J45" s="74">
        <v>6.0</v>
      </c>
      <c r="K45" s="74">
        <v>0.0</v>
      </c>
      <c r="L45" s="76">
        <v>9.0</v>
      </c>
      <c r="M45" s="74">
        <v>1.0</v>
      </c>
      <c r="N45" s="31">
        <f t="shared" ref="N45:O45" si="47">C45+L45</f>
        <v>226</v>
      </c>
      <c r="O45" s="31">
        <f t="shared" si="47"/>
        <v>16</v>
      </c>
      <c r="P45" s="45" t="s">
        <v>58</v>
      </c>
      <c r="Q45" s="45" t="s">
        <v>58</v>
      </c>
      <c r="R45" s="45" t="s">
        <v>58</v>
      </c>
      <c r="S45" s="46">
        <f t="shared" si="4"/>
        <v>0</v>
      </c>
      <c r="T45" s="46"/>
      <c r="U45" s="46">
        <f t="shared" si="5"/>
        <v>1</v>
      </c>
      <c r="V45" s="46">
        <f t="shared" si="6"/>
        <v>4</v>
      </c>
      <c r="W45" s="30">
        <f t="shared" si="9"/>
        <v>41</v>
      </c>
    </row>
    <row r="46">
      <c r="A46" s="30">
        <f t="shared" si="7"/>
        <v>42</v>
      </c>
      <c r="B46" s="28" t="s">
        <v>89</v>
      </c>
      <c r="C46" s="31">
        <v>216.0</v>
      </c>
      <c r="D46" s="31">
        <v>14.0</v>
      </c>
      <c r="E46" s="36">
        <f t="shared" si="2"/>
        <v>12.11111111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225</v>
      </c>
      <c r="O46" s="31">
        <f t="shared" si="48"/>
        <v>14</v>
      </c>
      <c r="P46" s="45" t="s">
        <v>58</v>
      </c>
      <c r="Q46" s="45" t="s">
        <v>58</v>
      </c>
      <c r="R46" s="45"/>
      <c r="S46" s="46">
        <f t="shared" si="4"/>
        <v>2</v>
      </c>
      <c r="T46" s="46"/>
      <c r="U46" s="46">
        <f t="shared" si="5"/>
        <v>9</v>
      </c>
      <c r="V46" s="46">
        <f t="shared" si="6"/>
        <v>-3</v>
      </c>
      <c r="W46" s="30">
        <f t="shared" si="9"/>
        <v>42</v>
      </c>
    </row>
    <row r="47">
      <c r="A47" s="30">
        <f t="shared" si="7"/>
        <v>43</v>
      </c>
      <c r="B47" s="48" t="s">
        <v>103</v>
      </c>
      <c r="C47" s="31">
        <v>215.0</v>
      </c>
      <c r="D47" s="31">
        <v>19.0</v>
      </c>
      <c r="E47" s="36">
        <f t="shared" si="2"/>
        <v>11.1875</v>
      </c>
      <c r="F47" s="73">
        <v>1.0</v>
      </c>
      <c r="G47" s="74">
        <v>6.0</v>
      </c>
      <c r="H47" s="75">
        <v>0.0</v>
      </c>
      <c r="I47" s="74">
        <v>6.0</v>
      </c>
      <c r="J47" s="74">
        <v>3.0</v>
      </c>
      <c r="K47" s="74">
        <v>0.0</v>
      </c>
      <c r="L47" s="76">
        <v>9.0</v>
      </c>
      <c r="M47" s="74">
        <v>1.0</v>
      </c>
      <c r="N47" s="31">
        <f t="shared" ref="N47:O47" si="49">C47+L47</f>
        <v>224</v>
      </c>
      <c r="O47" s="31">
        <f t="shared" si="49"/>
        <v>20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4</v>
      </c>
      <c r="V47" s="46">
        <f t="shared" si="6"/>
        <v>1</v>
      </c>
      <c r="W47" s="30">
        <f t="shared" si="9"/>
        <v>43</v>
      </c>
    </row>
    <row r="48">
      <c r="A48" s="30">
        <f t="shared" si="7"/>
        <v>44</v>
      </c>
      <c r="B48" s="43" t="s">
        <v>62</v>
      </c>
      <c r="C48" s="31">
        <v>215.0</v>
      </c>
      <c r="D48" s="31">
        <v>14.0</v>
      </c>
      <c r="E48" s="36">
        <f t="shared" si="2"/>
        <v>13.375</v>
      </c>
      <c r="F48" s="73">
        <v>3.0</v>
      </c>
      <c r="G48" s="74">
        <v>0.0</v>
      </c>
      <c r="H48" s="75">
        <v>9.0</v>
      </c>
      <c r="I48" s="74">
        <v>0.0</v>
      </c>
      <c r="J48" s="74">
        <v>0.0</v>
      </c>
      <c r="K48" s="74">
        <v>0.0</v>
      </c>
      <c r="L48" s="76">
        <v>9.0</v>
      </c>
      <c r="M48" s="74">
        <v>0.0</v>
      </c>
      <c r="N48" s="31">
        <f t="shared" ref="N48:O48" si="50">C48+L48</f>
        <v>224</v>
      </c>
      <c r="O48" s="31">
        <f t="shared" si="50"/>
        <v>14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12</v>
      </c>
      <c r="V48" s="46">
        <f t="shared" si="6"/>
        <v>-4</v>
      </c>
      <c r="W48" s="30">
        <f t="shared" si="9"/>
        <v>44</v>
      </c>
    </row>
    <row r="49">
      <c r="A49" s="30">
        <f t="shared" si="7"/>
        <v>45</v>
      </c>
      <c r="B49" s="28" t="s">
        <v>137</v>
      </c>
      <c r="C49" s="31">
        <v>214.0</v>
      </c>
      <c r="D49" s="31">
        <v>10.0</v>
      </c>
      <c r="E49" s="36">
        <f t="shared" si="2"/>
        <v>13.33333333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1">C49+L49</f>
        <v>223</v>
      </c>
      <c r="O49" s="31">
        <f t="shared" si="51"/>
        <v>10</v>
      </c>
      <c r="P49" s="45" t="s">
        <v>58</v>
      </c>
      <c r="Q49" s="45" t="s">
        <v>58</v>
      </c>
      <c r="R49" s="45"/>
      <c r="S49" s="46">
        <f t="shared" si="4"/>
        <v>2</v>
      </c>
      <c r="T49" s="46"/>
      <c r="U49" s="46">
        <f t="shared" si="5"/>
        <v>12</v>
      </c>
      <c r="V49" s="46">
        <f t="shared" si="6"/>
        <v>-3</v>
      </c>
      <c r="W49" s="30">
        <f t="shared" si="9"/>
        <v>45</v>
      </c>
    </row>
    <row r="50">
      <c r="A50" s="30">
        <f t="shared" si="7"/>
        <v>46</v>
      </c>
      <c r="B50" s="28" t="s">
        <v>93</v>
      </c>
      <c r="C50" s="31">
        <v>212.0</v>
      </c>
      <c r="D50" s="31">
        <v>13.0</v>
      </c>
      <c r="E50" s="36">
        <f t="shared" si="2"/>
        <v>13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221</v>
      </c>
      <c r="O50" s="31">
        <f t="shared" si="52"/>
        <v>13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12</v>
      </c>
      <c r="V50" s="46">
        <f t="shared" si="6"/>
        <v>3</v>
      </c>
      <c r="W50" s="30">
        <f t="shared" si="9"/>
        <v>46</v>
      </c>
    </row>
    <row r="51">
      <c r="A51" s="30">
        <f t="shared" si="7"/>
        <v>47</v>
      </c>
      <c r="B51" s="28" t="s">
        <v>127</v>
      </c>
      <c r="C51" s="31">
        <v>212.0</v>
      </c>
      <c r="D51" s="31">
        <v>9.0</v>
      </c>
      <c r="E51" s="36">
        <f t="shared" si="2"/>
        <v>16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221</v>
      </c>
      <c r="O51" s="31">
        <f t="shared" si="53"/>
        <v>9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15</v>
      </c>
      <c r="V51" s="46">
        <f t="shared" si="6"/>
        <v>-4</v>
      </c>
      <c r="W51" s="30">
        <f t="shared" si="9"/>
        <v>47</v>
      </c>
    </row>
    <row r="52">
      <c r="A52" s="30">
        <f t="shared" si="7"/>
        <v>48</v>
      </c>
      <c r="B52" s="43" t="s">
        <v>131</v>
      </c>
      <c r="C52" s="31">
        <v>209.0</v>
      </c>
      <c r="D52" s="31">
        <v>8.0</v>
      </c>
      <c r="E52" s="36">
        <f t="shared" si="2"/>
        <v>13.16666667</v>
      </c>
      <c r="F52" s="73">
        <v>5.0</v>
      </c>
      <c r="G52" s="74">
        <v>0.0</v>
      </c>
      <c r="H52" s="75">
        <v>13.0</v>
      </c>
      <c r="I52" s="74">
        <v>0.0</v>
      </c>
      <c r="J52" s="74">
        <v>0.0</v>
      </c>
      <c r="K52" s="74">
        <v>0.0</v>
      </c>
      <c r="L52" s="76">
        <v>13.0</v>
      </c>
      <c r="M52" s="74">
        <v>0.0</v>
      </c>
      <c r="N52" s="31">
        <f t="shared" ref="N52:O52" si="54">C52+L52</f>
        <v>222</v>
      </c>
      <c r="O52" s="31">
        <f t="shared" si="54"/>
        <v>8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13</v>
      </c>
      <c r="V52" s="46">
        <f t="shared" si="6"/>
        <v>-1</v>
      </c>
      <c r="W52" s="30">
        <f t="shared" si="9"/>
        <v>48</v>
      </c>
    </row>
    <row r="53">
      <c r="A53" s="30">
        <f t="shared" si="7"/>
        <v>49</v>
      </c>
      <c r="B53" s="43" t="s">
        <v>138</v>
      </c>
      <c r="C53" s="47">
        <v>207.0</v>
      </c>
      <c r="D53" s="31">
        <v>18.0</v>
      </c>
      <c r="E53" s="36">
        <f t="shared" si="2"/>
        <v>11.25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47">
        <f t="shared" ref="N53:O53" si="55">C53+L53</f>
        <v>216</v>
      </c>
      <c r="O53" s="31">
        <f t="shared" si="55"/>
        <v>18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8</v>
      </c>
      <c r="V53" s="46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48" t="s">
        <v>70</v>
      </c>
      <c r="C54" s="31">
        <v>205.0</v>
      </c>
      <c r="D54" s="31">
        <v>11.0</v>
      </c>
      <c r="E54" s="36">
        <f t="shared" si="2"/>
        <v>10.90909091</v>
      </c>
      <c r="F54" s="73">
        <v>2.0</v>
      </c>
      <c r="G54" s="74">
        <v>7.0</v>
      </c>
      <c r="H54" s="75">
        <v>0.0</v>
      </c>
      <c r="I54" s="74">
        <v>6.0</v>
      </c>
      <c r="J54" s="74">
        <v>6.0</v>
      </c>
      <c r="K54" s="74">
        <v>6.0</v>
      </c>
      <c r="L54" s="76">
        <v>18.0</v>
      </c>
      <c r="M54" s="74">
        <v>3.0</v>
      </c>
      <c r="N54" s="31">
        <f t="shared" ref="N54:O54" si="56">C54+L54</f>
        <v>223</v>
      </c>
      <c r="O54" s="31">
        <f t="shared" si="56"/>
        <v>14</v>
      </c>
      <c r="P54" s="45" t="s">
        <v>58</v>
      </c>
      <c r="Q54" s="45" t="s">
        <v>58</v>
      </c>
      <c r="R54" s="45" t="s">
        <v>58</v>
      </c>
      <c r="S54" s="46">
        <f t="shared" si="4"/>
        <v>1</v>
      </c>
      <c r="T54" s="46"/>
      <c r="U54" s="46">
        <f t="shared" si="5"/>
        <v>8</v>
      </c>
      <c r="V54" s="46">
        <f t="shared" si="6"/>
        <v>4</v>
      </c>
      <c r="W54" s="30">
        <f t="shared" si="9"/>
        <v>50</v>
      </c>
    </row>
    <row r="55">
      <c r="A55" s="30">
        <f t="shared" si="7"/>
        <v>51</v>
      </c>
      <c r="B55" s="43" t="s">
        <v>96</v>
      </c>
      <c r="C55" s="31">
        <v>204.0</v>
      </c>
      <c r="D55" s="31">
        <v>8.0</v>
      </c>
      <c r="E55" s="36">
        <f t="shared" si="2"/>
        <v>10.45454545</v>
      </c>
      <c r="F55" s="73">
        <v>2.0</v>
      </c>
      <c r="G55" s="74">
        <v>7.0</v>
      </c>
      <c r="H55" s="75">
        <v>0.0</v>
      </c>
      <c r="I55" s="74">
        <v>3.0</v>
      </c>
      <c r="J55" s="74">
        <v>2.0</v>
      </c>
      <c r="K55" s="74">
        <v>6.0</v>
      </c>
      <c r="L55" s="76">
        <v>11.0</v>
      </c>
      <c r="M55" s="74">
        <v>1.0</v>
      </c>
      <c r="N55" s="31">
        <f t="shared" ref="N55:O55" si="57">C55+L55</f>
        <v>215</v>
      </c>
      <c r="O55" s="31">
        <f t="shared" si="57"/>
        <v>9</v>
      </c>
      <c r="P55" s="45" t="s">
        <v>58</v>
      </c>
      <c r="Q55" s="45" t="s">
        <v>58</v>
      </c>
      <c r="R55" s="45"/>
      <c r="S55" s="46">
        <f t="shared" si="4"/>
        <v>2</v>
      </c>
      <c r="T55" s="46"/>
      <c r="U55" s="46">
        <f t="shared" si="5"/>
        <v>7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3" t="s">
        <v>140</v>
      </c>
      <c r="C56" s="31">
        <v>202.0</v>
      </c>
      <c r="D56" s="31">
        <v>11.0</v>
      </c>
      <c r="E56" s="36">
        <f t="shared" si="2"/>
        <v>11.25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211</v>
      </c>
      <c r="O56" s="31">
        <f t="shared" si="58"/>
        <v>11</v>
      </c>
      <c r="P56" s="45" t="s">
        <v>58</v>
      </c>
      <c r="Q56" s="45" t="s">
        <v>58</v>
      </c>
      <c r="R56" s="45" t="s">
        <v>58</v>
      </c>
      <c r="S56" s="46">
        <f t="shared" si="4"/>
        <v>1</v>
      </c>
      <c r="T56" s="46"/>
      <c r="U56" s="46">
        <f t="shared" si="5"/>
        <v>11</v>
      </c>
      <c r="V56" s="46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28" t="s">
        <v>102</v>
      </c>
      <c r="C57" s="31">
        <v>202.0</v>
      </c>
      <c r="D57" s="31">
        <v>9.0</v>
      </c>
      <c r="E57" s="36">
        <f t="shared" si="2"/>
        <v>15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211</v>
      </c>
      <c r="O57" s="31">
        <f t="shared" si="59"/>
        <v>9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16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48" t="s">
        <v>139</v>
      </c>
      <c r="C58" s="31">
        <v>199.0</v>
      </c>
      <c r="D58" s="31">
        <v>7.0</v>
      </c>
      <c r="E58" s="36">
        <f t="shared" si="2"/>
        <v>12.75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208</v>
      </c>
      <c r="O58" s="31">
        <f t="shared" si="60"/>
        <v>7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15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190.0</v>
      </c>
      <c r="D59" s="31">
        <v>14.0</v>
      </c>
      <c r="E59" s="36">
        <f t="shared" si="2"/>
        <v>9.714285714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199</v>
      </c>
      <c r="O59" s="31">
        <f t="shared" si="61"/>
        <v>14</v>
      </c>
      <c r="P59" s="45" t="s">
        <v>58</v>
      </c>
      <c r="Q59" s="45" t="s">
        <v>58</v>
      </c>
      <c r="R59" s="45" t="s">
        <v>58</v>
      </c>
      <c r="S59" s="46">
        <f t="shared" si="4"/>
        <v>0</v>
      </c>
      <c r="T59" s="46"/>
      <c r="U59" s="46">
        <f t="shared" si="5"/>
        <v>6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187.0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196</v>
      </c>
      <c r="O60" s="31">
        <f t="shared" si="62"/>
        <v>4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14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184.0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193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16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181.0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190</v>
      </c>
      <c r="O62" s="31">
        <f t="shared" si="64"/>
        <v>8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13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177.0</v>
      </c>
      <c r="D63" s="31">
        <v>4.0</v>
      </c>
      <c r="E63" s="36">
        <f t="shared" si="2"/>
        <v>8.25</v>
      </c>
      <c r="F63" s="73">
        <v>1.0</v>
      </c>
      <c r="G63" s="74">
        <v>7.0</v>
      </c>
      <c r="H63" s="75">
        <v>0.0</v>
      </c>
      <c r="I63" s="74">
        <v>6.0</v>
      </c>
      <c r="J63" s="74">
        <v>2.0</v>
      </c>
      <c r="K63" s="74">
        <v>3.0</v>
      </c>
      <c r="L63" s="76">
        <v>11.0</v>
      </c>
      <c r="M63" s="74">
        <v>1.0</v>
      </c>
      <c r="N63" s="47">
        <f t="shared" ref="N63:O63" si="65">C63+L63</f>
        <v>188</v>
      </c>
      <c r="O63" s="31">
        <f t="shared" si="65"/>
        <v>5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16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175.0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184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19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175.0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184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1</v>
      </c>
      <c r="T65" s="46"/>
      <c r="U65" s="46">
        <f t="shared" si="5"/>
        <v>19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171.0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180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20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171.0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180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20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168.0</v>
      </c>
      <c r="D68" s="31">
        <v>3.0</v>
      </c>
      <c r="E68" s="36">
        <f t="shared" si="2"/>
        <v>7.285714286</v>
      </c>
      <c r="F68" s="73">
        <v>1.0</v>
      </c>
      <c r="G68" s="74">
        <v>7.0</v>
      </c>
      <c r="H68" s="75">
        <v>0.0</v>
      </c>
      <c r="I68" s="74">
        <v>3.0</v>
      </c>
      <c r="J68" s="74">
        <v>6.0</v>
      </c>
      <c r="K68" s="74">
        <v>3.0</v>
      </c>
      <c r="L68" s="76">
        <v>12.0</v>
      </c>
      <c r="M68" s="74">
        <v>1.0</v>
      </c>
      <c r="N68" s="31">
        <f t="shared" ref="N68:O68" si="70">C68+L68</f>
        <v>180</v>
      </c>
      <c r="O68" s="31">
        <f t="shared" si="70"/>
        <v>4</v>
      </c>
      <c r="P68" s="45" t="s">
        <v>58</v>
      </c>
      <c r="Q68" s="45" t="s">
        <v>58</v>
      </c>
      <c r="R68" s="45" t="s">
        <v>58</v>
      </c>
      <c r="S68" s="46">
        <f t="shared" si="4"/>
        <v>0</v>
      </c>
      <c r="T68" s="46"/>
      <c r="U68" s="46">
        <f t="shared" si="5"/>
        <v>13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156.0</v>
      </c>
      <c r="D69" s="31">
        <v>3.0</v>
      </c>
      <c r="E69" s="36">
        <f t="shared" si="2"/>
        <v>6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165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12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18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desc"",0)"),"Pulkit Mathur")</f>
        <v>Pulkit Mathur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IFERROR(__xludf.DUMMYFUNCTION("""COMPUTED_VALUE"""),1.0)</f>
        <v>1</v>
      </c>
      <c r="F76" s="1"/>
      <c r="L76" s="77"/>
      <c r="M76" s="78"/>
      <c r="P76" s="79" t="s">
        <v>151</v>
      </c>
      <c r="Q76" s="24"/>
      <c r="R76" s="18">
        <f>countif(R5:R69,"")</f>
        <v>46</v>
      </c>
    </row>
    <row r="77">
      <c r="A77" s="1"/>
      <c r="B77" s="43" t="str">
        <f>IFERROR(__xludf.DUMMYFUNCTION("""COMPUTED_VALUE"""),"Pavan Akkimsetty")</f>
        <v>Pavan Akkimsetty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IFERROR(__xludf.DUMMYFUNCTION("""COMPUTED_VALUE"""),2.0)</f>
        <v>2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IFERROR(__xludf.DUMMYFUNCTION("""COMPUTED_VALUE"""),"Susanta Mishra")</f>
        <v>Susanta Mishra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IFERROR(__xludf.DUMMYFUNCTION("""COMPUTED_VALUE"""),4.0)</f>
        <v>4</v>
      </c>
      <c r="F78" s="1"/>
    </row>
    <row r="79">
      <c r="A79" s="1"/>
      <c r="B79" s="43" t="str">
        <f>IFERROR(__xludf.DUMMYFUNCTION("""COMPUTED_VALUE"""),"Oscar Bonilla")</f>
        <v>Oscar Bonilla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IFERROR(__xludf.DUMMYFUNCTION("""COMPUTED_VALUE"""),3.0)</f>
        <v>3</v>
      </c>
      <c r="F79" s="1"/>
    </row>
    <row r="80">
      <c r="A80" s="1"/>
      <c r="B80" s="43" t="str">
        <f>IFERROR(__xludf.DUMMYFUNCTION("""COMPUTED_VALUE"""),"Alex Hou")</f>
        <v>Alex Hou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IFERROR(__xludf.DUMMYFUNCTION("""COMPUTED_VALUE"""),6.0)</f>
        <v>6</v>
      </c>
      <c r="F80" s="1"/>
      <c r="L80" s="33"/>
    </row>
    <row r="81">
      <c r="A81" s="1"/>
      <c r="B81" s="43" t="str">
        <f>IFERROR(__xludf.DUMMYFUNCTION("""COMPUTED_VALUE"""),"Andrew Wen")</f>
        <v>Andrew Wen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IFERROR(__xludf.DUMMYFUNCTION("""COMPUTED_VALUE"""),7.0)</f>
        <v>7</v>
      </c>
      <c r="F81" s="1"/>
      <c r="L81" s="33"/>
    </row>
    <row r="82">
      <c r="A82" s="1"/>
      <c r="B82" s="43" t="str">
        <f>IFERROR(__xludf.DUMMYFUNCTION("""COMPUTED_VALUE"""),"Herman Au")</f>
        <v>Herman Au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IFERROR(__xludf.DUMMYFUNCTION("""COMPUTED_VALUE"""),5.0)</f>
        <v>5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10"")"),"Tina Hanson")</f>
        <v>Tina Hanson</v>
      </c>
      <c r="C90" s="84">
        <f>IFERROR(__xludf.DUMMYFUNCTION("""COMPUTED_VALUE"""),10.0)</f>
        <v>10</v>
      </c>
      <c r="D90" s="84">
        <f t="shared" ref="D90:D99" si="72">VLOOKUP(B90,indirect($AB$2&amp;"!B$5:w$70"),22, false)</f>
        <v>33</v>
      </c>
      <c r="E90" s="84">
        <f t="shared" ref="E90:E99" si="73">VLOOKUP(B90,B$5:W$69,22, false)</f>
        <v>23</v>
      </c>
      <c r="F90" s="84">
        <f t="shared" ref="F90:F99" si="74">VLOOKUP(B90,indirect($AB$2&amp;"!B$5:U$70"),11, false)</f>
        <v>19</v>
      </c>
      <c r="G90" s="84">
        <f t="shared" ref="G90:G99" si="75">VLOOKUP(B90,indirect($AB$2&amp;"!B$5:U$70"),6, false)</f>
        <v>5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IFERROR(__xludf.DUMMYFUNCTION("""COMPUTED_VALUE"""),"James Phan")</f>
        <v>James Phan</v>
      </c>
      <c r="C91" s="84">
        <f>IFERROR(__xludf.DUMMYFUNCTION("""COMPUTED_VALUE"""),8.0)</f>
        <v>8</v>
      </c>
      <c r="D91" s="84">
        <f t="shared" si="72"/>
        <v>12</v>
      </c>
      <c r="E91" s="84">
        <f t="shared" si="73"/>
        <v>4</v>
      </c>
      <c r="F91" s="84">
        <f t="shared" si="74"/>
        <v>18</v>
      </c>
      <c r="G91" s="84">
        <f t="shared" si="75"/>
        <v>2</v>
      </c>
      <c r="L91" s="84" t="str">
        <f t="shared" si="76"/>
        <v>ok</v>
      </c>
    </row>
    <row r="92">
      <c r="A92" s="1"/>
      <c r="B92" s="43" t="str">
        <f>IFERROR(__xludf.DUMMYFUNCTION("""COMPUTED_VALUE"""),"Oscar Bonilla")</f>
        <v>Oscar Bonilla</v>
      </c>
      <c r="C92" s="84">
        <f>IFERROR(__xludf.DUMMYFUNCTION("""COMPUTED_VALUE"""),7.0)</f>
        <v>7</v>
      </c>
      <c r="D92" s="84">
        <f t="shared" si="72"/>
        <v>26</v>
      </c>
      <c r="E92" s="84">
        <f t="shared" si="73"/>
        <v>19</v>
      </c>
      <c r="F92" s="84">
        <f t="shared" si="74"/>
        <v>19</v>
      </c>
      <c r="G92" s="84">
        <f t="shared" si="75"/>
        <v>4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IFERROR(__xludf.DUMMYFUNCTION("""COMPUTED_VALUE"""),"Sandy Weyant")</f>
        <v>Sandy Weyant</v>
      </c>
      <c r="C93" s="84">
        <f>IFERROR(__xludf.DUMMYFUNCTION("""COMPUTED_VALUE"""),6.0)</f>
        <v>6</v>
      </c>
      <c r="D93" s="84">
        <f t="shared" si="72"/>
        <v>46</v>
      </c>
      <c r="E93" s="84">
        <f t="shared" si="73"/>
        <v>40</v>
      </c>
      <c r="F93" s="84">
        <f t="shared" si="74"/>
        <v>17</v>
      </c>
      <c r="G93" s="84">
        <f t="shared" si="75"/>
        <v>7</v>
      </c>
      <c r="L93" s="84" t="str">
        <f t="shared" si="76"/>
        <v>ok</v>
      </c>
    </row>
    <row r="94">
      <c r="A94" s="1"/>
      <c r="B94" s="43" t="str">
        <f>IFERROR(__xludf.DUMMYFUNCTION("""COMPUTED_VALUE"""),"Manish Anand")</f>
        <v>Manish Anand</v>
      </c>
      <c r="C94" s="84">
        <f>IFERROR(__xludf.DUMMYFUNCTION("""COMPUTED_VALUE"""),5.0)</f>
        <v>5</v>
      </c>
      <c r="D94" s="84">
        <f t="shared" si="72"/>
        <v>8</v>
      </c>
      <c r="E94" s="84">
        <f t="shared" si="73"/>
        <v>3</v>
      </c>
      <c r="F94" s="84">
        <f t="shared" si="74"/>
        <v>14</v>
      </c>
      <c r="G94" s="84">
        <f t="shared" si="75"/>
        <v>2</v>
      </c>
      <c r="L94" s="84" t="str">
        <f t="shared" si="76"/>
        <v>ok</v>
      </c>
    </row>
    <row r="95">
      <c r="A95" s="1"/>
      <c r="B95" s="43" t="str">
        <f>IFERROR(__xludf.DUMMYFUNCTION("""COMPUTED_VALUE"""),"Ted Shen")</f>
        <v>Ted Shen</v>
      </c>
      <c r="C95" s="84">
        <f>IFERROR(__xludf.DUMMYFUNCTION("""COMPUTED_VALUE"""),5.0)</f>
        <v>5</v>
      </c>
      <c r="D95" s="84">
        <f t="shared" si="72"/>
        <v>17</v>
      </c>
      <c r="E95" s="84">
        <f t="shared" si="73"/>
        <v>12</v>
      </c>
      <c r="F95" s="84">
        <f t="shared" si="74"/>
        <v>18</v>
      </c>
      <c r="G95" s="84">
        <f t="shared" si="75"/>
        <v>3</v>
      </c>
      <c r="L95" s="84" t="str">
        <f t="shared" si="76"/>
        <v>ok</v>
      </c>
    </row>
    <row r="96">
      <c r="A96" s="1"/>
      <c r="B96" s="43" t="str">
        <f>IFERROR(__xludf.DUMMYFUNCTION("""COMPUTED_VALUE"""),"Jim Miao")</f>
        <v>Jim Miao</v>
      </c>
      <c r="C96" s="84">
        <f>IFERROR(__xludf.DUMMYFUNCTION("""COMPUTED_VALUE"""),5.0)</f>
        <v>5</v>
      </c>
      <c r="D96" s="84">
        <f t="shared" si="72"/>
        <v>41</v>
      </c>
      <c r="E96" s="84">
        <f t="shared" si="73"/>
        <v>36</v>
      </c>
      <c r="F96" s="84">
        <f t="shared" si="74"/>
        <v>19</v>
      </c>
      <c r="G96" s="84">
        <f t="shared" si="75"/>
        <v>6</v>
      </c>
      <c r="L96" s="84" t="str">
        <f t="shared" si="76"/>
        <v>ok</v>
      </c>
    </row>
    <row r="97">
      <c r="A97" s="1"/>
      <c r="B97" s="43" t="str">
        <f>IFERROR(__xludf.DUMMYFUNCTION("""COMPUTED_VALUE"""),"Erik Hoeckmann")</f>
        <v>Erik Hoeckmann</v>
      </c>
      <c r="C97" s="84">
        <f>IFERROR(__xludf.DUMMYFUNCTION("""COMPUTED_VALUE"""),4.0)</f>
        <v>4</v>
      </c>
      <c r="D97" s="84">
        <f t="shared" si="72"/>
        <v>21</v>
      </c>
      <c r="E97" s="84">
        <f t="shared" si="73"/>
        <v>17</v>
      </c>
      <c r="F97" s="84">
        <f t="shared" si="74"/>
        <v>17</v>
      </c>
      <c r="G97" s="84">
        <f t="shared" si="75"/>
        <v>3</v>
      </c>
      <c r="L97" s="84" t="str">
        <f t="shared" si="76"/>
        <v>ok</v>
      </c>
    </row>
    <row r="98">
      <c r="A98" s="1"/>
      <c r="B98" s="43" t="str">
        <f>IFERROR(__xludf.DUMMYFUNCTION("""COMPUTED_VALUE"""),"Mauricio Palacios")</f>
        <v>Mauricio Palacios</v>
      </c>
      <c r="C98" s="84">
        <f>IFERROR(__xludf.DUMMYFUNCTION("""COMPUTED_VALUE"""),4.0)</f>
        <v>4</v>
      </c>
      <c r="D98" s="84">
        <f t="shared" si="72"/>
        <v>34</v>
      </c>
      <c r="E98" s="84">
        <f t="shared" si="73"/>
        <v>30</v>
      </c>
      <c r="F98" s="84">
        <f t="shared" si="74"/>
        <v>16</v>
      </c>
      <c r="G98" s="84">
        <f t="shared" si="75"/>
        <v>5</v>
      </c>
      <c r="L98" s="84" t="str">
        <f t="shared" si="76"/>
        <v>ok</v>
      </c>
    </row>
    <row r="99">
      <c r="A99" s="1"/>
      <c r="B99" s="43" t="str">
        <f>IFERROR(__xludf.DUMMYFUNCTION("""COMPUTED_VALUE"""),"Kumar Palakeel")</f>
        <v>Kumar Palakeel</v>
      </c>
      <c r="C99" s="84">
        <f>IFERROR(__xludf.DUMMYFUNCTION("""COMPUTED_VALUE"""),4.0)</f>
        <v>4</v>
      </c>
      <c r="D99" s="84">
        <f t="shared" si="72"/>
        <v>45</v>
      </c>
      <c r="E99" s="84">
        <f t="shared" si="73"/>
        <v>41</v>
      </c>
      <c r="F99" s="84">
        <f t="shared" si="74"/>
        <v>15</v>
      </c>
      <c r="G99" s="84">
        <f t="shared" si="75"/>
        <v>6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10"")"),"Alex Hou")</f>
        <v>Alex Hou</v>
      </c>
      <c r="C103" s="84">
        <f>IFERROR(__xludf.DUMMYFUNCTION("""COMPUTED_VALUE"""),-5.0)</f>
        <v>-5</v>
      </c>
      <c r="D103" s="84">
        <f t="shared" ref="D103:D112" si="77">VLOOKUP(B103,indirect($AB$2&amp;"!B$5:w$70"),22, false)</f>
        <v>30</v>
      </c>
      <c r="E103" s="84">
        <f t="shared" ref="E103:E112" si="78">VLOOKUP(B103,B$5:W$69,22, false)</f>
        <v>35</v>
      </c>
      <c r="F103" s="84">
        <f t="shared" ref="F103:F112" si="79">VLOOKUP(B103,indirect($AB$2&amp;"!B$5:U$70"),11, false)</f>
        <v>10</v>
      </c>
      <c r="G103" s="84">
        <f t="shared" ref="G103:G112" si="80">VLOOKUP(B103,indirect($AB$2&amp;"!B$5:U$70"),6, false)</f>
        <v>4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IFERROR(__xludf.DUMMYFUNCTION("""COMPUTED_VALUE"""),"Alejandro Mejia")</f>
        <v>Alejandro Mejia</v>
      </c>
      <c r="C104" s="84">
        <f>IFERROR(__xludf.DUMMYFUNCTION("""COMPUTED_VALUE"""),-4.0)</f>
        <v>-4</v>
      </c>
      <c r="D104" s="84">
        <f t="shared" si="77"/>
        <v>11</v>
      </c>
      <c r="E104" s="84">
        <f t="shared" si="78"/>
        <v>15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IFERROR(__xludf.DUMMYFUNCTION("""COMPUTED_VALUE"""),"Scott Li")</f>
        <v>Scott Li</v>
      </c>
      <c r="C105" s="84">
        <f>IFERROR(__xludf.DUMMYFUNCTION("""COMPUTED_VALUE"""),-4.0)</f>
        <v>-4</v>
      </c>
      <c r="D105" s="84">
        <f t="shared" si="77"/>
        <v>14</v>
      </c>
      <c r="E105" s="84">
        <f t="shared" si="78"/>
        <v>18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IFERROR(__xludf.DUMMYFUNCTION("""COMPUTED_VALUE"""),"Saravanan Veerapandian")</f>
        <v>Saravanan Veerapandian</v>
      </c>
      <c r="C106" s="84">
        <f>IFERROR(__xludf.DUMMYFUNCTION("""COMPUTED_VALUE"""),-4.0)</f>
        <v>-4</v>
      </c>
      <c r="D106" s="84">
        <f t="shared" si="77"/>
        <v>29</v>
      </c>
      <c r="E106" s="84">
        <f t="shared" si="78"/>
        <v>33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IFERROR(__xludf.DUMMYFUNCTION("""COMPUTED_VALUE"""),"Suleman Alidina")</f>
        <v>Suleman Alidina</v>
      </c>
      <c r="C107" s="84">
        <f>IFERROR(__xludf.DUMMYFUNCTION("""COMPUTED_VALUE"""),-4.0)</f>
        <v>-4</v>
      </c>
      <c r="D107" s="84">
        <f t="shared" si="77"/>
        <v>40</v>
      </c>
      <c r="E107" s="84">
        <f t="shared" si="78"/>
        <v>44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IFERROR(__xludf.DUMMYFUNCTION("""COMPUTED_VALUE"""),"Matthew Huang")</f>
        <v>Matthew Huang</v>
      </c>
      <c r="C108" s="84">
        <f>IFERROR(__xludf.DUMMYFUNCTION("""COMPUTED_VALUE"""),-4.0)</f>
        <v>-4</v>
      </c>
      <c r="D108" s="84">
        <f t="shared" si="77"/>
        <v>43</v>
      </c>
      <c r="E108" s="84">
        <f t="shared" si="78"/>
        <v>47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IFERROR(__xludf.DUMMYFUNCTION("""COMPUTED_VALUE"""),"Robert Chang")</f>
        <v>Robert Chang</v>
      </c>
      <c r="C109" s="84">
        <f>IFERROR(__xludf.DUMMYFUNCTION("""COMPUTED_VALUE"""),-3.0)</f>
        <v>-3</v>
      </c>
      <c r="D109" s="84">
        <f t="shared" si="77"/>
        <v>3</v>
      </c>
      <c r="E109" s="84">
        <f t="shared" si="78"/>
        <v>6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IFERROR(__xludf.DUMMYFUNCTION("""COMPUTED_VALUE"""),"Basudev Thoppai Vidyasankar")</f>
        <v>Basudev Thoppai Vidyasankar</v>
      </c>
      <c r="C110" s="84">
        <f>IFERROR(__xludf.DUMMYFUNCTION("""COMPUTED_VALUE"""),-3.0)</f>
        <v>-3</v>
      </c>
      <c r="D110" s="84">
        <f t="shared" si="77"/>
        <v>4</v>
      </c>
      <c r="E110" s="84">
        <f t="shared" si="78"/>
        <v>7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IFERROR(__xludf.DUMMYFUNCTION("""COMPUTED_VALUE"""),"Pavan Akkimsetty")</f>
        <v>Pavan Akkimsetty</v>
      </c>
      <c r="C111" s="84">
        <f>IFERROR(__xludf.DUMMYFUNCTION("""COMPUTED_VALUE"""),-3.0)</f>
        <v>-3</v>
      </c>
      <c r="D111" s="84">
        <f t="shared" si="77"/>
        <v>6</v>
      </c>
      <c r="E111" s="84">
        <f t="shared" si="78"/>
        <v>9</v>
      </c>
      <c r="F111" s="84">
        <f t="shared" si="79"/>
        <v>9</v>
      </c>
      <c r="G111" s="84">
        <f t="shared" si="80"/>
        <v>1</v>
      </c>
      <c r="L111" s="84" t="str">
        <f t="shared" si="81"/>
        <v>ok</v>
      </c>
    </row>
    <row r="112">
      <c r="A112" s="1"/>
      <c r="B112" s="43" t="str">
        <f>IFERROR(__xludf.DUMMYFUNCTION("""COMPUTED_VALUE"""),"Troy Wong")</f>
        <v>Troy Wong</v>
      </c>
      <c r="C112" s="84">
        <f>IFERROR(__xludf.DUMMYFUNCTION("""COMPUTED_VALUE"""),-3.0)</f>
        <v>-3</v>
      </c>
      <c r="D112" s="84">
        <f t="shared" si="77"/>
        <v>7</v>
      </c>
      <c r="E112" s="84">
        <f t="shared" si="78"/>
        <v>10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asc"")"),"Allen Zhang")</f>
        <v>Allen Zhang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IFERROR(__xludf.DUMMYFUNCTION("""COMPUTED_VALUE"""),"Andrew Wen")</f>
        <v>Andrew Wen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 t="str">
        <f>IFERROR(__xludf.DUMMYFUNCTION("""COMPUTED_VALUE"""),"Basudev Thoppai Vidyasankar")</f>
        <v>Basudev Thoppai Vidyasankar</v>
      </c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 t="str">
        <f>IFERROR(__xludf.DUMMYFUNCTION("""COMPUTED_VALUE"""),"David Shin")</f>
        <v>David Shin</v>
      </c>
      <c r="C123" s="95" t="str">
        <f>IFERROR(__xludf.DUMMYFUNCTION("""COMPUTED_VALUE"""),"Balaji Alahari")</f>
        <v>Balaji Alahari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 t="str">
        <f>IFERROR(__xludf.DUMMYFUNCTION("""COMPUTED_VALUE"""),"Jimmy Awolesi")</f>
        <v>Jimmy Awolesi</v>
      </c>
      <c r="C124" s="95" t="str">
        <f>IFERROR(__xludf.DUMMYFUNCTION("""COMPUTED_VALUE"""),"Barathi Sundaram")</f>
        <v>Barathi Sundaram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 t="str">
        <f>IFERROR(__xludf.DUMMYFUNCTION("""COMPUTED_VALUE"""),"Joyce Zhu")</f>
        <v>Joyce Zhu</v>
      </c>
      <c r="C125" s="95" t="str">
        <f>IFERROR(__xludf.DUMMYFUNCTION("""COMPUTED_VALUE"""),"Chinna Ponnaganti")</f>
        <v>Chinna Ponnaganti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 t="str">
        <f>IFERROR(__xludf.DUMMYFUNCTION("""COMPUTED_VALUE"""),"Kumar Palakeel")</f>
        <v>Kumar Palakeel</v>
      </c>
      <c r="C126" s="95" t="str">
        <f>IFERROR(__xludf.DUMMYFUNCTION("""COMPUTED_VALUE"""),"Cid Macaraeg")</f>
        <v>Cid Macaraeg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 t="str">
        <f>IFERROR(__xludf.DUMMYFUNCTION("""COMPUTED_VALUE"""),"Manish Anand")</f>
        <v>Manish Anand</v>
      </c>
      <c r="C127" s="95" t="str">
        <f>IFERROR(__xludf.DUMMYFUNCTION("""COMPUTED_VALUE"""),"Coco Yan")</f>
        <v>Coco Yan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 t="str">
        <f>IFERROR(__xludf.DUMMYFUNCTION("""COMPUTED_VALUE"""),"Naveen Raj")</f>
        <v>Naveen Raj</v>
      </c>
      <c r="C128" s="95" t="str">
        <f>IFERROR(__xludf.DUMMYFUNCTION("""COMPUTED_VALUE"""),"Elayaraja Thangaraj ")</f>
        <v>Elayaraja Thangaraj 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 t="str">
        <f>IFERROR(__xludf.DUMMYFUNCTION("""COMPUTED_VALUE"""),"Oscar Bonilla")</f>
        <v>Oscar Bonilla</v>
      </c>
      <c r="C129" s="95" t="str">
        <f>IFERROR(__xludf.DUMMYFUNCTION("""COMPUTED_VALUE"""),"Eric Pan")</f>
        <v>Eric Pan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 t="str">
        <f>IFERROR(__xludf.DUMMYFUNCTION("""COMPUTED_VALUE"""),"Pavan Akkimsetty")</f>
        <v>Pavan Akkimsetty</v>
      </c>
      <c r="C130" s="95" t="str">
        <f>IFERROR(__xludf.DUMMYFUNCTION("""COMPUTED_VALUE"""),"Eric Tan")</f>
        <v>Eric Tan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 t="str">
        <f>IFERROR(__xludf.DUMMYFUNCTION("""COMPUTED_VALUE"""),"Rajesh Dorairaj")</f>
        <v>Rajesh Dorairaj</v>
      </c>
      <c r="C131" s="95" t="str">
        <f>IFERROR(__xludf.DUMMYFUNCTION("""COMPUTED_VALUE"""),"Erik Hoeckmann")</f>
        <v>Erik Hoeckmann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 t="str">
        <f>IFERROR(__xludf.DUMMYFUNCTION("""COMPUTED_VALUE"""),"Saravanan Veerapandian")</f>
        <v>Saravanan Veerapandian</v>
      </c>
      <c r="C132" s="95" t="str">
        <f>IFERROR(__xludf.DUMMYFUNCTION("""COMPUTED_VALUE"""),"Ethan Gu")</f>
        <v>Ethan Gu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 t="str">
        <f>IFERROR(__xludf.DUMMYFUNCTION("""COMPUTED_VALUE"""),"Sean Chang")</f>
        <v>Sean Chang</v>
      </c>
      <c r="C133" s="95" t="str">
        <f>IFERROR(__xludf.DUMMYFUNCTION("""COMPUTED_VALUE"""),"Frank Moon")</f>
        <v>Frank Moon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 t="str">
        <f>IFERROR(__xludf.DUMMYFUNCTION("""COMPUTED_VALUE"""),"Ted Shen")</f>
        <v>Ted Shen</v>
      </c>
      <c r="C134" s="95" t="str">
        <f>IFERROR(__xludf.DUMMYFUNCTION("""COMPUTED_VALUE"""),"Herman Au")</f>
        <v>Herman Au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 t="str">
        <f>IFERROR(__xludf.DUMMYFUNCTION("""COMPUTED_VALUE"""),"Trish Newlin")</f>
        <v>Trish Newlin</v>
      </c>
      <c r="C135" s="95" t="str">
        <f>IFERROR(__xludf.DUMMYFUNCTION("""COMPUTED_VALUE"""),"Hongyuan Wen")</f>
        <v>Hongyuan Wen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 t="str">
        <f>IFERROR(__xludf.DUMMYFUNCTION("""COMPUTED_VALUE"""),"Vinaya Kajla")</f>
        <v>Vinaya Kajla</v>
      </c>
      <c r="C136" s="95" t="str">
        <f>IFERROR(__xludf.DUMMYFUNCTION("""COMPUTED_VALUE"""),"Hubert J Sung")</f>
        <v>Hubert J Sung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 t="str">
        <f>IFERROR(__xludf.DUMMYFUNCTION("""COMPUTED_VALUE"""),"Vishnu Amarnath")</f>
        <v>Vishnu Amarnath</v>
      </c>
      <c r="C137" s="95" t="str">
        <f>IFERROR(__xludf.DUMMYFUNCTION("""COMPUTED_VALUE"""),"James Phan")</f>
        <v>James Phan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IFERROR(__xludf.DUMMYFUNCTION("""COMPUTED_VALUE"""),"Jim Miao")</f>
        <v>Jim Miao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IFERROR(__xludf.DUMMYFUNCTION("""COMPUTED_VALUE"""),"Joe Luzzi")</f>
        <v>Joe Luzzi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IFERROR(__xludf.DUMMYFUNCTION("""COMPUTED_VALUE"""),"Jonathan Phan")</f>
        <v>Jonathan Phan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IFERROR(__xludf.DUMMYFUNCTION("""COMPUTED_VALUE"""),"Lam Bui")</f>
        <v>Lam Bui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IFERROR(__xludf.DUMMYFUNCTION("""COMPUTED_VALUE"""),"Leigh-Anh Nguyen")</f>
        <v>Leigh-Anh Nguyen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IFERROR(__xludf.DUMMYFUNCTION("""COMPUTED_VALUE"""),"Lloyd Sagar")</f>
        <v>Lloyd Sagar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IFERROR(__xludf.DUMMYFUNCTION("""COMPUTED_VALUE"""),"Luis Hsu")</f>
        <v>Luis Hsu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IFERROR(__xludf.DUMMYFUNCTION("""COMPUTED_VALUE"""),"Manuel Rivera")</f>
        <v>Manuel Rivera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IFERROR(__xludf.DUMMYFUNCTION("""COMPUTED_VALUE"""),"Matthew Huang")</f>
        <v>Matthew Huang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IFERROR(__xludf.DUMMYFUNCTION("""COMPUTED_VALUE"""),"Mauricio Palacios")</f>
        <v>Mauricio Palacios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IFERROR(__xludf.DUMMYFUNCTION("""COMPUTED_VALUE"""),"Nicole Ni")</f>
        <v>Nicole Ni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IFERROR(__xludf.DUMMYFUNCTION("""COMPUTED_VALUE"""),"Pulkit Mathur")</f>
        <v>Pulkit Mathur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IFERROR(__xludf.DUMMYFUNCTION("""COMPUTED_VALUE"""),"Rajasekar Ramasamy")</f>
        <v>Rajasekar Ramasamy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IFERROR(__xludf.DUMMYFUNCTION("""COMPUTED_VALUE"""),"Ramesh Bandaru")</f>
        <v>Ramesh Bandaru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IFERROR(__xludf.DUMMYFUNCTION("""COMPUTED_VALUE"""),"Robert Chang")</f>
        <v>Robert Chang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IFERROR(__xludf.DUMMYFUNCTION("""COMPUTED_VALUE"""),"Sandeep Kamalon")</f>
        <v>Sandeep Kamalon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IFERROR(__xludf.DUMMYFUNCTION("""COMPUTED_VALUE"""),"Sandy Weyant")</f>
        <v>Sandy Weyant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IFERROR(__xludf.DUMMYFUNCTION("""COMPUTED_VALUE"""),"Sanjaye Elayattu")</f>
        <v>Sanjaye Elayattu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IFERROR(__xludf.DUMMYFUNCTION("""COMPUTED_VALUE"""),"Santosh Sundaresan ")</f>
        <v>Santosh Sundaresan 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IFERROR(__xludf.DUMMYFUNCTION("""COMPUTED_VALUE"""),"Scott Li")</f>
        <v>Scott Li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IFERROR(__xludf.DUMMYFUNCTION("""COMPUTED_VALUE"""),"Suleman Alidina")</f>
        <v>Suleman Alidina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IFERROR(__xludf.DUMMYFUNCTION("""COMPUTED_VALUE"""),"Susanta Mishra")</f>
        <v>Susanta Mishra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IFERROR(__xludf.DUMMYFUNCTION("""COMPUTED_VALUE"""),"Tina Hanson")</f>
        <v>Tina Hanson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IFERROR(__xludf.DUMMYFUNCTION("""COMPUTED_VALUE"""),"Tom Le")</f>
        <v>Tom Le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IFERROR(__xludf.DUMMYFUNCTION("""COMPUTED_VALUE"""),"Troy Wong")</f>
        <v>Troy Wong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IFERROR(__xludf.DUMMYFUNCTION("""COMPUTED_VALUE"""),"Tyler Leong")</f>
        <v>Tyler Leong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IFERROR(__xludf.DUMMYFUNCTION("""COMPUTED_VALUE"""),"Vicki Martinet")</f>
        <v>Vicki Martinet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IFERROR(__xludf.DUMMYFUNCTION("""COMPUTED_VALUE"""),"Wayne Liu")</f>
        <v>Wayne Liu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/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/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/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/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/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/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/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/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/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/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/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/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/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/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/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/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45801.0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19.0</v>
      </c>
      <c r="E2" s="1"/>
      <c r="F2" s="1"/>
      <c r="R2" s="19"/>
      <c r="AB2" s="20" t="str">
        <f>text(C1-7,"mm/dd/yy")</f>
        <v>05/17/25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285.0</v>
      </c>
      <c r="D5" s="31">
        <v>35.0</v>
      </c>
      <c r="E5" s="36">
        <f t="shared" ref="E5:E69" si="2">if(($D$2-U5-S5)&lt;&gt;0,(C5-(U5*9)-(S5*13))/($D$2-U5-S5),0)</f>
        <v>15.11111111</v>
      </c>
      <c r="F5" s="73">
        <v>2.0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3.0</v>
      </c>
      <c r="N5" s="31">
        <f t="shared" ref="N5:O5" si="1">C5+L5</f>
        <v>303</v>
      </c>
      <c r="O5" s="31">
        <f t="shared" si="1"/>
        <v>38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97</v>
      </c>
      <c r="C6" s="31">
        <v>245.0</v>
      </c>
      <c r="D6" s="31">
        <v>22.0</v>
      </c>
      <c r="E6" s="36">
        <f t="shared" si="2"/>
        <v>13.125</v>
      </c>
      <c r="F6" s="73">
        <v>1.0</v>
      </c>
      <c r="G6" s="74">
        <v>1.0</v>
      </c>
      <c r="H6" s="75">
        <v>0.0</v>
      </c>
      <c r="I6" s="74">
        <v>6.0</v>
      </c>
      <c r="J6" s="74">
        <v>4.0</v>
      </c>
      <c r="K6" s="74">
        <v>2.0</v>
      </c>
      <c r="L6" s="76">
        <v>12.0</v>
      </c>
      <c r="M6" s="74">
        <v>1.0</v>
      </c>
      <c r="N6" s="31">
        <f t="shared" ref="N6:O6" si="3">C6+L6</f>
        <v>257</v>
      </c>
      <c r="O6" s="31">
        <f t="shared" si="3"/>
        <v>23</v>
      </c>
      <c r="P6" s="45" t="s">
        <v>58</v>
      </c>
      <c r="Q6" s="45" t="s">
        <v>58</v>
      </c>
      <c r="R6" s="45"/>
      <c r="S6" s="46">
        <f t="shared" si="4"/>
        <v>2</v>
      </c>
      <c r="T6" s="46"/>
      <c r="U6" s="46">
        <f t="shared" si="5"/>
        <v>1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117</v>
      </c>
      <c r="C7" s="31">
        <v>241.0</v>
      </c>
      <c r="D7" s="31">
        <v>24.0</v>
      </c>
      <c r="E7" s="36">
        <f t="shared" si="2"/>
        <v>15.6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250</v>
      </c>
      <c r="O7" s="31">
        <f t="shared" si="8"/>
        <v>24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8</v>
      </c>
      <c r="V7" s="46">
        <f t="shared" si="6"/>
        <v>0</v>
      </c>
      <c r="W7" s="30">
        <f t="shared" si="9"/>
        <v>3</v>
      </c>
    </row>
    <row r="8">
      <c r="A8" s="30">
        <f t="shared" si="7"/>
        <v>4</v>
      </c>
      <c r="B8" s="43" t="s">
        <v>87</v>
      </c>
      <c r="C8" s="47">
        <v>241.0</v>
      </c>
      <c r="D8" s="31">
        <v>22.0</v>
      </c>
      <c r="E8" s="36">
        <f t="shared" si="2"/>
        <v>14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47">
        <f t="shared" ref="N8:O8" si="10">C8+L8</f>
        <v>250</v>
      </c>
      <c r="O8" s="31">
        <f t="shared" si="10"/>
        <v>22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5</v>
      </c>
      <c r="V8" s="46">
        <f t="shared" si="6"/>
        <v>0</v>
      </c>
      <c r="W8" s="30">
        <f t="shared" si="9"/>
        <v>4</v>
      </c>
    </row>
    <row r="9">
      <c r="A9" s="30">
        <f t="shared" si="7"/>
        <v>5</v>
      </c>
      <c r="B9" s="43" t="s">
        <v>94</v>
      </c>
      <c r="C9" s="31">
        <v>240.0</v>
      </c>
      <c r="D9" s="31">
        <v>21.0</v>
      </c>
      <c r="E9" s="36">
        <f t="shared" si="2"/>
        <v>14.41666667</v>
      </c>
      <c r="F9" s="73">
        <v>1.0</v>
      </c>
      <c r="G9" s="74">
        <v>1.0</v>
      </c>
      <c r="H9" s="75">
        <v>0.0</v>
      </c>
      <c r="I9" s="74">
        <v>1.0</v>
      </c>
      <c r="J9" s="74">
        <v>4.0</v>
      </c>
      <c r="K9" s="74">
        <v>6.0</v>
      </c>
      <c r="L9" s="76">
        <v>11.0</v>
      </c>
      <c r="M9" s="74">
        <v>1.0</v>
      </c>
      <c r="N9" s="31">
        <f t="shared" ref="N9:O9" si="11">C9+L9</f>
        <v>251</v>
      </c>
      <c r="O9" s="31">
        <f t="shared" si="11"/>
        <v>22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6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28" t="s">
        <v>74</v>
      </c>
      <c r="C10" s="31">
        <v>239.0</v>
      </c>
      <c r="D10" s="31">
        <v>23.0</v>
      </c>
      <c r="E10" s="36">
        <f t="shared" si="2"/>
        <v>14.23076923</v>
      </c>
      <c r="F10" s="73">
        <v>1.0</v>
      </c>
      <c r="G10" s="74">
        <v>1.0</v>
      </c>
      <c r="H10" s="75">
        <v>0.0</v>
      </c>
      <c r="I10" s="74">
        <v>1.0</v>
      </c>
      <c r="J10" s="74">
        <v>6.0</v>
      </c>
      <c r="K10" s="74">
        <v>2.0</v>
      </c>
      <c r="L10" s="76">
        <v>9.0</v>
      </c>
      <c r="M10" s="74">
        <v>1.0</v>
      </c>
      <c r="N10" s="31">
        <f t="shared" ref="N10:O10" si="12">C10+L10</f>
        <v>248</v>
      </c>
      <c r="O10" s="31">
        <f t="shared" si="12"/>
        <v>24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6</v>
      </c>
      <c r="V10" s="46">
        <f t="shared" si="6"/>
        <v>0</v>
      </c>
      <c r="W10" s="30">
        <f t="shared" si="9"/>
        <v>6</v>
      </c>
    </row>
    <row r="11">
      <c r="A11" s="30">
        <f t="shared" si="7"/>
        <v>7</v>
      </c>
      <c r="B11" s="43" t="s">
        <v>130</v>
      </c>
      <c r="C11" s="31">
        <v>239.0</v>
      </c>
      <c r="D11" s="31">
        <v>20.0</v>
      </c>
      <c r="E11" s="36">
        <f t="shared" si="2"/>
        <v>15.18181818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248</v>
      </c>
      <c r="O11" s="31">
        <f t="shared" si="13"/>
        <v>20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8</v>
      </c>
      <c r="V11" s="46">
        <f t="shared" si="6"/>
        <v>5</v>
      </c>
      <c r="W11" s="30">
        <f t="shared" si="9"/>
        <v>7</v>
      </c>
    </row>
    <row r="12">
      <c r="A12" s="30">
        <f t="shared" si="7"/>
        <v>8</v>
      </c>
      <c r="B12" s="28" t="s">
        <v>101</v>
      </c>
      <c r="C12" s="31">
        <v>239.0</v>
      </c>
      <c r="D12" s="31">
        <v>20.0</v>
      </c>
      <c r="E12" s="36">
        <f t="shared" si="2"/>
        <v>13.57142857</v>
      </c>
      <c r="F12" s="73">
        <v>1.0</v>
      </c>
      <c r="G12" s="74">
        <v>2.0</v>
      </c>
      <c r="H12" s="75">
        <v>0.0</v>
      </c>
      <c r="I12" s="74">
        <v>6.0</v>
      </c>
      <c r="J12" s="74">
        <v>4.0</v>
      </c>
      <c r="K12" s="74">
        <v>4.0</v>
      </c>
      <c r="L12" s="76">
        <v>14.0</v>
      </c>
      <c r="M12" s="74">
        <v>1.0</v>
      </c>
      <c r="N12" s="31">
        <f t="shared" ref="N12:O12" si="14">C12+L12</f>
        <v>253</v>
      </c>
      <c r="O12" s="31">
        <f t="shared" si="14"/>
        <v>21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4</v>
      </c>
      <c r="V12" s="46">
        <f t="shared" si="6"/>
        <v>3</v>
      </c>
      <c r="W12" s="30">
        <f t="shared" si="9"/>
        <v>8</v>
      </c>
    </row>
    <row r="13">
      <c r="A13" s="30">
        <f t="shared" si="7"/>
        <v>9</v>
      </c>
      <c r="B13" s="43" t="s">
        <v>64</v>
      </c>
      <c r="C13" s="47">
        <v>238.0</v>
      </c>
      <c r="D13" s="31">
        <v>22.0</v>
      </c>
      <c r="E13" s="36">
        <f t="shared" si="2"/>
        <v>13.46666667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47">
        <f t="shared" ref="N13:O13" si="15">C13+L13</f>
        <v>247</v>
      </c>
      <c r="O13" s="31">
        <f t="shared" si="15"/>
        <v>22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4</v>
      </c>
      <c r="V13" s="46">
        <f t="shared" si="6"/>
        <v>-1</v>
      </c>
      <c r="W13" s="30">
        <f t="shared" si="9"/>
        <v>9</v>
      </c>
    </row>
    <row r="14">
      <c r="A14" s="30">
        <f t="shared" si="7"/>
        <v>10</v>
      </c>
      <c r="B14" s="43" t="s">
        <v>88</v>
      </c>
      <c r="C14" s="47">
        <v>236.0</v>
      </c>
      <c r="D14" s="31">
        <v>22.0</v>
      </c>
      <c r="E14" s="36">
        <f t="shared" si="2"/>
        <v>12.58823529</v>
      </c>
      <c r="F14" s="73">
        <v>1.0</v>
      </c>
      <c r="G14" s="74">
        <v>2.0</v>
      </c>
      <c r="H14" s="75">
        <v>0.0</v>
      </c>
      <c r="I14" s="74">
        <v>3.0</v>
      </c>
      <c r="J14" s="74">
        <v>4.0</v>
      </c>
      <c r="K14" s="74">
        <v>6.0</v>
      </c>
      <c r="L14" s="76">
        <v>13.0</v>
      </c>
      <c r="M14" s="74">
        <v>1.0</v>
      </c>
      <c r="N14" s="47">
        <f t="shared" ref="N14:O14" si="16">C14+L14</f>
        <v>249</v>
      </c>
      <c r="O14" s="31">
        <f t="shared" si="16"/>
        <v>23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1</v>
      </c>
      <c r="V14" s="46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28" t="s">
        <v>44</v>
      </c>
      <c r="C15" s="31">
        <v>233.0</v>
      </c>
      <c r="D15" s="31">
        <v>22.0</v>
      </c>
      <c r="E15" s="36">
        <f t="shared" si="2"/>
        <v>14.63636364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242</v>
      </c>
      <c r="O15" s="31">
        <f t="shared" si="17"/>
        <v>22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8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43" t="s">
        <v>121</v>
      </c>
      <c r="C16" s="31">
        <v>233.0</v>
      </c>
      <c r="D16" s="31">
        <v>19.0</v>
      </c>
      <c r="E16" s="36">
        <f t="shared" si="2"/>
        <v>14.8</v>
      </c>
      <c r="F16" s="73">
        <v>2.0</v>
      </c>
      <c r="G16" s="74">
        <v>2.0</v>
      </c>
      <c r="H16" s="75">
        <v>0.0</v>
      </c>
      <c r="I16" s="74">
        <v>6.0</v>
      </c>
      <c r="J16" s="74">
        <v>6.0</v>
      </c>
      <c r="K16" s="74">
        <v>6.0</v>
      </c>
      <c r="L16" s="76">
        <v>18.0</v>
      </c>
      <c r="M16" s="74">
        <v>3.0</v>
      </c>
      <c r="N16" s="31">
        <f t="shared" ref="N16:O16" si="18">C16+L16</f>
        <v>251</v>
      </c>
      <c r="O16" s="31">
        <f t="shared" si="18"/>
        <v>22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8</v>
      </c>
      <c r="V16" s="46">
        <f t="shared" si="6"/>
        <v>-2</v>
      </c>
      <c r="W16" s="30">
        <f t="shared" si="9"/>
        <v>12</v>
      </c>
    </row>
    <row r="17">
      <c r="A17" s="30">
        <f t="shared" si="7"/>
        <v>13</v>
      </c>
      <c r="B17" s="28" t="s">
        <v>92</v>
      </c>
      <c r="C17" s="31">
        <v>232.0</v>
      </c>
      <c r="D17" s="31">
        <v>21.0</v>
      </c>
      <c r="E17" s="36">
        <f t="shared" si="2"/>
        <v>14.08333333</v>
      </c>
      <c r="F17" s="73">
        <v>1.0</v>
      </c>
      <c r="G17" s="74">
        <v>2.0</v>
      </c>
      <c r="H17" s="75">
        <v>0.0</v>
      </c>
      <c r="I17" s="74">
        <v>3.0</v>
      </c>
      <c r="J17" s="74">
        <v>6.0</v>
      </c>
      <c r="K17" s="74">
        <v>4.0</v>
      </c>
      <c r="L17" s="76">
        <v>13.0</v>
      </c>
      <c r="M17" s="74">
        <v>1.0</v>
      </c>
      <c r="N17" s="31">
        <f t="shared" ref="N17:O17" si="19">C17+L17</f>
        <v>245</v>
      </c>
      <c r="O17" s="31">
        <f t="shared" si="19"/>
        <v>22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7</v>
      </c>
      <c r="V17" s="46">
        <f t="shared" si="6"/>
        <v>3</v>
      </c>
      <c r="W17" s="30">
        <f t="shared" si="9"/>
        <v>13</v>
      </c>
    </row>
    <row r="18">
      <c r="A18" s="30">
        <f t="shared" si="7"/>
        <v>14</v>
      </c>
      <c r="B18" s="48" t="s">
        <v>82</v>
      </c>
      <c r="C18" s="31">
        <v>232.0</v>
      </c>
      <c r="D18" s="31">
        <v>20.0</v>
      </c>
      <c r="E18" s="36">
        <f t="shared" si="2"/>
        <v>13.07142857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241</v>
      </c>
      <c r="O18" s="31">
        <f t="shared" si="20"/>
        <v>20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4</v>
      </c>
      <c r="V18" s="46">
        <f t="shared" si="6"/>
        <v>0</v>
      </c>
      <c r="W18" s="30">
        <f t="shared" si="9"/>
        <v>14</v>
      </c>
    </row>
    <row r="19">
      <c r="A19" s="30">
        <f t="shared" si="7"/>
        <v>15</v>
      </c>
      <c r="B19" s="28" t="s">
        <v>104</v>
      </c>
      <c r="C19" s="31">
        <v>231.0</v>
      </c>
      <c r="D19" s="31">
        <v>19.0</v>
      </c>
      <c r="E19" s="36">
        <f t="shared" si="2"/>
        <v>12.73333333</v>
      </c>
      <c r="F19" s="73">
        <v>2.0</v>
      </c>
      <c r="G19" s="74">
        <v>3.0</v>
      </c>
      <c r="H19" s="75">
        <v>0.0</v>
      </c>
      <c r="I19" s="74">
        <v>1.0</v>
      </c>
      <c r="J19" s="74">
        <v>4.0</v>
      </c>
      <c r="K19" s="74">
        <v>6.0</v>
      </c>
      <c r="L19" s="76">
        <v>11.0</v>
      </c>
      <c r="M19" s="74">
        <v>0.0</v>
      </c>
      <c r="N19" s="31">
        <f t="shared" ref="N19:O19" si="21">C19+L19</f>
        <v>242</v>
      </c>
      <c r="O19" s="31">
        <f t="shared" si="21"/>
        <v>19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3</v>
      </c>
      <c r="V19" s="46">
        <f t="shared" si="6"/>
        <v>-2</v>
      </c>
      <c r="W19" s="30">
        <f t="shared" si="9"/>
        <v>15</v>
      </c>
    </row>
    <row r="20">
      <c r="A20" s="30">
        <f t="shared" si="7"/>
        <v>16</v>
      </c>
      <c r="B20" s="28" t="s">
        <v>116</v>
      </c>
      <c r="C20" s="31">
        <v>230.0</v>
      </c>
      <c r="D20" s="31">
        <v>20.0</v>
      </c>
      <c r="E20" s="36">
        <f t="shared" si="2"/>
        <v>14</v>
      </c>
      <c r="F20" s="73">
        <v>2.0</v>
      </c>
      <c r="G20" s="74">
        <v>3.0</v>
      </c>
      <c r="H20" s="75">
        <v>0.0</v>
      </c>
      <c r="I20" s="74">
        <v>1.0</v>
      </c>
      <c r="J20" s="74">
        <v>6.0</v>
      </c>
      <c r="K20" s="74">
        <v>7.0</v>
      </c>
      <c r="L20" s="76">
        <v>14.0</v>
      </c>
      <c r="M20" s="74">
        <v>2.0</v>
      </c>
      <c r="N20" s="31">
        <f t="shared" ref="N20:O20" si="22">C20+L20</f>
        <v>244</v>
      </c>
      <c r="O20" s="31">
        <f t="shared" si="22"/>
        <v>22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7</v>
      </c>
      <c r="V20" s="46">
        <f t="shared" si="6"/>
        <v>1</v>
      </c>
      <c r="W20" s="30">
        <f t="shared" si="9"/>
        <v>16</v>
      </c>
    </row>
    <row r="21">
      <c r="A21" s="30">
        <f t="shared" si="7"/>
        <v>17</v>
      </c>
      <c r="B21" s="28" t="s">
        <v>95</v>
      </c>
      <c r="C21" s="31">
        <v>227.0</v>
      </c>
      <c r="D21" s="31">
        <v>22.0</v>
      </c>
      <c r="E21" s="36">
        <f t="shared" si="2"/>
        <v>13</v>
      </c>
      <c r="F21" s="73">
        <v>1.0</v>
      </c>
      <c r="G21" s="74">
        <v>3.0</v>
      </c>
      <c r="H21" s="75">
        <v>0.0</v>
      </c>
      <c r="I21" s="74">
        <v>6.0</v>
      </c>
      <c r="J21" s="74">
        <v>6.0</v>
      </c>
      <c r="K21" s="74">
        <v>6.0</v>
      </c>
      <c r="L21" s="76">
        <v>18.0</v>
      </c>
      <c r="M21" s="74">
        <v>2.0</v>
      </c>
      <c r="N21" s="31">
        <f t="shared" ref="N21:O21" si="23">C21+L21</f>
        <v>245</v>
      </c>
      <c r="O21" s="31">
        <f t="shared" si="23"/>
        <v>24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5</v>
      </c>
      <c r="V21" s="46">
        <f t="shared" si="6"/>
        <v>3</v>
      </c>
      <c r="W21" s="30">
        <f t="shared" si="9"/>
        <v>17</v>
      </c>
    </row>
    <row r="22">
      <c r="A22" s="30">
        <f t="shared" si="7"/>
        <v>18</v>
      </c>
      <c r="B22" s="43" t="s">
        <v>106</v>
      </c>
      <c r="C22" s="31">
        <v>227.0</v>
      </c>
      <c r="D22" s="31">
        <v>22.0</v>
      </c>
      <c r="E22" s="36">
        <f t="shared" si="2"/>
        <v>13.33333333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236</v>
      </c>
      <c r="O22" s="31">
        <f t="shared" si="24"/>
        <v>22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6</v>
      </c>
      <c r="V22" s="46">
        <f t="shared" si="6"/>
        <v>5</v>
      </c>
      <c r="W22" s="30">
        <f t="shared" si="9"/>
        <v>18</v>
      </c>
    </row>
    <row r="23">
      <c r="A23" s="30">
        <f t="shared" si="7"/>
        <v>19</v>
      </c>
      <c r="B23" s="28" t="s">
        <v>120</v>
      </c>
      <c r="C23" s="31">
        <v>227.0</v>
      </c>
      <c r="D23" s="31">
        <v>21.0</v>
      </c>
      <c r="E23" s="36">
        <f t="shared" si="2"/>
        <v>14.2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236</v>
      </c>
      <c r="O23" s="31">
        <f t="shared" si="25"/>
        <v>21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8</v>
      </c>
      <c r="V23" s="46">
        <f t="shared" si="6"/>
        <v>-4</v>
      </c>
      <c r="W23" s="30">
        <f t="shared" si="9"/>
        <v>19</v>
      </c>
    </row>
    <row r="24">
      <c r="A24" s="30">
        <f t="shared" si="7"/>
        <v>20</v>
      </c>
      <c r="B24" s="28" t="s">
        <v>34</v>
      </c>
      <c r="C24" s="31">
        <v>224.0</v>
      </c>
      <c r="D24" s="31">
        <v>20.0</v>
      </c>
      <c r="E24" s="36">
        <f t="shared" si="2"/>
        <v>16.57142857</v>
      </c>
      <c r="F24" s="73">
        <v>3.0</v>
      </c>
      <c r="G24" s="74">
        <v>0.0</v>
      </c>
      <c r="H24" s="75">
        <v>9.0</v>
      </c>
      <c r="I24" s="74">
        <v>0.0</v>
      </c>
      <c r="J24" s="74">
        <v>0.0</v>
      </c>
      <c r="K24" s="74">
        <v>0.0</v>
      </c>
      <c r="L24" s="76">
        <v>9.0</v>
      </c>
      <c r="M24" s="74">
        <v>0.0</v>
      </c>
      <c r="N24" s="31">
        <f t="shared" ref="N24:O24" si="26">C24+L24</f>
        <v>233</v>
      </c>
      <c r="O24" s="31">
        <f t="shared" si="26"/>
        <v>20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12</v>
      </c>
      <c r="V24" s="46">
        <f t="shared" si="6"/>
        <v>-2</v>
      </c>
      <c r="W24" s="30">
        <f t="shared" si="9"/>
        <v>20</v>
      </c>
    </row>
    <row r="25">
      <c r="A25" s="30">
        <f t="shared" si="7"/>
        <v>21</v>
      </c>
      <c r="B25" s="28" t="s">
        <v>105</v>
      </c>
      <c r="C25" s="31">
        <v>224.0</v>
      </c>
      <c r="D25" s="31">
        <v>20.0</v>
      </c>
      <c r="E25" s="36">
        <f t="shared" si="2"/>
        <v>12.76923077</v>
      </c>
      <c r="F25" s="73">
        <v>2.0</v>
      </c>
      <c r="G25" s="74">
        <v>3.0</v>
      </c>
      <c r="H25" s="75">
        <v>0.0</v>
      </c>
      <c r="I25" s="74">
        <v>6.0</v>
      </c>
      <c r="J25" s="74">
        <v>4.0</v>
      </c>
      <c r="K25" s="74">
        <v>7.0</v>
      </c>
      <c r="L25" s="76">
        <v>17.0</v>
      </c>
      <c r="M25" s="74">
        <v>2.0</v>
      </c>
      <c r="N25" s="31">
        <f t="shared" ref="N25:O25" si="27">C25+L25</f>
        <v>241</v>
      </c>
      <c r="O25" s="31">
        <f t="shared" si="27"/>
        <v>22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5</v>
      </c>
      <c r="V25" s="46">
        <f t="shared" si="6"/>
        <v>0</v>
      </c>
      <c r="W25" s="30">
        <f t="shared" si="9"/>
        <v>21</v>
      </c>
    </row>
    <row r="26">
      <c r="A26" s="30">
        <f t="shared" si="7"/>
        <v>22</v>
      </c>
      <c r="B26" s="28" t="s">
        <v>67</v>
      </c>
      <c r="C26" s="31">
        <v>223.0</v>
      </c>
      <c r="D26" s="31">
        <v>18.0</v>
      </c>
      <c r="E26" s="36">
        <f t="shared" si="2"/>
        <v>15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232</v>
      </c>
      <c r="O26" s="31">
        <f t="shared" si="28"/>
        <v>18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10</v>
      </c>
      <c r="V26" s="46">
        <f t="shared" si="6"/>
        <v>-3</v>
      </c>
      <c r="W26" s="30">
        <f t="shared" si="9"/>
        <v>22</v>
      </c>
    </row>
    <row r="27">
      <c r="A27" s="30">
        <f t="shared" si="7"/>
        <v>23</v>
      </c>
      <c r="B27" s="43" t="s">
        <v>111</v>
      </c>
      <c r="C27" s="47">
        <v>222.0</v>
      </c>
      <c r="D27" s="31">
        <v>18.0</v>
      </c>
      <c r="E27" s="36">
        <f t="shared" si="2"/>
        <v>12.13333333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47">
        <f t="shared" ref="N27:O27" si="29">C27+L27</f>
        <v>231</v>
      </c>
      <c r="O27" s="31">
        <f t="shared" si="29"/>
        <v>18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3</v>
      </c>
      <c r="V27" s="46">
        <f t="shared" si="6"/>
        <v>1</v>
      </c>
      <c r="W27" s="30">
        <f t="shared" si="9"/>
        <v>23</v>
      </c>
    </row>
    <row r="28">
      <c r="A28" s="30">
        <f t="shared" si="7"/>
        <v>24</v>
      </c>
      <c r="B28" s="43" t="s">
        <v>90</v>
      </c>
      <c r="C28" s="31">
        <v>221.0</v>
      </c>
      <c r="D28" s="31">
        <v>17.0</v>
      </c>
      <c r="E28" s="36">
        <f t="shared" si="2"/>
        <v>12.16666667</v>
      </c>
      <c r="F28" s="73">
        <v>3.0</v>
      </c>
      <c r="G28" s="74">
        <v>0.0</v>
      </c>
      <c r="H28" s="75">
        <v>9.0</v>
      </c>
      <c r="I28" s="74">
        <v>0.0</v>
      </c>
      <c r="J28" s="74">
        <v>0.0</v>
      </c>
      <c r="K28" s="74">
        <v>0.0</v>
      </c>
      <c r="L28" s="76">
        <v>9.0</v>
      </c>
      <c r="M28" s="74">
        <v>0.0</v>
      </c>
      <c r="N28" s="31">
        <f t="shared" ref="N28:O28" si="30">C28+L28</f>
        <v>230</v>
      </c>
      <c r="O28" s="31">
        <f t="shared" si="30"/>
        <v>17</v>
      </c>
      <c r="P28" s="45" t="s">
        <v>58</v>
      </c>
      <c r="Q28" s="45" t="s">
        <v>58</v>
      </c>
      <c r="R28" s="45"/>
      <c r="S28" s="46">
        <f t="shared" si="4"/>
        <v>3</v>
      </c>
      <c r="T28" s="46"/>
      <c r="U28" s="46">
        <f t="shared" si="5"/>
        <v>4</v>
      </c>
      <c r="V28" s="46">
        <f t="shared" si="6"/>
        <v>1</v>
      </c>
      <c r="W28" s="30">
        <f t="shared" si="9"/>
        <v>24</v>
      </c>
    </row>
    <row r="29">
      <c r="A29" s="30">
        <f t="shared" si="7"/>
        <v>25</v>
      </c>
      <c r="B29" s="28" t="s">
        <v>119</v>
      </c>
      <c r="C29" s="31">
        <v>220.0</v>
      </c>
      <c r="D29" s="31">
        <v>20.0</v>
      </c>
      <c r="E29" s="36">
        <f t="shared" si="2"/>
        <v>12.75</v>
      </c>
      <c r="F29" s="73">
        <v>3.0</v>
      </c>
      <c r="G29" s="74">
        <v>0.0</v>
      </c>
      <c r="H29" s="75">
        <v>9.0</v>
      </c>
      <c r="I29" s="74">
        <v>0.0</v>
      </c>
      <c r="J29" s="74">
        <v>0.0</v>
      </c>
      <c r="K29" s="74">
        <v>0.0</v>
      </c>
      <c r="L29" s="76">
        <v>9.0</v>
      </c>
      <c r="M29" s="74">
        <v>0.0</v>
      </c>
      <c r="N29" s="31">
        <f t="shared" ref="N29:O29" si="31">C29+L29</f>
        <v>229</v>
      </c>
      <c r="O29" s="31">
        <f t="shared" si="31"/>
        <v>20</v>
      </c>
      <c r="P29" s="45" t="s">
        <v>58</v>
      </c>
      <c r="Q29" s="45" t="s">
        <v>58</v>
      </c>
      <c r="R29" s="45" t="s">
        <v>58</v>
      </c>
      <c r="S29" s="46">
        <f t="shared" si="4"/>
        <v>1</v>
      </c>
      <c r="T29" s="46"/>
      <c r="U29" s="46">
        <f t="shared" si="5"/>
        <v>6</v>
      </c>
      <c r="V29" s="46">
        <f t="shared" si="6"/>
        <v>4</v>
      </c>
      <c r="W29" s="30">
        <f t="shared" si="9"/>
        <v>25</v>
      </c>
    </row>
    <row r="30">
      <c r="A30" s="30">
        <f t="shared" si="7"/>
        <v>26</v>
      </c>
      <c r="B30" s="28" t="s">
        <v>128</v>
      </c>
      <c r="C30" s="31">
        <v>220.0</v>
      </c>
      <c r="D30" s="31">
        <v>19.0</v>
      </c>
      <c r="E30" s="36">
        <f t="shared" si="2"/>
        <v>14.44444444</v>
      </c>
      <c r="F30" s="73">
        <v>1.0</v>
      </c>
      <c r="G30" s="74">
        <v>4.0</v>
      </c>
      <c r="H30" s="75">
        <v>0.0</v>
      </c>
      <c r="I30" s="74">
        <v>7.0</v>
      </c>
      <c r="J30" s="74">
        <v>6.0</v>
      </c>
      <c r="K30" s="74">
        <v>6.0</v>
      </c>
      <c r="L30" s="76">
        <v>19.0</v>
      </c>
      <c r="M30" s="74">
        <v>3.0</v>
      </c>
      <c r="N30" s="31">
        <f t="shared" ref="N30:O30" si="32">C30+L30</f>
        <v>239</v>
      </c>
      <c r="O30" s="31">
        <f t="shared" si="32"/>
        <v>22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10</v>
      </c>
      <c r="V30" s="46">
        <f t="shared" si="6"/>
        <v>8</v>
      </c>
      <c r="W30" s="30">
        <f t="shared" si="9"/>
        <v>26</v>
      </c>
    </row>
    <row r="31">
      <c r="A31" s="30">
        <f t="shared" si="7"/>
        <v>27</v>
      </c>
      <c r="B31" s="43" t="s">
        <v>99</v>
      </c>
      <c r="C31" s="31">
        <v>220.0</v>
      </c>
      <c r="D31" s="31">
        <v>16.0</v>
      </c>
      <c r="E31" s="36">
        <f t="shared" si="2"/>
        <v>14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229</v>
      </c>
      <c r="O31" s="31">
        <f t="shared" si="33"/>
        <v>16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9</v>
      </c>
      <c r="V31" s="46">
        <f t="shared" si="6"/>
        <v>-1</v>
      </c>
      <c r="W31" s="30">
        <f t="shared" si="9"/>
        <v>27</v>
      </c>
    </row>
    <row r="32">
      <c r="A32" s="30">
        <f t="shared" si="7"/>
        <v>28</v>
      </c>
      <c r="B32" s="28" t="s">
        <v>49</v>
      </c>
      <c r="C32" s="31">
        <v>217.0</v>
      </c>
      <c r="D32" s="31">
        <v>19.0</v>
      </c>
      <c r="E32" s="36">
        <f t="shared" si="2"/>
        <v>11.47058824</v>
      </c>
      <c r="F32" s="73">
        <v>1.0</v>
      </c>
      <c r="G32" s="74">
        <v>4.0</v>
      </c>
      <c r="H32" s="75">
        <v>0.0</v>
      </c>
      <c r="I32" s="74">
        <v>5.0</v>
      </c>
      <c r="J32" s="74">
        <v>6.0</v>
      </c>
      <c r="K32" s="74">
        <v>1.0</v>
      </c>
      <c r="L32" s="76">
        <v>12.0</v>
      </c>
      <c r="M32" s="74">
        <v>1.0</v>
      </c>
      <c r="N32" s="31">
        <f t="shared" ref="N32:O32" si="34">C32+L32</f>
        <v>229</v>
      </c>
      <c r="O32" s="31">
        <f t="shared" si="34"/>
        <v>20</v>
      </c>
      <c r="P32" s="45" t="s">
        <v>58</v>
      </c>
      <c r="Q32" s="45" t="s">
        <v>58</v>
      </c>
      <c r="R32" s="45" t="s">
        <v>58</v>
      </c>
      <c r="S32" s="46">
        <f t="shared" si="4"/>
        <v>1</v>
      </c>
      <c r="T32" s="46"/>
      <c r="U32" s="46">
        <f t="shared" si="5"/>
        <v>1</v>
      </c>
      <c r="V32" s="46">
        <f t="shared" si="6"/>
        <v>4</v>
      </c>
      <c r="W32" s="30">
        <f t="shared" si="9"/>
        <v>28</v>
      </c>
    </row>
    <row r="33">
      <c r="A33" s="30">
        <f t="shared" si="7"/>
        <v>29</v>
      </c>
      <c r="B33" s="43" t="s">
        <v>133</v>
      </c>
      <c r="C33" s="31">
        <v>217.0</v>
      </c>
      <c r="D33" s="31">
        <v>18.0</v>
      </c>
      <c r="E33" s="36">
        <f t="shared" si="2"/>
        <v>11.70588235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226</v>
      </c>
      <c r="O33" s="31">
        <f t="shared" si="35"/>
        <v>18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2</v>
      </c>
      <c r="V33" s="46">
        <f t="shared" si="6"/>
        <v>4</v>
      </c>
      <c r="W33" s="30">
        <f t="shared" si="9"/>
        <v>29</v>
      </c>
    </row>
    <row r="34">
      <c r="A34" s="30">
        <f t="shared" si="7"/>
        <v>30</v>
      </c>
      <c r="B34" s="43" t="s">
        <v>56</v>
      </c>
      <c r="C34" s="31">
        <v>214.0</v>
      </c>
      <c r="D34" s="31">
        <v>19.0</v>
      </c>
      <c r="E34" s="36">
        <f t="shared" si="2"/>
        <v>11.26315789</v>
      </c>
      <c r="F34" s="73">
        <v>1.0</v>
      </c>
      <c r="G34" s="74">
        <v>4.0</v>
      </c>
      <c r="H34" s="75">
        <v>0.0</v>
      </c>
      <c r="I34" s="74">
        <v>7.0</v>
      </c>
      <c r="J34" s="74">
        <v>2.0</v>
      </c>
      <c r="K34" s="74">
        <v>1.0</v>
      </c>
      <c r="L34" s="76">
        <v>10.0</v>
      </c>
      <c r="M34" s="74">
        <v>1.0</v>
      </c>
      <c r="N34" s="31">
        <f t="shared" ref="N34:O34" si="36">C34+L34</f>
        <v>224</v>
      </c>
      <c r="O34" s="31">
        <f t="shared" si="36"/>
        <v>20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0</v>
      </c>
      <c r="V34" s="46">
        <f t="shared" si="6"/>
        <v>-8</v>
      </c>
      <c r="W34" s="30">
        <f t="shared" si="9"/>
        <v>30</v>
      </c>
    </row>
    <row r="35">
      <c r="A35" s="30">
        <f t="shared" si="7"/>
        <v>31</v>
      </c>
      <c r="B35" s="43" t="s">
        <v>107</v>
      </c>
      <c r="C35" s="31">
        <v>214.0</v>
      </c>
      <c r="D35" s="31">
        <v>11.0</v>
      </c>
      <c r="E35" s="36">
        <f t="shared" si="2"/>
        <v>12.25</v>
      </c>
      <c r="F35" s="73">
        <v>2.0</v>
      </c>
      <c r="G35" s="74">
        <v>4.0</v>
      </c>
      <c r="H35" s="75">
        <v>0.0</v>
      </c>
      <c r="I35" s="74">
        <v>5.0</v>
      </c>
      <c r="J35" s="74">
        <v>2.0</v>
      </c>
      <c r="K35" s="74">
        <v>6.0</v>
      </c>
      <c r="L35" s="76">
        <v>13.0</v>
      </c>
      <c r="M35" s="74">
        <v>1.0</v>
      </c>
      <c r="N35" s="31">
        <f t="shared" ref="N35:O35" si="37">C35+L35</f>
        <v>227</v>
      </c>
      <c r="O35" s="31">
        <f t="shared" si="37"/>
        <v>12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6</v>
      </c>
      <c r="V35" s="46">
        <f t="shared" si="6"/>
        <v>-4</v>
      </c>
      <c r="W35" s="30">
        <f t="shared" si="9"/>
        <v>31</v>
      </c>
    </row>
    <row r="36">
      <c r="A36" s="30">
        <f t="shared" si="7"/>
        <v>32</v>
      </c>
      <c r="B36" s="43" t="s">
        <v>132</v>
      </c>
      <c r="C36" s="31">
        <v>213.0</v>
      </c>
      <c r="D36" s="31">
        <v>23.0</v>
      </c>
      <c r="E36" s="36">
        <f t="shared" si="2"/>
        <v>11.21052632</v>
      </c>
      <c r="F36" s="73">
        <v>1.0</v>
      </c>
      <c r="G36" s="74">
        <v>5.0</v>
      </c>
      <c r="H36" s="75">
        <v>0.0</v>
      </c>
      <c r="I36" s="74">
        <v>2.0</v>
      </c>
      <c r="J36" s="74">
        <v>4.0</v>
      </c>
      <c r="K36" s="74">
        <v>7.0</v>
      </c>
      <c r="L36" s="76">
        <v>13.0</v>
      </c>
      <c r="M36" s="74">
        <v>1.0</v>
      </c>
      <c r="N36" s="31">
        <f t="shared" ref="N36:O36" si="38">C36+L36</f>
        <v>226</v>
      </c>
      <c r="O36" s="31">
        <f t="shared" si="38"/>
        <v>24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4</v>
      </c>
      <c r="W36" s="30">
        <f t="shared" si="9"/>
        <v>32</v>
      </c>
    </row>
    <row r="37">
      <c r="A37" s="30">
        <f t="shared" si="7"/>
        <v>33</v>
      </c>
      <c r="B37" s="43" t="s">
        <v>129</v>
      </c>
      <c r="C37" s="47">
        <v>213.0</v>
      </c>
      <c r="D37" s="31">
        <v>19.0</v>
      </c>
      <c r="E37" s="36">
        <f t="shared" si="2"/>
        <v>11.47058824</v>
      </c>
      <c r="F37" s="73">
        <v>1.0</v>
      </c>
      <c r="G37" s="74">
        <v>5.0</v>
      </c>
      <c r="H37" s="75">
        <v>0.0</v>
      </c>
      <c r="I37" s="74">
        <v>6.0</v>
      </c>
      <c r="J37" s="74">
        <v>6.0</v>
      </c>
      <c r="K37" s="74">
        <v>7.0</v>
      </c>
      <c r="L37" s="76">
        <v>19.0</v>
      </c>
      <c r="M37" s="74">
        <v>3.0</v>
      </c>
      <c r="N37" s="47">
        <f t="shared" ref="N37:O37" si="39">C37+L37</f>
        <v>232</v>
      </c>
      <c r="O37" s="31">
        <f t="shared" si="39"/>
        <v>22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2</v>
      </c>
      <c r="V37" s="46">
        <f t="shared" si="6"/>
        <v>-5</v>
      </c>
      <c r="W37" s="30">
        <f t="shared" si="9"/>
        <v>33</v>
      </c>
    </row>
    <row r="38">
      <c r="A38" s="30">
        <f t="shared" si="7"/>
        <v>34</v>
      </c>
      <c r="B38" s="28" t="s">
        <v>98</v>
      </c>
      <c r="C38" s="31">
        <v>213.0</v>
      </c>
      <c r="D38" s="31">
        <v>15.0</v>
      </c>
      <c r="E38" s="36">
        <f t="shared" si="2"/>
        <v>12.81818182</v>
      </c>
      <c r="F38" s="73">
        <v>2.0</v>
      </c>
      <c r="G38" s="74">
        <v>5.0</v>
      </c>
      <c r="H38" s="75">
        <v>0.0</v>
      </c>
      <c r="I38" s="74">
        <v>6.0</v>
      </c>
      <c r="J38" s="74">
        <v>4.0</v>
      </c>
      <c r="K38" s="74">
        <v>6.0</v>
      </c>
      <c r="L38" s="76">
        <v>16.0</v>
      </c>
      <c r="M38" s="74">
        <v>1.0</v>
      </c>
      <c r="N38" s="31">
        <f t="shared" ref="N38:O38" si="40">C38+L38</f>
        <v>229</v>
      </c>
      <c r="O38" s="31">
        <f t="shared" si="40"/>
        <v>16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8</v>
      </c>
      <c r="V38" s="46">
        <f t="shared" si="6"/>
        <v>-3</v>
      </c>
      <c r="W38" s="30">
        <f t="shared" si="9"/>
        <v>34</v>
      </c>
    </row>
    <row r="39">
      <c r="A39" s="30">
        <f t="shared" si="7"/>
        <v>35</v>
      </c>
      <c r="B39" s="48" t="s">
        <v>54</v>
      </c>
      <c r="C39" s="31">
        <v>212.0</v>
      </c>
      <c r="D39" s="31">
        <v>16.0</v>
      </c>
      <c r="E39" s="36">
        <f t="shared" si="2"/>
        <v>11.84615385</v>
      </c>
      <c r="F39" s="73">
        <v>3.0</v>
      </c>
      <c r="G39" s="74">
        <v>0.0</v>
      </c>
      <c r="H39" s="75">
        <v>9.0</v>
      </c>
      <c r="I39" s="74">
        <v>0.0</v>
      </c>
      <c r="J39" s="74">
        <v>0.0</v>
      </c>
      <c r="K39" s="74">
        <v>0.0</v>
      </c>
      <c r="L39" s="76">
        <v>9.0</v>
      </c>
      <c r="M39" s="74">
        <v>0.0</v>
      </c>
      <c r="N39" s="31">
        <f t="shared" ref="N39:O39" si="41">C39+L39</f>
        <v>221</v>
      </c>
      <c r="O39" s="31">
        <f t="shared" si="41"/>
        <v>16</v>
      </c>
      <c r="P39" s="45" t="s">
        <v>58</v>
      </c>
      <c r="Q39" s="45" t="s">
        <v>58</v>
      </c>
      <c r="R39" s="45"/>
      <c r="S39" s="46">
        <f t="shared" si="4"/>
        <v>1</v>
      </c>
      <c r="T39" s="46"/>
      <c r="U39" s="46">
        <f t="shared" si="5"/>
        <v>5</v>
      </c>
      <c r="V39" s="46">
        <f t="shared" si="6"/>
        <v>-5</v>
      </c>
      <c r="W39" s="30">
        <f t="shared" si="9"/>
        <v>35</v>
      </c>
    </row>
    <row r="40">
      <c r="A40" s="30">
        <f t="shared" si="7"/>
        <v>36</v>
      </c>
      <c r="B40" s="43" t="s">
        <v>61</v>
      </c>
      <c r="C40" s="47">
        <v>210.0</v>
      </c>
      <c r="D40" s="31">
        <v>24.0</v>
      </c>
      <c r="E40" s="36">
        <f t="shared" si="2"/>
        <v>11.16666667</v>
      </c>
      <c r="F40" s="73">
        <v>1.0</v>
      </c>
      <c r="G40" s="74">
        <v>5.0</v>
      </c>
      <c r="H40" s="75">
        <v>0.0</v>
      </c>
      <c r="I40" s="74">
        <v>2.0</v>
      </c>
      <c r="J40" s="74">
        <v>6.0</v>
      </c>
      <c r="K40" s="74">
        <v>6.0</v>
      </c>
      <c r="L40" s="76">
        <v>14.0</v>
      </c>
      <c r="M40" s="74">
        <v>1.0</v>
      </c>
      <c r="N40" s="47">
        <f t="shared" ref="N40:O40" si="42">C40+L40</f>
        <v>224</v>
      </c>
      <c r="O40" s="31">
        <f t="shared" si="42"/>
        <v>25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</v>
      </c>
      <c r="V40" s="46">
        <f t="shared" si="6"/>
        <v>-1</v>
      </c>
      <c r="W40" s="30">
        <f t="shared" si="9"/>
        <v>36</v>
      </c>
    </row>
    <row r="41">
      <c r="A41" s="30">
        <f t="shared" si="7"/>
        <v>37</v>
      </c>
      <c r="B41" s="28" t="s">
        <v>84</v>
      </c>
      <c r="C41" s="31">
        <v>210.0</v>
      </c>
      <c r="D41" s="31">
        <v>19.0</v>
      </c>
      <c r="E41" s="36">
        <f t="shared" si="2"/>
        <v>11.78571429</v>
      </c>
      <c r="F41" s="73">
        <v>2.0</v>
      </c>
      <c r="G41" s="74">
        <v>6.0</v>
      </c>
      <c r="H41" s="75">
        <v>0.0</v>
      </c>
      <c r="I41" s="74">
        <v>7.0</v>
      </c>
      <c r="J41" s="74">
        <v>3.0</v>
      </c>
      <c r="K41" s="74">
        <v>1.0</v>
      </c>
      <c r="L41" s="76">
        <v>11.0</v>
      </c>
      <c r="M41" s="74">
        <v>1.0</v>
      </c>
      <c r="N41" s="31">
        <f t="shared" ref="N41:O41" si="43">C41+L41</f>
        <v>221</v>
      </c>
      <c r="O41" s="31">
        <f t="shared" si="43"/>
        <v>20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5</v>
      </c>
      <c r="V41" s="46">
        <f t="shared" si="6"/>
        <v>1</v>
      </c>
      <c r="W41" s="30">
        <f t="shared" si="9"/>
        <v>37</v>
      </c>
    </row>
    <row r="42">
      <c r="A42" s="30">
        <f t="shared" si="7"/>
        <v>38</v>
      </c>
      <c r="B42" s="48" t="s">
        <v>134</v>
      </c>
      <c r="C42" s="31">
        <v>210.0</v>
      </c>
      <c r="D42" s="31">
        <v>15.0</v>
      </c>
      <c r="E42" s="36">
        <f t="shared" si="2"/>
        <v>12.5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4">C42+L42</f>
        <v>219</v>
      </c>
      <c r="O42" s="31">
        <f t="shared" si="44"/>
        <v>15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8</v>
      </c>
      <c r="V42" s="46">
        <f t="shared" si="6"/>
        <v>-1</v>
      </c>
      <c r="W42" s="30">
        <f t="shared" si="9"/>
        <v>38</v>
      </c>
    </row>
    <row r="43">
      <c r="A43" s="30">
        <f t="shared" si="7"/>
        <v>39</v>
      </c>
      <c r="B43" s="28" t="s">
        <v>89</v>
      </c>
      <c r="C43" s="31">
        <v>207.0</v>
      </c>
      <c r="D43" s="31">
        <v>14.0</v>
      </c>
      <c r="E43" s="36">
        <f t="shared" si="2"/>
        <v>12.11111111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5">C43+L43</f>
        <v>216</v>
      </c>
      <c r="O43" s="31">
        <f t="shared" si="45"/>
        <v>14</v>
      </c>
      <c r="P43" s="45" t="s">
        <v>58</v>
      </c>
      <c r="Q43" s="45" t="s">
        <v>58</v>
      </c>
      <c r="R43" s="45"/>
      <c r="S43" s="46">
        <f t="shared" si="4"/>
        <v>2</v>
      </c>
      <c r="T43" s="46"/>
      <c r="U43" s="46">
        <f t="shared" si="5"/>
        <v>8</v>
      </c>
      <c r="V43" s="46">
        <f t="shared" si="6"/>
        <v>0</v>
      </c>
      <c r="W43" s="30">
        <f t="shared" si="9"/>
        <v>39</v>
      </c>
    </row>
    <row r="44">
      <c r="A44" s="30">
        <f t="shared" si="7"/>
        <v>40</v>
      </c>
      <c r="B44" s="43" t="s">
        <v>62</v>
      </c>
      <c r="C44" s="31">
        <v>206.0</v>
      </c>
      <c r="D44" s="31">
        <v>14.0</v>
      </c>
      <c r="E44" s="36">
        <f t="shared" si="2"/>
        <v>13.375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6">C44+L44</f>
        <v>215</v>
      </c>
      <c r="O44" s="31">
        <f t="shared" si="46"/>
        <v>14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11</v>
      </c>
      <c r="V44" s="46">
        <f t="shared" si="6"/>
        <v>0</v>
      </c>
      <c r="W44" s="30">
        <f t="shared" si="9"/>
        <v>40</v>
      </c>
    </row>
    <row r="45">
      <c r="A45" s="30">
        <f t="shared" si="7"/>
        <v>41</v>
      </c>
      <c r="B45" s="43" t="s">
        <v>122</v>
      </c>
      <c r="C45" s="31">
        <v>205.0</v>
      </c>
      <c r="D45" s="31">
        <v>14.0</v>
      </c>
      <c r="E45" s="36">
        <f t="shared" si="2"/>
        <v>12.09090909</v>
      </c>
      <c r="F45" s="73">
        <v>1.0</v>
      </c>
      <c r="G45" s="74">
        <v>6.0</v>
      </c>
      <c r="H45" s="75">
        <v>0.0</v>
      </c>
      <c r="I45" s="74">
        <v>7.0</v>
      </c>
      <c r="J45" s="74">
        <v>6.0</v>
      </c>
      <c r="K45" s="74">
        <v>6.0</v>
      </c>
      <c r="L45" s="76">
        <v>19.0</v>
      </c>
      <c r="M45" s="74">
        <v>3.0</v>
      </c>
      <c r="N45" s="31">
        <f t="shared" ref="N45:O45" si="47">C45+L45</f>
        <v>224</v>
      </c>
      <c r="O45" s="31">
        <f t="shared" si="47"/>
        <v>17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8</v>
      </c>
      <c r="V45" s="46">
        <f t="shared" si="6"/>
        <v>2</v>
      </c>
      <c r="W45" s="30">
        <f t="shared" si="9"/>
        <v>41</v>
      </c>
    </row>
    <row r="46">
      <c r="A46" s="30">
        <f t="shared" si="7"/>
        <v>42</v>
      </c>
      <c r="B46" s="28" t="s">
        <v>137</v>
      </c>
      <c r="C46" s="31">
        <v>205.0</v>
      </c>
      <c r="D46" s="31">
        <v>10.0</v>
      </c>
      <c r="E46" s="36">
        <f t="shared" si="2"/>
        <v>13.33333333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214</v>
      </c>
      <c r="O46" s="31">
        <f t="shared" si="48"/>
        <v>10</v>
      </c>
      <c r="P46" s="45" t="s">
        <v>58</v>
      </c>
      <c r="Q46" s="45" t="s">
        <v>58</v>
      </c>
      <c r="R46" s="45"/>
      <c r="S46" s="46">
        <f t="shared" si="4"/>
        <v>2</v>
      </c>
      <c r="T46" s="46"/>
      <c r="U46" s="46">
        <f t="shared" si="5"/>
        <v>11</v>
      </c>
      <c r="V46" s="46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28" t="s">
        <v>127</v>
      </c>
      <c r="C47" s="31">
        <v>203.0</v>
      </c>
      <c r="D47" s="31">
        <v>9.0</v>
      </c>
      <c r="E47" s="36">
        <f t="shared" si="2"/>
        <v>16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212</v>
      </c>
      <c r="O47" s="31">
        <f t="shared" si="49"/>
        <v>9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14</v>
      </c>
      <c r="V47" s="46">
        <f t="shared" si="6"/>
        <v>7</v>
      </c>
      <c r="W47" s="30">
        <f t="shared" si="9"/>
        <v>43</v>
      </c>
    </row>
    <row r="48">
      <c r="A48" s="30">
        <f t="shared" si="7"/>
        <v>44</v>
      </c>
      <c r="B48" s="48" t="s">
        <v>103</v>
      </c>
      <c r="C48" s="31">
        <v>202.0</v>
      </c>
      <c r="D48" s="31">
        <v>18.0</v>
      </c>
      <c r="E48" s="36">
        <f t="shared" si="2"/>
        <v>11.06666667</v>
      </c>
      <c r="F48" s="73">
        <v>1.0</v>
      </c>
      <c r="G48" s="74">
        <v>6.0</v>
      </c>
      <c r="H48" s="75">
        <v>0.0</v>
      </c>
      <c r="I48" s="74">
        <v>6.0</v>
      </c>
      <c r="J48" s="74">
        <v>6.0</v>
      </c>
      <c r="K48" s="74">
        <v>1.0</v>
      </c>
      <c r="L48" s="76">
        <v>13.0</v>
      </c>
      <c r="M48" s="74">
        <v>1.0</v>
      </c>
      <c r="N48" s="31">
        <f t="shared" ref="N48:O48" si="50">C48+L48</f>
        <v>215</v>
      </c>
      <c r="O48" s="31">
        <f t="shared" si="50"/>
        <v>19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4</v>
      </c>
      <c r="V48" s="46">
        <f t="shared" si="6"/>
        <v>0</v>
      </c>
      <c r="W48" s="30">
        <f t="shared" si="9"/>
        <v>44</v>
      </c>
    </row>
    <row r="49">
      <c r="A49" s="30">
        <f t="shared" si="7"/>
        <v>45</v>
      </c>
      <c r="B49" s="48" t="s">
        <v>125</v>
      </c>
      <c r="C49" s="31">
        <v>202.0</v>
      </c>
      <c r="D49" s="31">
        <v>14.0</v>
      </c>
      <c r="E49" s="36">
        <f t="shared" si="2"/>
        <v>10.72222222</v>
      </c>
      <c r="F49" s="73">
        <v>1.0</v>
      </c>
      <c r="G49" s="74">
        <v>6.0</v>
      </c>
      <c r="H49" s="75">
        <v>0.0</v>
      </c>
      <c r="I49" s="74">
        <v>6.0</v>
      </c>
      <c r="J49" s="74">
        <v>3.0</v>
      </c>
      <c r="K49" s="74">
        <v>6.0</v>
      </c>
      <c r="L49" s="76">
        <v>15.0</v>
      </c>
      <c r="M49" s="74">
        <v>1.0</v>
      </c>
      <c r="N49" s="31">
        <f t="shared" ref="N49:O49" si="51">C49+L49</f>
        <v>217</v>
      </c>
      <c r="O49" s="31">
        <f t="shared" si="51"/>
        <v>15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1</v>
      </c>
      <c r="V49" s="46">
        <f t="shared" si="6"/>
        <v>-3</v>
      </c>
      <c r="W49" s="30">
        <f t="shared" si="9"/>
        <v>45</v>
      </c>
    </row>
    <row r="50">
      <c r="A50" s="30">
        <f t="shared" si="7"/>
        <v>46</v>
      </c>
      <c r="B50" s="43" t="s">
        <v>136</v>
      </c>
      <c r="C50" s="31">
        <v>200.0</v>
      </c>
      <c r="D50" s="31">
        <v>18.0</v>
      </c>
      <c r="E50" s="36">
        <f t="shared" si="2"/>
        <v>10.8125</v>
      </c>
      <c r="F50" s="73">
        <v>1.0</v>
      </c>
      <c r="G50" s="74">
        <v>7.0</v>
      </c>
      <c r="H50" s="75">
        <v>0.0</v>
      </c>
      <c r="I50" s="74">
        <v>6.0</v>
      </c>
      <c r="J50" s="74">
        <v>6.0</v>
      </c>
      <c r="K50" s="74">
        <v>5.0</v>
      </c>
      <c r="L50" s="76">
        <v>17.0</v>
      </c>
      <c r="M50" s="74">
        <v>2.0</v>
      </c>
      <c r="N50" s="31">
        <f t="shared" ref="N50:O50" si="52">C50+L50</f>
        <v>217</v>
      </c>
      <c r="O50" s="31">
        <f t="shared" si="52"/>
        <v>20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3</v>
      </c>
      <c r="V50" s="46">
        <f t="shared" si="6"/>
        <v>-1</v>
      </c>
      <c r="W50" s="30">
        <f t="shared" si="9"/>
        <v>46</v>
      </c>
    </row>
    <row r="51">
      <c r="A51" s="30">
        <f t="shared" si="7"/>
        <v>47</v>
      </c>
      <c r="B51" s="43" t="s">
        <v>131</v>
      </c>
      <c r="C51" s="31">
        <v>200.0</v>
      </c>
      <c r="D51" s="31">
        <v>8.0</v>
      </c>
      <c r="E51" s="36">
        <f t="shared" si="2"/>
        <v>13.83333333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209</v>
      </c>
      <c r="O51" s="31">
        <f t="shared" si="53"/>
        <v>8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13</v>
      </c>
      <c r="V51" s="46">
        <f t="shared" si="6"/>
        <v>1</v>
      </c>
      <c r="W51" s="30">
        <f t="shared" si="9"/>
        <v>47</v>
      </c>
    </row>
    <row r="52">
      <c r="A52" s="30">
        <f t="shared" si="7"/>
        <v>48</v>
      </c>
      <c r="B52" s="43" t="s">
        <v>138</v>
      </c>
      <c r="C52" s="47">
        <v>198.0</v>
      </c>
      <c r="D52" s="31">
        <v>18.0</v>
      </c>
      <c r="E52" s="36">
        <f t="shared" si="2"/>
        <v>11.25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47">
        <f t="shared" ref="N52:O52" si="54">C52+L52</f>
        <v>207</v>
      </c>
      <c r="O52" s="31">
        <f t="shared" si="54"/>
        <v>18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7</v>
      </c>
      <c r="V52" s="46">
        <f t="shared" si="6"/>
        <v>-2</v>
      </c>
      <c r="W52" s="30">
        <f t="shared" si="9"/>
        <v>48</v>
      </c>
    </row>
    <row r="53">
      <c r="A53" s="30">
        <f t="shared" si="7"/>
        <v>49</v>
      </c>
      <c r="B53" s="28" t="s">
        <v>93</v>
      </c>
      <c r="C53" s="31">
        <v>197.0</v>
      </c>
      <c r="D53" s="31">
        <v>11.0</v>
      </c>
      <c r="E53" s="36">
        <f t="shared" si="2"/>
        <v>12.25</v>
      </c>
      <c r="F53" s="73">
        <v>2.0</v>
      </c>
      <c r="G53" s="74">
        <v>7.0</v>
      </c>
      <c r="H53" s="75">
        <v>0.0</v>
      </c>
      <c r="I53" s="74">
        <v>2.0</v>
      </c>
      <c r="J53" s="74">
        <v>6.0</v>
      </c>
      <c r="K53" s="74">
        <v>7.0</v>
      </c>
      <c r="L53" s="76">
        <v>15.0</v>
      </c>
      <c r="M53" s="74">
        <v>2.0</v>
      </c>
      <c r="N53" s="31">
        <f t="shared" ref="N53:O53" si="55">C53+L53</f>
        <v>212</v>
      </c>
      <c r="O53" s="31">
        <f t="shared" si="55"/>
        <v>13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11</v>
      </c>
      <c r="V53" s="46">
        <f t="shared" si="6"/>
        <v>-2</v>
      </c>
      <c r="W53" s="30">
        <f t="shared" si="9"/>
        <v>49</v>
      </c>
    </row>
    <row r="54">
      <c r="A54" s="30">
        <f t="shared" si="7"/>
        <v>50</v>
      </c>
      <c r="B54" s="43" t="s">
        <v>96</v>
      </c>
      <c r="C54" s="31">
        <v>195.0</v>
      </c>
      <c r="D54" s="31">
        <v>8.0</v>
      </c>
      <c r="E54" s="36">
        <f t="shared" si="2"/>
        <v>10.6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204</v>
      </c>
      <c r="O54" s="31">
        <f t="shared" si="56"/>
        <v>8</v>
      </c>
      <c r="P54" s="45" t="s">
        <v>58</v>
      </c>
      <c r="Q54" s="45" t="s">
        <v>58</v>
      </c>
      <c r="R54" s="45"/>
      <c r="S54" s="46">
        <f t="shared" si="4"/>
        <v>2</v>
      </c>
      <c r="T54" s="46"/>
      <c r="U54" s="46">
        <f t="shared" si="5"/>
        <v>7</v>
      </c>
      <c r="V54" s="46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43" t="s">
        <v>140</v>
      </c>
      <c r="C55" s="31">
        <v>193.0</v>
      </c>
      <c r="D55" s="31">
        <v>11.0</v>
      </c>
      <c r="E55" s="36">
        <f t="shared" si="2"/>
        <v>11.25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7">C55+L55</f>
        <v>202</v>
      </c>
      <c r="O55" s="31">
        <f t="shared" si="57"/>
        <v>11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10</v>
      </c>
      <c r="V55" s="46">
        <f t="shared" si="6"/>
        <v>2</v>
      </c>
      <c r="W55" s="30">
        <f t="shared" si="9"/>
        <v>51</v>
      </c>
    </row>
    <row r="56">
      <c r="A56" s="30">
        <f t="shared" si="7"/>
        <v>52</v>
      </c>
      <c r="B56" s="28" t="s">
        <v>102</v>
      </c>
      <c r="C56" s="31">
        <v>193.0</v>
      </c>
      <c r="D56" s="31">
        <v>9.0</v>
      </c>
      <c r="E56" s="36">
        <f t="shared" si="2"/>
        <v>15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202</v>
      </c>
      <c r="O56" s="31">
        <f t="shared" si="58"/>
        <v>9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15</v>
      </c>
      <c r="V56" s="46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48" t="s">
        <v>139</v>
      </c>
      <c r="C57" s="31">
        <v>190.0</v>
      </c>
      <c r="D57" s="31">
        <v>7.0</v>
      </c>
      <c r="E57" s="36">
        <f t="shared" si="2"/>
        <v>12.75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199</v>
      </c>
      <c r="O57" s="31">
        <f t="shared" si="59"/>
        <v>7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14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188.0</v>
      </c>
      <c r="D58" s="31">
        <v>9.0</v>
      </c>
      <c r="E58" s="36">
        <f t="shared" si="2"/>
        <v>10.3</v>
      </c>
      <c r="F58" s="73">
        <v>2.0</v>
      </c>
      <c r="G58" s="74">
        <v>7.0</v>
      </c>
      <c r="H58" s="75">
        <v>0.0</v>
      </c>
      <c r="I58" s="74">
        <v>6.0</v>
      </c>
      <c r="J58" s="74">
        <v>4.0</v>
      </c>
      <c r="K58" s="74">
        <v>7.0</v>
      </c>
      <c r="L58" s="76">
        <v>17.0</v>
      </c>
      <c r="M58" s="74">
        <v>2.0</v>
      </c>
      <c r="N58" s="31">
        <f t="shared" ref="N58:O58" si="60">C58+L58</f>
        <v>205</v>
      </c>
      <c r="O58" s="31">
        <f t="shared" si="60"/>
        <v>11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8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181.0</v>
      </c>
      <c r="D59" s="31">
        <v>14.0</v>
      </c>
      <c r="E59" s="36">
        <f t="shared" si="2"/>
        <v>9.714285714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190</v>
      </c>
      <c r="O59" s="31">
        <f t="shared" si="61"/>
        <v>14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5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178.0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187</v>
      </c>
      <c r="O60" s="31">
        <f t="shared" si="62"/>
        <v>4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13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175.0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184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15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172.0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181</v>
      </c>
      <c r="O62" s="31">
        <f t="shared" si="64"/>
        <v>8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12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168.0</v>
      </c>
      <c r="D63" s="31">
        <v>4.0</v>
      </c>
      <c r="E63" s="36">
        <f t="shared" si="2"/>
        <v>8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177</v>
      </c>
      <c r="O63" s="31">
        <f t="shared" si="65"/>
        <v>4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16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166.0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175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18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166.0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175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1</v>
      </c>
      <c r="T65" s="46"/>
      <c r="U65" s="46">
        <f t="shared" si="5"/>
        <v>18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162.0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171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19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162.0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171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19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157.0</v>
      </c>
      <c r="D68" s="31">
        <v>3.0</v>
      </c>
      <c r="E68" s="36">
        <f t="shared" si="2"/>
        <v>6.666666667</v>
      </c>
      <c r="F68" s="73">
        <v>1.0</v>
      </c>
      <c r="G68" s="74">
        <v>7.0</v>
      </c>
      <c r="H68" s="75">
        <v>0.0</v>
      </c>
      <c r="I68" s="74">
        <v>2.0</v>
      </c>
      <c r="J68" s="74">
        <v>4.0</v>
      </c>
      <c r="K68" s="74">
        <v>5.0</v>
      </c>
      <c r="L68" s="76">
        <v>11.0</v>
      </c>
      <c r="M68" s="74">
        <v>0.0</v>
      </c>
      <c r="N68" s="31">
        <f t="shared" ref="N68:O68" si="70">C68+L68</f>
        <v>168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13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147.0</v>
      </c>
      <c r="D69" s="31">
        <v>3.0</v>
      </c>
      <c r="E69" s="36">
        <f t="shared" si="2"/>
        <v>6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156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11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3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desc"",0)"),"Oscar Bonilla")</f>
        <v>Oscar Bonilla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IFERROR(__xludf.DUMMYFUNCTION("""COMPUTED_VALUE"""),4.0)</f>
        <v>4</v>
      </c>
      <c r="F76" s="1"/>
      <c r="L76" s="77"/>
      <c r="M76" s="78"/>
      <c r="P76" s="79" t="s">
        <v>151</v>
      </c>
      <c r="Q76" s="24"/>
      <c r="R76" s="18">
        <f>countif(R5:R69,"")</f>
        <v>61</v>
      </c>
    </row>
    <row r="77">
      <c r="A77" s="1"/>
      <c r="B77" s="43" t="str">
        <f>IFERROR(__xludf.DUMMYFUNCTION("""COMPUTED_VALUE"""),"Tina Hanson")</f>
        <v>Tina Hanson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IFERROR(__xludf.DUMMYFUNCTION("""COMPUTED_VALUE"""),5.0)</f>
        <v>5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IFERROR(__xludf.DUMMYFUNCTION("""COMPUTED_VALUE"""),"Jim Miao")</f>
        <v>Jim Miao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IFERROR(__xludf.DUMMYFUNCTION("""COMPUTED_VALUE"""),6.0)</f>
        <v>6</v>
      </c>
      <c r="F78" s="1"/>
    </row>
    <row r="79">
      <c r="A79" s="1"/>
      <c r="B79" s="43" t="str">
        <f>IFERROR(__xludf.DUMMYFUNCTION("""COMPUTED_VALUE"""),"Pulkit Mathur")</f>
        <v>Pulkit Mathur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IFERROR(__xludf.DUMMYFUNCTION("""COMPUTED_VALUE"""),1.0)</f>
        <v>1</v>
      </c>
      <c r="F79" s="1"/>
    </row>
    <row r="80">
      <c r="A80" s="1"/>
      <c r="B80" s="43" t="str">
        <f>IFERROR(__xludf.DUMMYFUNCTION("""COMPUTED_VALUE"""),"James Phan")</f>
        <v>James Phan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IFERROR(__xludf.DUMMYFUNCTION("""COMPUTED_VALUE"""),2.0)</f>
        <v>2</v>
      </c>
      <c r="F80" s="1"/>
      <c r="L80" s="33"/>
    </row>
    <row r="81">
      <c r="A81" s="1"/>
      <c r="B81" s="43" t="str">
        <f>IFERROR(__xludf.DUMMYFUNCTION("""COMPUTED_VALUE"""),"Ted Shen")</f>
        <v>Ted Shen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IFERROR(__xludf.DUMMYFUNCTION("""COMPUTED_VALUE"""),3.0)</f>
        <v>3</v>
      </c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10"")"),"Oscar Bonilla")</f>
        <v>Oscar Bonilla</v>
      </c>
      <c r="C90" s="84">
        <f>IFERROR(__xludf.DUMMYFUNCTION("""COMPUTED_VALUE"""),8.0)</f>
        <v>8</v>
      </c>
      <c r="D90" s="84">
        <f t="shared" ref="D90:D99" si="72">VLOOKUP(B90,indirect($AB$2&amp;"!B$5:w$70"),22, false)</f>
        <v>34</v>
      </c>
      <c r="E90" s="84">
        <f t="shared" ref="E90:E99" si="73">VLOOKUP(B90,B$5:W$69,22, false)</f>
        <v>26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6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IFERROR(__xludf.DUMMYFUNCTION("""COMPUTED_VALUE"""),"Matthew Huang")</f>
        <v>Matthew Huang</v>
      </c>
      <c r="C91" s="84">
        <f>IFERROR(__xludf.DUMMYFUNCTION("""COMPUTED_VALUE"""),7.0)</f>
        <v>7</v>
      </c>
      <c r="D91" s="84">
        <f t="shared" si="72"/>
        <v>50</v>
      </c>
      <c r="E91" s="84">
        <f t="shared" si="73"/>
        <v>43</v>
      </c>
      <c r="F91" s="84">
        <f t="shared" si="74"/>
        <v>18</v>
      </c>
      <c r="G91" s="84">
        <f t="shared" si="75"/>
        <v>7</v>
      </c>
      <c r="L91" s="84" t="str">
        <f t="shared" si="76"/>
        <v>ok</v>
      </c>
    </row>
    <row r="92">
      <c r="A92" s="1"/>
      <c r="B92" s="43" t="str">
        <f>IFERROR(__xludf.DUMMYFUNCTION("""COMPUTED_VALUE"""),"Troy Wong")</f>
        <v>Troy Wong</v>
      </c>
      <c r="C92" s="84">
        <f>IFERROR(__xludf.DUMMYFUNCTION("""COMPUTED_VALUE"""),5.0)</f>
        <v>5</v>
      </c>
      <c r="D92" s="84">
        <f t="shared" si="72"/>
        <v>12</v>
      </c>
      <c r="E92" s="84">
        <f t="shared" si="73"/>
        <v>7</v>
      </c>
      <c r="F92" s="84">
        <f t="shared" si="74"/>
        <v>16</v>
      </c>
      <c r="G92" s="84">
        <f t="shared" si="75"/>
        <v>2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IFERROR(__xludf.DUMMYFUNCTION("""COMPUTED_VALUE"""),"Lloyd Sagar")</f>
        <v>Lloyd Sagar</v>
      </c>
      <c r="C93" s="84">
        <f>IFERROR(__xludf.DUMMYFUNCTION("""COMPUTED_VALUE"""),5.0)</f>
        <v>5</v>
      </c>
      <c r="D93" s="84">
        <f t="shared" si="72"/>
        <v>23</v>
      </c>
      <c r="E93" s="84">
        <f t="shared" si="73"/>
        <v>18</v>
      </c>
      <c r="F93" s="84">
        <f t="shared" si="74"/>
        <v>19</v>
      </c>
      <c r="G93" s="84">
        <f t="shared" si="75"/>
        <v>4</v>
      </c>
      <c r="L93" s="84" t="str">
        <f t="shared" si="76"/>
        <v>ok</v>
      </c>
    </row>
    <row r="94">
      <c r="A94" s="1"/>
      <c r="B94" s="43" t="str">
        <f>IFERROR(__xludf.DUMMYFUNCTION("""COMPUTED_VALUE"""),"Sean Chang")</f>
        <v>Sean Chang</v>
      </c>
      <c r="C94" s="84">
        <f>IFERROR(__xludf.DUMMYFUNCTION("""COMPUTED_VALUE"""),4.0)</f>
        <v>4</v>
      </c>
      <c r="D94" s="84">
        <f t="shared" si="72"/>
        <v>29</v>
      </c>
      <c r="E94" s="84">
        <f t="shared" si="73"/>
        <v>25</v>
      </c>
      <c r="F94" s="84">
        <f t="shared" si="74"/>
        <v>16</v>
      </c>
      <c r="G94" s="84">
        <f t="shared" si="75"/>
        <v>5</v>
      </c>
      <c r="L94" s="84" t="str">
        <f t="shared" si="76"/>
        <v>ok</v>
      </c>
    </row>
    <row r="95">
      <c r="A95" s="1"/>
      <c r="B95" s="43" t="str">
        <f>IFERROR(__xludf.DUMMYFUNCTION("""COMPUTED_VALUE"""),"Jimmy Awolesi")</f>
        <v>Jimmy Awolesi</v>
      </c>
      <c r="C95" s="84">
        <f>IFERROR(__xludf.DUMMYFUNCTION("""COMPUTED_VALUE"""),4.0)</f>
        <v>4</v>
      </c>
      <c r="D95" s="84">
        <f t="shared" si="72"/>
        <v>32</v>
      </c>
      <c r="E95" s="84">
        <f t="shared" si="73"/>
        <v>28</v>
      </c>
      <c r="F95" s="84">
        <f t="shared" si="74"/>
        <v>14</v>
      </c>
      <c r="G95" s="84">
        <f t="shared" si="75"/>
        <v>5</v>
      </c>
      <c r="L95" s="84" t="str">
        <f t="shared" si="76"/>
        <v>ok</v>
      </c>
    </row>
    <row r="96">
      <c r="A96" s="1"/>
      <c r="B96" s="43" t="str">
        <f>IFERROR(__xludf.DUMMYFUNCTION("""COMPUTED_VALUE"""),"Saravanan Veerapandian")</f>
        <v>Saravanan Veerapandian</v>
      </c>
      <c r="C96" s="84">
        <f>IFERROR(__xludf.DUMMYFUNCTION("""COMPUTED_VALUE"""),4.0)</f>
        <v>4</v>
      </c>
      <c r="D96" s="84">
        <f t="shared" si="72"/>
        <v>33</v>
      </c>
      <c r="E96" s="84">
        <f t="shared" si="73"/>
        <v>29</v>
      </c>
      <c r="F96" s="84">
        <f t="shared" si="74"/>
        <v>14</v>
      </c>
      <c r="G96" s="84">
        <f t="shared" si="75"/>
        <v>5</v>
      </c>
      <c r="L96" s="84" t="str">
        <f t="shared" si="76"/>
        <v>ok</v>
      </c>
    </row>
    <row r="97">
      <c r="A97" s="1"/>
      <c r="B97" s="43" t="str">
        <f>IFERROR(__xludf.DUMMYFUNCTION("""COMPUTED_VALUE"""),"Wayne Liu")</f>
        <v>Wayne Liu</v>
      </c>
      <c r="C97" s="84">
        <f>IFERROR(__xludf.DUMMYFUNCTION("""COMPUTED_VALUE"""),4.0)</f>
        <v>4</v>
      </c>
      <c r="D97" s="84">
        <f t="shared" si="72"/>
        <v>36</v>
      </c>
      <c r="E97" s="84">
        <f t="shared" si="73"/>
        <v>32</v>
      </c>
      <c r="F97" s="84">
        <f t="shared" si="74"/>
        <v>12</v>
      </c>
      <c r="G97" s="84">
        <f t="shared" si="75"/>
        <v>6</v>
      </c>
      <c r="L97" s="84" t="str">
        <f t="shared" si="76"/>
        <v>ok</v>
      </c>
    </row>
    <row r="98">
      <c r="A98" s="1"/>
      <c r="B98" s="43" t="str">
        <f>IFERROR(__xludf.DUMMYFUNCTION("""COMPUTED_VALUE"""),"Manish Anand")</f>
        <v>Manish Anand</v>
      </c>
      <c r="C98" s="84">
        <f>IFERROR(__xludf.DUMMYFUNCTION("""COMPUTED_VALUE"""),3.0)</f>
        <v>3</v>
      </c>
      <c r="D98" s="84">
        <f t="shared" si="72"/>
        <v>11</v>
      </c>
      <c r="E98" s="84">
        <f t="shared" si="73"/>
        <v>8</v>
      </c>
      <c r="F98" s="84">
        <f t="shared" si="74"/>
        <v>15</v>
      </c>
      <c r="G98" s="84">
        <f t="shared" si="75"/>
        <v>2</v>
      </c>
      <c r="L98" s="84" t="str">
        <f t="shared" si="76"/>
        <v>ok</v>
      </c>
    </row>
    <row r="99">
      <c r="A99" s="1"/>
      <c r="B99" s="43" t="str">
        <f>IFERROR(__xludf.DUMMYFUNCTION("""COMPUTED_VALUE"""),"Jonathan Phan")</f>
        <v>Jonathan Phan</v>
      </c>
      <c r="C99" s="84">
        <f>IFERROR(__xludf.DUMMYFUNCTION("""COMPUTED_VALUE"""),3.0)</f>
        <v>3</v>
      </c>
      <c r="D99" s="84">
        <f t="shared" si="72"/>
        <v>16</v>
      </c>
      <c r="E99" s="84">
        <f t="shared" si="73"/>
        <v>13</v>
      </c>
      <c r="F99" s="84">
        <f t="shared" si="74"/>
        <v>16</v>
      </c>
      <c r="G99" s="84">
        <f t="shared" si="75"/>
        <v>2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10"")"),"Alex Hou")</f>
        <v>Alex Hou</v>
      </c>
      <c r="C103" s="84">
        <f>IFERROR(__xludf.DUMMYFUNCTION("""COMPUTED_VALUE"""),-8.0)</f>
        <v>-8</v>
      </c>
      <c r="D103" s="84">
        <f t="shared" ref="D103:D112" si="77">VLOOKUP(B103,indirect($AB$2&amp;"!B$5:w$70"),22, false)</f>
        <v>22</v>
      </c>
      <c r="E103" s="84">
        <f t="shared" ref="E103:E112" si="78">VLOOKUP(B103,B$5:W$69,22, false)</f>
        <v>30</v>
      </c>
      <c r="F103" s="84">
        <f t="shared" ref="F103:F112" si="79">VLOOKUP(B103,indirect($AB$2&amp;"!B$5:U$70"),11, false)</f>
        <v>5</v>
      </c>
      <c r="G103" s="84">
        <f t="shared" ref="G103:G112" si="80">VLOOKUP(B103,indirect($AB$2&amp;"!B$5:U$70"),6, false)</f>
        <v>3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IFERROR(__xludf.DUMMYFUNCTION("""COMPUTED_VALUE"""),"Tina Hanson")</f>
        <v>Tina Hanson</v>
      </c>
      <c r="C104" s="84">
        <f>IFERROR(__xludf.DUMMYFUNCTION("""COMPUTED_VALUE"""),-5.0)</f>
        <v>-5</v>
      </c>
      <c r="D104" s="84">
        <f t="shared" si="77"/>
        <v>28</v>
      </c>
      <c r="E104" s="84">
        <f t="shared" si="78"/>
        <v>33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IFERROR(__xludf.DUMMYFUNCTION("""COMPUTED_VALUE"""),"Vinaya Kajla")</f>
        <v>Vinaya Kajla</v>
      </c>
      <c r="C105" s="84">
        <f>IFERROR(__xludf.DUMMYFUNCTION("""COMPUTED_VALUE"""),-5.0)</f>
        <v>-5</v>
      </c>
      <c r="D105" s="84">
        <f t="shared" si="77"/>
        <v>30</v>
      </c>
      <c r="E105" s="84">
        <f t="shared" si="78"/>
        <v>35</v>
      </c>
      <c r="F105" s="84">
        <f t="shared" si="79"/>
        <v>8</v>
      </c>
      <c r="G105" s="84">
        <f t="shared" si="80"/>
        <v>5</v>
      </c>
      <c r="L105" s="84" t="str">
        <f t="shared" si="81"/>
        <v>ok</v>
      </c>
    </row>
    <row r="106">
      <c r="A106" s="1"/>
      <c r="B106" s="43" t="str">
        <f>IFERROR(__xludf.DUMMYFUNCTION("""COMPUTED_VALUE"""),"Alejandro Mejia")</f>
        <v>Alejandro Mejia</v>
      </c>
      <c r="C106" s="84">
        <f>IFERROR(__xludf.DUMMYFUNCTION("""COMPUTED_VALUE"""),-4.0)</f>
        <v>-4</v>
      </c>
      <c r="D106" s="84">
        <f t="shared" si="77"/>
        <v>7</v>
      </c>
      <c r="E106" s="84">
        <f t="shared" si="78"/>
        <v>11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IFERROR(__xludf.DUMMYFUNCTION("""COMPUTED_VALUE"""),"Tom Le")</f>
        <v>Tom Le</v>
      </c>
      <c r="C107" s="84">
        <f>IFERROR(__xludf.DUMMYFUNCTION("""COMPUTED_VALUE"""),-4.0)</f>
        <v>-4</v>
      </c>
      <c r="D107" s="84">
        <f t="shared" si="77"/>
        <v>15</v>
      </c>
      <c r="E107" s="84">
        <f t="shared" si="78"/>
        <v>19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IFERROR(__xludf.DUMMYFUNCTION("""COMPUTED_VALUE"""),"Herman Au")</f>
        <v>Herman Au</v>
      </c>
      <c r="C108" s="84">
        <f>IFERROR(__xludf.DUMMYFUNCTION("""COMPUTED_VALUE"""),-4.0)</f>
        <v>-4</v>
      </c>
      <c r="D108" s="84">
        <f t="shared" si="77"/>
        <v>27</v>
      </c>
      <c r="E108" s="84">
        <f t="shared" si="78"/>
        <v>31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IFERROR(__xludf.DUMMYFUNCTION("""COMPUTED_VALUE"""),"Susanta Mishra")</f>
        <v>Susanta Mishra</v>
      </c>
      <c r="C109" s="84">
        <f>IFERROR(__xludf.DUMMYFUNCTION("""COMPUTED_VALUE"""),-3.0)</f>
        <v>-3</v>
      </c>
      <c r="D109" s="84">
        <f t="shared" si="77"/>
        <v>19</v>
      </c>
      <c r="E109" s="84">
        <f t="shared" si="78"/>
        <v>22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IFERROR(__xludf.DUMMYFUNCTION("""COMPUTED_VALUE"""),"Mauricio Palacios")</f>
        <v>Mauricio Palacios</v>
      </c>
      <c r="C110" s="84">
        <f>IFERROR(__xludf.DUMMYFUNCTION("""COMPUTED_VALUE"""),-3.0)</f>
        <v>-3</v>
      </c>
      <c r="D110" s="84">
        <f t="shared" si="77"/>
        <v>31</v>
      </c>
      <c r="E110" s="84">
        <f t="shared" si="78"/>
        <v>34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IFERROR(__xludf.DUMMYFUNCTION("""COMPUTED_VALUE"""),"Kumar Palakeel")</f>
        <v>Kumar Palakeel</v>
      </c>
      <c r="C111" s="84">
        <f>IFERROR(__xludf.DUMMYFUNCTION("""COMPUTED_VALUE"""),-3.0)</f>
        <v>-3</v>
      </c>
      <c r="D111" s="84">
        <f t="shared" si="77"/>
        <v>42</v>
      </c>
      <c r="E111" s="84">
        <f t="shared" si="78"/>
        <v>45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IFERROR(__xludf.DUMMYFUNCTION("""COMPUTED_VALUE"""),"James Phan")</f>
        <v>James Phan</v>
      </c>
      <c r="C112" s="84">
        <f>IFERROR(__xludf.DUMMYFUNCTION("""COMPUTED_VALUE"""),-2.0)</f>
        <v>-2</v>
      </c>
      <c r="D112" s="84">
        <f t="shared" si="77"/>
        <v>10</v>
      </c>
      <c r="E112" s="84">
        <f t="shared" si="78"/>
        <v>12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asc"")"),"Andrew Wen")</f>
        <v>Andrew Wen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IFERROR(__xludf.DUMMYFUNCTION("""COMPUTED_VALUE"""),"Jimmy Awolesi")</f>
        <v>Jimmy Awolesi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 t="str">
        <f>IFERROR(__xludf.DUMMYFUNCTION("""COMPUTED_VALUE"""),"Sean Chang")</f>
        <v>Sean Chang</v>
      </c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IFERROR(__xludf.DUMMYFUNCTION("""COMPUTED_VALUE"""),"Balaji Alahari")</f>
        <v>Balaji Alahari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IFERROR(__xludf.DUMMYFUNCTION("""COMPUTED_VALUE"""),"Barathi Sundaram")</f>
        <v>Barathi Sundaram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IFERROR(__xludf.DUMMYFUNCTION("""COMPUTED_VALUE"""),"Basudev Thoppai Vidyasankar")</f>
        <v>Basudev Thoppai Vidyasankar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IFERROR(__xludf.DUMMYFUNCTION("""COMPUTED_VALUE"""),"Chinna Ponnaganti")</f>
        <v>Chinna Ponnaganti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IFERROR(__xludf.DUMMYFUNCTION("""COMPUTED_VALUE"""),"Cid Macaraeg")</f>
        <v>Cid Macaraeg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IFERROR(__xludf.DUMMYFUNCTION("""COMPUTED_VALUE"""),"Coco Yan")</f>
        <v>Coco Yan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IFERROR(__xludf.DUMMYFUNCTION("""COMPUTED_VALUE"""),"David Shin")</f>
        <v>David Shin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IFERROR(__xludf.DUMMYFUNCTION("""COMPUTED_VALUE"""),"Elayaraja Thangaraj ")</f>
        <v>Elayaraja Thangaraj 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IFERROR(__xludf.DUMMYFUNCTION("""COMPUTED_VALUE"""),"Eric Pan")</f>
        <v>Eric Pan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Tan")</f>
        <v>Eric Tan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IFERROR(__xludf.DUMMYFUNCTION("""COMPUTED_VALUE"""),"Erik Hoeckmann")</f>
        <v>Erik Hoeckmann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IFERROR(__xludf.DUMMYFUNCTION("""COMPUTED_VALUE"""),"Ethan Gu")</f>
        <v>Ethan Gu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IFERROR(__xludf.DUMMYFUNCTION("""COMPUTED_VALUE"""),"Frank Moon")</f>
        <v>Frank Moon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IFERROR(__xludf.DUMMYFUNCTION("""COMPUTED_VALUE"""),"Herman Au")</f>
        <v>Herman Au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IFERROR(__xludf.DUMMYFUNCTION("""COMPUTED_VALUE"""),"Hongyuan Wen")</f>
        <v>Hongyuan Wen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IFERROR(__xludf.DUMMYFUNCTION("""COMPUTED_VALUE"""),"Hubert J Sung")</f>
        <v>Hubert J Sung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IFERROR(__xludf.DUMMYFUNCTION("""COMPUTED_VALUE"""),"James Phan")</f>
        <v>James Phan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IFERROR(__xludf.DUMMYFUNCTION("""COMPUTED_VALUE"""),"Jim Miao")</f>
        <v>Jim Miao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IFERROR(__xludf.DUMMYFUNCTION("""COMPUTED_VALUE"""),"Joe Luzzi")</f>
        <v>Joe Luzzi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IFERROR(__xludf.DUMMYFUNCTION("""COMPUTED_VALUE"""),"Jonathan Phan")</f>
        <v>Jonathan Phan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IFERROR(__xludf.DUMMYFUNCTION("""COMPUTED_VALUE"""),"Joyce Zhu")</f>
        <v>Joyce Zhu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IFERROR(__xludf.DUMMYFUNCTION("""COMPUTED_VALUE"""),"Kumar Palakeel")</f>
        <v>Kumar Palakeel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IFERROR(__xludf.DUMMYFUNCTION("""COMPUTED_VALUE"""),"Lam Bui")</f>
        <v>Lam Bui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IFERROR(__xludf.DUMMYFUNCTION("""COMPUTED_VALUE"""),"Leigh-Anh Nguyen")</f>
        <v>Leigh-Anh Nguyen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IFERROR(__xludf.DUMMYFUNCTION("""COMPUTED_VALUE"""),"Lloyd Sagar")</f>
        <v>Lloyd Sagar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IFERROR(__xludf.DUMMYFUNCTION("""COMPUTED_VALUE"""),"Luis Hsu")</f>
        <v>Luis Hsu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IFERROR(__xludf.DUMMYFUNCTION("""COMPUTED_VALUE"""),"Manish Anand")</f>
        <v>Manish Anand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IFERROR(__xludf.DUMMYFUNCTION("""COMPUTED_VALUE"""),"Manuel Rivera")</f>
        <v>Manuel Rivera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IFERROR(__xludf.DUMMYFUNCTION("""COMPUTED_VALUE"""),"Matthew Huang")</f>
        <v>Matthew Huang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IFERROR(__xludf.DUMMYFUNCTION("""COMPUTED_VALUE"""),"Mauricio Palacios")</f>
        <v>Mauricio Palacios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IFERROR(__xludf.DUMMYFUNCTION("""COMPUTED_VALUE"""),"Naveen Raj")</f>
        <v>Naveen Raj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IFERROR(__xludf.DUMMYFUNCTION("""COMPUTED_VALUE"""),"Nicole Ni")</f>
        <v>Nicole Ni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IFERROR(__xludf.DUMMYFUNCTION("""COMPUTED_VALUE"""),"Oscar Bonilla")</f>
        <v>Oscar Bonilla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IFERROR(__xludf.DUMMYFUNCTION("""COMPUTED_VALUE"""),"Pavan Akkimsetty")</f>
        <v>Pavan Akkimsetty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IFERROR(__xludf.DUMMYFUNCTION("""COMPUTED_VALUE"""),"Pulkit Mathur")</f>
        <v>Pulkit Mathur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IFERROR(__xludf.DUMMYFUNCTION("""COMPUTED_VALUE"""),"Rajasekar Ramasamy")</f>
        <v>Rajasekar Ramasamy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IFERROR(__xludf.DUMMYFUNCTION("""COMPUTED_VALUE"""),"Rajesh Dorairaj")</f>
        <v>Rajesh Dorairaj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IFERROR(__xludf.DUMMYFUNCTION("""COMPUTED_VALUE"""),"Ramesh Bandaru")</f>
        <v>Ramesh Bandaru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IFERROR(__xludf.DUMMYFUNCTION("""COMPUTED_VALUE"""),"Robert Chang")</f>
        <v>Robert Chang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IFERROR(__xludf.DUMMYFUNCTION("""COMPUTED_VALUE"""),"Sandeep Kamalon")</f>
        <v>Sandeep Kamalon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IFERROR(__xludf.DUMMYFUNCTION("""COMPUTED_VALUE"""),"Sandy Weyant")</f>
        <v>Sandy Weyant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IFERROR(__xludf.DUMMYFUNCTION("""COMPUTED_VALUE"""),"Sanjaye Elayattu")</f>
        <v>Sanjaye Elayattu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IFERROR(__xludf.DUMMYFUNCTION("""COMPUTED_VALUE"""),"Santosh Sundaresan ")</f>
        <v>Santosh Sundaresan 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IFERROR(__xludf.DUMMYFUNCTION("""COMPUTED_VALUE"""),"Saravanan Veerapandian")</f>
        <v>Saravanan Veerapandian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IFERROR(__xludf.DUMMYFUNCTION("""COMPUTED_VALUE"""),"Scott Li")</f>
        <v>Scott Li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IFERROR(__xludf.DUMMYFUNCTION("""COMPUTED_VALUE"""),"Suleman Alidina")</f>
        <v>Suleman Alidina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IFERROR(__xludf.DUMMYFUNCTION("""COMPUTED_VALUE"""),"Susanta Mishra")</f>
        <v>Susanta Mishra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IFERROR(__xludf.DUMMYFUNCTION("""COMPUTED_VALUE"""),"Ted Shen")</f>
        <v>Ted Shen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IFERROR(__xludf.DUMMYFUNCTION("""COMPUTED_VALUE"""),"Tina Hanson")</f>
        <v>Tina Hanson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IFERROR(__xludf.DUMMYFUNCTION("""COMPUTED_VALUE"""),"Tom Le")</f>
        <v>Tom Le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IFERROR(__xludf.DUMMYFUNCTION("""COMPUTED_VALUE"""),"Trish Newlin")</f>
        <v>Trish Newlin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IFERROR(__xludf.DUMMYFUNCTION("""COMPUTED_VALUE"""),"Troy Wong")</f>
        <v>Troy Wong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IFERROR(__xludf.DUMMYFUNCTION("""COMPUTED_VALUE"""),"Tyler Leong")</f>
        <v>Tyler Leong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IFERROR(__xludf.DUMMYFUNCTION("""COMPUTED_VALUE"""),"Vicki Martinet")</f>
        <v>Vicki Martinet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IFERROR(__xludf.DUMMYFUNCTION("""COMPUTED_VALUE"""),"Vinaya Kajla")</f>
        <v>Vinaya Kajla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IFERROR(__xludf.DUMMYFUNCTION("""COMPUTED_VALUE"""),"Vishnu Amarnath")</f>
        <v>Vishnu Amarnath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IFERROR(__xludf.DUMMYFUNCTION("""COMPUTED_VALUE"""),"Wayne Liu")</f>
        <v>Wayne Liu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/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45794.0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18.0</v>
      </c>
      <c r="E2" s="1"/>
      <c r="F2" s="1"/>
      <c r="R2" s="19"/>
      <c r="AB2" s="20" t="str">
        <f>text(C1-7,"mm/dd/yy")</f>
        <v>05/10/25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267.0</v>
      </c>
      <c r="D5" s="31">
        <v>32.0</v>
      </c>
      <c r="E5" s="36">
        <f t="shared" ref="E5:E69" si="2">if(($D$2-U5-S5)&lt;&gt;0,(C5-(U5*9)-(S5*13))/($D$2-U5-S5),0)</f>
        <v>14.94117647</v>
      </c>
      <c r="F5" s="73">
        <v>2.0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3.0</v>
      </c>
      <c r="N5" s="31">
        <f t="shared" ref="N5:O5" si="1">C5+L5</f>
        <v>285</v>
      </c>
      <c r="O5" s="31">
        <f t="shared" si="1"/>
        <v>35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97</v>
      </c>
      <c r="C6" s="31">
        <v>233.0</v>
      </c>
      <c r="D6" s="31">
        <v>21.0</v>
      </c>
      <c r="E6" s="36">
        <f t="shared" si="2"/>
        <v>13.2</v>
      </c>
      <c r="F6" s="73">
        <v>1.0</v>
      </c>
      <c r="G6" s="74">
        <v>1.0</v>
      </c>
      <c r="H6" s="75">
        <v>0.0</v>
      </c>
      <c r="I6" s="74">
        <v>4.0</v>
      </c>
      <c r="J6" s="74">
        <v>6.0</v>
      </c>
      <c r="K6" s="74">
        <v>2.0</v>
      </c>
      <c r="L6" s="76">
        <v>12.0</v>
      </c>
      <c r="M6" s="74">
        <v>1.0</v>
      </c>
      <c r="N6" s="31">
        <f t="shared" ref="N6:O6" si="3">C6+L6</f>
        <v>245</v>
      </c>
      <c r="O6" s="31">
        <f t="shared" si="3"/>
        <v>22</v>
      </c>
      <c r="P6" s="45" t="s">
        <v>58</v>
      </c>
      <c r="Q6" s="45" t="s">
        <v>58</v>
      </c>
      <c r="R6" s="45"/>
      <c r="S6" s="46">
        <f t="shared" si="4"/>
        <v>2</v>
      </c>
      <c r="T6" s="46"/>
      <c r="U6" s="46">
        <f t="shared" si="5"/>
        <v>1</v>
      </c>
      <c r="V6" s="46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28" t="s">
        <v>117</v>
      </c>
      <c r="C7" s="31">
        <v>232.0</v>
      </c>
      <c r="D7" s="31">
        <v>24.0</v>
      </c>
      <c r="E7" s="36">
        <f t="shared" si="2"/>
        <v>15.6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241</v>
      </c>
      <c r="O7" s="31">
        <f t="shared" si="8"/>
        <v>24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7</v>
      </c>
      <c r="V7" s="46">
        <f t="shared" si="6"/>
        <v>-1</v>
      </c>
      <c r="W7" s="30">
        <f t="shared" si="9"/>
        <v>3</v>
      </c>
    </row>
    <row r="8">
      <c r="A8" s="30">
        <f t="shared" si="7"/>
        <v>4</v>
      </c>
      <c r="B8" s="43" t="s">
        <v>87</v>
      </c>
      <c r="C8" s="47">
        <v>232.0</v>
      </c>
      <c r="D8" s="31">
        <v>22.0</v>
      </c>
      <c r="E8" s="36">
        <f t="shared" si="2"/>
        <v>14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47">
        <f t="shared" ref="N8:O8" si="10">C8+L8</f>
        <v>241</v>
      </c>
      <c r="O8" s="31">
        <f t="shared" si="10"/>
        <v>22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4</v>
      </c>
      <c r="V8" s="46">
        <f t="shared" si="6"/>
        <v>0</v>
      </c>
      <c r="W8" s="30">
        <f t="shared" si="9"/>
        <v>4</v>
      </c>
    </row>
    <row r="9">
      <c r="A9" s="30">
        <f t="shared" si="7"/>
        <v>5</v>
      </c>
      <c r="B9" s="43" t="s">
        <v>94</v>
      </c>
      <c r="C9" s="31">
        <v>231.0</v>
      </c>
      <c r="D9" s="31">
        <v>21.0</v>
      </c>
      <c r="E9" s="36">
        <f t="shared" si="2"/>
        <v>14.90909091</v>
      </c>
      <c r="F9" s="73">
        <v>3.0</v>
      </c>
      <c r="G9" s="74">
        <v>0.0</v>
      </c>
      <c r="H9" s="75">
        <v>9.0</v>
      </c>
      <c r="I9" s="74">
        <v>0.0</v>
      </c>
      <c r="J9" s="74">
        <v>0.0</v>
      </c>
      <c r="K9" s="74">
        <v>0.0</v>
      </c>
      <c r="L9" s="76">
        <v>9.0</v>
      </c>
      <c r="M9" s="74">
        <v>0.0</v>
      </c>
      <c r="N9" s="31">
        <f t="shared" ref="N9:O9" si="11">C9+L9</f>
        <v>240</v>
      </c>
      <c r="O9" s="31">
        <f t="shared" si="11"/>
        <v>21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6</v>
      </c>
      <c r="V9" s="46">
        <f t="shared" si="6"/>
        <v>5</v>
      </c>
      <c r="W9" s="30">
        <f t="shared" si="9"/>
        <v>5</v>
      </c>
    </row>
    <row r="10">
      <c r="A10" s="30">
        <f t="shared" si="7"/>
        <v>6</v>
      </c>
      <c r="B10" s="28" t="s">
        <v>74</v>
      </c>
      <c r="C10" s="31">
        <v>230.0</v>
      </c>
      <c r="D10" s="31">
        <v>23.0</v>
      </c>
      <c r="E10" s="36">
        <f t="shared" si="2"/>
        <v>14.66666667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239</v>
      </c>
      <c r="O10" s="31">
        <f t="shared" si="12"/>
        <v>23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6</v>
      </c>
      <c r="V10" s="46">
        <f t="shared" si="6"/>
        <v>1</v>
      </c>
      <c r="W10" s="30">
        <f t="shared" si="9"/>
        <v>6</v>
      </c>
    </row>
    <row r="11">
      <c r="A11" s="30">
        <f t="shared" si="7"/>
        <v>7</v>
      </c>
      <c r="B11" s="28" t="s">
        <v>44</v>
      </c>
      <c r="C11" s="31">
        <v>224.0</v>
      </c>
      <c r="D11" s="31">
        <v>22.0</v>
      </c>
      <c r="E11" s="36">
        <f t="shared" si="2"/>
        <v>14.63636364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233</v>
      </c>
      <c r="O11" s="31">
        <f t="shared" si="13"/>
        <v>22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7</v>
      </c>
      <c r="V11" s="46">
        <f t="shared" si="6"/>
        <v>-1</v>
      </c>
      <c r="W11" s="30">
        <f t="shared" si="9"/>
        <v>7</v>
      </c>
    </row>
    <row r="12">
      <c r="A12" s="30">
        <f t="shared" si="7"/>
        <v>8</v>
      </c>
      <c r="B12" s="43" t="s">
        <v>64</v>
      </c>
      <c r="C12" s="47">
        <v>224.0</v>
      </c>
      <c r="D12" s="31">
        <v>21.0</v>
      </c>
      <c r="E12" s="36">
        <f t="shared" si="2"/>
        <v>13.13333333</v>
      </c>
      <c r="F12" s="73">
        <v>1.0</v>
      </c>
      <c r="G12" s="74">
        <v>1.0</v>
      </c>
      <c r="H12" s="75">
        <v>0.0</v>
      </c>
      <c r="I12" s="74">
        <v>4.0</v>
      </c>
      <c r="J12" s="74">
        <v>4.0</v>
      </c>
      <c r="K12" s="74">
        <v>6.0</v>
      </c>
      <c r="L12" s="76">
        <v>14.0</v>
      </c>
      <c r="M12" s="74">
        <v>1.0</v>
      </c>
      <c r="N12" s="47">
        <f t="shared" ref="N12:O12" si="14">C12+L12</f>
        <v>238</v>
      </c>
      <c r="O12" s="31">
        <f t="shared" si="14"/>
        <v>22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3</v>
      </c>
      <c r="V12" s="46">
        <f t="shared" si="6"/>
        <v>0</v>
      </c>
      <c r="W12" s="30">
        <f t="shared" si="9"/>
        <v>8</v>
      </c>
    </row>
    <row r="13">
      <c r="A13" s="30">
        <f t="shared" si="7"/>
        <v>9</v>
      </c>
      <c r="B13" s="43" t="s">
        <v>88</v>
      </c>
      <c r="C13" s="47">
        <v>224.0</v>
      </c>
      <c r="D13" s="31">
        <v>21.0</v>
      </c>
      <c r="E13" s="36">
        <f t="shared" si="2"/>
        <v>12.625</v>
      </c>
      <c r="F13" s="73">
        <v>1.0</v>
      </c>
      <c r="G13" s="74">
        <v>1.0</v>
      </c>
      <c r="H13" s="75">
        <v>0.0</v>
      </c>
      <c r="I13" s="74">
        <v>6.0</v>
      </c>
      <c r="J13" s="74">
        <v>4.0</v>
      </c>
      <c r="K13" s="74">
        <v>2.0</v>
      </c>
      <c r="L13" s="76">
        <v>12.0</v>
      </c>
      <c r="M13" s="74">
        <v>1.0</v>
      </c>
      <c r="N13" s="47">
        <f t="shared" ref="N13:O13" si="15">C13+L13</f>
        <v>236</v>
      </c>
      <c r="O13" s="31">
        <f t="shared" si="15"/>
        <v>22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1</v>
      </c>
      <c r="V13" s="46">
        <f t="shared" si="6"/>
        <v>4</v>
      </c>
      <c r="W13" s="30">
        <f t="shared" si="9"/>
        <v>9</v>
      </c>
    </row>
    <row r="14">
      <c r="A14" s="30">
        <f t="shared" si="7"/>
        <v>10</v>
      </c>
      <c r="B14" s="43" t="s">
        <v>121</v>
      </c>
      <c r="C14" s="31">
        <v>224.0</v>
      </c>
      <c r="D14" s="31">
        <v>19.0</v>
      </c>
      <c r="E14" s="36">
        <f t="shared" si="2"/>
        <v>15.44444444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233</v>
      </c>
      <c r="O14" s="31">
        <f t="shared" si="16"/>
        <v>19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8</v>
      </c>
      <c r="V14" s="46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28" t="s">
        <v>101</v>
      </c>
      <c r="C15" s="31">
        <v>224.0</v>
      </c>
      <c r="D15" s="31">
        <v>18.0</v>
      </c>
      <c r="E15" s="36">
        <f t="shared" si="2"/>
        <v>13.46153846</v>
      </c>
      <c r="F15" s="73">
        <v>1.0</v>
      </c>
      <c r="G15" s="74">
        <v>2.0</v>
      </c>
      <c r="H15" s="75">
        <v>0.0</v>
      </c>
      <c r="I15" s="74">
        <v>6.0</v>
      </c>
      <c r="J15" s="74">
        <v>3.0</v>
      </c>
      <c r="K15" s="74">
        <v>6.0</v>
      </c>
      <c r="L15" s="76">
        <v>15.0</v>
      </c>
      <c r="M15" s="74">
        <v>2.0</v>
      </c>
      <c r="N15" s="31">
        <f t="shared" ref="N15:O15" si="17">C15+L15</f>
        <v>239</v>
      </c>
      <c r="O15" s="31">
        <f t="shared" si="17"/>
        <v>20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4</v>
      </c>
      <c r="V15" s="46">
        <f t="shared" si="6"/>
        <v>0</v>
      </c>
      <c r="W15" s="30">
        <f t="shared" si="9"/>
        <v>11</v>
      </c>
    </row>
    <row r="16">
      <c r="A16" s="30">
        <f t="shared" si="7"/>
        <v>12</v>
      </c>
      <c r="B16" s="43" t="s">
        <v>130</v>
      </c>
      <c r="C16" s="31">
        <v>223.0</v>
      </c>
      <c r="D16" s="31">
        <v>18.0</v>
      </c>
      <c r="E16" s="36">
        <f t="shared" si="2"/>
        <v>14.54545455</v>
      </c>
      <c r="F16" s="73">
        <v>2.0</v>
      </c>
      <c r="G16" s="74">
        <v>2.0</v>
      </c>
      <c r="H16" s="75">
        <v>0.0</v>
      </c>
      <c r="I16" s="74">
        <v>4.0</v>
      </c>
      <c r="J16" s="74">
        <v>6.0</v>
      </c>
      <c r="K16" s="74">
        <v>6.0</v>
      </c>
      <c r="L16" s="76">
        <v>16.0</v>
      </c>
      <c r="M16" s="74">
        <v>2.0</v>
      </c>
      <c r="N16" s="31">
        <f t="shared" ref="N16:O16" si="18">C16+L16</f>
        <v>239</v>
      </c>
      <c r="O16" s="31">
        <f t="shared" si="18"/>
        <v>20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7</v>
      </c>
      <c r="V16" s="46">
        <f t="shared" si="6"/>
        <v>0</v>
      </c>
      <c r="W16" s="30">
        <f t="shared" si="9"/>
        <v>12</v>
      </c>
    </row>
    <row r="17">
      <c r="A17" s="30">
        <f t="shared" si="7"/>
        <v>13</v>
      </c>
      <c r="B17" s="28" t="s">
        <v>104</v>
      </c>
      <c r="C17" s="31">
        <v>222.0</v>
      </c>
      <c r="D17" s="31">
        <v>19.0</v>
      </c>
      <c r="E17" s="36">
        <f t="shared" si="2"/>
        <v>13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231</v>
      </c>
      <c r="O17" s="31">
        <f t="shared" si="19"/>
        <v>19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3</v>
      </c>
      <c r="V17" s="46">
        <f t="shared" si="6"/>
        <v>-8</v>
      </c>
      <c r="W17" s="30">
        <f t="shared" si="9"/>
        <v>13</v>
      </c>
    </row>
    <row r="18">
      <c r="A18" s="30">
        <f t="shared" si="7"/>
        <v>14</v>
      </c>
      <c r="B18" s="48" t="s">
        <v>82</v>
      </c>
      <c r="C18" s="31">
        <v>221.0</v>
      </c>
      <c r="D18" s="31">
        <v>20.0</v>
      </c>
      <c r="E18" s="36">
        <f t="shared" si="2"/>
        <v>12.92857143</v>
      </c>
      <c r="F18" s="73">
        <v>1.0</v>
      </c>
      <c r="G18" s="74">
        <v>2.0</v>
      </c>
      <c r="H18" s="75">
        <v>0.0</v>
      </c>
      <c r="I18" s="74">
        <v>4.0</v>
      </c>
      <c r="J18" s="74">
        <v>3.0</v>
      </c>
      <c r="K18" s="74">
        <v>4.0</v>
      </c>
      <c r="L18" s="76">
        <v>11.0</v>
      </c>
      <c r="M18" s="74">
        <v>0.0</v>
      </c>
      <c r="N18" s="31">
        <f t="shared" ref="N18:O18" si="20">C18+L18</f>
        <v>232</v>
      </c>
      <c r="O18" s="31">
        <f t="shared" si="20"/>
        <v>20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3</v>
      </c>
      <c r="V18" s="46">
        <f t="shared" si="6"/>
        <v>1</v>
      </c>
      <c r="W18" s="30">
        <f t="shared" si="9"/>
        <v>14</v>
      </c>
    </row>
    <row r="19">
      <c r="A19" s="30">
        <f t="shared" si="7"/>
        <v>15</v>
      </c>
      <c r="B19" s="28" t="s">
        <v>120</v>
      </c>
      <c r="C19" s="31">
        <v>218.0</v>
      </c>
      <c r="D19" s="31">
        <v>21.0</v>
      </c>
      <c r="E19" s="36">
        <f t="shared" si="2"/>
        <v>14.2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227</v>
      </c>
      <c r="O19" s="31">
        <f t="shared" si="21"/>
        <v>21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7</v>
      </c>
      <c r="V19" s="46">
        <f t="shared" si="6"/>
        <v>-1</v>
      </c>
      <c r="W19" s="30">
        <f t="shared" si="9"/>
        <v>15</v>
      </c>
    </row>
    <row r="20">
      <c r="A20" s="30">
        <f t="shared" si="7"/>
        <v>16</v>
      </c>
      <c r="B20" s="28" t="s">
        <v>92</v>
      </c>
      <c r="C20" s="31">
        <v>216.0</v>
      </c>
      <c r="D20" s="31">
        <v>19.0</v>
      </c>
      <c r="E20" s="36">
        <f t="shared" si="2"/>
        <v>13.90909091</v>
      </c>
      <c r="F20" s="73">
        <v>1.0</v>
      </c>
      <c r="G20" s="74">
        <v>2.0</v>
      </c>
      <c r="H20" s="75">
        <v>0.0</v>
      </c>
      <c r="I20" s="74">
        <v>6.0</v>
      </c>
      <c r="J20" s="74">
        <v>6.0</v>
      </c>
      <c r="K20" s="74">
        <v>4.0</v>
      </c>
      <c r="L20" s="76">
        <v>16.0</v>
      </c>
      <c r="M20" s="74">
        <v>2.0</v>
      </c>
      <c r="N20" s="31">
        <f t="shared" ref="N20:O20" si="22">C20+L20</f>
        <v>232</v>
      </c>
      <c r="O20" s="31">
        <f t="shared" si="22"/>
        <v>21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7</v>
      </c>
      <c r="V20" s="46">
        <f t="shared" si="6"/>
        <v>7</v>
      </c>
      <c r="W20" s="30">
        <f t="shared" si="9"/>
        <v>16</v>
      </c>
    </row>
    <row r="21">
      <c r="A21" s="30">
        <f t="shared" si="7"/>
        <v>17</v>
      </c>
      <c r="B21" s="28" t="s">
        <v>116</v>
      </c>
      <c r="C21" s="31">
        <v>216.0</v>
      </c>
      <c r="D21" s="31">
        <v>18.0</v>
      </c>
      <c r="E21" s="36">
        <f t="shared" si="2"/>
        <v>14</v>
      </c>
      <c r="F21" s="73">
        <v>1.0</v>
      </c>
      <c r="G21" s="74">
        <v>3.0</v>
      </c>
      <c r="H21" s="75">
        <v>0.0</v>
      </c>
      <c r="I21" s="74">
        <v>6.0</v>
      </c>
      <c r="J21" s="74">
        <v>2.0</v>
      </c>
      <c r="K21" s="74">
        <v>6.0</v>
      </c>
      <c r="L21" s="76">
        <v>14.0</v>
      </c>
      <c r="M21" s="74">
        <v>2.0</v>
      </c>
      <c r="N21" s="31">
        <f t="shared" ref="N21:O21" si="23">C21+L21</f>
        <v>230</v>
      </c>
      <c r="O21" s="31">
        <f t="shared" si="23"/>
        <v>20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7</v>
      </c>
      <c r="V21" s="46">
        <f t="shared" si="6"/>
        <v>2</v>
      </c>
      <c r="W21" s="30">
        <f t="shared" si="9"/>
        <v>17</v>
      </c>
    </row>
    <row r="22">
      <c r="A22" s="30">
        <f t="shared" si="7"/>
        <v>18</v>
      </c>
      <c r="B22" s="28" t="s">
        <v>34</v>
      </c>
      <c r="C22" s="31">
        <v>215.0</v>
      </c>
      <c r="D22" s="31">
        <v>20.0</v>
      </c>
      <c r="E22" s="36">
        <f t="shared" si="2"/>
        <v>16.57142857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224</v>
      </c>
      <c r="O22" s="31">
        <f t="shared" si="24"/>
        <v>20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11</v>
      </c>
      <c r="V22" s="46">
        <f t="shared" si="6"/>
        <v>4</v>
      </c>
      <c r="W22" s="30">
        <f t="shared" si="9"/>
        <v>18</v>
      </c>
    </row>
    <row r="23">
      <c r="A23" s="30">
        <f t="shared" si="7"/>
        <v>19</v>
      </c>
      <c r="B23" s="28" t="s">
        <v>67</v>
      </c>
      <c r="C23" s="31">
        <v>214.0</v>
      </c>
      <c r="D23" s="31">
        <v>18.0</v>
      </c>
      <c r="E23" s="36">
        <f t="shared" si="2"/>
        <v>15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223</v>
      </c>
      <c r="O23" s="31">
        <f t="shared" si="25"/>
        <v>18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9</v>
      </c>
      <c r="V23" s="46">
        <f t="shared" si="6"/>
        <v>-3</v>
      </c>
      <c r="W23" s="30">
        <f t="shared" si="9"/>
        <v>19</v>
      </c>
    </row>
    <row r="24">
      <c r="A24" s="30">
        <f t="shared" si="7"/>
        <v>20</v>
      </c>
      <c r="B24" s="28" t="s">
        <v>95</v>
      </c>
      <c r="C24" s="31">
        <v>212.0</v>
      </c>
      <c r="D24" s="31">
        <v>20.0</v>
      </c>
      <c r="E24" s="36">
        <f t="shared" si="2"/>
        <v>12.84615385</v>
      </c>
      <c r="F24" s="73">
        <v>1.0</v>
      </c>
      <c r="G24" s="74">
        <v>3.0</v>
      </c>
      <c r="H24" s="75">
        <v>0.0</v>
      </c>
      <c r="I24" s="74">
        <v>3.0</v>
      </c>
      <c r="J24" s="74">
        <v>6.0</v>
      </c>
      <c r="K24" s="74">
        <v>6.0</v>
      </c>
      <c r="L24" s="76">
        <v>15.0</v>
      </c>
      <c r="M24" s="74">
        <v>2.0</v>
      </c>
      <c r="N24" s="31">
        <f t="shared" ref="N24:O24" si="26">C24+L24</f>
        <v>227</v>
      </c>
      <c r="O24" s="31">
        <f t="shared" si="26"/>
        <v>22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5</v>
      </c>
      <c r="V24" s="46">
        <f t="shared" si="6"/>
        <v>-3</v>
      </c>
      <c r="W24" s="30">
        <f t="shared" si="9"/>
        <v>20</v>
      </c>
    </row>
    <row r="25">
      <c r="A25" s="30">
        <f t="shared" si="7"/>
        <v>21</v>
      </c>
      <c r="B25" s="28" t="s">
        <v>105</v>
      </c>
      <c r="C25" s="31">
        <v>212.0</v>
      </c>
      <c r="D25" s="31">
        <v>18.0</v>
      </c>
      <c r="E25" s="36">
        <f t="shared" si="2"/>
        <v>12.83333333</v>
      </c>
      <c r="F25" s="73">
        <v>1.0</v>
      </c>
      <c r="G25" s="74">
        <v>3.0</v>
      </c>
      <c r="H25" s="75">
        <v>0.0</v>
      </c>
      <c r="I25" s="74">
        <v>6.0</v>
      </c>
      <c r="J25" s="74">
        <v>6.0</v>
      </c>
      <c r="K25" s="74">
        <v>0.0</v>
      </c>
      <c r="L25" s="76">
        <v>12.0</v>
      </c>
      <c r="M25" s="74">
        <v>2.0</v>
      </c>
      <c r="N25" s="31">
        <f t="shared" ref="N25:O25" si="27">C25+L25</f>
        <v>224</v>
      </c>
      <c r="O25" s="31">
        <f t="shared" si="27"/>
        <v>20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5</v>
      </c>
      <c r="V25" s="46">
        <f t="shared" si="6"/>
        <v>0</v>
      </c>
      <c r="W25" s="30">
        <f t="shared" si="9"/>
        <v>21</v>
      </c>
    </row>
    <row r="26">
      <c r="A26" s="30">
        <f t="shared" si="7"/>
        <v>22</v>
      </c>
      <c r="B26" s="43" t="s">
        <v>56</v>
      </c>
      <c r="C26" s="31">
        <v>209.0</v>
      </c>
      <c r="D26" s="31">
        <v>19.0</v>
      </c>
      <c r="E26" s="36">
        <f t="shared" si="2"/>
        <v>11.61111111</v>
      </c>
      <c r="F26" s="73">
        <v>1.0</v>
      </c>
      <c r="G26" s="74">
        <v>3.0</v>
      </c>
      <c r="H26" s="75">
        <v>0.0</v>
      </c>
      <c r="I26" s="74">
        <v>3.0</v>
      </c>
      <c r="J26" s="74">
        <v>2.0</v>
      </c>
      <c r="K26" s="74">
        <v>0.0</v>
      </c>
      <c r="L26" s="76">
        <v>5.0</v>
      </c>
      <c r="M26" s="74">
        <v>0.0</v>
      </c>
      <c r="N26" s="31">
        <f t="shared" ref="N26:O26" si="28">C26+L26</f>
        <v>214</v>
      </c>
      <c r="O26" s="31">
        <f t="shared" si="28"/>
        <v>19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0</v>
      </c>
      <c r="V26" s="46">
        <f t="shared" si="6"/>
        <v>-4</v>
      </c>
      <c r="W26" s="30">
        <f t="shared" si="9"/>
        <v>22</v>
      </c>
    </row>
    <row r="27">
      <c r="A27" s="30">
        <f t="shared" si="7"/>
        <v>23</v>
      </c>
      <c r="B27" s="43" t="s">
        <v>106</v>
      </c>
      <c r="C27" s="31">
        <v>208.0</v>
      </c>
      <c r="D27" s="31">
        <v>19.0</v>
      </c>
      <c r="E27" s="36">
        <f t="shared" si="2"/>
        <v>12.5</v>
      </c>
      <c r="F27" s="73">
        <v>1.0</v>
      </c>
      <c r="G27" s="74">
        <v>4.0</v>
      </c>
      <c r="H27" s="75">
        <v>0.0</v>
      </c>
      <c r="I27" s="74">
        <v>7.0</v>
      </c>
      <c r="J27" s="74">
        <v>6.0</v>
      </c>
      <c r="K27" s="74">
        <v>6.0</v>
      </c>
      <c r="L27" s="76">
        <v>19.0</v>
      </c>
      <c r="M27" s="74">
        <v>3.0</v>
      </c>
      <c r="N27" s="31">
        <f t="shared" ref="N27:O27" si="29">C27+L27</f>
        <v>227</v>
      </c>
      <c r="O27" s="31">
        <f t="shared" si="29"/>
        <v>22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5</v>
      </c>
      <c r="V27" s="46">
        <f t="shared" si="6"/>
        <v>12</v>
      </c>
      <c r="W27" s="30">
        <f t="shared" si="9"/>
        <v>23</v>
      </c>
    </row>
    <row r="28">
      <c r="A28" s="30">
        <f t="shared" si="7"/>
        <v>24</v>
      </c>
      <c r="B28" s="43" t="s">
        <v>111</v>
      </c>
      <c r="C28" s="47">
        <v>207.0</v>
      </c>
      <c r="D28" s="31">
        <v>17.0</v>
      </c>
      <c r="E28" s="36">
        <f t="shared" si="2"/>
        <v>11.73333333</v>
      </c>
      <c r="F28" s="73">
        <v>1.0</v>
      </c>
      <c r="G28" s="74">
        <v>4.0</v>
      </c>
      <c r="H28" s="75">
        <v>0.0</v>
      </c>
      <c r="I28" s="74">
        <v>7.0</v>
      </c>
      <c r="J28" s="74">
        <v>4.0</v>
      </c>
      <c r="K28" s="74">
        <v>4.0</v>
      </c>
      <c r="L28" s="76">
        <v>15.0</v>
      </c>
      <c r="M28" s="74">
        <v>1.0</v>
      </c>
      <c r="N28" s="47">
        <f t="shared" ref="N28:O28" si="30">C28+L28</f>
        <v>222</v>
      </c>
      <c r="O28" s="31">
        <f t="shared" si="30"/>
        <v>18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2</v>
      </c>
      <c r="V28" s="46">
        <f t="shared" si="6"/>
        <v>3</v>
      </c>
      <c r="W28" s="30">
        <f t="shared" si="9"/>
        <v>24</v>
      </c>
    </row>
    <row r="29">
      <c r="A29" s="30">
        <f t="shared" si="7"/>
        <v>25</v>
      </c>
      <c r="B29" s="43" t="s">
        <v>90</v>
      </c>
      <c r="C29" s="31">
        <v>206.0</v>
      </c>
      <c r="D29" s="31">
        <v>16.0</v>
      </c>
      <c r="E29" s="36">
        <f t="shared" si="2"/>
        <v>11.66666667</v>
      </c>
      <c r="F29" s="73">
        <v>2.0</v>
      </c>
      <c r="G29" s="74">
        <v>4.0</v>
      </c>
      <c r="H29" s="75">
        <v>0.0</v>
      </c>
      <c r="I29" s="74">
        <v>5.0</v>
      </c>
      <c r="J29" s="74">
        <v>4.0</v>
      </c>
      <c r="K29" s="74">
        <v>6.0</v>
      </c>
      <c r="L29" s="76">
        <v>15.0</v>
      </c>
      <c r="M29" s="74">
        <v>1.0</v>
      </c>
      <c r="N29" s="31">
        <f t="shared" ref="N29:O29" si="31">C29+L29</f>
        <v>221</v>
      </c>
      <c r="O29" s="31">
        <f t="shared" si="31"/>
        <v>17</v>
      </c>
      <c r="P29" s="45" t="s">
        <v>58</v>
      </c>
      <c r="Q29" s="45" t="s">
        <v>58</v>
      </c>
      <c r="R29" s="45"/>
      <c r="S29" s="46">
        <f t="shared" si="4"/>
        <v>3</v>
      </c>
      <c r="T29" s="46"/>
      <c r="U29" s="46">
        <f t="shared" si="5"/>
        <v>3</v>
      </c>
      <c r="V29" s="46">
        <f t="shared" si="6"/>
        <v>-5</v>
      </c>
      <c r="W29" s="30">
        <f t="shared" si="9"/>
        <v>25</v>
      </c>
    </row>
    <row r="30">
      <c r="A30" s="30">
        <f t="shared" si="7"/>
        <v>26</v>
      </c>
      <c r="B30" s="43" t="s">
        <v>99</v>
      </c>
      <c r="C30" s="31">
        <v>205.0</v>
      </c>
      <c r="D30" s="31">
        <v>15.0</v>
      </c>
      <c r="E30" s="36">
        <f t="shared" si="2"/>
        <v>13.33333333</v>
      </c>
      <c r="F30" s="73">
        <v>2.0</v>
      </c>
      <c r="G30" s="74">
        <v>4.0</v>
      </c>
      <c r="H30" s="75">
        <v>0.0</v>
      </c>
      <c r="I30" s="74">
        <v>5.0</v>
      </c>
      <c r="J30" s="74">
        <v>6.0</v>
      </c>
      <c r="K30" s="74">
        <v>4.0</v>
      </c>
      <c r="L30" s="76">
        <v>15.0</v>
      </c>
      <c r="M30" s="74">
        <v>1.0</v>
      </c>
      <c r="N30" s="31">
        <f t="shared" ref="N30:O30" si="32">C30+L30</f>
        <v>220</v>
      </c>
      <c r="O30" s="31">
        <f t="shared" si="32"/>
        <v>16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8</v>
      </c>
      <c r="V30" s="46">
        <f t="shared" si="6"/>
        <v>3</v>
      </c>
      <c r="W30" s="30">
        <f t="shared" si="9"/>
        <v>26</v>
      </c>
    </row>
    <row r="31">
      <c r="A31" s="30">
        <f t="shared" si="7"/>
        <v>27</v>
      </c>
      <c r="B31" s="43" t="s">
        <v>107</v>
      </c>
      <c r="C31" s="31">
        <v>205.0</v>
      </c>
      <c r="D31" s="31">
        <v>11.0</v>
      </c>
      <c r="E31" s="36">
        <f t="shared" si="2"/>
        <v>12.54545455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214</v>
      </c>
      <c r="O31" s="31">
        <f t="shared" si="33"/>
        <v>11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6</v>
      </c>
      <c r="V31" s="46">
        <f t="shared" si="6"/>
        <v>-2</v>
      </c>
      <c r="W31" s="30">
        <f t="shared" si="9"/>
        <v>27</v>
      </c>
    </row>
    <row r="32">
      <c r="A32" s="30">
        <f t="shared" si="7"/>
        <v>28</v>
      </c>
      <c r="B32" s="43" t="s">
        <v>129</v>
      </c>
      <c r="C32" s="47">
        <v>204.0</v>
      </c>
      <c r="D32" s="31">
        <v>19.0</v>
      </c>
      <c r="E32" s="36">
        <f t="shared" si="2"/>
        <v>11.625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47">
        <f t="shared" ref="N32:O32" si="34">C32+L32</f>
        <v>213</v>
      </c>
      <c r="O32" s="31">
        <f t="shared" si="34"/>
        <v>19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2</v>
      </c>
      <c r="V32" s="46">
        <f t="shared" si="6"/>
        <v>6</v>
      </c>
      <c r="W32" s="30">
        <f t="shared" si="9"/>
        <v>28</v>
      </c>
    </row>
    <row r="33">
      <c r="A33" s="30">
        <f t="shared" si="7"/>
        <v>29</v>
      </c>
      <c r="B33" s="28" t="s">
        <v>119</v>
      </c>
      <c r="C33" s="31">
        <v>204.0</v>
      </c>
      <c r="D33" s="31">
        <v>18.0</v>
      </c>
      <c r="E33" s="36">
        <f t="shared" si="2"/>
        <v>12.16666667</v>
      </c>
      <c r="F33" s="73">
        <v>2.0</v>
      </c>
      <c r="G33" s="74">
        <v>5.0</v>
      </c>
      <c r="H33" s="75">
        <v>0.0</v>
      </c>
      <c r="I33" s="74">
        <v>6.0</v>
      </c>
      <c r="J33" s="74">
        <v>6.0</v>
      </c>
      <c r="K33" s="74">
        <v>4.0</v>
      </c>
      <c r="L33" s="76">
        <v>16.0</v>
      </c>
      <c r="M33" s="74">
        <v>2.0</v>
      </c>
      <c r="N33" s="31">
        <f t="shared" ref="N33:O33" si="35">C33+L33</f>
        <v>220</v>
      </c>
      <c r="O33" s="31">
        <f t="shared" si="35"/>
        <v>20</v>
      </c>
      <c r="P33" s="45" t="s">
        <v>58</v>
      </c>
      <c r="Q33" s="45" t="s">
        <v>58</v>
      </c>
      <c r="R33" s="45" t="s">
        <v>58</v>
      </c>
      <c r="S33" s="46">
        <f t="shared" si="4"/>
        <v>1</v>
      </c>
      <c r="T33" s="46"/>
      <c r="U33" s="46">
        <f t="shared" si="5"/>
        <v>5</v>
      </c>
      <c r="V33" s="46">
        <f t="shared" si="6"/>
        <v>-5</v>
      </c>
      <c r="W33" s="30">
        <f t="shared" si="9"/>
        <v>29</v>
      </c>
    </row>
    <row r="34">
      <c r="A34" s="30">
        <f t="shared" si="7"/>
        <v>30</v>
      </c>
      <c r="B34" s="48" t="s">
        <v>54</v>
      </c>
      <c r="C34" s="31">
        <v>204.0</v>
      </c>
      <c r="D34" s="31">
        <v>16.0</v>
      </c>
      <c r="E34" s="36">
        <f t="shared" si="2"/>
        <v>11.92307692</v>
      </c>
      <c r="F34" s="73">
        <v>1.0</v>
      </c>
      <c r="G34" s="74">
        <v>5.0</v>
      </c>
      <c r="H34" s="75">
        <v>0.0</v>
      </c>
      <c r="I34" s="74">
        <v>2.0</v>
      </c>
      <c r="J34" s="74">
        <v>2.0</v>
      </c>
      <c r="K34" s="74">
        <v>4.0</v>
      </c>
      <c r="L34" s="76">
        <v>8.0</v>
      </c>
      <c r="M34" s="74">
        <v>0.0</v>
      </c>
      <c r="N34" s="31">
        <f t="shared" ref="N34:O34" si="36">C34+L34</f>
        <v>212</v>
      </c>
      <c r="O34" s="31">
        <f t="shared" si="36"/>
        <v>16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4</v>
      </c>
      <c r="V34" s="46">
        <f t="shared" si="6"/>
        <v>8</v>
      </c>
      <c r="W34" s="30">
        <f t="shared" si="9"/>
        <v>30</v>
      </c>
    </row>
    <row r="35">
      <c r="A35" s="30">
        <f t="shared" si="7"/>
        <v>31</v>
      </c>
      <c r="B35" s="28" t="s">
        <v>98</v>
      </c>
      <c r="C35" s="31">
        <v>204.0</v>
      </c>
      <c r="D35" s="31">
        <v>15.0</v>
      </c>
      <c r="E35" s="36">
        <f t="shared" si="2"/>
        <v>13.2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213</v>
      </c>
      <c r="O35" s="31">
        <f t="shared" si="37"/>
        <v>15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8</v>
      </c>
      <c r="V35" s="46">
        <f t="shared" si="6"/>
        <v>-5</v>
      </c>
      <c r="W35" s="30">
        <f t="shared" si="9"/>
        <v>31</v>
      </c>
    </row>
    <row r="36">
      <c r="A36" s="30">
        <f t="shared" si="7"/>
        <v>32</v>
      </c>
      <c r="B36" s="28" t="s">
        <v>49</v>
      </c>
      <c r="C36" s="31">
        <v>203.0</v>
      </c>
      <c r="D36" s="31">
        <v>17.0</v>
      </c>
      <c r="E36" s="36">
        <f t="shared" si="2"/>
        <v>11.3125</v>
      </c>
      <c r="F36" s="73">
        <v>1.0</v>
      </c>
      <c r="G36" s="74">
        <v>5.0</v>
      </c>
      <c r="H36" s="75">
        <v>0.0</v>
      </c>
      <c r="I36" s="74">
        <v>2.0</v>
      </c>
      <c r="J36" s="74">
        <v>6.0</v>
      </c>
      <c r="K36" s="74">
        <v>6.0</v>
      </c>
      <c r="L36" s="76">
        <v>14.0</v>
      </c>
      <c r="M36" s="74">
        <v>2.0</v>
      </c>
      <c r="N36" s="31">
        <f t="shared" ref="N36:O36" si="38">C36+L36</f>
        <v>217</v>
      </c>
      <c r="O36" s="31">
        <f t="shared" si="38"/>
        <v>19</v>
      </c>
      <c r="P36" s="45" t="s">
        <v>58</v>
      </c>
      <c r="Q36" s="45" t="s">
        <v>58</v>
      </c>
      <c r="R36" s="45" t="s">
        <v>58</v>
      </c>
      <c r="S36" s="46">
        <f t="shared" si="4"/>
        <v>1</v>
      </c>
      <c r="T36" s="46"/>
      <c r="U36" s="46">
        <f t="shared" si="5"/>
        <v>1</v>
      </c>
      <c r="V36" s="46">
        <f t="shared" si="6"/>
        <v>4</v>
      </c>
      <c r="W36" s="30">
        <f t="shared" si="9"/>
        <v>32</v>
      </c>
    </row>
    <row r="37">
      <c r="A37" s="30">
        <f t="shared" si="7"/>
        <v>33</v>
      </c>
      <c r="B37" s="43" t="s">
        <v>133</v>
      </c>
      <c r="C37" s="31">
        <v>203.0</v>
      </c>
      <c r="D37" s="31">
        <v>16.0</v>
      </c>
      <c r="E37" s="36">
        <f t="shared" si="2"/>
        <v>11.41176471</v>
      </c>
      <c r="F37" s="73">
        <v>1.0</v>
      </c>
      <c r="G37" s="74">
        <v>5.0</v>
      </c>
      <c r="H37" s="75">
        <v>0.0</v>
      </c>
      <c r="I37" s="74">
        <v>6.0</v>
      </c>
      <c r="J37" s="74">
        <v>2.0</v>
      </c>
      <c r="K37" s="74">
        <v>6.0</v>
      </c>
      <c r="L37" s="76">
        <v>14.0</v>
      </c>
      <c r="M37" s="74">
        <v>2.0</v>
      </c>
      <c r="N37" s="31">
        <f t="shared" ref="N37:O37" si="39">C37+L37</f>
        <v>217</v>
      </c>
      <c r="O37" s="31">
        <f t="shared" si="39"/>
        <v>18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1</v>
      </c>
      <c r="V37" s="46">
        <f t="shared" si="6"/>
        <v>-2</v>
      </c>
      <c r="W37" s="30">
        <f t="shared" si="9"/>
        <v>33</v>
      </c>
    </row>
    <row r="38">
      <c r="A38" s="30">
        <f t="shared" si="7"/>
        <v>34</v>
      </c>
      <c r="B38" s="28" t="s">
        <v>128</v>
      </c>
      <c r="C38" s="31">
        <v>202.0</v>
      </c>
      <c r="D38" s="31">
        <v>16.0</v>
      </c>
      <c r="E38" s="36">
        <f t="shared" si="2"/>
        <v>14</v>
      </c>
      <c r="F38" s="73">
        <v>1.0</v>
      </c>
      <c r="G38" s="74">
        <v>6.0</v>
      </c>
      <c r="H38" s="75">
        <v>0.0</v>
      </c>
      <c r="I38" s="74">
        <v>6.0</v>
      </c>
      <c r="J38" s="74">
        <v>6.0</v>
      </c>
      <c r="K38" s="74">
        <v>6.0</v>
      </c>
      <c r="L38" s="76">
        <v>18.0</v>
      </c>
      <c r="M38" s="74">
        <v>3.0</v>
      </c>
      <c r="N38" s="31">
        <f t="shared" ref="N38:O38" si="40">C38+L38</f>
        <v>220</v>
      </c>
      <c r="O38" s="31">
        <f t="shared" si="40"/>
        <v>19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10</v>
      </c>
      <c r="V38" s="46">
        <f t="shared" si="6"/>
        <v>8</v>
      </c>
      <c r="W38" s="30">
        <f t="shared" si="9"/>
        <v>34</v>
      </c>
    </row>
    <row r="39">
      <c r="A39" s="30">
        <f t="shared" si="7"/>
        <v>35</v>
      </c>
      <c r="B39" s="43" t="s">
        <v>61</v>
      </c>
      <c r="C39" s="47">
        <v>201.0</v>
      </c>
      <c r="D39" s="31">
        <v>24.0</v>
      </c>
      <c r="E39" s="36">
        <f t="shared" si="2"/>
        <v>11.29411765</v>
      </c>
      <c r="F39" s="73">
        <v>3.0</v>
      </c>
      <c r="G39" s="74">
        <v>0.0</v>
      </c>
      <c r="H39" s="75">
        <v>9.0</v>
      </c>
      <c r="I39" s="74">
        <v>0.0</v>
      </c>
      <c r="J39" s="74">
        <v>0.0</v>
      </c>
      <c r="K39" s="74">
        <v>0.0</v>
      </c>
      <c r="L39" s="76">
        <v>9.0</v>
      </c>
      <c r="M39" s="74">
        <v>0.0</v>
      </c>
      <c r="N39" s="47">
        <f t="shared" ref="N39:O39" si="41">C39+L39</f>
        <v>210</v>
      </c>
      <c r="O39" s="31">
        <f t="shared" si="41"/>
        <v>24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1</v>
      </c>
      <c r="V39" s="46">
        <f t="shared" si="6"/>
        <v>-3</v>
      </c>
      <c r="W39" s="30">
        <f t="shared" si="9"/>
        <v>35</v>
      </c>
    </row>
    <row r="40">
      <c r="A40" s="30">
        <f t="shared" si="7"/>
        <v>36</v>
      </c>
      <c r="B40" s="43" t="s">
        <v>132</v>
      </c>
      <c r="C40" s="31">
        <v>201.0</v>
      </c>
      <c r="D40" s="31">
        <v>22.0</v>
      </c>
      <c r="E40" s="36">
        <f t="shared" si="2"/>
        <v>11.16666667</v>
      </c>
      <c r="F40" s="73">
        <v>1.0</v>
      </c>
      <c r="G40" s="74">
        <v>6.0</v>
      </c>
      <c r="H40" s="75">
        <v>0.0</v>
      </c>
      <c r="I40" s="74">
        <v>3.0</v>
      </c>
      <c r="J40" s="74">
        <v>6.0</v>
      </c>
      <c r="K40" s="74">
        <v>3.0</v>
      </c>
      <c r="L40" s="76">
        <v>12.0</v>
      </c>
      <c r="M40" s="74">
        <v>1.0</v>
      </c>
      <c r="N40" s="31">
        <f t="shared" ref="N40:O40" si="42">C40+L40</f>
        <v>213</v>
      </c>
      <c r="O40" s="31">
        <f t="shared" si="42"/>
        <v>23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3</v>
      </c>
      <c r="W40" s="30">
        <f t="shared" si="9"/>
        <v>36</v>
      </c>
    </row>
    <row r="41">
      <c r="A41" s="30">
        <f t="shared" si="7"/>
        <v>37</v>
      </c>
      <c r="B41" s="48" t="s">
        <v>134</v>
      </c>
      <c r="C41" s="31">
        <v>201.0</v>
      </c>
      <c r="D41" s="31">
        <v>15.0</v>
      </c>
      <c r="E41" s="36">
        <f t="shared" si="2"/>
        <v>12.5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210</v>
      </c>
      <c r="O41" s="31">
        <f t="shared" si="43"/>
        <v>15</v>
      </c>
      <c r="P41" s="45" t="s">
        <v>58</v>
      </c>
      <c r="Q41" s="45" t="s">
        <v>58</v>
      </c>
      <c r="R41" s="45"/>
      <c r="S41" s="46">
        <f t="shared" si="4"/>
        <v>1</v>
      </c>
      <c r="T41" s="46"/>
      <c r="U41" s="46">
        <f t="shared" si="5"/>
        <v>7</v>
      </c>
      <c r="V41" s="46">
        <f t="shared" si="6"/>
        <v>-9</v>
      </c>
      <c r="W41" s="30">
        <f t="shared" si="9"/>
        <v>37</v>
      </c>
    </row>
    <row r="42">
      <c r="A42" s="30">
        <f t="shared" si="7"/>
        <v>38</v>
      </c>
      <c r="B42" s="28" t="s">
        <v>84</v>
      </c>
      <c r="C42" s="31">
        <v>198.0</v>
      </c>
      <c r="D42" s="31">
        <v>18.0</v>
      </c>
      <c r="E42" s="36">
        <f t="shared" si="2"/>
        <v>11.76923077</v>
      </c>
      <c r="F42" s="73">
        <v>1.0</v>
      </c>
      <c r="G42" s="74">
        <v>6.0</v>
      </c>
      <c r="H42" s="75">
        <v>0.0</v>
      </c>
      <c r="I42" s="74">
        <v>6.0</v>
      </c>
      <c r="J42" s="74">
        <v>3.0</v>
      </c>
      <c r="K42" s="74">
        <v>3.0</v>
      </c>
      <c r="L42" s="76">
        <v>12.0</v>
      </c>
      <c r="M42" s="74">
        <v>1.0</v>
      </c>
      <c r="N42" s="31">
        <f t="shared" ref="N42:O42" si="44">C42+L42</f>
        <v>210</v>
      </c>
      <c r="O42" s="31">
        <f t="shared" si="44"/>
        <v>19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5</v>
      </c>
      <c r="V42" s="46">
        <f t="shared" si="6"/>
        <v>-5</v>
      </c>
      <c r="W42" s="30">
        <f t="shared" si="9"/>
        <v>38</v>
      </c>
    </row>
    <row r="43">
      <c r="A43" s="30">
        <f t="shared" si="7"/>
        <v>39</v>
      </c>
      <c r="B43" s="28" t="s">
        <v>89</v>
      </c>
      <c r="C43" s="31">
        <v>198.0</v>
      </c>
      <c r="D43" s="31">
        <v>14.0</v>
      </c>
      <c r="E43" s="36">
        <f t="shared" si="2"/>
        <v>12.11111111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5">C43+L43</f>
        <v>207</v>
      </c>
      <c r="O43" s="31">
        <f t="shared" si="45"/>
        <v>14</v>
      </c>
      <c r="P43" s="45" t="s">
        <v>58</v>
      </c>
      <c r="Q43" s="45" t="s">
        <v>58</v>
      </c>
      <c r="R43" s="45"/>
      <c r="S43" s="46">
        <f t="shared" si="4"/>
        <v>2</v>
      </c>
      <c r="T43" s="46"/>
      <c r="U43" s="46">
        <f t="shared" si="5"/>
        <v>7</v>
      </c>
      <c r="V43" s="46">
        <f t="shared" si="6"/>
        <v>-9</v>
      </c>
      <c r="W43" s="30">
        <f t="shared" si="9"/>
        <v>39</v>
      </c>
    </row>
    <row r="44">
      <c r="A44" s="30">
        <f t="shared" si="7"/>
        <v>40</v>
      </c>
      <c r="B44" s="43" t="s">
        <v>62</v>
      </c>
      <c r="C44" s="31">
        <v>197.0</v>
      </c>
      <c r="D44" s="31">
        <v>14.0</v>
      </c>
      <c r="E44" s="36">
        <f t="shared" si="2"/>
        <v>13.375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6">C44+L44</f>
        <v>206</v>
      </c>
      <c r="O44" s="31">
        <f t="shared" si="46"/>
        <v>14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10</v>
      </c>
      <c r="V44" s="46">
        <f t="shared" si="6"/>
        <v>-3</v>
      </c>
      <c r="W44" s="30">
        <f t="shared" si="9"/>
        <v>40</v>
      </c>
    </row>
    <row r="45">
      <c r="A45" s="30">
        <f t="shared" si="7"/>
        <v>41</v>
      </c>
      <c r="B45" s="28" t="s">
        <v>137</v>
      </c>
      <c r="C45" s="31">
        <v>196.0</v>
      </c>
      <c r="D45" s="31">
        <v>10.0</v>
      </c>
      <c r="E45" s="36">
        <f t="shared" si="2"/>
        <v>13.33333333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7">C45+L45</f>
        <v>205</v>
      </c>
      <c r="O45" s="31">
        <f t="shared" si="47"/>
        <v>10</v>
      </c>
      <c r="P45" s="45" t="s">
        <v>58</v>
      </c>
      <c r="Q45" s="45" t="s">
        <v>58</v>
      </c>
      <c r="R45" s="45"/>
      <c r="S45" s="46">
        <f t="shared" si="4"/>
        <v>2</v>
      </c>
      <c r="T45" s="46"/>
      <c r="U45" s="46">
        <f t="shared" si="5"/>
        <v>10</v>
      </c>
      <c r="V45" s="46">
        <f t="shared" si="6"/>
        <v>-1</v>
      </c>
      <c r="W45" s="30">
        <f t="shared" si="9"/>
        <v>41</v>
      </c>
    </row>
    <row r="46">
      <c r="A46" s="30">
        <f t="shared" si="7"/>
        <v>42</v>
      </c>
      <c r="B46" s="48" t="s">
        <v>125</v>
      </c>
      <c r="C46" s="31">
        <v>193.0</v>
      </c>
      <c r="D46" s="31">
        <v>14.0</v>
      </c>
      <c r="E46" s="36">
        <f t="shared" si="2"/>
        <v>10.82352941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202</v>
      </c>
      <c r="O46" s="31">
        <f t="shared" si="48"/>
        <v>14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1</v>
      </c>
      <c r="V46" s="46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43" t="s">
        <v>122</v>
      </c>
      <c r="C47" s="31">
        <v>193.0</v>
      </c>
      <c r="D47" s="31">
        <v>13.0</v>
      </c>
      <c r="E47" s="36">
        <f t="shared" si="2"/>
        <v>12.1</v>
      </c>
      <c r="F47" s="73">
        <v>1.0</v>
      </c>
      <c r="G47" s="74">
        <v>6.0</v>
      </c>
      <c r="H47" s="75">
        <v>0.0</v>
      </c>
      <c r="I47" s="74">
        <v>3.0</v>
      </c>
      <c r="J47" s="74">
        <v>3.0</v>
      </c>
      <c r="K47" s="74">
        <v>6.0</v>
      </c>
      <c r="L47" s="76">
        <v>12.0</v>
      </c>
      <c r="M47" s="74">
        <v>1.0</v>
      </c>
      <c r="N47" s="31">
        <f t="shared" ref="N47:O47" si="49">C47+L47</f>
        <v>205</v>
      </c>
      <c r="O47" s="31">
        <f t="shared" si="49"/>
        <v>14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8</v>
      </c>
      <c r="V47" s="46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48" t="s">
        <v>103</v>
      </c>
      <c r="C48" s="31">
        <v>192.0</v>
      </c>
      <c r="D48" s="31">
        <v>17.0</v>
      </c>
      <c r="E48" s="36">
        <f t="shared" si="2"/>
        <v>11.14285714</v>
      </c>
      <c r="F48" s="73">
        <v>1.0</v>
      </c>
      <c r="G48" s="74">
        <v>7.0</v>
      </c>
      <c r="H48" s="75">
        <v>0.0</v>
      </c>
      <c r="I48" s="74">
        <v>6.0</v>
      </c>
      <c r="J48" s="74">
        <v>4.0</v>
      </c>
      <c r="K48" s="74">
        <v>0.0</v>
      </c>
      <c r="L48" s="76">
        <v>10.0</v>
      </c>
      <c r="M48" s="74">
        <v>1.0</v>
      </c>
      <c r="N48" s="31">
        <f t="shared" ref="N48:O48" si="50">C48+L48</f>
        <v>202</v>
      </c>
      <c r="O48" s="31">
        <f t="shared" si="50"/>
        <v>18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4</v>
      </c>
      <c r="V48" s="46">
        <f t="shared" si="6"/>
        <v>1</v>
      </c>
      <c r="W48" s="30">
        <f t="shared" si="9"/>
        <v>44</v>
      </c>
    </row>
    <row r="49">
      <c r="A49" s="30">
        <f t="shared" si="7"/>
        <v>45</v>
      </c>
      <c r="B49" s="43" t="s">
        <v>136</v>
      </c>
      <c r="C49" s="31">
        <v>191.0</v>
      </c>
      <c r="D49" s="31">
        <v>17.0</v>
      </c>
      <c r="E49" s="36">
        <f t="shared" si="2"/>
        <v>10.93333333</v>
      </c>
      <c r="F49" s="73">
        <v>1.0</v>
      </c>
      <c r="G49" s="74">
        <v>7.0</v>
      </c>
      <c r="H49" s="75">
        <v>0.0</v>
      </c>
      <c r="I49" s="74">
        <v>3.0</v>
      </c>
      <c r="J49" s="74">
        <v>6.0</v>
      </c>
      <c r="K49" s="74">
        <v>0.0</v>
      </c>
      <c r="L49" s="76">
        <v>9.0</v>
      </c>
      <c r="M49" s="74">
        <v>1.0</v>
      </c>
      <c r="N49" s="31">
        <f t="shared" ref="N49:O49" si="51">C49+L49</f>
        <v>200</v>
      </c>
      <c r="O49" s="31">
        <f t="shared" si="51"/>
        <v>18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3</v>
      </c>
      <c r="V49" s="46">
        <f t="shared" si="6"/>
        <v>-1</v>
      </c>
      <c r="W49" s="30">
        <f t="shared" si="9"/>
        <v>45</v>
      </c>
    </row>
    <row r="50">
      <c r="A50" s="30">
        <f t="shared" si="7"/>
        <v>46</v>
      </c>
      <c r="B50" s="43" t="s">
        <v>138</v>
      </c>
      <c r="C50" s="47">
        <v>189.0</v>
      </c>
      <c r="D50" s="31">
        <v>18.0</v>
      </c>
      <c r="E50" s="36">
        <f t="shared" si="2"/>
        <v>11.25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47">
        <f t="shared" ref="N50:O50" si="52">C50+L50</f>
        <v>198</v>
      </c>
      <c r="O50" s="31">
        <f t="shared" si="52"/>
        <v>18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6</v>
      </c>
      <c r="V50" s="46">
        <f t="shared" si="6"/>
        <v>0</v>
      </c>
      <c r="W50" s="30">
        <f t="shared" si="9"/>
        <v>46</v>
      </c>
    </row>
    <row r="51">
      <c r="A51" s="30">
        <f t="shared" si="7"/>
        <v>47</v>
      </c>
      <c r="B51" s="28" t="s">
        <v>93</v>
      </c>
      <c r="C51" s="31">
        <v>188.0</v>
      </c>
      <c r="D51" s="31">
        <v>11.0</v>
      </c>
      <c r="E51" s="36">
        <f t="shared" si="2"/>
        <v>12.71428571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197</v>
      </c>
      <c r="O51" s="31">
        <f t="shared" si="53"/>
        <v>11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11</v>
      </c>
      <c r="V51" s="46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43" t="s">
        <v>131</v>
      </c>
      <c r="C52" s="31">
        <v>187.0</v>
      </c>
      <c r="D52" s="31">
        <v>7.0</v>
      </c>
      <c r="E52" s="36">
        <f t="shared" si="2"/>
        <v>13.16666667</v>
      </c>
      <c r="F52" s="73">
        <v>1.0</v>
      </c>
      <c r="G52" s="74">
        <v>7.0</v>
      </c>
      <c r="H52" s="75">
        <v>0.0</v>
      </c>
      <c r="I52" s="74">
        <v>3.0</v>
      </c>
      <c r="J52" s="74">
        <v>4.0</v>
      </c>
      <c r="K52" s="74">
        <v>6.0</v>
      </c>
      <c r="L52" s="76">
        <v>13.0</v>
      </c>
      <c r="M52" s="74">
        <v>1.0</v>
      </c>
      <c r="N52" s="31">
        <f t="shared" ref="N52:O52" si="54">C52+L52</f>
        <v>200</v>
      </c>
      <c r="O52" s="31">
        <f t="shared" si="54"/>
        <v>8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12</v>
      </c>
      <c r="V52" s="46">
        <f t="shared" si="6"/>
        <v>0</v>
      </c>
      <c r="W52" s="30">
        <f t="shared" si="9"/>
        <v>48</v>
      </c>
    </row>
    <row r="53">
      <c r="A53" s="30">
        <f t="shared" si="7"/>
        <v>49</v>
      </c>
      <c r="B53" s="43" t="s">
        <v>96</v>
      </c>
      <c r="C53" s="31">
        <v>186.0</v>
      </c>
      <c r="D53" s="31">
        <v>8.0</v>
      </c>
      <c r="E53" s="36">
        <f t="shared" si="2"/>
        <v>10.6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5">C53+L53</f>
        <v>195</v>
      </c>
      <c r="O53" s="31">
        <f t="shared" si="55"/>
        <v>8</v>
      </c>
      <c r="P53" s="45" t="s">
        <v>58</v>
      </c>
      <c r="Q53" s="45" t="s">
        <v>58</v>
      </c>
      <c r="R53" s="45"/>
      <c r="S53" s="46">
        <f t="shared" si="4"/>
        <v>2</v>
      </c>
      <c r="T53" s="46"/>
      <c r="U53" s="46">
        <f t="shared" si="5"/>
        <v>6</v>
      </c>
      <c r="V53" s="46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28" t="s">
        <v>127</v>
      </c>
      <c r="C54" s="31">
        <v>185.0</v>
      </c>
      <c r="D54" s="31">
        <v>6.0</v>
      </c>
      <c r="E54" s="36">
        <f t="shared" si="2"/>
        <v>13.75</v>
      </c>
      <c r="F54" s="73">
        <v>2.0</v>
      </c>
      <c r="G54" s="74">
        <v>7.0</v>
      </c>
      <c r="H54" s="75">
        <v>0.0</v>
      </c>
      <c r="I54" s="74">
        <v>6.0</v>
      </c>
      <c r="J54" s="74">
        <v>6.0</v>
      </c>
      <c r="K54" s="74">
        <v>6.0</v>
      </c>
      <c r="L54" s="76">
        <v>18.0</v>
      </c>
      <c r="M54" s="74">
        <v>3.0</v>
      </c>
      <c r="N54" s="31">
        <f t="shared" ref="N54:O54" si="56">C54+L54</f>
        <v>203</v>
      </c>
      <c r="O54" s="31">
        <f t="shared" si="56"/>
        <v>9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13</v>
      </c>
      <c r="V54" s="46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28" t="s">
        <v>102</v>
      </c>
      <c r="C55" s="31">
        <v>184.0</v>
      </c>
      <c r="D55" s="31">
        <v>9.0</v>
      </c>
      <c r="E55" s="36">
        <f t="shared" si="2"/>
        <v>15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7">C55+L55</f>
        <v>193</v>
      </c>
      <c r="O55" s="31">
        <f t="shared" si="57"/>
        <v>9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14</v>
      </c>
      <c r="V55" s="46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48" t="s">
        <v>139</v>
      </c>
      <c r="C56" s="31">
        <v>181.0</v>
      </c>
      <c r="D56" s="31">
        <v>7.0</v>
      </c>
      <c r="E56" s="36">
        <f t="shared" si="2"/>
        <v>12.75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190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13</v>
      </c>
      <c r="V56" s="46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43" t="s">
        <v>140</v>
      </c>
      <c r="C57" s="31">
        <v>180.0</v>
      </c>
      <c r="D57" s="31">
        <v>9.0</v>
      </c>
      <c r="E57" s="36">
        <f t="shared" si="2"/>
        <v>10.75</v>
      </c>
      <c r="F57" s="73">
        <v>2.0</v>
      </c>
      <c r="G57" s="74">
        <v>8.0</v>
      </c>
      <c r="H57" s="75">
        <v>0.0</v>
      </c>
      <c r="I57" s="74">
        <v>1.0</v>
      </c>
      <c r="J57" s="74">
        <v>6.0</v>
      </c>
      <c r="K57" s="74">
        <v>6.0</v>
      </c>
      <c r="L57" s="76">
        <v>13.0</v>
      </c>
      <c r="M57" s="74">
        <v>2.0</v>
      </c>
      <c r="N57" s="31">
        <f t="shared" ref="N57:O57" si="59">C57+L57</f>
        <v>193</v>
      </c>
      <c r="O57" s="31">
        <f t="shared" si="59"/>
        <v>11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9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176.0</v>
      </c>
      <c r="D58" s="31">
        <v>7.0</v>
      </c>
      <c r="E58" s="36">
        <f t="shared" si="2"/>
        <v>10.11111111</v>
      </c>
      <c r="F58" s="73">
        <v>1.0</v>
      </c>
      <c r="G58" s="74">
        <v>8.0</v>
      </c>
      <c r="H58" s="75">
        <v>0.0</v>
      </c>
      <c r="I58" s="74">
        <v>6.0</v>
      </c>
      <c r="J58" s="74">
        <v>6.0</v>
      </c>
      <c r="K58" s="74">
        <v>0.0</v>
      </c>
      <c r="L58" s="76">
        <v>12.0</v>
      </c>
      <c r="M58" s="74">
        <v>2.0</v>
      </c>
      <c r="N58" s="31">
        <f t="shared" ref="N58:O58" si="60">C58+L58</f>
        <v>188</v>
      </c>
      <c r="O58" s="31">
        <f t="shared" si="60"/>
        <v>9</v>
      </c>
      <c r="P58" s="45" t="s">
        <v>58</v>
      </c>
      <c r="Q58" s="45" t="s">
        <v>58</v>
      </c>
      <c r="R58" s="45" t="s">
        <v>58</v>
      </c>
      <c r="S58" s="46">
        <f t="shared" si="4"/>
        <v>1</v>
      </c>
      <c r="T58" s="46"/>
      <c r="U58" s="46">
        <f t="shared" si="5"/>
        <v>8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169.0</v>
      </c>
      <c r="D59" s="31">
        <v>12.0</v>
      </c>
      <c r="E59" s="36">
        <f t="shared" si="2"/>
        <v>9.5</v>
      </c>
      <c r="F59" s="73">
        <v>1.0</v>
      </c>
      <c r="G59" s="74">
        <v>8.0</v>
      </c>
      <c r="H59" s="75">
        <v>0.0</v>
      </c>
      <c r="I59" s="74">
        <v>6.0</v>
      </c>
      <c r="J59" s="74">
        <v>0.0</v>
      </c>
      <c r="K59" s="74">
        <v>6.0</v>
      </c>
      <c r="L59" s="76">
        <v>12.0</v>
      </c>
      <c r="M59" s="74">
        <v>2.0</v>
      </c>
      <c r="N59" s="31">
        <f t="shared" ref="N59:O59" si="61">C59+L59</f>
        <v>181</v>
      </c>
      <c r="O59" s="31">
        <f t="shared" si="61"/>
        <v>14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4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169.0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178</v>
      </c>
      <c r="O60" s="31">
        <f t="shared" si="62"/>
        <v>4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12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166.0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175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14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163.0</v>
      </c>
      <c r="D62" s="31">
        <v>8.0</v>
      </c>
      <c r="E62" s="36">
        <f t="shared" si="2"/>
        <v>9.142857143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172</v>
      </c>
      <c r="O62" s="31">
        <f t="shared" si="64"/>
        <v>8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11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159.0</v>
      </c>
      <c r="D63" s="31">
        <v>4.0</v>
      </c>
      <c r="E63" s="36">
        <f t="shared" si="2"/>
        <v>8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168</v>
      </c>
      <c r="O63" s="31">
        <f t="shared" si="65"/>
        <v>4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15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157.0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166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17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157.0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166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1</v>
      </c>
      <c r="T65" s="46"/>
      <c r="U65" s="46">
        <f t="shared" si="5"/>
        <v>17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153.0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162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18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153.0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162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18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148.0</v>
      </c>
      <c r="D68" s="31">
        <v>3.0</v>
      </c>
      <c r="E68" s="36">
        <f t="shared" si="2"/>
        <v>6.2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157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13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146.0</v>
      </c>
      <c r="D69" s="31">
        <v>3.0</v>
      </c>
      <c r="E69" s="36">
        <f t="shared" si="2"/>
        <v>7</v>
      </c>
      <c r="F69" s="73">
        <v>1.0</v>
      </c>
      <c r="G69" s="74">
        <v>8.0</v>
      </c>
      <c r="H69" s="75">
        <v>0.0</v>
      </c>
      <c r="I69" s="74">
        <v>1.0</v>
      </c>
      <c r="J69" s="74">
        <v>0.0</v>
      </c>
      <c r="K69" s="74">
        <v>0.0</v>
      </c>
      <c r="L69" s="76">
        <v>1.0</v>
      </c>
      <c r="M69" s="74">
        <v>0.0</v>
      </c>
      <c r="N69" s="47">
        <f t="shared" ref="N69:O69" si="71">C69+L69</f>
        <v>147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10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3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desc"",0)"),"Lloyd Sagar")</f>
        <v>Lloyd Sagar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IFERROR(__xludf.DUMMYFUNCTION("""COMPUTED_VALUE"""),4.0)</f>
        <v>4</v>
      </c>
      <c r="F76" s="1"/>
      <c r="L76" s="77"/>
      <c r="M76" s="78"/>
      <c r="P76" s="79" t="s">
        <v>151</v>
      </c>
      <c r="Q76" s="24"/>
      <c r="R76" s="18">
        <f>countif(R5:R69,"")</f>
        <v>61</v>
      </c>
    </row>
    <row r="77">
      <c r="A77" s="1"/>
      <c r="B77" s="43" t="str">
        <f>IFERROR(__xludf.DUMMYFUNCTION("""COMPUTED_VALUE"""),"Pulkit Mathur")</f>
        <v>Pulkit Mathur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IFERROR(__xludf.DUMMYFUNCTION("""COMPUTED_VALUE"""),"Oscar Bonilla")</f>
        <v>Oscar Bonilla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IFERROR(__xludf.DUMMYFUNCTION("""COMPUTED_VALUE"""),6.0)</f>
        <v>6</v>
      </c>
      <c r="F78" s="1"/>
    </row>
    <row r="79">
      <c r="A79" s="1"/>
      <c r="B79" s="43" t="str">
        <f>IFERROR(__xludf.DUMMYFUNCTION("""COMPUTED_VALUE"""),"Matthew Huang")</f>
        <v>Matthew Huang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IFERROR(__xludf.DUMMYFUNCTION("""COMPUTED_VALUE"""),7.0)</f>
        <v>7</v>
      </c>
      <c r="F79" s="1"/>
    </row>
    <row r="80">
      <c r="A80" s="1"/>
      <c r="B80" s="43"/>
      <c r="C80" s="84"/>
      <c r="D80" s="84"/>
      <c r="E80" s="84"/>
      <c r="F80" s="1"/>
      <c r="L80" s="33"/>
    </row>
    <row r="81">
      <c r="A81" s="1"/>
      <c r="B81" s="43"/>
      <c r="C81" s="84"/>
      <c r="D81" s="84"/>
      <c r="E81" s="84"/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10"")"),"Lloyd Sagar")</f>
        <v>Lloyd Sagar</v>
      </c>
      <c r="C90" s="84">
        <f>IFERROR(__xludf.DUMMYFUNCTION("""COMPUTED_VALUE"""),12.0)</f>
        <v>12</v>
      </c>
      <c r="D90" s="84">
        <f t="shared" ref="D90:D99" si="72">VLOOKUP(B90,indirect($AB$2&amp;"!B$5:w$70"),22, false)</f>
        <v>35</v>
      </c>
      <c r="E90" s="84">
        <f t="shared" ref="E90:E99" si="73">VLOOKUP(B90,B$5:W$69,22, false)</f>
        <v>23</v>
      </c>
      <c r="F90" s="84">
        <f t="shared" ref="F90:F99" si="74">VLOOKUP(B90,indirect($AB$2&amp;"!B$5:U$70"),11, false)</f>
        <v>19</v>
      </c>
      <c r="G90" s="84">
        <f t="shared" ref="G90:G99" si="75">VLOOKUP(B90,indirect($AB$2&amp;"!B$5:U$70"),6, false)</f>
        <v>5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IFERROR(__xludf.DUMMYFUNCTION("""COMPUTED_VALUE"""),"Vinaya Kajla")</f>
        <v>Vinaya Kajla</v>
      </c>
      <c r="C91" s="84">
        <f>IFERROR(__xludf.DUMMYFUNCTION("""COMPUTED_VALUE"""),8.0)</f>
        <v>8</v>
      </c>
      <c r="D91" s="84">
        <f t="shared" si="72"/>
        <v>38</v>
      </c>
      <c r="E91" s="84">
        <f t="shared" si="73"/>
        <v>30</v>
      </c>
      <c r="F91" s="84">
        <f t="shared" si="74"/>
        <v>16</v>
      </c>
      <c r="G91" s="84">
        <f t="shared" si="75"/>
        <v>6</v>
      </c>
      <c r="L91" s="84" t="str">
        <f t="shared" si="76"/>
        <v>ok</v>
      </c>
    </row>
    <row r="92">
      <c r="A92" s="1"/>
      <c r="B92" s="43" t="str">
        <f>IFERROR(__xludf.DUMMYFUNCTION("""COMPUTED_VALUE"""),"Oscar Bonilla")</f>
        <v>Oscar Bonilla</v>
      </c>
      <c r="C92" s="84">
        <f>IFERROR(__xludf.DUMMYFUNCTION("""COMPUTED_VALUE"""),8.0)</f>
        <v>8</v>
      </c>
      <c r="D92" s="84">
        <f t="shared" si="72"/>
        <v>42</v>
      </c>
      <c r="E92" s="84">
        <f t="shared" si="73"/>
        <v>34</v>
      </c>
      <c r="F92" s="84">
        <f t="shared" si="74"/>
        <v>18</v>
      </c>
      <c r="G92" s="84">
        <f t="shared" si="75"/>
        <v>7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IFERROR(__xludf.DUMMYFUNCTION("""COMPUTED_VALUE"""),"Jonathan Phan")</f>
        <v>Jonathan Phan</v>
      </c>
      <c r="C93" s="84">
        <f>IFERROR(__xludf.DUMMYFUNCTION("""COMPUTED_VALUE"""),7.0)</f>
        <v>7</v>
      </c>
      <c r="D93" s="84">
        <f t="shared" si="72"/>
        <v>23</v>
      </c>
      <c r="E93" s="84">
        <f t="shared" si="73"/>
        <v>16</v>
      </c>
      <c r="F93" s="84">
        <f t="shared" si="74"/>
        <v>18</v>
      </c>
      <c r="G93" s="84">
        <f t="shared" si="75"/>
        <v>4</v>
      </c>
      <c r="L93" s="84" t="str">
        <f t="shared" si="76"/>
        <v>ok</v>
      </c>
    </row>
    <row r="94">
      <c r="A94" s="1"/>
      <c r="B94" s="43" t="str">
        <f>IFERROR(__xludf.DUMMYFUNCTION("""COMPUTED_VALUE"""),"Tina Hanson")</f>
        <v>Tina Hanson</v>
      </c>
      <c r="C94" s="84">
        <f>IFERROR(__xludf.DUMMYFUNCTION("""COMPUTED_VALUE"""),6.0)</f>
        <v>6</v>
      </c>
      <c r="D94" s="84">
        <f t="shared" si="72"/>
        <v>34</v>
      </c>
      <c r="E94" s="84">
        <f t="shared" si="73"/>
        <v>28</v>
      </c>
      <c r="F94" s="84">
        <f t="shared" si="74"/>
        <v>15</v>
      </c>
      <c r="G94" s="84">
        <f t="shared" si="75"/>
        <v>5</v>
      </c>
      <c r="L94" s="84" t="str">
        <f t="shared" si="76"/>
        <v>ok</v>
      </c>
    </row>
    <row r="95">
      <c r="A95" s="1"/>
      <c r="B95" s="43" t="str">
        <f>IFERROR(__xludf.DUMMYFUNCTION("""COMPUTED_VALUE"""),"Cid Macaraeg")</f>
        <v>Cid Macaraeg</v>
      </c>
      <c r="C95" s="84">
        <f>IFERROR(__xludf.DUMMYFUNCTION("""COMPUTED_VALUE"""),5.0)</f>
        <v>5</v>
      </c>
      <c r="D95" s="84">
        <f t="shared" si="72"/>
        <v>10</v>
      </c>
      <c r="E95" s="84">
        <f t="shared" si="73"/>
        <v>5</v>
      </c>
      <c r="F95" s="84">
        <f t="shared" si="74"/>
        <v>16</v>
      </c>
      <c r="G95" s="84">
        <f t="shared" si="75"/>
        <v>2</v>
      </c>
      <c r="L95" s="84" t="str">
        <f t="shared" si="76"/>
        <v>ok</v>
      </c>
    </row>
    <row r="96">
      <c r="A96" s="1"/>
      <c r="B96" s="43" t="str">
        <f>IFERROR(__xludf.DUMMYFUNCTION("""COMPUTED_VALUE"""),"Sandeep Kamalon")</f>
        <v>Sandeep Kamalon</v>
      </c>
      <c r="C96" s="84">
        <f>IFERROR(__xludf.DUMMYFUNCTION("""COMPUTED_VALUE"""),4.0)</f>
        <v>4</v>
      </c>
      <c r="D96" s="84">
        <f t="shared" si="72"/>
        <v>13</v>
      </c>
      <c r="E96" s="84">
        <f t="shared" si="73"/>
        <v>9</v>
      </c>
      <c r="F96" s="84">
        <f t="shared" si="74"/>
        <v>12</v>
      </c>
      <c r="G96" s="84">
        <f t="shared" si="75"/>
        <v>2</v>
      </c>
      <c r="L96" s="84" t="str">
        <f t="shared" si="76"/>
        <v>ok</v>
      </c>
    </row>
    <row r="97">
      <c r="A97" s="1"/>
      <c r="B97" s="43" t="str">
        <f>IFERROR(__xludf.DUMMYFUNCTION("""COMPUTED_VALUE"""),"Adrian Tay")</f>
        <v>Adrian Tay</v>
      </c>
      <c r="C97" s="84">
        <f>IFERROR(__xludf.DUMMYFUNCTION("""COMPUTED_VALUE"""),4.0)</f>
        <v>4</v>
      </c>
      <c r="D97" s="84">
        <f t="shared" si="72"/>
        <v>22</v>
      </c>
      <c r="E97" s="84">
        <f t="shared" si="73"/>
        <v>18</v>
      </c>
      <c r="F97" s="84">
        <f t="shared" si="74"/>
        <v>17</v>
      </c>
      <c r="G97" s="84">
        <f t="shared" si="75"/>
        <v>3</v>
      </c>
      <c r="L97" s="84" t="str">
        <f t="shared" si="76"/>
        <v>ok</v>
      </c>
    </row>
    <row r="98">
      <c r="A98" s="1"/>
      <c r="B98" s="43" t="str">
        <f>IFERROR(__xludf.DUMMYFUNCTION("""COMPUTED_VALUE"""),"Jimmy Awolesi")</f>
        <v>Jimmy Awolesi</v>
      </c>
      <c r="C98" s="84">
        <f>IFERROR(__xludf.DUMMYFUNCTION("""COMPUTED_VALUE"""),4.0)</f>
        <v>4</v>
      </c>
      <c r="D98" s="84">
        <f t="shared" si="72"/>
        <v>36</v>
      </c>
      <c r="E98" s="84">
        <f t="shared" si="73"/>
        <v>32</v>
      </c>
      <c r="F98" s="84">
        <f t="shared" si="74"/>
        <v>15</v>
      </c>
      <c r="G98" s="84">
        <f t="shared" si="75"/>
        <v>6</v>
      </c>
      <c r="L98" s="84" t="str">
        <f t="shared" si="76"/>
        <v>ok</v>
      </c>
    </row>
    <row r="99">
      <c r="A99" s="1"/>
      <c r="B99" s="43" t="str">
        <f>IFERROR(__xludf.DUMMYFUNCTION("""COMPUTED_VALUE"""),"Hongyuan Wen")</f>
        <v>Hongyuan Wen</v>
      </c>
      <c r="C99" s="84">
        <f>IFERROR(__xludf.DUMMYFUNCTION("""COMPUTED_VALUE"""),3.0)</f>
        <v>3</v>
      </c>
      <c r="D99" s="84">
        <f t="shared" si="72"/>
        <v>27</v>
      </c>
      <c r="E99" s="84">
        <f t="shared" si="73"/>
        <v>24</v>
      </c>
      <c r="F99" s="84">
        <f t="shared" si="74"/>
        <v>13</v>
      </c>
      <c r="G99" s="84">
        <f t="shared" si="75"/>
        <v>0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10"")"),"Ramesh Bandaru")</f>
        <v>Ramesh Bandaru</v>
      </c>
      <c r="C103" s="84">
        <f>IFERROR(__xludf.DUMMYFUNCTION("""COMPUTED_VALUE"""),-9.0)</f>
        <v>-9</v>
      </c>
      <c r="D103" s="84">
        <f t="shared" ref="D103:D112" si="77">VLOOKUP(B103,indirect($AB$2&amp;"!B$5:w$70"),22, false)</f>
        <v>28</v>
      </c>
      <c r="E103" s="84">
        <f t="shared" ref="E103:E112" si="78">VLOOKUP(B103,B$5:W$69,22, false)</f>
        <v>37</v>
      </c>
      <c r="F103" s="84">
        <f t="shared" ref="F103:F112" si="79">VLOOKUP(B103,indirect($AB$2&amp;"!B$5:U$70"),11, false)</f>
        <v>8</v>
      </c>
      <c r="G103" s="84">
        <f t="shared" ref="G103:G112" si="80">VLOOKUP(B103,indirect($AB$2&amp;"!B$5:U$70"),6, false)</f>
        <v>4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IFERROR(__xludf.DUMMYFUNCTION("""COMPUTED_VALUE"""),"Rajasekar Ramasamy")</f>
        <v>Rajasekar Ramasamy</v>
      </c>
      <c r="C104" s="84">
        <f>IFERROR(__xludf.DUMMYFUNCTION("""COMPUTED_VALUE"""),-9.0)</f>
        <v>-9</v>
      </c>
      <c r="D104" s="84">
        <f t="shared" si="77"/>
        <v>30</v>
      </c>
      <c r="E104" s="84">
        <f t="shared" si="78"/>
        <v>39</v>
      </c>
      <c r="F104" s="84">
        <f t="shared" si="79"/>
        <v>6</v>
      </c>
      <c r="G104" s="84">
        <f t="shared" si="80"/>
        <v>4</v>
      </c>
      <c r="L104" s="84" t="str">
        <f t="shared" si="81"/>
        <v>ok</v>
      </c>
    </row>
    <row r="105">
      <c r="A105" s="1"/>
      <c r="B105" s="43" t="str">
        <f>IFERROR(__xludf.DUMMYFUNCTION("""COMPUTED_VALUE"""),"Joe Luzzi")</f>
        <v>Joe Luzzi</v>
      </c>
      <c r="C105" s="84">
        <f>IFERROR(__xludf.DUMMYFUNCTION("""COMPUTED_VALUE"""),-8.0)</f>
        <v>-8</v>
      </c>
      <c r="D105" s="84">
        <f t="shared" si="77"/>
        <v>5</v>
      </c>
      <c r="E105" s="84">
        <f t="shared" si="78"/>
        <v>13</v>
      </c>
      <c r="F105" s="84">
        <f t="shared" si="79"/>
        <v>6</v>
      </c>
      <c r="G105" s="84">
        <f t="shared" si="80"/>
        <v>1</v>
      </c>
      <c r="L105" s="84" t="str">
        <f t="shared" si="81"/>
        <v>ok</v>
      </c>
    </row>
    <row r="106">
      <c r="A106" s="1"/>
      <c r="B106" s="43" t="str">
        <f>IFERROR(__xludf.DUMMYFUNCTION("""COMPUTED_VALUE"""),"Chinna Ponnaganti")</f>
        <v>Chinna Ponnaganti</v>
      </c>
      <c r="C106" s="84">
        <f>IFERROR(__xludf.DUMMYFUNCTION("""COMPUTED_VALUE"""),-5.0)</f>
        <v>-5</v>
      </c>
      <c r="D106" s="84">
        <f t="shared" si="77"/>
        <v>20</v>
      </c>
      <c r="E106" s="84">
        <f t="shared" si="78"/>
        <v>25</v>
      </c>
      <c r="F106" s="84">
        <f t="shared" si="79"/>
        <v>6</v>
      </c>
      <c r="G106" s="84">
        <f t="shared" si="80"/>
        <v>3</v>
      </c>
      <c r="L106" s="84" t="str">
        <f t="shared" si="81"/>
        <v>ok</v>
      </c>
    </row>
    <row r="107">
      <c r="A107" s="1"/>
      <c r="B107" s="43" t="str">
        <f>IFERROR(__xludf.DUMMYFUNCTION("""COMPUTED_VALUE"""),"Sean Chang")</f>
        <v>Sean Chang</v>
      </c>
      <c r="C107" s="84">
        <f>IFERROR(__xludf.DUMMYFUNCTION("""COMPUTED_VALUE"""),-5.0)</f>
        <v>-5</v>
      </c>
      <c r="D107" s="84">
        <f t="shared" si="77"/>
        <v>24</v>
      </c>
      <c r="E107" s="84">
        <f t="shared" si="78"/>
        <v>29</v>
      </c>
      <c r="F107" s="84">
        <f t="shared" si="79"/>
        <v>8</v>
      </c>
      <c r="G107" s="84">
        <f t="shared" si="80"/>
        <v>4</v>
      </c>
      <c r="L107" s="84" t="str">
        <f t="shared" si="81"/>
        <v>ok</v>
      </c>
    </row>
    <row r="108">
      <c r="A108" s="1"/>
      <c r="B108" s="43" t="str">
        <f>IFERROR(__xludf.DUMMYFUNCTION("""COMPUTED_VALUE"""),"Mauricio Palacios")</f>
        <v>Mauricio Palacios</v>
      </c>
      <c r="C108" s="84">
        <f>IFERROR(__xludf.DUMMYFUNCTION("""COMPUTED_VALUE"""),-5.0)</f>
        <v>-5</v>
      </c>
      <c r="D108" s="84">
        <f t="shared" si="77"/>
        <v>26</v>
      </c>
      <c r="E108" s="84">
        <f t="shared" si="78"/>
        <v>31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IFERROR(__xludf.DUMMYFUNCTION("""COMPUTED_VALUE"""),"Naveen Raj")</f>
        <v>Naveen Raj</v>
      </c>
      <c r="C109" s="84">
        <f>IFERROR(__xludf.DUMMYFUNCTION("""COMPUTED_VALUE"""),-5.0)</f>
        <v>-5</v>
      </c>
      <c r="D109" s="84">
        <f t="shared" si="77"/>
        <v>33</v>
      </c>
      <c r="E109" s="84">
        <f t="shared" si="78"/>
        <v>38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IFERROR(__xludf.DUMMYFUNCTION("""COMPUTED_VALUE"""),"Alex Hou")</f>
        <v>Alex Hou</v>
      </c>
      <c r="C110" s="84">
        <f>IFERROR(__xludf.DUMMYFUNCTION("""COMPUTED_VALUE"""),-4.0)</f>
        <v>-4</v>
      </c>
      <c r="D110" s="84">
        <f t="shared" si="77"/>
        <v>18</v>
      </c>
      <c r="E110" s="84">
        <f t="shared" si="78"/>
        <v>22</v>
      </c>
      <c r="F110" s="84">
        <f t="shared" si="79"/>
        <v>7</v>
      </c>
      <c r="G110" s="84">
        <f t="shared" si="80"/>
        <v>2</v>
      </c>
      <c r="L110" s="84" t="str">
        <f t="shared" si="81"/>
        <v>ok</v>
      </c>
    </row>
    <row r="111">
      <c r="A111" s="1"/>
      <c r="B111" s="43" t="str">
        <f>IFERROR(__xludf.DUMMYFUNCTION("""COMPUTED_VALUE"""),"Susanta Mishra")</f>
        <v>Susanta Mishra</v>
      </c>
      <c r="C111" s="84">
        <f>IFERROR(__xludf.DUMMYFUNCTION("""COMPUTED_VALUE"""),-3.0)</f>
        <v>-3</v>
      </c>
      <c r="D111" s="84">
        <f t="shared" si="77"/>
        <v>16</v>
      </c>
      <c r="E111" s="84">
        <f t="shared" si="78"/>
        <v>19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IFERROR(__xludf.DUMMYFUNCTION("""COMPUTED_VALUE"""),"Ted Shen")</f>
        <v>Ted Shen</v>
      </c>
      <c r="C112" s="84">
        <f>IFERROR(__xludf.DUMMYFUNCTION("""COMPUTED_VALUE"""),-3.0)</f>
        <v>-3</v>
      </c>
      <c r="D112" s="84">
        <f t="shared" si="77"/>
        <v>17</v>
      </c>
      <c r="E112" s="84">
        <f t="shared" si="78"/>
        <v>20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asc"")"),"Andrew Wen")</f>
        <v>Andrew Wen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IFERROR(__xludf.DUMMYFUNCTION("""COMPUTED_VALUE"""),"Jimmy Awolesi")</f>
        <v>Jimmy Awolesi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 t="str">
        <f>IFERROR(__xludf.DUMMYFUNCTION("""COMPUTED_VALUE"""),"Sean Chang")</f>
        <v>Sean Chang</v>
      </c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IFERROR(__xludf.DUMMYFUNCTION("""COMPUTED_VALUE"""),"Balaji Alahari")</f>
        <v>Balaji Alahari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IFERROR(__xludf.DUMMYFUNCTION("""COMPUTED_VALUE"""),"Barathi Sundaram")</f>
        <v>Barathi Sundaram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IFERROR(__xludf.DUMMYFUNCTION("""COMPUTED_VALUE"""),"Basudev Thoppai Vidyasankar")</f>
        <v>Basudev Thoppai Vidyasankar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IFERROR(__xludf.DUMMYFUNCTION("""COMPUTED_VALUE"""),"Chinna Ponnaganti")</f>
        <v>Chinna Ponnaganti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IFERROR(__xludf.DUMMYFUNCTION("""COMPUTED_VALUE"""),"Cid Macaraeg")</f>
        <v>Cid Macaraeg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IFERROR(__xludf.DUMMYFUNCTION("""COMPUTED_VALUE"""),"Coco Yan")</f>
        <v>Coco Yan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IFERROR(__xludf.DUMMYFUNCTION("""COMPUTED_VALUE"""),"David Shin")</f>
        <v>David Shin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IFERROR(__xludf.DUMMYFUNCTION("""COMPUTED_VALUE"""),"Elayaraja Thangaraj ")</f>
        <v>Elayaraja Thangaraj 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IFERROR(__xludf.DUMMYFUNCTION("""COMPUTED_VALUE"""),"Eric Pan")</f>
        <v>Eric Pan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Tan")</f>
        <v>Eric Tan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IFERROR(__xludf.DUMMYFUNCTION("""COMPUTED_VALUE"""),"Erik Hoeckmann")</f>
        <v>Erik Hoeckmann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IFERROR(__xludf.DUMMYFUNCTION("""COMPUTED_VALUE"""),"Ethan Gu")</f>
        <v>Ethan Gu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IFERROR(__xludf.DUMMYFUNCTION("""COMPUTED_VALUE"""),"Frank Moon")</f>
        <v>Frank Moon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IFERROR(__xludf.DUMMYFUNCTION("""COMPUTED_VALUE"""),"Herman Au")</f>
        <v>Herman Au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IFERROR(__xludf.DUMMYFUNCTION("""COMPUTED_VALUE"""),"Hongyuan Wen")</f>
        <v>Hongyuan Wen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IFERROR(__xludf.DUMMYFUNCTION("""COMPUTED_VALUE"""),"Hubert J Sung")</f>
        <v>Hubert J Sung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IFERROR(__xludf.DUMMYFUNCTION("""COMPUTED_VALUE"""),"James Phan")</f>
        <v>James Phan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IFERROR(__xludf.DUMMYFUNCTION("""COMPUTED_VALUE"""),"Jim Miao")</f>
        <v>Jim Miao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IFERROR(__xludf.DUMMYFUNCTION("""COMPUTED_VALUE"""),"Joe Luzzi")</f>
        <v>Joe Luzzi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IFERROR(__xludf.DUMMYFUNCTION("""COMPUTED_VALUE"""),"Jonathan Phan")</f>
        <v>Jonathan Phan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IFERROR(__xludf.DUMMYFUNCTION("""COMPUTED_VALUE"""),"Joyce Zhu")</f>
        <v>Joyce Zhu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IFERROR(__xludf.DUMMYFUNCTION("""COMPUTED_VALUE"""),"Kumar Palakeel")</f>
        <v>Kumar Palakeel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IFERROR(__xludf.DUMMYFUNCTION("""COMPUTED_VALUE"""),"Lam Bui")</f>
        <v>Lam Bui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IFERROR(__xludf.DUMMYFUNCTION("""COMPUTED_VALUE"""),"Leigh-Anh Nguyen")</f>
        <v>Leigh-Anh Nguyen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IFERROR(__xludf.DUMMYFUNCTION("""COMPUTED_VALUE"""),"Lloyd Sagar")</f>
        <v>Lloyd Sagar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IFERROR(__xludf.DUMMYFUNCTION("""COMPUTED_VALUE"""),"Luis Hsu")</f>
        <v>Luis Hsu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IFERROR(__xludf.DUMMYFUNCTION("""COMPUTED_VALUE"""),"Manish Anand")</f>
        <v>Manish Anand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IFERROR(__xludf.DUMMYFUNCTION("""COMPUTED_VALUE"""),"Manuel Rivera")</f>
        <v>Manuel Rivera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IFERROR(__xludf.DUMMYFUNCTION("""COMPUTED_VALUE"""),"Matthew Huang")</f>
        <v>Matthew Huang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IFERROR(__xludf.DUMMYFUNCTION("""COMPUTED_VALUE"""),"Mauricio Palacios")</f>
        <v>Mauricio Palacios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IFERROR(__xludf.DUMMYFUNCTION("""COMPUTED_VALUE"""),"Naveen Raj")</f>
        <v>Naveen Raj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IFERROR(__xludf.DUMMYFUNCTION("""COMPUTED_VALUE"""),"Nicole Ni")</f>
        <v>Nicole Ni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IFERROR(__xludf.DUMMYFUNCTION("""COMPUTED_VALUE"""),"Oscar Bonilla")</f>
        <v>Oscar Bonilla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IFERROR(__xludf.DUMMYFUNCTION("""COMPUTED_VALUE"""),"Pavan Akkimsetty")</f>
        <v>Pavan Akkimsetty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IFERROR(__xludf.DUMMYFUNCTION("""COMPUTED_VALUE"""),"Pulkit Mathur")</f>
        <v>Pulkit Mathur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IFERROR(__xludf.DUMMYFUNCTION("""COMPUTED_VALUE"""),"Rajasekar Ramasamy")</f>
        <v>Rajasekar Ramasamy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IFERROR(__xludf.DUMMYFUNCTION("""COMPUTED_VALUE"""),"Rajesh Dorairaj")</f>
        <v>Rajesh Dorairaj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IFERROR(__xludf.DUMMYFUNCTION("""COMPUTED_VALUE"""),"Ramesh Bandaru")</f>
        <v>Ramesh Bandaru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IFERROR(__xludf.DUMMYFUNCTION("""COMPUTED_VALUE"""),"Robert Chang")</f>
        <v>Robert Chang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IFERROR(__xludf.DUMMYFUNCTION("""COMPUTED_VALUE"""),"Sandeep Kamalon")</f>
        <v>Sandeep Kamalon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IFERROR(__xludf.DUMMYFUNCTION("""COMPUTED_VALUE"""),"Sandy Weyant")</f>
        <v>Sandy Weyant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IFERROR(__xludf.DUMMYFUNCTION("""COMPUTED_VALUE"""),"Sanjaye Elayattu")</f>
        <v>Sanjaye Elayattu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IFERROR(__xludf.DUMMYFUNCTION("""COMPUTED_VALUE"""),"Santosh Sundaresan ")</f>
        <v>Santosh Sundaresan 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IFERROR(__xludf.DUMMYFUNCTION("""COMPUTED_VALUE"""),"Saravanan Veerapandian")</f>
        <v>Saravanan Veerapandian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IFERROR(__xludf.DUMMYFUNCTION("""COMPUTED_VALUE"""),"Scott Li")</f>
        <v>Scott Li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IFERROR(__xludf.DUMMYFUNCTION("""COMPUTED_VALUE"""),"Suleman Alidina")</f>
        <v>Suleman Alidina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IFERROR(__xludf.DUMMYFUNCTION("""COMPUTED_VALUE"""),"Susanta Mishra")</f>
        <v>Susanta Mishra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IFERROR(__xludf.DUMMYFUNCTION("""COMPUTED_VALUE"""),"Ted Shen")</f>
        <v>Ted Shen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IFERROR(__xludf.DUMMYFUNCTION("""COMPUTED_VALUE"""),"Tina Hanson")</f>
        <v>Tina Hanson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IFERROR(__xludf.DUMMYFUNCTION("""COMPUTED_VALUE"""),"Tom Le")</f>
        <v>Tom Le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IFERROR(__xludf.DUMMYFUNCTION("""COMPUTED_VALUE"""),"Trish Newlin")</f>
        <v>Trish Newlin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IFERROR(__xludf.DUMMYFUNCTION("""COMPUTED_VALUE"""),"Troy Wong")</f>
        <v>Troy Wong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IFERROR(__xludf.DUMMYFUNCTION("""COMPUTED_VALUE"""),"Tyler Leong")</f>
        <v>Tyler Leong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IFERROR(__xludf.DUMMYFUNCTION("""COMPUTED_VALUE"""),"Vicki Martinet")</f>
        <v>Vicki Martinet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IFERROR(__xludf.DUMMYFUNCTION("""COMPUTED_VALUE"""),"Vinaya Kajla")</f>
        <v>Vinaya Kajla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IFERROR(__xludf.DUMMYFUNCTION("""COMPUTED_VALUE"""),"Vishnu Amarnath")</f>
        <v>Vishnu Amarnath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IFERROR(__xludf.DUMMYFUNCTION("""COMPUTED_VALUE"""),"Wayne Liu")</f>
        <v>Wayne Liu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/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45787.0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17.0</v>
      </c>
      <c r="E2" s="1"/>
      <c r="F2" s="1"/>
      <c r="R2" s="19"/>
      <c r="AB2" s="20" t="str">
        <f>text(C1-21,"mm/dd/yy")</f>
        <v>04/19/25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249.0</v>
      </c>
      <c r="D5" s="31">
        <v>30.0</v>
      </c>
      <c r="E5" s="36">
        <f t="shared" ref="E5:E69" si="2">if(($D$2-U5-S5)&lt;&gt;0,(C5-(U5*9)-(S5*13))/($D$2-U5-S5),0)</f>
        <v>14.75</v>
      </c>
      <c r="F5" s="73">
        <v>2.0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2.0</v>
      </c>
      <c r="N5" s="31">
        <f t="shared" ref="N5:O5" si="1">C5+L5</f>
        <v>267</v>
      </c>
      <c r="O5" s="31">
        <f t="shared" si="1"/>
        <v>32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223.0</v>
      </c>
      <c r="D6" s="31">
        <v>24.0</v>
      </c>
      <c r="E6" s="36">
        <f t="shared" si="2"/>
        <v>15.6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232</v>
      </c>
      <c r="O6" s="31">
        <f t="shared" si="3"/>
        <v>24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6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97</v>
      </c>
      <c r="C7" s="31">
        <v>220.0</v>
      </c>
      <c r="D7" s="31">
        <v>19.0</v>
      </c>
      <c r="E7" s="36">
        <f t="shared" si="2"/>
        <v>13.21428571</v>
      </c>
      <c r="F7" s="73">
        <v>2.0</v>
      </c>
      <c r="G7" s="74">
        <v>1.0</v>
      </c>
      <c r="H7" s="75">
        <v>0.0</v>
      </c>
      <c r="I7" s="74">
        <v>6.0</v>
      </c>
      <c r="J7" s="74">
        <v>7.0</v>
      </c>
      <c r="K7" s="74">
        <v>0.0</v>
      </c>
      <c r="L7" s="76">
        <v>13.0</v>
      </c>
      <c r="M7" s="74">
        <v>2.0</v>
      </c>
      <c r="N7" s="31">
        <f t="shared" ref="N7:O7" si="8">C7+L7</f>
        <v>233</v>
      </c>
      <c r="O7" s="31">
        <f t="shared" si="8"/>
        <v>21</v>
      </c>
      <c r="P7" s="45" t="s">
        <v>58</v>
      </c>
      <c r="Q7" s="45" t="s">
        <v>58</v>
      </c>
      <c r="R7" s="45"/>
      <c r="S7" s="46">
        <f t="shared" si="4"/>
        <v>2</v>
      </c>
      <c r="T7" s="46"/>
      <c r="U7" s="46">
        <f t="shared" si="5"/>
        <v>1</v>
      </c>
      <c r="V7" s="46">
        <f t="shared" si="6"/>
        <v>1</v>
      </c>
      <c r="W7" s="30">
        <f t="shared" si="9"/>
        <v>3</v>
      </c>
    </row>
    <row r="8">
      <c r="A8" s="30">
        <f t="shared" si="7"/>
        <v>4</v>
      </c>
      <c r="B8" s="43" t="s">
        <v>87</v>
      </c>
      <c r="C8" s="47">
        <v>219.0</v>
      </c>
      <c r="D8" s="31">
        <v>20.0</v>
      </c>
      <c r="E8" s="36">
        <f t="shared" si="2"/>
        <v>13.71428571</v>
      </c>
      <c r="F8" s="73">
        <v>1.0</v>
      </c>
      <c r="G8" s="74">
        <v>1.0</v>
      </c>
      <c r="H8" s="75">
        <v>0.0</v>
      </c>
      <c r="I8" s="74">
        <v>0.0</v>
      </c>
      <c r="J8" s="74">
        <v>7.0</v>
      </c>
      <c r="K8" s="74">
        <v>6.0</v>
      </c>
      <c r="L8" s="76">
        <v>13.0</v>
      </c>
      <c r="M8" s="74">
        <v>2.0</v>
      </c>
      <c r="N8" s="47">
        <f t="shared" ref="N8:O8" si="10">C8+L8</f>
        <v>232</v>
      </c>
      <c r="O8" s="31">
        <f t="shared" si="10"/>
        <v>22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3</v>
      </c>
      <c r="V8" s="46">
        <f t="shared" si="6"/>
        <v>6</v>
      </c>
      <c r="W8" s="30">
        <f t="shared" si="9"/>
        <v>4</v>
      </c>
    </row>
    <row r="9">
      <c r="A9" s="30">
        <f t="shared" si="7"/>
        <v>5</v>
      </c>
      <c r="B9" s="28" t="s">
        <v>104</v>
      </c>
      <c r="C9" s="31">
        <v>216.0</v>
      </c>
      <c r="D9" s="31">
        <v>19.0</v>
      </c>
      <c r="E9" s="36">
        <f t="shared" si="2"/>
        <v>13.21428571</v>
      </c>
      <c r="F9" s="73">
        <v>2.0</v>
      </c>
      <c r="G9" s="74">
        <v>1.0</v>
      </c>
      <c r="H9" s="75">
        <v>0.0</v>
      </c>
      <c r="I9" s="74">
        <v>0.0</v>
      </c>
      <c r="J9" s="74">
        <v>6.0</v>
      </c>
      <c r="K9" s="74">
        <v>0.0</v>
      </c>
      <c r="L9" s="76">
        <v>6.0</v>
      </c>
      <c r="M9" s="74">
        <v>0.0</v>
      </c>
      <c r="N9" s="31">
        <f t="shared" ref="N9:O9" si="11">C9+L9</f>
        <v>222</v>
      </c>
      <c r="O9" s="31">
        <f t="shared" si="11"/>
        <v>19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2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28" t="s">
        <v>44</v>
      </c>
      <c r="C10" s="31">
        <v>215.0</v>
      </c>
      <c r="D10" s="31">
        <v>22.0</v>
      </c>
      <c r="E10" s="36">
        <f t="shared" si="2"/>
        <v>14.63636364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224</v>
      </c>
      <c r="O10" s="31">
        <f t="shared" si="12"/>
        <v>22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6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28" t="s">
        <v>74</v>
      </c>
      <c r="C11" s="31">
        <v>215.0</v>
      </c>
      <c r="D11" s="31">
        <v>21.0</v>
      </c>
      <c r="E11" s="36">
        <f t="shared" si="2"/>
        <v>14.16666667</v>
      </c>
      <c r="F11" s="73">
        <v>1.0</v>
      </c>
      <c r="G11" s="74">
        <v>2.0</v>
      </c>
      <c r="H11" s="75">
        <v>0.0</v>
      </c>
      <c r="I11" s="74">
        <v>3.0</v>
      </c>
      <c r="J11" s="74">
        <v>6.0</v>
      </c>
      <c r="K11" s="74">
        <v>6.0</v>
      </c>
      <c r="L11" s="76">
        <v>15.0</v>
      </c>
      <c r="M11" s="74">
        <v>2.0</v>
      </c>
      <c r="N11" s="31">
        <f t="shared" ref="N11:O11" si="13">C11+L11</f>
        <v>230</v>
      </c>
      <c r="O11" s="31">
        <f t="shared" si="13"/>
        <v>23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5</v>
      </c>
      <c r="V11" s="46">
        <f t="shared" si="6"/>
        <v>1</v>
      </c>
      <c r="W11" s="30">
        <f t="shared" si="9"/>
        <v>7</v>
      </c>
    </row>
    <row r="12">
      <c r="A12" s="30">
        <f t="shared" si="7"/>
        <v>8</v>
      </c>
      <c r="B12" s="43" t="s">
        <v>64</v>
      </c>
      <c r="C12" s="47">
        <v>215.0</v>
      </c>
      <c r="D12" s="31">
        <v>21.0</v>
      </c>
      <c r="E12" s="36">
        <f t="shared" si="2"/>
        <v>13.42857143</v>
      </c>
      <c r="F12" s="73">
        <v>3.0</v>
      </c>
      <c r="G12" s="74">
        <v>0.0</v>
      </c>
      <c r="H12" s="75">
        <v>9.0</v>
      </c>
      <c r="I12" s="74">
        <v>0.0</v>
      </c>
      <c r="J12" s="74">
        <v>0.0</v>
      </c>
      <c r="K12" s="74">
        <v>0.0</v>
      </c>
      <c r="L12" s="76">
        <v>9.0</v>
      </c>
      <c r="M12" s="74">
        <v>0.0</v>
      </c>
      <c r="N12" s="47">
        <f t="shared" ref="N12:O12" si="14">C12+L12</f>
        <v>224</v>
      </c>
      <c r="O12" s="31">
        <f t="shared" si="14"/>
        <v>21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3</v>
      </c>
      <c r="V12" s="46">
        <f t="shared" si="6"/>
        <v>6</v>
      </c>
      <c r="W12" s="30">
        <f t="shared" si="9"/>
        <v>8</v>
      </c>
    </row>
    <row r="13">
      <c r="A13" s="30">
        <f t="shared" si="7"/>
        <v>9</v>
      </c>
      <c r="B13" s="43" t="s">
        <v>121</v>
      </c>
      <c r="C13" s="31">
        <v>215.0</v>
      </c>
      <c r="D13" s="31">
        <v>19.0</v>
      </c>
      <c r="E13" s="36">
        <f t="shared" si="2"/>
        <v>15.44444444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224</v>
      </c>
      <c r="O13" s="31">
        <f t="shared" si="15"/>
        <v>19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7</v>
      </c>
      <c r="V13" s="46">
        <f t="shared" si="6"/>
        <v>4</v>
      </c>
      <c r="W13" s="30">
        <f t="shared" si="9"/>
        <v>9</v>
      </c>
    </row>
    <row r="14">
      <c r="A14" s="30">
        <f t="shared" si="7"/>
        <v>10</v>
      </c>
      <c r="B14" s="43" t="s">
        <v>94</v>
      </c>
      <c r="C14" s="31">
        <v>215.0</v>
      </c>
      <c r="D14" s="31">
        <v>19.0</v>
      </c>
      <c r="E14" s="36">
        <f t="shared" si="2"/>
        <v>14.27272727</v>
      </c>
      <c r="F14" s="73">
        <v>1.0</v>
      </c>
      <c r="G14" s="74">
        <v>2.0</v>
      </c>
      <c r="H14" s="75">
        <v>0.0</v>
      </c>
      <c r="I14" s="74">
        <v>6.0</v>
      </c>
      <c r="J14" s="74">
        <v>4.0</v>
      </c>
      <c r="K14" s="74">
        <v>6.0</v>
      </c>
      <c r="L14" s="76">
        <v>16.0</v>
      </c>
      <c r="M14" s="74">
        <v>2.0</v>
      </c>
      <c r="N14" s="31">
        <f t="shared" ref="N14:O14" si="16">C14+L14</f>
        <v>231</v>
      </c>
      <c r="O14" s="31">
        <f t="shared" si="16"/>
        <v>21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5</v>
      </c>
      <c r="V14" s="46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28" t="s">
        <v>101</v>
      </c>
      <c r="C15" s="31">
        <v>215.0</v>
      </c>
      <c r="D15" s="31">
        <v>18.0</v>
      </c>
      <c r="E15" s="36">
        <f t="shared" si="2"/>
        <v>13.83333333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224</v>
      </c>
      <c r="O15" s="31">
        <f t="shared" si="17"/>
        <v>18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4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43" t="s">
        <v>130</v>
      </c>
      <c r="C16" s="31">
        <v>214.0</v>
      </c>
      <c r="D16" s="31">
        <v>18.0</v>
      </c>
      <c r="E16" s="36">
        <f t="shared" si="2"/>
        <v>15.1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223</v>
      </c>
      <c r="O16" s="31">
        <f t="shared" si="18"/>
        <v>18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7</v>
      </c>
      <c r="V16" s="46">
        <f t="shared" si="6"/>
        <v>0</v>
      </c>
      <c r="W16" s="30">
        <f t="shared" si="9"/>
        <v>12</v>
      </c>
    </row>
    <row r="17">
      <c r="A17" s="30">
        <f t="shared" si="7"/>
        <v>13</v>
      </c>
      <c r="B17" s="43" t="s">
        <v>88</v>
      </c>
      <c r="C17" s="47">
        <v>212.0</v>
      </c>
      <c r="D17" s="31">
        <v>19.0</v>
      </c>
      <c r="E17" s="36">
        <f t="shared" si="2"/>
        <v>12.66666667</v>
      </c>
      <c r="F17" s="73">
        <v>1.0</v>
      </c>
      <c r="G17" s="74">
        <v>2.0</v>
      </c>
      <c r="H17" s="75">
        <v>0.0</v>
      </c>
      <c r="I17" s="74">
        <v>6.0</v>
      </c>
      <c r="J17" s="74">
        <v>6.0</v>
      </c>
      <c r="K17" s="74">
        <v>0.0</v>
      </c>
      <c r="L17" s="76">
        <v>12.0</v>
      </c>
      <c r="M17" s="74">
        <v>2.0</v>
      </c>
      <c r="N17" s="47">
        <f t="shared" ref="N17:O17" si="19">C17+L17</f>
        <v>224</v>
      </c>
      <c r="O17" s="31">
        <f t="shared" si="19"/>
        <v>21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1</v>
      </c>
      <c r="V17" s="46">
        <f t="shared" si="6"/>
        <v>-7</v>
      </c>
      <c r="W17" s="30">
        <f t="shared" si="9"/>
        <v>13</v>
      </c>
    </row>
    <row r="18">
      <c r="A18" s="30">
        <f t="shared" si="7"/>
        <v>14</v>
      </c>
      <c r="B18" s="28" t="s">
        <v>120</v>
      </c>
      <c r="C18" s="31">
        <v>209.0</v>
      </c>
      <c r="D18" s="31">
        <v>21.0</v>
      </c>
      <c r="E18" s="36">
        <f t="shared" si="2"/>
        <v>14.2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218</v>
      </c>
      <c r="O18" s="31">
        <f t="shared" si="20"/>
        <v>21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6</v>
      </c>
      <c r="V18" s="46">
        <f t="shared" si="6"/>
        <v>-3</v>
      </c>
      <c r="W18" s="30">
        <f t="shared" si="9"/>
        <v>14</v>
      </c>
    </row>
    <row r="19">
      <c r="A19" s="30">
        <f t="shared" si="7"/>
        <v>15</v>
      </c>
      <c r="B19" s="48" t="s">
        <v>82</v>
      </c>
      <c r="C19" s="31">
        <v>208.0</v>
      </c>
      <c r="D19" s="31">
        <v>20.0</v>
      </c>
      <c r="E19" s="36">
        <f t="shared" si="2"/>
        <v>12.92307692</v>
      </c>
      <c r="F19" s="73">
        <v>5.0</v>
      </c>
      <c r="G19" s="74">
        <v>0.0</v>
      </c>
      <c r="H19" s="75">
        <v>13.0</v>
      </c>
      <c r="I19" s="74">
        <v>0.0</v>
      </c>
      <c r="J19" s="74">
        <v>0.0</v>
      </c>
      <c r="K19" s="74">
        <v>0.0</v>
      </c>
      <c r="L19" s="76">
        <v>13.0</v>
      </c>
      <c r="M19" s="74">
        <v>0.0</v>
      </c>
      <c r="N19" s="31">
        <f t="shared" ref="N19:O19" si="21">C19+L19</f>
        <v>221</v>
      </c>
      <c r="O19" s="31">
        <f t="shared" si="21"/>
        <v>20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3</v>
      </c>
      <c r="V19" s="46">
        <f t="shared" si="6"/>
        <v>2</v>
      </c>
      <c r="W19" s="30">
        <f t="shared" si="9"/>
        <v>15</v>
      </c>
    </row>
    <row r="20">
      <c r="A20" s="30">
        <f t="shared" si="7"/>
        <v>16</v>
      </c>
      <c r="B20" s="28" t="s">
        <v>67</v>
      </c>
      <c r="C20" s="31">
        <v>205.0</v>
      </c>
      <c r="D20" s="31">
        <v>18.0</v>
      </c>
      <c r="E20" s="36">
        <f t="shared" si="2"/>
        <v>15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214</v>
      </c>
      <c r="O20" s="31">
        <f t="shared" si="22"/>
        <v>18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8</v>
      </c>
      <c r="V20" s="46">
        <f t="shared" si="6"/>
        <v>-1</v>
      </c>
      <c r="W20" s="30">
        <f t="shared" si="9"/>
        <v>16</v>
      </c>
    </row>
    <row r="21">
      <c r="A21" s="30">
        <f t="shared" si="7"/>
        <v>17</v>
      </c>
      <c r="B21" s="28" t="s">
        <v>95</v>
      </c>
      <c r="C21" s="31">
        <v>203.0</v>
      </c>
      <c r="D21" s="31">
        <v>20.0</v>
      </c>
      <c r="E21" s="36">
        <f t="shared" si="2"/>
        <v>13.16666667</v>
      </c>
      <c r="F21" s="73">
        <v>3.0</v>
      </c>
      <c r="G21" s="74">
        <v>0.0</v>
      </c>
      <c r="H21" s="75">
        <v>9.0</v>
      </c>
      <c r="I21" s="74">
        <v>0.0</v>
      </c>
      <c r="J21" s="74">
        <v>0.0</v>
      </c>
      <c r="K21" s="74">
        <v>0.0</v>
      </c>
      <c r="L21" s="76">
        <v>9.0</v>
      </c>
      <c r="M21" s="74">
        <v>0.0</v>
      </c>
      <c r="N21" s="31">
        <f t="shared" ref="N21:O21" si="23">C21+L21</f>
        <v>212</v>
      </c>
      <c r="O21" s="31">
        <f t="shared" si="23"/>
        <v>20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5</v>
      </c>
      <c r="V21" s="46">
        <f t="shared" si="6"/>
        <v>-1</v>
      </c>
      <c r="W21" s="30">
        <f t="shared" si="9"/>
        <v>17</v>
      </c>
    </row>
    <row r="22">
      <c r="A22" s="30">
        <f t="shared" si="7"/>
        <v>18</v>
      </c>
      <c r="B22" s="43" t="s">
        <v>56</v>
      </c>
      <c r="C22" s="31">
        <v>202.0</v>
      </c>
      <c r="D22" s="31">
        <v>19.0</v>
      </c>
      <c r="E22" s="36">
        <f t="shared" si="2"/>
        <v>11.88235294</v>
      </c>
      <c r="F22" s="73">
        <v>1.0</v>
      </c>
      <c r="G22" s="74">
        <v>2.0</v>
      </c>
      <c r="H22" s="75">
        <v>0.0</v>
      </c>
      <c r="I22" s="74">
        <v>3.0</v>
      </c>
      <c r="J22" s="74">
        <v>4.0</v>
      </c>
      <c r="K22" s="74">
        <v>0.0</v>
      </c>
      <c r="L22" s="76">
        <v>7.0</v>
      </c>
      <c r="M22" s="74">
        <v>0.0</v>
      </c>
      <c r="N22" s="31">
        <f t="shared" ref="N22:O22" si="24">C22+L22</f>
        <v>209</v>
      </c>
      <c r="O22" s="31">
        <f t="shared" si="24"/>
        <v>19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0</v>
      </c>
      <c r="V22" s="46">
        <f t="shared" si="6"/>
        <v>2</v>
      </c>
      <c r="W22" s="30">
        <f t="shared" si="9"/>
        <v>18</v>
      </c>
    </row>
    <row r="23">
      <c r="A23" s="30">
        <f t="shared" si="7"/>
        <v>19</v>
      </c>
      <c r="B23" s="28" t="s">
        <v>116</v>
      </c>
      <c r="C23" s="31">
        <v>202.0</v>
      </c>
      <c r="D23" s="31">
        <v>16.0</v>
      </c>
      <c r="E23" s="36">
        <f t="shared" si="2"/>
        <v>14</v>
      </c>
      <c r="F23" s="73">
        <v>2.0</v>
      </c>
      <c r="G23" s="74">
        <v>3.0</v>
      </c>
      <c r="H23" s="75">
        <v>0.0</v>
      </c>
      <c r="I23" s="74">
        <v>7.0</v>
      </c>
      <c r="J23" s="74">
        <v>6.0</v>
      </c>
      <c r="K23" s="74">
        <v>1.0</v>
      </c>
      <c r="L23" s="76">
        <v>14.0</v>
      </c>
      <c r="M23" s="74">
        <v>2.0</v>
      </c>
      <c r="N23" s="31">
        <f t="shared" ref="N23:O23" si="25">C23+L23</f>
        <v>216</v>
      </c>
      <c r="O23" s="31">
        <f t="shared" si="25"/>
        <v>18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7</v>
      </c>
      <c r="V23" s="46">
        <f t="shared" si="6"/>
        <v>-1</v>
      </c>
      <c r="W23" s="30">
        <f t="shared" si="9"/>
        <v>19</v>
      </c>
    </row>
    <row r="24">
      <c r="A24" s="30">
        <f t="shared" si="7"/>
        <v>20</v>
      </c>
      <c r="B24" s="43" t="s">
        <v>90</v>
      </c>
      <c r="C24" s="31">
        <v>200.0</v>
      </c>
      <c r="D24" s="31">
        <v>16.0</v>
      </c>
      <c r="E24" s="36">
        <f t="shared" si="2"/>
        <v>12.18181818</v>
      </c>
      <c r="F24" s="73">
        <v>2.0</v>
      </c>
      <c r="G24" s="74">
        <v>3.0</v>
      </c>
      <c r="H24" s="75">
        <v>0.0</v>
      </c>
      <c r="I24" s="74">
        <v>5.0</v>
      </c>
      <c r="J24" s="74">
        <v>0.0</v>
      </c>
      <c r="K24" s="74">
        <v>1.0</v>
      </c>
      <c r="L24" s="76">
        <v>6.0</v>
      </c>
      <c r="M24" s="74">
        <v>0.0</v>
      </c>
      <c r="N24" s="31">
        <f t="shared" ref="N24:O24" si="26">C24+L24</f>
        <v>206</v>
      </c>
      <c r="O24" s="31">
        <f t="shared" si="26"/>
        <v>16</v>
      </c>
      <c r="P24" s="45" t="s">
        <v>58</v>
      </c>
      <c r="Q24" s="45" t="s">
        <v>58</v>
      </c>
      <c r="R24" s="45"/>
      <c r="S24" s="46">
        <f t="shared" si="4"/>
        <v>3</v>
      </c>
      <c r="T24" s="46"/>
      <c r="U24" s="46">
        <f t="shared" si="5"/>
        <v>3</v>
      </c>
      <c r="V24" s="46">
        <f t="shared" si="6"/>
        <v>4</v>
      </c>
      <c r="W24" s="30">
        <f t="shared" si="9"/>
        <v>20</v>
      </c>
    </row>
    <row r="25">
      <c r="A25" s="30">
        <f t="shared" si="7"/>
        <v>21</v>
      </c>
      <c r="B25" s="28" t="s">
        <v>105</v>
      </c>
      <c r="C25" s="31">
        <v>199.0</v>
      </c>
      <c r="D25" s="31">
        <v>16.0</v>
      </c>
      <c r="E25" s="36">
        <f t="shared" si="2"/>
        <v>12.81818182</v>
      </c>
      <c r="F25" s="73">
        <v>1.0</v>
      </c>
      <c r="G25" s="74">
        <v>3.0</v>
      </c>
      <c r="H25" s="75">
        <v>0.0</v>
      </c>
      <c r="I25" s="74">
        <v>7.0</v>
      </c>
      <c r="J25" s="74">
        <v>0.0</v>
      </c>
      <c r="K25" s="74">
        <v>6.0</v>
      </c>
      <c r="L25" s="76">
        <v>13.0</v>
      </c>
      <c r="M25" s="74">
        <v>2.0</v>
      </c>
      <c r="N25" s="31">
        <f t="shared" ref="N25:O25" si="27">C25+L25</f>
        <v>212</v>
      </c>
      <c r="O25" s="31">
        <f t="shared" si="27"/>
        <v>18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5</v>
      </c>
      <c r="V25" s="46">
        <f t="shared" si="6"/>
        <v>2</v>
      </c>
      <c r="W25" s="30">
        <f t="shared" si="9"/>
        <v>21</v>
      </c>
    </row>
    <row r="26">
      <c r="A26" s="30">
        <f t="shared" si="7"/>
        <v>22</v>
      </c>
      <c r="B26" s="28" t="s">
        <v>34</v>
      </c>
      <c r="C26" s="31">
        <v>198.0</v>
      </c>
      <c r="D26" s="31">
        <v>18.0</v>
      </c>
      <c r="E26" s="36">
        <f t="shared" si="2"/>
        <v>15.42857143</v>
      </c>
      <c r="F26" s="73">
        <v>1.0</v>
      </c>
      <c r="G26" s="74">
        <v>3.0</v>
      </c>
      <c r="H26" s="75">
        <v>0.0</v>
      </c>
      <c r="I26" s="74">
        <v>5.0</v>
      </c>
      <c r="J26" s="74">
        <v>6.0</v>
      </c>
      <c r="K26" s="74">
        <v>6.0</v>
      </c>
      <c r="L26" s="76">
        <v>17.0</v>
      </c>
      <c r="M26" s="74">
        <v>2.0</v>
      </c>
      <c r="N26" s="31">
        <f t="shared" ref="N26:O26" si="28">C26+L26</f>
        <v>215</v>
      </c>
      <c r="O26" s="31">
        <f t="shared" si="28"/>
        <v>20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10</v>
      </c>
      <c r="V26" s="46">
        <f t="shared" si="6"/>
        <v>10</v>
      </c>
      <c r="W26" s="30">
        <f t="shared" si="9"/>
        <v>22</v>
      </c>
    </row>
    <row r="27">
      <c r="A27" s="30">
        <f t="shared" si="7"/>
        <v>23</v>
      </c>
      <c r="B27" s="28" t="s">
        <v>92</v>
      </c>
      <c r="C27" s="31">
        <v>198.0</v>
      </c>
      <c r="D27" s="31">
        <v>16.0</v>
      </c>
      <c r="E27" s="36">
        <f t="shared" si="2"/>
        <v>13.5</v>
      </c>
      <c r="F27" s="73">
        <v>1.0</v>
      </c>
      <c r="G27" s="74">
        <v>4.0</v>
      </c>
      <c r="H27" s="75">
        <v>0.0</v>
      </c>
      <c r="I27" s="74">
        <v>6.0</v>
      </c>
      <c r="J27" s="74">
        <v>6.0</v>
      </c>
      <c r="K27" s="74">
        <v>6.0</v>
      </c>
      <c r="L27" s="76">
        <v>18.0</v>
      </c>
      <c r="M27" s="74">
        <v>3.0</v>
      </c>
      <c r="N27" s="31">
        <f t="shared" ref="N27:O27" si="29">C27+L27</f>
        <v>216</v>
      </c>
      <c r="O27" s="31">
        <f t="shared" si="29"/>
        <v>19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7</v>
      </c>
      <c r="V27" s="46">
        <f t="shared" si="6"/>
        <v>-4</v>
      </c>
      <c r="W27" s="30">
        <f t="shared" si="9"/>
        <v>23</v>
      </c>
    </row>
    <row r="28">
      <c r="A28" s="30">
        <f t="shared" si="7"/>
        <v>24</v>
      </c>
      <c r="B28" s="28" t="s">
        <v>119</v>
      </c>
      <c r="C28" s="31">
        <v>196.0</v>
      </c>
      <c r="D28" s="31">
        <v>17.0</v>
      </c>
      <c r="E28" s="36">
        <f t="shared" si="2"/>
        <v>12.54545455</v>
      </c>
      <c r="F28" s="73">
        <v>1.0</v>
      </c>
      <c r="G28" s="74">
        <v>4.0</v>
      </c>
      <c r="H28" s="75">
        <v>0.0</v>
      </c>
      <c r="I28" s="74">
        <v>0.0</v>
      </c>
      <c r="J28" s="74">
        <v>2.0</v>
      </c>
      <c r="K28" s="74">
        <v>6.0</v>
      </c>
      <c r="L28" s="76">
        <v>8.0</v>
      </c>
      <c r="M28" s="74">
        <v>1.0</v>
      </c>
      <c r="N28" s="31">
        <f t="shared" ref="N28:O28" si="30">C28+L28</f>
        <v>204</v>
      </c>
      <c r="O28" s="31">
        <f t="shared" si="30"/>
        <v>18</v>
      </c>
      <c r="P28" s="45" t="s">
        <v>58</v>
      </c>
      <c r="Q28" s="45" t="s">
        <v>58</v>
      </c>
      <c r="R28" s="45" t="s">
        <v>58</v>
      </c>
      <c r="S28" s="46">
        <f t="shared" si="4"/>
        <v>1</v>
      </c>
      <c r="T28" s="46"/>
      <c r="U28" s="46">
        <f t="shared" si="5"/>
        <v>5</v>
      </c>
      <c r="V28" s="46">
        <f t="shared" si="6"/>
        <v>-3</v>
      </c>
      <c r="W28" s="30">
        <f t="shared" si="9"/>
        <v>24</v>
      </c>
    </row>
    <row r="29">
      <c r="A29" s="30">
        <f t="shared" si="7"/>
        <v>25</v>
      </c>
      <c r="B29" s="43" t="s">
        <v>107</v>
      </c>
      <c r="C29" s="31">
        <v>196.0</v>
      </c>
      <c r="D29" s="31">
        <v>11.0</v>
      </c>
      <c r="E29" s="36">
        <f t="shared" si="2"/>
        <v>12.54545455</v>
      </c>
      <c r="F29" s="73">
        <v>3.0</v>
      </c>
      <c r="G29" s="74">
        <v>0.0</v>
      </c>
      <c r="H29" s="75">
        <v>9.0</v>
      </c>
      <c r="I29" s="74">
        <v>0.0</v>
      </c>
      <c r="J29" s="74">
        <v>0.0</v>
      </c>
      <c r="K29" s="74">
        <v>0.0</v>
      </c>
      <c r="L29" s="76">
        <v>9.0</v>
      </c>
      <c r="M29" s="74">
        <v>0.0</v>
      </c>
      <c r="N29" s="31">
        <f t="shared" ref="N29:O29" si="31">C29+L29</f>
        <v>205</v>
      </c>
      <c r="O29" s="31">
        <f t="shared" si="31"/>
        <v>11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5</v>
      </c>
      <c r="V29" s="46">
        <f t="shared" si="6"/>
        <v>-3</v>
      </c>
      <c r="W29" s="30">
        <f t="shared" si="9"/>
        <v>25</v>
      </c>
    </row>
    <row r="30">
      <c r="A30" s="30">
        <f t="shared" si="7"/>
        <v>26</v>
      </c>
      <c r="B30" s="28" t="s">
        <v>98</v>
      </c>
      <c r="C30" s="31">
        <v>195.0</v>
      </c>
      <c r="D30" s="31">
        <v>15.0</v>
      </c>
      <c r="E30" s="36">
        <f t="shared" si="2"/>
        <v>13.2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204</v>
      </c>
      <c r="O30" s="31">
        <f t="shared" si="32"/>
        <v>15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7</v>
      </c>
      <c r="V30" s="46">
        <f t="shared" si="6"/>
        <v>13</v>
      </c>
      <c r="W30" s="30">
        <f t="shared" si="9"/>
        <v>26</v>
      </c>
    </row>
    <row r="31">
      <c r="A31" s="30">
        <f t="shared" si="7"/>
        <v>27</v>
      </c>
      <c r="B31" s="43" t="s">
        <v>111</v>
      </c>
      <c r="C31" s="47">
        <v>194.0</v>
      </c>
      <c r="D31" s="31">
        <v>17.0</v>
      </c>
      <c r="E31" s="36">
        <f t="shared" si="2"/>
        <v>11.64285714</v>
      </c>
      <c r="F31" s="73">
        <v>5.0</v>
      </c>
      <c r="G31" s="74">
        <v>0.0</v>
      </c>
      <c r="H31" s="75">
        <v>13.0</v>
      </c>
      <c r="I31" s="74">
        <v>0.0</v>
      </c>
      <c r="J31" s="74">
        <v>0.0</v>
      </c>
      <c r="K31" s="74">
        <v>0.0</v>
      </c>
      <c r="L31" s="76">
        <v>13.0</v>
      </c>
      <c r="M31" s="74">
        <v>0.0</v>
      </c>
      <c r="N31" s="47">
        <f t="shared" ref="N31:O31" si="33">C31+L31</f>
        <v>207</v>
      </c>
      <c r="O31" s="31">
        <f t="shared" si="33"/>
        <v>17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2</v>
      </c>
      <c r="V31" s="46">
        <f t="shared" si="6"/>
        <v>-1</v>
      </c>
      <c r="W31" s="30">
        <f t="shared" si="9"/>
        <v>27</v>
      </c>
    </row>
    <row r="32">
      <c r="A32" s="30">
        <f t="shared" si="7"/>
        <v>28</v>
      </c>
      <c r="B32" s="48" t="s">
        <v>134</v>
      </c>
      <c r="C32" s="31">
        <v>193.0</v>
      </c>
      <c r="D32" s="31">
        <v>14.0</v>
      </c>
      <c r="E32" s="36">
        <f t="shared" si="2"/>
        <v>12.6</v>
      </c>
      <c r="F32" s="73">
        <v>1.0</v>
      </c>
      <c r="G32" s="74">
        <v>4.0</v>
      </c>
      <c r="H32" s="75">
        <v>0.0</v>
      </c>
      <c r="I32" s="74">
        <v>6.0</v>
      </c>
      <c r="J32" s="74">
        <v>2.0</v>
      </c>
      <c r="K32" s="74">
        <v>0.0</v>
      </c>
      <c r="L32" s="76">
        <v>8.0</v>
      </c>
      <c r="M32" s="74">
        <v>1.0</v>
      </c>
      <c r="N32" s="31">
        <f t="shared" ref="N32:O32" si="34">C32+L32</f>
        <v>201</v>
      </c>
      <c r="O32" s="31">
        <f t="shared" si="34"/>
        <v>15</v>
      </c>
      <c r="P32" s="45" t="s">
        <v>58</v>
      </c>
      <c r="Q32" s="45" t="s">
        <v>58</v>
      </c>
      <c r="R32" s="45"/>
      <c r="S32" s="46">
        <f t="shared" si="4"/>
        <v>1</v>
      </c>
      <c r="T32" s="46"/>
      <c r="U32" s="46">
        <f t="shared" si="5"/>
        <v>6</v>
      </c>
      <c r="V32" s="46">
        <f t="shared" si="6"/>
        <v>-1</v>
      </c>
      <c r="W32" s="30">
        <f t="shared" si="9"/>
        <v>28</v>
      </c>
    </row>
    <row r="33">
      <c r="A33" s="30">
        <f t="shared" si="7"/>
        <v>29</v>
      </c>
      <c r="B33" s="43" t="s">
        <v>99</v>
      </c>
      <c r="C33" s="31">
        <v>192.0</v>
      </c>
      <c r="D33" s="31">
        <v>15.0</v>
      </c>
      <c r="E33" s="36">
        <f t="shared" si="2"/>
        <v>13.375</v>
      </c>
      <c r="F33" s="73">
        <v>5.0</v>
      </c>
      <c r="G33" s="74">
        <v>0.0</v>
      </c>
      <c r="H33" s="75">
        <v>13.0</v>
      </c>
      <c r="I33" s="74">
        <v>0.0</v>
      </c>
      <c r="J33" s="74">
        <v>0.0</v>
      </c>
      <c r="K33" s="74">
        <v>0.0</v>
      </c>
      <c r="L33" s="76">
        <v>13.0</v>
      </c>
      <c r="M33" s="74">
        <v>0.0</v>
      </c>
      <c r="N33" s="31">
        <f t="shared" ref="N33:O33" si="35">C33+L33</f>
        <v>205</v>
      </c>
      <c r="O33" s="31">
        <f t="shared" si="35"/>
        <v>15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8</v>
      </c>
      <c r="V33" s="46">
        <f t="shared" si="6"/>
        <v>-1</v>
      </c>
      <c r="W33" s="30">
        <f t="shared" si="9"/>
        <v>29</v>
      </c>
    </row>
    <row r="34">
      <c r="A34" s="30">
        <f t="shared" si="7"/>
        <v>30</v>
      </c>
      <c r="B34" s="28" t="s">
        <v>89</v>
      </c>
      <c r="C34" s="31">
        <v>192.0</v>
      </c>
      <c r="D34" s="31">
        <v>13.0</v>
      </c>
      <c r="E34" s="36">
        <f t="shared" si="2"/>
        <v>12.44444444</v>
      </c>
      <c r="F34" s="73">
        <v>1.0</v>
      </c>
      <c r="G34" s="74">
        <v>4.0</v>
      </c>
      <c r="H34" s="75">
        <v>0.0</v>
      </c>
      <c r="I34" s="74">
        <v>0.0</v>
      </c>
      <c r="J34" s="74">
        <v>6.0</v>
      </c>
      <c r="K34" s="74">
        <v>0.0</v>
      </c>
      <c r="L34" s="76">
        <v>6.0</v>
      </c>
      <c r="M34" s="74">
        <v>1.0</v>
      </c>
      <c r="N34" s="31">
        <f t="shared" ref="N34:O34" si="36">C34+L34</f>
        <v>198</v>
      </c>
      <c r="O34" s="31">
        <f t="shared" si="36"/>
        <v>14</v>
      </c>
      <c r="P34" s="45" t="s">
        <v>58</v>
      </c>
      <c r="Q34" s="45" t="s">
        <v>58</v>
      </c>
      <c r="R34" s="45"/>
      <c r="S34" s="46">
        <f t="shared" si="4"/>
        <v>2</v>
      </c>
      <c r="T34" s="46"/>
      <c r="U34" s="46">
        <f t="shared" si="5"/>
        <v>6</v>
      </c>
      <c r="V34" s="46">
        <f t="shared" si="6"/>
        <v>-1</v>
      </c>
      <c r="W34" s="30">
        <f t="shared" si="9"/>
        <v>30</v>
      </c>
    </row>
    <row r="35">
      <c r="A35" s="30">
        <f t="shared" si="7"/>
        <v>31</v>
      </c>
      <c r="B35" s="43" t="s">
        <v>133</v>
      </c>
      <c r="C35" s="31">
        <v>191.0</v>
      </c>
      <c r="D35" s="31">
        <v>15.0</v>
      </c>
      <c r="E35" s="36">
        <f t="shared" si="2"/>
        <v>11.375</v>
      </c>
      <c r="F35" s="73">
        <v>1.0</v>
      </c>
      <c r="G35" s="74">
        <v>5.0</v>
      </c>
      <c r="H35" s="75">
        <v>0.0</v>
      </c>
      <c r="I35" s="74">
        <v>1.0</v>
      </c>
      <c r="J35" s="74">
        <v>5.0</v>
      </c>
      <c r="K35" s="74">
        <v>6.0</v>
      </c>
      <c r="L35" s="76">
        <v>12.0</v>
      </c>
      <c r="M35" s="74">
        <v>1.0</v>
      </c>
      <c r="N35" s="31">
        <f t="shared" ref="N35:O35" si="37">C35+L35</f>
        <v>203</v>
      </c>
      <c r="O35" s="31">
        <f t="shared" si="37"/>
        <v>16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1</v>
      </c>
      <c r="V35" s="46">
        <f t="shared" si="6"/>
        <v>6</v>
      </c>
      <c r="W35" s="30">
        <f t="shared" si="9"/>
        <v>31</v>
      </c>
    </row>
    <row r="36">
      <c r="A36" s="30">
        <f t="shared" si="7"/>
        <v>32</v>
      </c>
      <c r="B36" s="43" t="s">
        <v>61</v>
      </c>
      <c r="C36" s="47">
        <v>189.0</v>
      </c>
      <c r="D36" s="31">
        <v>23.0</v>
      </c>
      <c r="E36" s="36">
        <f t="shared" si="2"/>
        <v>11.11764706</v>
      </c>
      <c r="F36" s="73">
        <v>1.0</v>
      </c>
      <c r="G36" s="74">
        <v>5.0</v>
      </c>
      <c r="H36" s="75">
        <v>0.0</v>
      </c>
      <c r="I36" s="74">
        <v>1.0</v>
      </c>
      <c r="J36" s="74">
        <v>7.0</v>
      </c>
      <c r="K36" s="74">
        <v>4.0</v>
      </c>
      <c r="L36" s="76">
        <v>12.0</v>
      </c>
      <c r="M36" s="74">
        <v>1.0</v>
      </c>
      <c r="N36" s="47">
        <f t="shared" ref="N36:O36" si="38">C36+L36</f>
        <v>201</v>
      </c>
      <c r="O36" s="31">
        <f t="shared" si="38"/>
        <v>24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-7</v>
      </c>
      <c r="W36" s="30">
        <f t="shared" si="9"/>
        <v>32</v>
      </c>
    </row>
    <row r="37">
      <c r="A37" s="30">
        <f t="shared" si="7"/>
        <v>33</v>
      </c>
      <c r="B37" s="28" t="s">
        <v>84</v>
      </c>
      <c r="C37" s="31">
        <v>189.0</v>
      </c>
      <c r="D37" s="31">
        <v>18.0</v>
      </c>
      <c r="E37" s="36">
        <f t="shared" si="2"/>
        <v>12</v>
      </c>
      <c r="F37" s="73">
        <v>3.0</v>
      </c>
      <c r="G37" s="74">
        <v>0.0</v>
      </c>
      <c r="H37" s="75">
        <v>9.0</v>
      </c>
      <c r="I37" s="74">
        <v>0.0</v>
      </c>
      <c r="J37" s="74">
        <v>0.0</v>
      </c>
      <c r="K37" s="74">
        <v>0.0</v>
      </c>
      <c r="L37" s="76">
        <v>9.0</v>
      </c>
      <c r="M37" s="74">
        <v>0.0</v>
      </c>
      <c r="N37" s="31">
        <f t="shared" ref="N37:O37" si="39">C37+L37</f>
        <v>198</v>
      </c>
      <c r="O37" s="31">
        <f t="shared" si="39"/>
        <v>18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5</v>
      </c>
      <c r="V37" s="46">
        <f t="shared" si="6"/>
        <v>-3</v>
      </c>
      <c r="W37" s="30">
        <f t="shared" si="9"/>
        <v>33</v>
      </c>
    </row>
    <row r="38">
      <c r="A38" s="30">
        <f t="shared" si="7"/>
        <v>34</v>
      </c>
      <c r="B38" s="43" t="s">
        <v>129</v>
      </c>
      <c r="C38" s="47">
        <v>189.0</v>
      </c>
      <c r="D38" s="31">
        <v>18.0</v>
      </c>
      <c r="E38" s="36">
        <f t="shared" si="2"/>
        <v>11.25</v>
      </c>
      <c r="F38" s="73">
        <v>1.0</v>
      </c>
      <c r="G38" s="74">
        <v>5.0</v>
      </c>
      <c r="H38" s="75">
        <v>0.0</v>
      </c>
      <c r="I38" s="74">
        <v>6.0</v>
      </c>
      <c r="J38" s="74">
        <v>5.0</v>
      </c>
      <c r="K38" s="74">
        <v>4.0</v>
      </c>
      <c r="L38" s="76">
        <v>15.0</v>
      </c>
      <c r="M38" s="74">
        <v>1.0</v>
      </c>
      <c r="N38" s="47">
        <f t="shared" ref="N38:O38" si="40">C38+L38</f>
        <v>204</v>
      </c>
      <c r="O38" s="31">
        <f t="shared" si="40"/>
        <v>19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1</v>
      </c>
      <c r="V38" s="46">
        <f t="shared" si="6"/>
        <v>1</v>
      </c>
      <c r="W38" s="30">
        <f t="shared" si="9"/>
        <v>34</v>
      </c>
    </row>
    <row r="39">
      <c r="A39" s="30">
        <f t="shared" si="7"/>
        <v>35</v>
      </c>
      <c r="B39" s="43" t="s">
        <v>106</v>
      </c>
      <c r="C39" s="31">
        <v>189.0</v>
      </c>
      <c r="D39" s="31">
        <v>16.0</v>
      </c>
      <c r="E39" s="36">
        <f t="shared" si="2"/>
        <v>11.90909091</v>
      </c>
      <c r="F39" s="73">
        <v>1.0</v>
      </c>
      <c r="G39" s="74">
        <v>5.0</v>
      </c>
      <c r="H39" s="75">
        <v>0.0</v>
      </c>
      <c r="I39" s="74">
        <v>6.0</v>
      </c>
      <c r="J39" s="74">
        <v>7.0</v>
      </c>
      <c r="K39" s="74">
        <v>6.0</v>
      </c>
      <c r="L39" s="76">
        <v>19.0</v>
      </c>
      <c r="M39" s="74">
        <v>3.0</v>
      </c>
      <c r="N39" s="31">
        <f t="shared" ref="N39:O39" si="41">C39+L39</f>
        <v>208</v>
      </c>
      <c r="O39" s="31">
        <f t="shared" si="41"/>
        <v>19</v>
      </c>
      <c r="P39" s="45" t="s">
        <v>58</v>
      </c>
      <c r="Q39" s="45" t="s">
        <v>58</v>
      </c>
      <c r="R39" s="45"/>
      <c r="S39" s="46">
        <f t="shared" si="4"/>
        <v>1</v>
      </c>
      <c r="T39" s="46"/>
      <c r="U39" s="46">
        <f t="shared" si="5"/>
        <v>5</v>
      </c>
      <c r="V39" s="46">
        <f t="shared" si="6"/>
        <v>-4</v>
      </c>
      <c r="W39" s="30">
        <f t="shared" si="9"/>
        <v>35</v>
      </c>
    </row>
    <row r="40">
      <c r="A40" s="30">
        <f t="shared" si="7"/>
        <v>36</v>
      </c>
      <c r="B40" s="28" t="s">
        <v>49</v>
      </c>
      <c r="C40" s="31">
        <v>188.0</v>
      </c>
      <c r="D40" s="31">
        <v>15.0</v>
      </c>
      <c r="E40" s="36">
        <f t="shared" si="2"/>
        <v>11.06666667</v>
      </c>
      <c r="F40" s="73">
        <v>1.0</v>
      </c>
      <c r="G40" s="74">
        <v>6.0</v>
      </c>
      <c r="H40" s="75">
        <v>0.0</v>
      </c>
      <c r="I40" s="74">
        <v>6.0</v>
      </c>
      <c r="J40" s="74">
        <v>6.0</v>
      </c>
      <c r="K40" s="74">
        <v>3.0</v>
      </c>
      <c r="L40" s="76">
        <v>15.0</v>
      </c>
      <c r="M40" s="74">
        <v>2.0</v>
      </c>
      <c r="N40" s="31">
        <f t="shared" ref="N40:O40" si="42">C40+L40</f>
        <v>203</v>
      </c>
      <c r="O40" s="31">
        <f t="shared" si="42"/>
        <v>17</v>
      </c>
      <c r="P40" s="45" t="s">
        <v>58</v>
      </c>
      <c r="Q40" s="45" t="s">
        <v>58</v>
      </c>
      <c r="R40" s="45" t="s">
        <v>58</v>
      </c>
      <c r="S40" s="46">
        <f t="shared" si="4"/>
        <v>1</v>
      </c>
      <c r="T40" s="46"/>
      <c r="U40" s="46">
        <f t="shared" si="5"/>
        <v>1</v>
      </c>
      <c r="V40" s="46">
        <f t="shared" si="6"/>
        <v>4</v>
      </c>
      <c r="W40" s="30">
        <f t="shared" si="9"/>
        <v>36</v>
      </c>
    </row>
    <row r="41">
      <c r="A41" s="30">
        <f t="shared" si="7"/>
        <v>37</v>
      </c>
      <c r="B41" s="43" t="s">
        <v>62</v>
      </c>
      <c r="C41" s="31">
        <v>188.0</v>
      </c>
      <c r="D41" s="31">
        <v>14.0</v>
      </c>
      <c r="E41" s="36">
        <f t="shared" si="2"/>
        <v>13.375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197</v>
      </c>
      <c r="O41" s="31">
        <f t="shared" si="43"/>
        <v>14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9</v>
      </c>
      <c r="V41" s="46">
        <f t="shared" si="6"/>
        <v>-4</v>
      </c>
      <c r="W41" s="30">
        <f t="shared" si="9"/>
        <v>37</v>
      </c>
    </row>
    <row r="42">
      <c r="A42" s="30">
        <f t="shared" si="7"/>
        <v>38</v>
      </c>
      <c r="B42" s="48" t="s">
        <v>54</v>
      </c>
      <c r="C42" s="31">
        <v>188.0</v>
      </c>
      <c r="D42" s="31">
        <v>14.0</v>
      </c>
      <c r="E42" s="36">
        <f t="shared" si="2"/>
        <v>11.58333333</v>
      </c>
      <c r="F42" s="73">
        <v>1.0</v>
      </c>
      <c r="G42" s="74">
        <v>6.0</v>
      </c>
      <c r="H42" s="75">
        <v>0.0</v>
      </c>
      <c r="I42" s="74">
        <v>6.0</v>
      </c>
      <c r="J42" s="74">
        <v>4.0</v>
      </c>
      <c r="K42" s="74">
        <v>6.0</v>
      </c>
      <c r="L42" s="76">
        <v>16.0</v>
      </c>
      <c r="M42" s="74">
        <v>2.0</v>
      </c>
      <c r="N42" s="31">
        <f t="shared" ref="N42:O42" si="44">C42+L42</f>
        <v>204</v>
      </c>
      <c r="O42" s="31">
        <f t="shared" si="44"/>
        <v>16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4</v>
      </c>
      <c r="V42" s="46">
        <f t="shared" si="6"/>
        <v>3</v>
      </c>
      <c r="W42" s="30">
        <f t="shared" si="9"/>
        <v>38</v>
      </c>
    </row>
    <row r="43">
      <c r="A43" s="30">
        <f t="shared" si="7"/>
        <v>39</v>
      </c>
      <c r="B43" s="43" t="s">
        <v>132</v>
      </c>
      <c r="C43" s="31">
        <v>187.0</v>
      </c>
      <c r="D43" s="31">
        <v>20.0</v>
      </c>
      <c r="E43" s="36">
        <f t="shared" si="2"/>
        <v>11</v>
      </c>
      <c r="F43" s="73">
        <v>1.0</v>
      </c>
      <c r="G43" s="74">
        <v>6.0</v>
      </c>
      <c r="H43" s="75">
        <v>0.0</v>
      </c>
      <c r="I43" s="74">
        <v>2.0</v>
      </c>
      <c r="J43" s="74">
        <v>6.0</v>
      </c>
      <c r="K43" s="74">
        <v>6.0</v>
      </c>
      <c r="L43" s="76">
        <v>14.0</v>
      </c>
      <c r="M43" s="74">
        <v>2.0</v>
      </c>
      <c r="N43" s="31">
        <f t="shared" ref="N43:O43" si="45">C43+L43</f>
        <v>201</v>
      </c>
      <c r="O43" s="31">
        <f t="shared" si="45"/>
        <v>22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0</v>
      </c>
      <c r="V43" s="46">
        <f t="shared" si="6"/>
        <v>-5</v>
      </c>
      <c r="W43" s="30">
        <f t="shared" si="9"/>
        <v>39</v>
      </c>
    </row>
    <row r="44">
      <c r="A44" s="30">
        <f t="shared" si="7"/>
        <v>40</v>
      </c>
      <c r="B44" s="28" t="s">
        <v>137</v>
      </c>
      <c r="C44" s="31">
        <v>187.0</v>
      </c>
      <c r="D44" s="31">
        <v>10.0</v>
      </c>
      <c r="E44" s="36">
        <f t="shared" si="2"/>
        <v>13.33333333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6">C44+L44</f>
        <v>196</v>
      </c>
      <c r="O44" s="31">
        <f t="shared" si="46"/>
        <v>10</v>
      </c>
      <c r="P44" s="45" t="s">
        <v>58</v>
      </c>
      <c r="Q44" s="45" t="s">
        <v>58</v>
      </c>
      <c r="R44" s="45"/>
      <c r="S44" s="46">
        <f t="shared" si="4"/>
        <v>2</v>
      </c>
      <c r="T44" s="46"/>
      <c r="U44" s="46">
        <f t="shared" si="5"/>
        <v>9</v>
      </c>
      <c r="V44" s="46">
        <f t="shared" si="6"/>
        <v>-4</v>
      </c>
      <c r="W44" s="30">
        <f t="shared" si="9"/>
        <v>40</v>
      </c>
    </row>
    <row r="45">
      <c r="A45" s="30">
        <f t="shared" si="7"/>
        <v>41</v>
      </c>
      <c r="B45" s="48" t="s">
        <v>125</v>
      </c>
      <c r="C45" s="31">
        <v>184.0</v>
      </c>
      <c r="D45" s="31">
        <v>14.0</v>
      </c>
      <c r="E45" s="36">
        <f t="shared" si="2"/>
        <v>10.82352941</v>
      </c>
      <c r="F45" s="73">
        <v>1.0</v>
      </c>
      <c r="G45" s="74">
        <v>6.0</v>
      </c>
      <c r="H45" s="75">
        <v>0.0</v>
      </c>
      <c r="I45" s="74">
        <v>2.0</v>
      </c>
      <c r="J45" s="74">
        <v>4.0</v>
      </c>
      <c r="K45" s="74">
        <v>3.0</v>
      </c>
      <c r="L45" s="76">
        <v>9.0</v>
      </c>
      <c r="M45" s="74">
        <v>0.0</v>
      </c>
      <c r="N45" s="31">
        <f t="shared" ref="N45:O45" si="47">C45+L45</f>
        <v>193</v>
      </c>
      <c r="O45" s="31">
        <f t="shared" si="47"/>
        <v>14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0</v>
      </c>
      <c r="V45" s="46">
        <f t="shared" si="6"/>
        <v>5</v>
      </c>
      <c r="W45" s="30">
        <f t="shared" si="9"/>
        <v>41</v>
      </c>
    </row>
    <row r="46">
      <c r="A46" s="30">
        <f t="shared" si="7"/>
        <v>42</v>
      </c>
      <c r="B46" s="28" t="s">
        <v>128</v>
      </c>
      <c r="C46" s="31">
        <v>184.0</v>
      </c>
      <c r="D46" s="31">
        <v>13.0</v>
      </c>
      <c r="E46" s="36">
        <f t="shared" si="2"/>
        <v>13.42857143</v>
      </c>
      <c r="F46" s="73">
        <v>1.0</v>
      </c>
      <c r="G46" s="74">
        <v>7.0</v>
      </c>
      <c r="H46" s="75">
        <v>0.0</v>
      </c>
      <c r="I46" s="74">
        <v>6.0</v>
      </c>
      <c r="J46" s="74">
        <v>6.0</v>
      </c>
      <c r="K46" s="74">
        <v>6.0</v>
      </c>
      <c r="L46" s="76">
        <v>18.0</v>
      </c>
      <c r="M46" s="74">
        <v>3.0</v>
      </c>
      <c r="N46" s="31">
        <f t="shared" ref="N46:O46" si="48">C46+L46</f>
        <v>202</v>
      </c>
      <c r="O46" s="31">
        <f t="shared" si="48"/>
        <v>16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10</v>
      </c>
      <c r="V46" s="46">
        <f t="shared" si="6"/>
        <v>-4</v>
      </c>
      <c r="W46" s="30">
        <f t="shared" si="9"/>
        <v>42</v>
      </c>
    </row>
    <row r="47">
      <c r="A47" s="30">
        <f t="shared" si="7"/>
        <v>43</v>
      </c>
      <c r="B47" s="43" t="s">
        <v>122</v>
      </c>
      <c r="C47" s="31">
        <v>184.0</v>
      </c>
      <c r="D47" s="31">
        <v>13.0</v>
      </c>
      <c r="E47" s="36">
        <f t="shared" si="2"/>
        <v>12.44444444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193</v>
      </c>
      <c r="O47" s="31">
        <f t="shared" si="49"/>
        <v>13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8</v>
      </c>
      <c r="V47" s="46">
        <f t="shared" si="6"/>
        <v>1</v>
      </c>
      <c r="W47" s="30">
        <f t="shared" si="9"/>
        <v>43</v>
      </c>
    </row>
    <row r="48">
      <c r="A48" s="30">
        <f t="shared" si="7"/>
        <v>44</v>
      </c>
      <c r="B48" s="43" t="s">
        <v>136</v>
      </c>
      <c r="C48" s="31">
        <v>181.0</v>
      </c>
      <c r="D48" s="31">
        <v>16.0</v>
      </c>
      <c r="E48" s="36">
        <f t="shared" si="2"/>
        <v>11</v>
      </c>
      <c r="F48" s="73">
        <v>1.0</v>
      </c>
      <c r="G48" s="74">
        <v>7.0</v>
      </c>
      <c r="H48" s="75">
        <v>0.0</v>
      </c>
      <c r="I48" s="74">
        <v>2.0</v>
      </c>
      <c r="J48" s="74">
        <v>2.0</v>
      </c>
      <c r="K48" s="74">
        <v>6.0</v>
      </c>
      <c r="L48" s="76">
        <v>10.0</v>
      </c>
      <c r="M48" s="74">
        <v>1.0</v>
      </c>
      <c r="N48" s="31">
        <f t="shared" ref="N48:O48" si="50">C48+L48</f>
        <v>191</v>
      </c>
      <c r="O48" s="31">
        <f t="shared" si="50"/>
        <v>17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3</v>
      </c>
      <c r="V48" s="46">
        <f t="shared" si="6"/>
        <v>-2</v>
      </c>
      <c r="W48" s="30">
        <f t="shared" si="9"/>
        <v>44</v>
      </c>
    </row>
    <row r="49">
      <c r="A49" s="30">
        <f t="shared" si="7"/>
        <v>45</v>
      </c>
      <c r="B49" s="48" t="s">
        <v>103</v>
      </c>
      <c r="C49" s="31">
        <v>181.0</v>
      </c>
      <c r="D49" s="31">
        <v>16.0</v>
      </c>
      <c r="E49" s="36">
        <f t="shared" si="2"/>
        <v>11.15384615</v>
      </c>
      <c r="F49" s="73">
        <v>1.0</v>
      </c>
      <c r="G49" s="74">
        <v>7.0</v>
      </c>
      <c r="H49" s="75">
        <v>0.0</v>
      </c>
      <c r="I49" s="74">
        <v>2.0</v>
      </c>
      <c r="J49" s="74">
        <v>6.0</v>
      </c>
      <c r="K49" s="74">
        <v>3.0</v>
      </c>
      <c r="L49" s="76">
        <v>11.0</v>
      </c>
      <c r="M49" s="74">
        <v>1.0</v>
      </c>
      <c r="N49" s="31">
        <f t="shared" ref="N49:O49" si="51">C49+L49</f>
        <v>192</v>
      </c>
      <c r="O49" s="31">
        <f t="shared" si="51"/>
        <v>17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4</v>
      </c>
      <c r="V49" s="46">
        <f t="shared" si="6"/>
        <v>4</v>
      </c>
      <c r="W49" s="30">
        <f t="shared" si="9"/>
        <v>45</v>
      </c>
    </row>
    <row r="50">
      <c r="A50" s="30">
        <f t="shared" si="7"/>
        <v>46</v>
      </c>
      <c r="B50" s="43" t="s">
        <v>138</v>
      </c>
      <c r="C50" s="47">
        <v>180.0</v>
      </c>
      <c r="D50" s="31">
        <v>18.0</v>
      </c>
      <c r="E50" s="36">
        <f t="shared" si="2"/>
        <v>11.25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47">
        <f t="shared" ref="N50:O50" si="52">C50+L50</f>
        <v>189</v>
      </c>
      <c r="O50" s="31">
        <f t="shared" si="52"/>
        <v>18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5</v>
      </c>
      <c r="V50" s="46">
        <f t="shared" si="6"/>
        <v>2</v>
      </c>
      <c r="W50" s="30">
        <f t="shared" si="9"/>
        <v>46</v>
      </c>
    </row>
    <row r="51">
      <c r="A51" s="30">
        <f t="shared" si="7"/>
        <v>47</v>
      </c>
      <c r="B51" s="28" t="s">
        <v>93</v>
      </c>
      <c r="C51" s="31">
        <v>179.0</v>
      </c>
      <c r="D51" s="31">
        <v>11.0</v>
      </c>
      <c r="E51" s="36">
        <f t="shared" si="2"/>
        <v>12.71428571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188</v>
      </c>
      <c r="O51" s="31">
        <f t="shared" si="53"/>
        <v>11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10</v>
      </c>
      <c r="V51" s="46">
        <f t="shared" si="6"/>
        <v>-4</v>
      </c>
      <c r="W51" s="30">
        <f t="shared" si="9"/>
        <v>47</v>
      </c>
    </row>
    <row r="52">
      <c r="A52" s="30">
        <f t="shared" si="7"/>
        <v>48</v>
      </c>
      <c r="B52" s="43" t="s">
        <v>131</v>
      </c>
      <c r="C52" s="31">
        <v>178.0</v>
      </c>
      <c r="D52" s="31">
        <v>7.0</v>
      </c>
      <c r="E52" s="36">
        <f t="shared" si="2"/>
        <v>14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4">C52+L52</f>
        <v>187</v>
      </c>
      <c r="O52" s="31">
        <f t="shared" si="54"/>
        <v>7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12</v>
      </c>
      <c r="V52" s="46">
        <f t="shared" si="6"/>
        <v>4</v>
      </c>
      <c r="W52" s="30">
        <f t="shared" si="9"/>
        <v>48</v>
      </c>
    </row>
    <row r="53">
      <c r="A53" s="30">
        <f t="shared" si="7"/>
        <v>49</v>
      </c>
      <c r="B53" s="43" t="s">
        <v>96</v>
      </c>
      <c r="C53" s="31">
        <v>177.0</v>
      </c>
      <c r="D53" s="31">
        <v>8.0</v>
      </c>
      <c r="E53" s="36">
        <f t="shared" si="2"/>
        <v>10.6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5">C53+L53</f>
        <v>186</v>
      </c>
      <c r="O53" s="31">
        <f t="shared" si="55"/>
        <v>8</v>
      </c>
      <c r="P53" s="45" t="s">
        <v>58</v>
      </c>
      <c r="Q53" s="45" t="s">
        <v>58</v>
      </c>
      <c r="R53" s="45"/>
      <c r="S53" s="46">
        <f t="shared" si="4"/>
        <v>2</v>
      </c>
      <c r="T53" s="46"/>
      <c r="U53" s="46">
        <f t="shared" si="5"/>
        <v>5</v>
      </c>
      <c r="V53" s="46">
        <f t="shared" si="6"/>
        <v>-4</v>
      </c>
      <c r="W53" s="30">
        <f t="shared" si="9"/>
        <v>49</v>
      </c>
    </row>
    <row r="54">
      <c r="A54" s="30">
        <f t="shared" si="7"/>
        <v>50</v>
      </c>
      <c r="B54" s="28" t="s">
        <v>127</v>
      </c>
      <c r="C54" s="31">
        <v>176.0</v>
      </c>
      <c r="D54" s="31">
        <v>6.0</v>
      </c>
      <c r="E54" s="36">
        <f t="shared" si="2"/>
        <v>15.33333333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185</v>
      </c>
      <c r="O54" s="31">
        <f t="shared" si="56"/>
        <v>6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13</v>
      </c>
      <c r="V54" s="46">
        <f t="shared" si="6"/>
        <v>-3</v>
      </c>
      <c r="W54" s="30">
        <f t="shared" si="9"/>
        <v>50</v>
      </c>
    </row>
    <row r="55">
      <c r="A55" s="30">
        <f t="shared" si="7"/>
        <v>51</v>
      </c>
      <c r="B55" s="28" t="s">
        <v>102</v>
      </c>
      <c r="C55" s="31">
        <v>175.0</v>
      </c>
      <c r="D55" s="31">
        <v>9.0</v>
      </c>
      <c r="E55" s="36">
        <f t="shared" si="2"/>
        <v>15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7">C55+L55</f>
        <v>184</v>
      </c>
      <c r="O55" s="31">
        <f t="shared" si="57"/>
        <v>9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13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8" t="s">
        <v>139</v>
      </c>
      <c r="C56" s="31">
        <v>172.0</v>
      </c>
      <c r="D56" s="31">
        <v>7.0</v>
      </c>
      <c r="E56" s="36">
        <f t="shared" si="2"/>
        <v>12.75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181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12</v>
      </c>
      <c r="V56" s="46">
        <f t="shared" si="6"/>
        <v>2</v>
      </c>
      <c r="W56" s="30">
        <f t="shared" si="9"/>
        <v>52</v>
      </c>
    </row>
    <row r="57">
      <c r="A57" s="30">
        <f t="shared" si="7"/>
        <v>53</v>
      </c>
      <c r="B57" s="43" t="s">
        <v>140</v>
      </c>
      <c r="C57" s="31">
        <v>171.0</v>
      </c>
      <c r="D57" s="31">
        <v>9.0</v>
      </c>
      <c r="E57" s="36">
        <f t="shared" si="2"/>
        <v>11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180</v>
      </c>
      <c r="O57" s="31">
        <f t="shared" si="59"/>
        <v>9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9</v>
      </c>
      <c r="V57" s="46">
        <f t="shared" si="6"/>
        <v>-2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167.0</v>
      </c>
      <c r="D58" s="31">
        <v>7.0</v>
      </c>
      <c r="E58" s="36">
        <f t="shared" si="2"/>
        <v>10.25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176</v>
      </c>
      <c r="O58" s="31">
        <f t="shared" si="60"/>
        <v>7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8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43" t="s">
        <v>100</v>
      </c>
      <c r="C59" s="31">
        <v>160.0</v>
      </c>
      <c r="D59" s="31">
        <v>12.0</v>
      </c>
      <c r="E59" s="36">
        <f t="shared" si="2"/>
        <v>9.538461538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169</v>
      </c>
      <c r="O59" s="31">
        <f t="shared" si="61"/>
        <v>12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4</v>
      </c>
      <c r="V59" s="46">
        <f t="shared" si="6"/>
        <v>1</v>
      </c>
      <c r="W59" s="30">
        <f t="shared" si="9"/>
        <v>55</v>
      </c>
    </row>
    <row r="60">
      <c r="A60" s="30">
        <f t="shared" si="7"/>
        <v>56</v>
      </c>
      <c r="B60" s="43" t="s">
        <v>79</v>
      </c>
      <c r="C60" s="31">
        <v>160.0</v>
      </c>
      <c r="D60" s="31">
        <v>4.0</v>
      </c>
      <c r="E60" s="36">
        <f t="shared" si="2"/>
        <v>10.16666667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169</v>
      </c>
      <c r="O60" s="31">
        <f t="shared" si="62"/>
        <v>4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11</v>
      </c>
      <c r="V60" s="46">
        <f t="shared" si="6"/>
        <v>-1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157.0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166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13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152.0</v>
      </c>
      <c r="D62" s="31">
        <v>7.0</v>
      </c>
      <c r="E62" s="36">
        <f t="shared" si="2"/>
        <v>8.857142857</v>
      </c>
      <c r="F62" s="73">
        <v>1.0</v>
      </c>
      <c r="G62" s="74">
        <v>7.0</v>
      </c>
      <c r="H62" s="75">
        <v>0.0</v>
      </c>
      <c r="I62" s="74">
        <v>6.0</v>
      </c>
      <c r="J62" s="74">
        <v>2.0</v>
      </c>
      <c r="K62" s="74">
        <v>3.0</v>
      </c>
      <c r="L62" s="76">
        <v>11.0</v>
      </c>
      <c r="M62" s="74">
        <v>1.0</v>
      </c>
      <c r="N62" s="47">
        <f t="shared" ref="N62:O62" si="64">C62+L62</f>
        <v>163</v>
      </c>
      <c r="O62" s="31">
        <f t="shared" si="64"/>
        <v>8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10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150.0</v>
      </c>
      <c r="D63" s="31">
        <v>4.0</v>
      </c>
      <c r="E63" s="36">
        <f t="shared" si="2"/>
        <v>8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159</v>
      </c>
      <c r="O63" s="31">
        <f t="shared" si="65"/>
        <v>4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14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148.0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157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16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148.0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157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1</v>
      </c>
      <c r="T65" s="46"/>
      <c r="U65" s="46">
        <f t="shared" si="5"/>
        <v>16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144.0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153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17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144.0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153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17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139.0</v>
      </c>
      <c r="D68" s="31">
        <v>3.0</v>
      </c>
      <c r="E68" s="36">
        <f t="shared" si="2"/>
        <v>6.2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148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12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137.0</v>
      </c>
      <c r="D69" s="31">
        <v>3.0</v>
      </c>
      <c r="E69" s="36">
        <f t="shared" si="2"/>
        <v>6.714285714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146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10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desc"",0)"),"Lloyd Sagar")</f>
        <v>Lloyd Sagar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IFERROR(__xludf.DUMMYFUNCTION("""COMPUTED_VALUE"""),5.0)</f>
        <v>5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IFERROR(__xludf.DUMMYFUNCTION("""COMPUTED_VALUE"""),"Jonathan Phan")</f>
        <v>Jonathan Phan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IFERROR(__xludf.DUMMYFUNCTION("""COMPUTED_VALUE"""),4.0)</f>
        <v>4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IFERROR(__xludf.DUMMYFUNCTION("""COMPUTED_VALUE"""),"Oscar Bonilla")</f>
        <v>Oscar Bonilla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IFERROR(__xludf.DUMMYFUNCTION("""COMPUTED_VALUE"""),"Pulkit Mathur")</f>
        <v>Pulkit Mathur</v>
      </c>
      <c r="C79" s="84">
        <f>IFERROR(__xludf.DUMMYFUNCTION("""COMPUTED_VALUE"""),18.0)</f>
        <v>18</v>
      </c>
      <c r="D79" s="84">
        <f>IFERROR(__xludf.DUMMYFUNCTION("""COMPUTED_VALUE"""),2.0)</f>
        <v>2</v>
      </c>
      <c r="E79" s="84">
        <f>IFERROR(__xludf.DUMMYFUNCTION("""COMPUTED_VALUE"""),1.0)</f>
        <v>1</v>
      </c>
      <c r="F79" s="1"/>
    </row>
    <row r="80">
      <c r="A80" s="1"/>
      <c r="B80" s="43"/>
      <c r="C80" s="84"/>
      <c r="D80" s="84"/>
      <c r="E80" s="84"/>
      <c r="F80" s="1"/>
      <c r="L80" s="33"/>
    </row>
    <row r="81">
      <c r="A81" s="1"/>
      <c r="B81" s="43"/>
      <c r="C81" s="84"/>
      <c r="D81" s="84"/>
      <c r="E81" s="84"/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10"")"),"Mauricio Palacios")</f>
        <v>Mauricio Palacios</v>
      </c>
      <c r="C90" s="84">
        <f>IFERROR(__xludf.DUMMYFUNCTION("""COMPUTED_VALUE"""),13.0)</f>
        <v>13</v>
      </c>
      <c r="D90" s="84">
        <f t="shared" ref="D90:D99" si="72">VLOOKUP(B90,indirect($AB$2&amp;"!B$5:w$70"),22, false)</f>
        <v>39</v>
      </c>
      <c r="E90" s="84">
        <f t="shared" ref="E90:E99" si="73">VLOOKUP(B90,B$5:W$69,22, false)</f>
        <v>26</v>
      </c>
      <c r="F90" s="84">
        <f t="shared" ref="F90:F99" si="74">VLOOKUP(B90,indirect($AB$2&amp;"!B$5:U$70"),11, false)</f>
        <v>20</v>
      </c>
      <c r="G90" s="84">
        <f t="shared" ref="G90:G99" si="75">VLOOKUP(B90,indirect($AB$2&amp;"!B$5:U$70"),6, false)</f>
        <v>6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IFERROR(__xludf.DUMMYFUNCTION("""COMPUTED_VALUE"""),"Adrian Tay")</f>
        <v>Adrian Tay</v>
      </c>
      <c r="C91" s="84">
        <f>IFERROR(__xludf.DUMMYFUNCTION("""COMPUTED_VALUE"""),10.0)</f>
        <v>10</v>
      </c>
      <c r="D91" s="84">
        <f t="shared" si="72"/>
        <v>32</v>
      </c>
      <c r="E91" s="84">
        <f t="shared" si="73"/>
        <v>22</v>
      </c>
      <c r="F91" s="84">
        <f t="shared" si="74"/>
        <v>18</v>
      </c>
      <c r="G91" s="84">
        <f t="shared" si="75"/>
        <v>5</v>
      </c>
      <c r="L91" s="84" t="str">
        <f t="shared" si="76"/>
        <v>ok</v>
      </c>
    </row>
    <row r="92">
      <c r="A92" s="1"/>
      <c r="B92" s="43" t="str">
        <f>IFERROR(__xludf.DUMMYFUNCTION("""COMPUTED_VALUE"""),"Basudev Thoppai Vidyasankar")</f>
        <v>Basudev Thoppai Vidyasankar</v>
      </c>
      <c r="C92" s="84">
        <f>IFERROR(__xludf.DUMMYFUNCTION("""COMPUTED_VALUE"""),6.0)</f>
        <v>6</v>
      </c>
      <c r="D92" s="84">
        <f t="shared" si="72"/>
        <v>10</v>
      </c>
      <c r="E92" s="84">
        <f t="shared" si="73"/>
        <v>4</v>
      </c>
      <c r="F92" s="84">
        <f t="shared" si="74"/>
        <v>18</v>
      </c>
      <c r="G92" s="84">
        <f t="shared" si="75"/>
        <v>2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IFERROR(__xludf.DUMMYFUNCTION("""COMPUTED_VALUE"""),"Ethan Gu")</f>
        <v>Ethan Gu</v>
      </c>
      <c r="C93" s="84">
        <f>IFERROR(__xludf.DUMMYFUNCTION("""COMPUTED_VALUE"""),6.0)</f>
        <v>6</v>
      </c>
      <c r="D93" s="84">
        <f t="shared" si="72"/>
        <v>14</v>
      </c>
      <c r="E93" s="84">
        <f t="shared" si="73"/>
        <v>8</v>
      </c>
      <c r="F93" s="84">
        <f t="shared" si="74"/>
        <v>17</v>
      </c>
      <c r="G93" s="84">
        <f t="shared" si="75"/>
        <v>3</v>
      </c>
      <c r="L93" s="84" t="str">
        <f t="shared" si="76"/>
        <v>ok</v>
      </c>
    </row>
    <row r="94">
      <c r="A94" s="1"/>
      <c r="B94" s="43" t="str">
        <f>IFERROR(__xludf.DUMMYFUNCTION("""COMPUTED_VALUE"""),"Saravanan Veerapandian")</f>
        <v>Saravanan Veerapandian</v>
      </c>
      <c r="C94" s="84">
        <f>IFERROR(__xludf.DUMMYFUNCTION("""COMPUTED_VALUE"""),6.0)</f>
        <v>6</v>
      </c>
      <c r="D94" s="84">
        <f t="shared" si="72"/>
        <v>37</v>
      </c>
      <c r="E94" s="84">
        <f t="shared" si="73"/>
        <v>31</v>
      </c>
      <c r="F94" s="84">
        <f t="shared" si="74"/>
        <v>16</v>
      </c>
      <c r="G94" s="84">
        <f t="shared" si="75"/>
        <v>6</v>
      </c>
      <c r="L94" s="84" t="str">
        <f t="shared" si="76"/>
        <v>ok</v>
      </c>
    </row>
    <row r="95">
      <c r="A95" s="1"/>
      <c r="B95" s="43" t="str">
        <f>IFERROR(__xludf.DUMMYFUNCTION("""COMPUTED_VALUE"""),"Kumar Palakeel")</f>
        <v>Kumar Palakeel</v>
      </c>
      <c r="C95" s="84">
        <f>IFERROR(__xludf.DUMMYFUNCTION("""COMPUTED_VALUE"""),5.0)</f>
        <v>5</v>
      </c>
      <c r="D95" s="84">
        <f t="shared" si="72"/>
        <v>46</v>
      </c>
      <c r="E95" s="84">
        <f t="shared" si="73"/>
        <v>41</v>
      </c>
      <c r="F95" s="84">
        <f t="shared" si="74"/>
        <v>17</v>
      </c>
      <c r="G95" s="84">
        <f t="shared" si="75"/>
        <v>7</v>
      </c>
      <c r="L95" s="84" t="str">
        <f t="shared" si="76"/>
        <v>ok</v>
      </c>
    </row>
    <row r="96">
      <c r="A96" s="1"/>
      <c r="B96" s="43" t="str">
        <f>IFERROR(__xludf.DUMMYFUNCTION("""COMPUTED_VALUE"""),"James Phan")</f>
        <v>James Phan</v>
      </c>
      <c r="C96" s="84">
        <f>IFERROR(__xludf.DUMMYFUNCTION("""COMPUTED_VALUE"""),4.0)</f>
        <v>4</v>
      </c>
      <c r="D96" s="84">
        <f t="shared" si="72"/>
        <v>13</v>
      </c>
      <c r="E96" s="84">
        <f t="shared" si="73"/>
        <v>9</v>
      </c>
      <c r="F96" s="84">
        <f t="shared" si="74"/>
        <v>16</v>
      </c>
      <c r="G96" s="84">
        <f t="shared" si="75"/>
        <v>3</v>
      </c>
      <c r="L96" s="84" t="str">
        <f t="shared" si="76"/>
        <v>ok</v>
      </c>
    </row>
    <row r="97">
      <c r="A97" s="1"/>
      <c r="B97" s="43" t="str">
        <f>IFERROR(__xludf.DUMMYFUNCTION("""COMPUTED_VALUE"""),"Chinna Ponnaganti")</f>
        <v>Chinna Ponnaganti</v>
      </c>
      <c r="C97" s="84">
        <f>IFERROR(__xludf.DUMMYFUNCTION("""COMPUTED_VALUE"""),4.0)</f>
        <v>4</v>
      </c>
      <c r="D97" s="84">
        <f t="shared" si="72"/>
        <v>24</v>
      </c>
      <c r="E97" s="84">
        <f t="shared" si="73"/>
        <v>20</v>
      </c>
      <c r="F97" s="84">
        <f t="shared" si="74"/>
        <v>14</v>
      </c>
      <c r="G97" s="84">
        <f t="shared" si="75"/>
        <v>4</v>
      </c>
      <c r="L97" s="84" t="str">
        <f t="shared" si="76"/>
        <v>ok</v>
      </c>
    </row>
    <row r="98">
      <c r="A98" s="1"/>
      <c r="B98" s="43" t="str">
        <f>IFERROR(__xludf.DUMMYFUNCTION("""COMPUTED_VALUE"""),"Jimmy Awolesi")</f>
        <v>Jimmy Awolesi</v>
      </c>
      <c r="C98" s="84">
        <f>IFERROR(__xludf.DUMMYFUNCTION("""COMPUTED_VALUE"""),4.0)</f>
        <v>4</v>
      </c>
      <c r="D98" s="84">
        <f t="shared" si="72"/>
        <v>40</v>
      </c>
      <c r="E98" s="84">
        <f t="shared" si="73"/>
        <v>36</v>
      </c>
      <c r="F98" s="84">
        <f t="shared" si="74"/>
        <v>15</v>
      </c>
      <c r="G98" s="84">
        <f t="shared" si="75"/>
        <v>6</v>
      </c>
      <c r="L98" s="84" t="str">
        <f t="shared" si="76"/>
        <v>ok</v>
      </c>
    </row>
    <row r="99">
      <c r="A99" s="1"/>
      <c r="B99" s="43" t="str">
        <f>IFERROR(__xludf.DUMMYFUNCTION("""COMPUTED_VALUE"""),"Eric Tan")</f>
        <v>Eric Tan</v>
      </c>
      <c r="C99" s="84">
        <f>IFERROR(__xludf.DUMMYFUNCTION("""COMPUTED_VALUE"""),4.0)</f>
        <v>4</v>
      </c>
      <c r="D99" s="84">
        <f t="shared" si="72"/>
        <v>49</v>
      </c>
      <c r="E99" s="84">
        <f t="shared" si="73"/>
        <v>45</v>
      </c>
      <c r="F99" s="84">
        <f t="shared" si="74"/>
        <v>15</v>
      </c>
      <c r="G99" s="84">
        <f t="shared" si="75"/>
        <v>8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10"")"),"Sandeep Kamalon")</f>
        <v>Sandeep Kamalon</v>
      </c>
      <c r="C103" s="84">
        <f>IFERROR(__xludf.DUMMYFUNCTION("""COMPUTED_VALUE"""),-7.0)</f>
        <v>-7</v>
      </c>
      <c r="D103" s="84">
        <f t="shared" ref="D103:D112" si="77">VLOOKUP(B103,indirect($AB$2&amp;"!B$5:w$70"),22, false)</f>
        <v>6</v>
      </c>
      <c r="E103" s="84">
        <f t="shared" ref="E103:E112" si="78">VLOOKUP(B103,B$5:W$69,22, false)</f>
        <v>13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0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IFERROR(__xludf.DUMMYFUNCTION("""COMPUTED_VALUE"""),"Allen Zhang")</f>
        <v>Allen Zhang</v>
      </c>
      <c r="C104" s="84">
        <f>IFERROR(__xludf.DUMMYFUNCTION("""COMPUTED_VALUE"""),-7.0)</f>
        <v>-7</v>
      </c>
      <c r="D104" s="84">
        <f t="shared" si="77"/>
        <v>25</v>
      </c>
      <c r="E104" s="84">
        <f t="shared" si="78"/>
        <v>32</v>
      </c>
      <c r="F104" s="84">
        <f t="shared" si="79"/>
        <v>5</v>
      </c>
      <c r="G104" s="84">
        <f t="shared" si="80"/>
        <v>4</v>
      </c>
      <c r="L104" s="84" t="str">
        <f t="shared" si="81"/>
        <v>ok</v>
      </c>
    </row>
    <row r="105">
      <c r="A105" s="1"/>
      <c r="B105" s="43" t="str">
        <f>IFERROR(__xludf.DUMMYFUNCTION("""COMPUTED_VALUE"""),"Wayne Liu")</f>
        <v>Wayne Liu</v>
      </c>
      <c r="C105" s="84">
        <f>IFERROR(__xludf.DUMMYFUNCTION("""COMPUTED_VALUE"""),-5.0)</f>
        <v>-5</v>
      </c>
      <c r="D105" s="84">
        <f t="shared" si="77"/>
        <v>34</v>
      </c>
      <c r="E105" s="84">
        <f t="shared" si="78"/>
        <v>39</v>
      </c>
      <c r="F105" s="84">
        <f t="shared" si="79"/>
        <v>9</v>
      </c>
      <c r="G105" s="84">
        <f t="shared" si="80"/>
        <v>5</v>
      </c>
      <c r="L105" s="84" t="str">
        <f t="shared" si="81"/>
        <v>ok</v>
      </c>
    </row>
    <row r="106">
      <c r="A106" s="1"/>
      <c r="B106" s="43" t="str">
        <f>IFERROR(__xludf.DUMMYFUNCTION("""COMPUTED_VALUE"""),"Manish Anand")</f>
        <v>Manish Anand</v>
      </c>
      <c r="C106" s="84">
        <f>IFERROR(__xludf.DUMMYFUNCTION("""COMPUTED_VALUE"""),-4.0)</f>
        <v>-4</v>
      </c>
      <c r="D106" s="84">
        <f t="shared" si="77"/>
        <v>7</v>
      </c>
      <c r="E106" s="84">
        <f t="shared" si="78"/>
        <v>11</v>
      </c>
      <c r="F106" s="84">
        <f t="shared" si="79"/>
        <v>12</v>
      </c>
      <c r="G106" s="84">
        <f t="shared" si="80"/>
        <v>1</v>
      </c>
      <c r="L106" s="84" t="str">
        <f t="shared" si="81"/>
        <v>ok</v>
      </c>
    </row>
    <row r="107">
      <c r="A107" s="1"/>
      <c r="B107" s="43" t="str">
        <f>IFERROR(__xludf.DUMMYFUNCTION("""COMPUTED_VALUE"""),"Jonathan Phan")</f>
        <v>Jonathan Phan</v>
      </c>
      <c r="C107" s="84">
        <f>IFERROR(__xludf.DUMMYFUNCTION("""COMPUTED_VALUE"""),-4.0)</f>
        <v>-4</v>
      </c>
      <c r="D107" s="84">
        <f t="shared" si="77"/>
        <v>19</v>
      </c>
      <c r="E107" s="84">
        <f t="shared" si="78"/>
        <v>23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IFERROR(__xludf.DUMMYFUNCTION("""COMPUTED_VALUE"""),"Lloyd Sagar")</f>
        <v>Lloyd Sagar</v>
      </c>
      <c r="C108" s="84">
        <f>IFERROR(__xludf.DUMMYFUNCTION("""COMPUTED_VALUE"""),-4.0)</f>
        <v>-4</v>
      </c>
      <c r="D108" s="84">
        <f t="shared" si="77"/>
        <v>31</v>
      </c>
      <c r="E108" s="84">
        <f t="shared" si="78"/>
        <v>35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IFERROR(__xludf.DUMMYFUNCTION("""COMPUTED_VALUE"""),"Suleman Alidina")</f>
        <v>Suleman Alidina</v>
      </c>
      <c r="C109" s="84">
        <f>IFERROR(__xludf.DUMMYFUNCTION("""COMPUTED_VALUE"""),-4.0)</f>
        <v>-4</v>
      </c>
      <c r="D109" s="84">
        <f t="shared" si="77"/>
        <v>33</v>
      </c>
      <c r="E109" s="84">
        <f t="shared" si="78"/>
        <v>37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IFERROR(__xludf.DUMMYFUNCTION("""COMPUTED_VALUE"""),"Sanjaye Elayattu")</f>
        <v>Sanjaye Elayattu</v>
      </c>
      <c r="C110" s="84">
        <f>IFERROR(__xludf.DUMMYFUNCTION("""COMPUTED_VALUE"""),-4.0)</f>
        <v>-4</v>
      </c>
      <c r="D110" s="84">
        <f t="shared" si="77"/>
        <v>36</v>
      </c>
      <c r="E110" s="84">
        <f t="shared" si="78"/>
        <v>40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IFERROR(__xludf.DUMMYFUNCTION("""COMPUTED_VALUE"""),"Oscar Bonilla")</f>
        <v>Oscar Bonilla</v>
      </c>
      <c r="C111" s="84">
        <f>IFERROR(__xludf.DUMMYFUNCTION("""COMPUTED_VALUE"""),-4.0)</f>
        <v>-4</v>
      </c>
      <c r="D111" s="84">
        <f t="shared" si="77"/>
        <v>38</v>
      </c>
      <c r="E111" s="84">
        <f t="shared" si="78"/>
        <v>42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IFERROR(__xludf.DUMMYFUNCTION("""COMPUTED_VALUE"""),"Manuel Rivera")</f>
        <v>Manuel Rivera</v>
      </c>
      <c r="C112" s="84">
        <f>IFERROR(__xludf.DUMMYFUNCTION("""COMPUTED_VALUE"""),-4.0)</f>
        <v>-4</v>
      </c>
      <c r="D112" s="84">
        <f t="shared" si="77"/>
        <v>43</v>
      </c>
      <c r="E112" s="84">
        <f t="shared" si="78"/>
        <v>47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45766.0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16.0</v>
      </c>
      <c r="E2" s="1"/>
      <c r="F2" s="1"/>
      <c r="R2" s="19"/>
      <c r="AB2" s="20" t="str">
        <f>text(C1-7,"mm/dd/yy")</f>
        <v>04/12/25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230.0</v>
      </c>
      <c r="D5" s="31">
        <v>27.0</v>
      </c>
      <c r="E5" s="36">
        <f t="shared" ref="E5:E69" si="2">if(($D$2-U5-S5)&lt;&gt;0,(C5-(U5*9)-(S5*13))/($D$2-U5-S5),0)</f>
        <v>14.46666667</v>
      </c>
      <c r="F5" s="73">
        <v>1.0</v>
      </c>
      <c r="G5" s="74">
        <v>1.0</v>
      </c>
      <c r="H5" s="75">
        <v>0.0</v>
      </c>
      <c r="I5" s="74">
        <v>7.0</v>
      </c>
      <c r="J5" s="74">
        <v>6.0</v>
      </c>
      <c r="K5" s="74">
        <v>6.0</v>
      </c>
      <c r="L5" s="76">
        <v>19.0</v>
      </c>
      <c r="M5" s="74">
        <v>3.0</v>
      </c>
      <c r="N5" s="31">
        <f t="shared" ref="N5:O5" si="1">C5+L5</f>
        <v>249</v>
      </c>
      <c r="O5" s="31">
        <f t="shared" si="1"/>
        <v>30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214.0</v>
      </c>
      <c r="D6" s="31">
        <v>24.0</v>
      </c>
      <c r="E6" s="36">
        <f t="shared" si="2"/>
        <v>15.6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223</v>
      </c>
      <c r="O6" s="31">
        <f t="shared" si="3"/>
        <v>24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5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44</v>
      </c>
      <c r="C7" s="31">
        <v>206.0</v>
      </c>
      <c r="D7" s="31">
        <v>22.0</v>
      </c>
      <c r="E7" s="36">
        <f t="shared" si="2"/>
        <v>14.63636364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215</v>
      </c>
      <c r="O7" s="31">
        <f t="shared" si="8"/>
        <v>22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5</v>
      </c>
      <c r="V7" s="46">
        <f t="shared" si="6"/>
        <v>0</v>
      </c>
      <c r="W7" s="30">
        <f t="shared" si="9"/>
        <v>3</v>
      </c>
    </row>
    <row r="8">
      <c r="A8" s="30">
        <f t="shared" si="7"/>
        <v>4</v>
      </c>
      <c r="B8" s="28" t="s">
        <v>97</v>
      </c>
      <c r="C8" s="31">
        <v>205.0</v>
      </c>
      <c r="D8" s="31">
        <v>18.0</v>
      </c>
      <c r="E8" s="36">
        <f t="shared" si="2"/>
        <v>13.07692308</v>
      </c>
      <c r="F8" s="73">
        <v>1.0</v>
      </c>
      <c r="G8" s="74">
        <v>1.0</v>
      </c>
      <c r="H8" s="75">
        <v>0.0</v>
      </c>
      <c r="I8" s="74">
        <v>5.0</v>
      </c>
      <c r="J8" s="74">
        <v>4.0</v>
      </c>
      <c r="K8" s="74">
        <v>6.0</v>
      </c>
      <c r="L8" s="76">
        <v>15.0</v>
      </c>
      <c r="M8" s="74">
        <v>1.0</v>
      </c>
      <c r="N8" s="31">
        <f t="shared" ref="N8:O8" si="10">C8+L8</f>
        <v>220</v>
      </c>
      <c r="O8" s="31">
        <f t="shared" si="10"/>
        <v>19</v>
      </c>
      <c r="P8" s="45" t="s">
        <v>58</v>
      </c>
      <c r="Q8" s="45" t="s">
        <v>58</v>
      </c>
      <c r="R8" s="45"/>
      <c r="S8" s="46">
        <f t="shared" si="4"/>
        <v>2</v>
      </c>
      <c r="T8" s="46"/>
      <c r="U8" s="46">
        <f t="shared" si="5"/>
        <v>1</v>
      </c>
      <c r="V8" s="46">
        <f t="shared" si="6"/>
        <v>1</v>
      </c>
      <c r="W8" s="30">
        <f t="shared" si="9"/>
        <v>4</v>
      </c>
    </row>
    <row r="9">
      <c r="A9" s="30">
        <f t="shared" si="7"/>
        <v>5</v>
      </c>
      <c r="B9" s="28" t="s">
        <v>104</v>
      </c>
      <c r="C9" s="31">
        <v>204.0</v>
      </c>
      <c r="D9" s="31">
        <v>18.0</v>
      </c>
      <c r="E9" s="36">
        <f t="shared" si="2"/>
        <v>13.30769231</v>
      </c>
      <c r="F9" s="73">
        <v>2.0</v>
      </c>
      <c r="G9" s="74">
        <v>1.0</v>
      </c>
      <c r="H9" s="75">
        <v>0.0</v>
      </c>
      <c r="I9" s="74">
        <v>5.0</v>
      </c>
      <c r="J9" s="74">
        <v>6.0</v>
      </c>
      <c r="K9" s="74">
        <v>1.0</v>
      </c>
      <c r="L9" s="76">
        <v>12.0</v>
      </c>
      <c r="M9" s="74">
        <v>1.0</v>
      </c>
      <c r="N9" s="31">
        <f t="shared" ref="N9:O9" si="11">C9+L9</f>
        <v>216</v>
      </c>
      <c r="O9" s="31">
        <f t="shared" si="11"/>
        <v>19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2</v>
      </c>
      <c r="V9" s="46">
        <f t="shared" si="6"/>
        <v>5</v>
      </c>
      <c r="W9" s="30">
        <f t="shared" si="9"/>
        <v>5</v>
      </c>
    </row>
    <row r="10">
      <c r="A10" s="30">
        <f t="shared" si="7"/>
        <v>6</v>
      </c>
      <c r="B10" s="43" t="s">
        <v>88</v>
      </c>
      <c r="C10" s="47">
        <v>203.0</v>
      </c>
      <c r="D10" s="31">
        <v>19.0</v>
      </c>
      <c r="E10" s="36">
        <f t="shared" si="2"/>
        <v>12.92857143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47">
        <f t="shared" ref="N10:O10" si="12">C10+L10</f>
        <v>212</v>
      </c>
      <c r="O10" s="31">
        <f t="shared" si="12"/>
        <v>19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1</v>
      </c>
      <c r="V10" s="46">
        <f t="shared" si="6"/>
        <v>-2</v>
      </c>
      <c r="W10" s="30">
        <f t="shared" si="9"/>
        <v>6</v>
      </c>
    </row>
    <row r="11">
      <c r="A11" s="30">
        <f t="shared" si="7"/>
        <v>7</v>
      </c>
      <c r="B11" s="28" t="s">
        <v>101</v>
      </c>
      <c r="C11" s="31">
        <v>203.0</v>
      </c>
      <c r="D11" s="31">
        <v>17.0</v>
      </c>
      <c r="E11" s="36">
        <f t="shared" si="2"/>
        <v>13.58333333</v>
      </c>
      <c r="F11" s="73">
        <v>1.0</v>
      </c>
      <c r="G11" s="74">
        <v>1.0</v>
      </c>
      <c r="H11" s="75">
        <v>0.0</v>
      </c>
      <c r="I11" s="74">
        <v>7.0</v>
      </c>
      <c r="J11" s="74">
        <v>4.0</v>
      </c>
      <c r="K11" s="74">
        <v>1.0</v>
      </c>
      <c r="L11" s="76">
        <v>12.0</v>
      </c>
      <c r="M11" s="74">
        <v>1.0</v>
      </c>
      <c r="N11" s="31">
        <f t="shared" ref="N11:O11" si="13">C11+L11</f>
        <v>215</v>
      </c>
      <c r="O11" s="31">
        <f t="shared" si="13"/>
        <v>18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3</v>
      </c>
      <c r="V11" s="46">
        <f t="shared" si="6"/>
        <v>9</v>
      </c>
      <c r="W11" s="30">
        <f t="shared" si="9"/>
        <v>7</v>
      </c>
    </row>
    <row r="12">
      <c r="A12" s="30">
        <f t="shared" si="7"/>
        <v>8</v>
      </c>
      <c r="B12" s="28" t="s">
        <v>74</v>
      </c>
      <c r="C12" s="31">
        <v>201.0</v>
      </c>
      <c r="D12" s="31">
        <v>20.0</v>
      </c>
      <c r="E12" s="36">
        <f t="shared" si="2"/>
        <v>14.18181818</v>
      </c>
      <c r="F12" s="73">
        <v>1.0</v>
      </c>
      <c r="G12" s="74">
        <v>2.0</v>
      </c>
      <c r="H12" s="75">
        <v>0.0</v>
      </c>
      <c r="I12" s="74">
        <v>4.0</v>
      </c>
      <c r="J12" s="74">
        <v>4.0</v>
      </c>
      <c r="K12" s="74">
        <v>6.0</v>
      </c>
      <c r="L12" s="76">
        <v>14.0</v>
      </c>
      <c r="M12" s="74">
        <v>1.0</v>
      </c>
      <c r="N12" s="31">
        <f t="shared" ref="N12:O12" si="14">C12+L12</f>
        <v>215</v>
      </c>
      <c r="O12" s="31">
        <f t="shared" si="14"/>
        <v>21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5</v>
      </c>
      <c r="V12" s="46">
        <f t="shared" si="6"/>
        <v>6</v>
      </c>
      <c r="W12" s="30">
        <f t="shared" si="9"/>
        <v>8</v>
      </c>
    </row>
    <row r="13">
      <c r="A13" s="30">
        <f t="shared" si="7"/>
        <v>9</v>
      </c>
      <c r="B13" s="43" t="s">
        <v>94</v>
      </c>
      <c r="C13" s="31">
        <v>201.0</v>
      </c>
      <c r="D13" s="31">
        <v>18.0</v>
      </c>
      <c r="E13" s="36">
        <f t="shared" si="2"/>
        <v>14.3</v>
      </c>
      <c r="F13" s="73">
        <v>1.0</v>
      </c>
      <c r="G13" s="74">
        <v>2.0</v>
      </c>
      <c r="H13" s="75">
        <v>0.0</v>
      </c>
      <c r="I13" s="74">
        <v>4.0</v>
      </c>
      <c r="J13" s="74">
        <v>6.0</v>
      </c>
      <c r="K13" s="74">
        <v>4.0</v>
      </c>
      <c r="L13" s="76">
        <v>14.0</v>
      </c>
      <c r="M13" s="74">
        <v>1.0</v>
      </c>
      <c r="N13" s="31">
        <f t="shared" ref="N13:O13" si="15">C13+L13</f>
        <v>215</v>
      </c>
      <c r="O13" s="31">
        <f t="shared" si="15"/>
        <v>19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5</v>
      </c>
      <c r="V13" s="46">
        <f t="shared" si="6"/>
        <v>-3</v>
      </c>
      <c r="W13" s="30">
        <f t="shared" si="9"/>
        <v>9</v>
      </c>
    </row>
    <row r="14">
      <c r="A14" s="30">
        <f t="shared" si="7"/>
        <v>10</v>
      </c>
      <c r="B14" s="43" t="s">
        <v>87</v>
      </c>
      <c r="C14" s="47">
        <v>201.0</v>
      </c>
      <c r="D14" s="31">
        <v>17.0</v>
      </c>
      <c r="E14" s="36">
        <f t="shared" si="2"/>
        <v>13.38461538</v>
      </c>
      <c r="F14" s="73">
        <v>1.0</v>
      </c>
      <c r="G14" s="74">
        <v>2.0</v>
      </c>
      <c r="H14" s="75">
        <v>0.0</v>
      </c>
      <c r="I14" s="74">
        <v>6.0</v>
      </c>
      <c r="J14" s="74">
        <v>6.0</v>
      </c>
      <c r="K14" s="74">
        <v>6.0</v>
      </c>
      <c r="L14" s="76">
        <v>18.0</v>
      </c>
      <c r="M14" s="74">
        <v>3.0</v>
      </c>
      <c r="N14" s="47">
        <f t="shared" ref="N14:O14" si="16">C14+L14</f>
        <v>219</v>
      </c>
      <c r="O14" s="31">
        <f t="shared" si="16"/>
        <v>20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3</v>
      </c>
      <c r="V14" s="46">
        <f t="shared" si="6"/>
        <v>3</v>
      </c>
      <c r="W14" s="30">
        <f t="shared" si="9"/>
        <v>10</v>
      </c>
    </row>
    <row r="15">
      <c r="A15" s="30">
        <f t="shared" si="7"/>
        <v>11</v>
      </c>
      <c r="B15" s="28" t="s">
        <v>120</v>
      </c>
      <c r="C15" s="31">
        <v>200.0</v>
      </c>
      <c r="D15" s="31">
        <v>21.0</v>
      </c>
      <c r="E15" s="36">
        <f t="shared" si="2"/>
        <v>14.2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209</v>
      </c>
      <c r="O15" s="31">
        <f t="shared" si="17"/>
        <v>21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5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43" t="s">
        <v>130</v>
      </c>
      <c r="C16" s="31">
        <v>200.0</v>
      </c>
      <c r="D16" s="31">
        <v>17.0</v>
      </c>
      <c r="E16" s="36">
        <f t="shared" si="2"/>
        <v>14.6</v>
      </c>
      <c r="F16" s="73">
        <v>2.0</v>
      </c>
      <c r="G16" s="74">
        <v>2.0</v>
      </c>
      <c r="H16" s="75">
        <v>0.0</v>
      </c>
      <c r="I16" s="74">
        <v>6.0</v>
      </c>
      <c r="J16" s="74">
        <v>4.0</v>
      </c>
      <c r="K16" s="74">
        <v>4.0</v>
      </c>
      <c r="L16" s="76">
        <v>14.0</v>
      </c>
      <c r="M16" s="74">
        <v>1.0</v>
      </c>
      <c r="N16" s="31">
        <f t="shared" ref="N16:O16" si="18">C16+L16</f>
        <v>214</v>
      </c>
      <c r="O16" s="31">
        <f t="shared" si="18"/>
        <v>18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6</v>
      </c>
      <c r="V16" s="46">
        <f t="shared" si="6"/>
        <v>-4</v>
      </c>
      <c r="W16" s="30">
        <f t="shared" si="9"/>
        <v>12</v>
      </c>
    </row>
    <row r="17">
      <c r="A17" s="30">
        <f t="shared" si="7"/>
        <v>13</v>
      </c>
      <c r="B17" s="43" t="s">
        <v>121</v>
      </c>
      <c r="C17" s="31">
        <v>199.0</v>
      </c>
      <c r="D17" s="31">
        <v>17.0</v>
      </c>
      <c r="E17" s="36">
        <f t="shared" si="2"/>
        <v>14.66666667</v>
      </c>
      <c r="F17" s="73">
        <v>2.0</v>
      </c>
      <c r="G17" s="74">
        <v>3.0</v>
      </c>
      <c r="H17" s="75">
        <v>0.0</v>
      </c>
      <c r="I17" s="74">
        <v>6.0</v>
      </c>
      <c r="J17" s="74">
        <v>7.0</v>
      </c>
      <c r="K17" s="74">
        <v>3.0</v>
      </c>
      <c r="L17" s="76">
        <v>16.0</v>
      </c>
      <c r="M17" s="74">
        <v>2.0</v>
      </c>
      <c r="N17" s="31">
        <f t="shared" ref="N17:O17" si="19">C17+L17</f>
        <v>215</v>
      </c>
      <c r="O17" s="31">
        <f t="shared" si="19"/>
        <v>19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6</v>
      </c>
      <c r="V17" s="46">
        <f t="shared" si="6"/>
        <v>-4</v>
      </c>
      <c r="W17" s="30">
        <f t="shared" si="9"/>
        <v>13</v>
      </c>
    </row>
    <row r="18">
      <c r="A18" s="30">
        <f t="shared" si="7"/>
        <v>14</v>
      </c>
      <c r="B18" s="43" t="s">
        <v>64</v>
      </c>
      <c r="C18" s="47">
        <v>198.0</v>
      </c>
      <c r="D18" s="31">
        <v>19.0</v>
      </c>
      <c r="E18" s="36">
        <f t="shared" si="2"/>
        <v>12.85714286</v>
      </c>
      <c r="F18" s="73">
        <v>1.0</v>
      </c>
      <c r="G18" s="74">
        <v>3.0</v>
      </c>
      <c r="H18" s="75">
        <v>0.0</v>
      </c>
      <c r="I18" s="74">
        <v>6.0</v>
      </c>
      <c r="J18" s="74">
        <v>5.0</v>
      </c>
      <c r="K18" s="74">
        <v>6.0</v>
      </c>
      <c r="L18" s="76">
        <v>17.0</v>
      </c>
      <c r="M18" s="74">
        <v>2.0</v>
      </c>
      <c r="N18" s="47">
        <f t="shared" ref="N18:O18" si="20">C18+L18</f>
        <v>215</v>
      </c>
      <c r="O18" s="31">
        <f t="shared" si="20"/>
        <v>21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2</v>
      </c>
      <c r="V18" s="46">
        <f t="shared" si="6"/>
        <v>-3</v>
      </c>
      <c r="W18" s="30">
        <f t="shared" si="9"/>
        <v>14</v>
      </c>
    </row>
    <row r="19">
      <c r="A19" s="30">
        <f t="shared" si="7"/>
        <v>15</v>
      </c>
      <c r="B19" s="28" t="s">
        <v>67</v>
      </c>
      <c r="C19" s="31">
        <v>196.0</v>
      </c>
      <c r="D19" s="31">
        <v>18.0</v>
      </c>
      <c r="E19" s="36">
        <f t="shared" si="2"/>
        <v>15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205</v>
      </c>
      <c r="O19" s="31">
        <f t="shared" si="21"/>
        <v>18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7</v>
      </c>
      <c r="V19" s="46">
        <f t="shared" si="6"/>
        <v>-3</v>
      </c>
      <c r="W19" s="30">
        <f t="shared" si="9"/>
        <v>15</v>
      </c>
    </row>
    <row r="20">
      <c r="A20" s="30">
        <f t="shared" si="7"/>
        <v>16</v>
      </c>
      <c r="B20" s="28" t="s">
        <v>95</v>
      </c>
      <c r="C20" s="31">
        <v>193.0</v>
      </c>
      <c r="D20" s="31">
        <v>20.0</v>
      </c>
      <c r="E20" s="36">
        <f t="shared" si="2"/>
        <v>13.08333333</v>
      </c>
      <c r="F20" s="73">
        <v>1.0</v>
      </c>
      <c r="G20" s="74">
        <v>3.0</v>
      </c>
      <c r="H20" s="75">
        <v>0.0</v>
      </c>
      <c r="I20" s="74">
        <v>2.0</v>
      </c>
      <c r="J20" s="74">
        <v>5.0</v>
      </c>
      <c r="K20" s="74">
        <v>3.0</v>
      </c>
      <c r="L20" s="76">
        <v>10.0</v>
      </c>
      <c r="M20" s="74">
        <v>0.0</v>
      </c>
      <c r="N20" s="31">
        <f t="shared" ref="N20:O20" si="22">C20+L20</f>
        <v>203</v>
      </c>
      <c r="O20" s="31">
        <f t="shared" si="22"/>
        <v>20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4</v>
      </c>
      <c r="V20" s="46">
        <f t="shared" si="6"/>
        <v>-1</v>
      </c>
      <c r="W20" s="30">
        <f t="shared" si="9"/>
        <v>16</v>
      </c>
    </row>
    <row r="21">
      <c r="A21" s="30">
        <f t="shared" si="7"/>
        <v>17</v>
      </c>
      <c r="B21" s="48" t="s">
        <v>82</v>
      </c>
      <c r="C21" s="31">
        <v>193.0</v>
      </c>
      <c r="D21" s="31">
        <v>18.0</v>
      </c>
      <c r="E21" s="36">
        <f t="shared" si="2"/>
        <v>12.76923077</v>
      </c>
      <c r="F21" s="73">
        <v>1.0</v>
      </c>
      <c r="G21" s="74">
        <v>3.0</v>
      </c>
      <c r="H21" s="75">
        <v>0.0</v>
      </c>
      <c r="I21" s="74">
        <v>2.0</v>
      </c>
      <c r="J21" s="74">
        <v>7.0</v>
      </c>
      <c r="K21" s="74">
        <v>6.0</v>
      </c>
      <c r="L21" s="76">
        <v>15.0</v>
      </c>
      <c r="M21" s="74">
        <v>2.0</v>
      </c>
      <c r="N21" s="31">
        <f t="shared" ref="N21:O21" si="23">C21+L21</f>
        <v>208</v>
      </c>
      <c r="O21" s="31">
        <f t="shared" si="23"/>
        <v>20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3</v>
      </c>
      <c r="V21" s="46">
        <f t="shared" si="6"/>
        <v>8</v>
      </c>
      <c r="W21" s="30">
        <f t="shared" si="9"/>
        <v>17</v>
      </c>
    </row>
    <row r="22">
      <c r="A22" s="30">
        <f t="shared" si="7"/>
        <v>18</v>
      </c>
      <c r="B22" s="28" t="s">
        <v>116</v>
      </c>
      <c r="C22" s="31">
        <v>193.0</v>
      </c>
      <c r="D22" s="31">
        <v>16.0</v>
      </c>
      <c r="E22" s="36">
        <f t="shared" si="2"/>
        <v>14.625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202</v>
      </c>
      <c r="O22" s="31">
        <f t="shared" si="24"/>
        <v>16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7</v>
      </c>
      <c r="V22" s="46">
        <f t="shared" si="6"/>
        <v>0</v>
      </c>
      <c r="W22" s="30">
        <f t="shared" si="9"/>
        <v>18</v>
      </c>
    </row>
    <row r="23">
      <c r="A23" s="30">
        <f t="shared" si="7"/>
        <v>19</v>
      </c>
      <c r="B23" s="28" t="s">
        <v>92</v>
      </c>
      <c r="C23" s="31">
        <v>189.0</v>
      </c>
      <c r="D23" s="31">
        <v>16.0</v>
      </c>
      <c r="E23" s="36">
        <f t="shared" si="2"/>
        <v>14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198</v>
      </c>
      <c r="O23" s="31">
        <f t="shared" si="25"/>
        <v>16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7</v>
      </c>
      <c r="V23" s="46">
        <f t="shared" si="6"/>
        <v>-2</v>
      </c>
      <c r="W23" s="30">
        <f t="shared" si="9"/>
        <v>19</v>
      </c>
    </row>
    <row r="24">
      <c r="A24" s="30">
        <f t="shared" si="7"/>
        <v>20</v>
      </c>
      <c r="B24" s="43" t="s">
        <v>56</v>
      </c>
      <c r="C24" s="31">
        <v>188.0</v>
      </c>
      <c r="D24" s="31">
        <v>17.0</v>
      </c>
      <c r="E24" s="36">
        <f t="shared" si="2"/>
        <v>11.75</v>
      </c>
      <c r="F24" s="73">
        <v>1.0</v>
      </c>
      <c r="G24" s="74">
        <v>4.0</v>
      </c>
      <c r="H24" s="75">
        <v>0.0</v>
      </c>
      <c r="I24" s="74">
        <v>2.0</v>
      </c>
      <c r="J24" s="74">
        <v>6.0</v>
      </c>
      <c r="K24" s="74">
        <v>6.0</v>
      </c>
      <c r="L24" s="76">
        <v>14.0</v>
      </c>
      <c r="M24" s="74">
        <v>2.0</v>
      </c>
      <c r="N24" s="31">
        <f t="shared" ref="N24:O24" si="26">C24+L24</f>
        <v>202</v>
      </c>
      <c r="O24" s="31">
        <f t="shared" si="26"/>
        <v>19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0</v>
      </c>
      <c r="W24" s="30">
        <f t="shared" si="9"/>
        <v>20</v>
      </c>
    </row>
    <row r="25">
      <c r="A25" s="30">
        <f t="shared" si="7"/>
        <v>21</v>
      </c>
      <c r="B25" s="28" t="s">
        <v>119</v>
      </c>
      <c r="C25" s="31">
        <v>187.0</v>
      </c>
      <c r="D25" s="31">
        <v>17.0</v>
      </c>
      <c r="E25" s="36">
        <f t="shared" si="2"/>
        <v>12.9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196</v>
      </c>
      <c r="O25" s="31">
        <f t="shared" si="27"/>
        <v>17</v>
      </c>
      <c r="P25" s="45" t="s">
        <v>58</v>
      </c>
      <c r="Q25" s="45" t="s">
        <v>58</v>
      </c>
      <c r="R25" s="45" t="s">
        <v>58</v>
      </c>
      <c r="S25" s="46">
        <f t="shared" si="4"/>
        <v>1</v>
      </c>
      <c r="T25" s="46"/>
      <c r="U25" s="46">
        <f t="shared" si="5"/>
        <v>5</v>
      </c>
      <c r="V25" s="46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43" t="s">
        <v>107</v>
      </c>
      <c r="C26" s="31">
        <v>187.0</v>
      </c>
      <c r="D26" s="31">
        <v>11.0</v>
      </c>
      <c r="E26" s="36">
        <f t="shared" si="2"/>
        <v>12.54545455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196</v>
      </c>
      <c r="O26" s="31">
        <f t="shared" si="28"/>
        <v>11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4</v>
      </c>
      <c r="V26" s="46">
        <f t="shared" si="6"/>
        <v>1</v>
      </c>
      <c r="W26" s="30">
        <f t="shared" si="9"/>
        <v>22</v>
      </c>
    </row>
    <row r="27">
      <c r="A27" s="30">
        <f t="shared" si="7"/>
        <v>23</v>
      </c>
      <c r="B27" s="28" t="s">
        <v>105</v>
      </c>
      <c r="C27" s="31">
        <v>186.0</v>
      </c>
      <c r="D27" s="31">
        <v>14.0</v>
      </c>
      <c r="E27" s="36">
        <f t="shared" si="2"/>
        <v>12.8</v>
      </c>
      <c r="F27" s="73">
        <v>1.0</v>
      </c>
      <c r="G27" s="74">
        <v>4.0</v>
      </c>
      <c r="H27" s="75">
        <v>0.0</v>
      </c>
      <c r="I27" s="74">
        <v>6.0</v>
      </c>
      <c r="J27" s="74">
        <v>1.0</v>
      </c>
      <c r="K27" s="74">
        <v>6.0</v>
      </c>
      <c r="L27" s="76">
        <v>13.0</v>
      </c>
      <c r="M27" s="74">
        <v>2.0</v>
      </c>
      <c r="N27" s="31">
        <f t="shared" ref="N27:O27" si="29">C27+L27</f>
        <v>199</v>
      </c>
      <c r="O27" s="31">
        <f t="shared" si="29"/>
        <v>16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5</v>
      </c>
      <c r="V27" s="46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43" t="s">
        <v>90</v>
      </c>
      <c r="C28" s="31">
        <v>186.0</v>
      </c>
      <c r="D28" s="31">
        <v>14.0</v>
      </c>
      <c r="E28" s="36">
        <f t="shared" si="2"/>
        <v>12</v>
      </c>
      <c r="F28" s="73">
        <v>2.0</v>
      </c>
      <c r="G28" s="74">
        <v>4.0</v>
      </c>
      <c r="H28" s="75">
        <v>0.0</v>
      </c>
      <c r="I28" s="74">
        <v>6.0</v>
      </c>
      <c r="J28" s="74">
        <v>6.0</v>
      </c>
      <c r="K28" s="74">
        <v>2.0</v>
      </c>
      <c r="L28" s="76">
        <v>14.0</v>
      </c>
      <c r="M28" s="74">
        <v>2.0</v>
      </c>
      <c r="N28" s="31">
        <f t="shared" ref="N28:O28" si="30">C28+L28</f>
        <v>200</v>
      </c>
      <c r="O28" s="31">
        <f t="shared" si="30"/>
        <v>16</v>
      </c>
      <c r="P28" s="45" t="s">
        <v>58</v>
      </c>
      <c r="Q28" s="45" t="s">
        <v>58</v>
      </c>
      <c r="R28" s="45"/>
      <c r="S28" s="46">
        <f t="shared" si="4"/>
        <v>3</v>
      </c>
      <c r="T28" s="46"/>
      <c r="U28" s="46">
        <f t="shared" si="5"/>
        <v>3</v>
      </c>
      <c r="V28" s="46">
        <f t="shared" si="6"/>
        <v>-2</v>
      </c>
      <c r="W28" s="30">
        <f t="shared" si="9"/>
        <v>24</v>
      </c>
    </row>
    <row r="29">
      <c r="A29" s="30">
        <f t="shared" si="7"/>
        <v>25</v>
      </c>
      <c r="B29" s="43" t="s">
        <v>61</v>
      </c>
      <c r="C29" s="47">
        <v>184.0</v>
      </c>
      <c r="D29" s="31">
        <v>23.0</v>
      </c>
      <c r="E29" s="36">
        <f t="shared" si="2"/>
        <v>11.5</v>
      </c>
      <c r="F29" s="73">
        <v>1.0</v>
      </c>
      <c r="G29" s="74">
        <v>4.0</v>
      </c>
      <c r="H29" s="75">
        <v>0.0</v>
      </c>
      <c r="I29" s="74">
        <v>2.0</v>
      </c>
      <c r="J29" s="74">
        <v>1.0</v>
      </c>
      <c r="K29" s="74">
        <v>2.0</v>
      </c>
      <c r="L29" s="76">
        <v>5.0</v>
      </c>
      <c r="M29" s="74">
        <v>0.0</v>
      </c>
      <c r="N29" s="47">
        <f t="shared" ref="N29:O29" si="31">C29+L29</f>
        <v>189</v>
      </c>
      <c r="O29" s="31">
        <f t="shared" si="31"/>
        <v>23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0</v>
      </c>
      <c r="V29" s="46">
        <f t="shared" si="6"/>
        <v>5</v>
      </c>
      <c r="W29" s="30">
        <f t="shared" si="9"/>
        <v>25</v>
      </c>
    </row>
    <row r="30">
      <c r="A30" s="30">
        <f t="shared" si="7"/>
        <v>26</v>
      </c>
      <c r="B30" s="43" t="s">
        <v>111</v>
      </c>
      <c r="C30" s="47">
        <v>184.0</v>
      </c>
      <c r="D30" s="31">
        <v>16.0</v>
      </c>
      <c r="E30" s="36">
        <f t="shared" si="2"/>
        <v>11.85714286</v>
      </c>
      <c r="F30" s="73">
        <v>1.0</v>
      </c>
      <c r="G30" s="74">
        <v>5.0</v>
      </c>
      <c r="H30" s="75">
        <v>0.0</v>
      </c>
      <c r="I30" s="74">
        <v>6.0</v>
      </c>
      <c r="J30" s="74">
        <v>1.0</v>
      </c>
      <c r="K30" s="74">
        <v>3.0</v>
      </c>
      <c r="L30" s="76">
        <v>10.0</v>
      </c>
      <c r="M30" s="74">
        <v>1.0</v>
      </c>
      <c r="N30" s="47">
        <f t="shared" ref="N30:O30" si="32">C30+L30</f>
        <v>194</v>
      </c>
      <c r="O30" s="31">
        <f t="shared" si="32"/>
        <v>17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2</v>
      </c>
      <c r="V30" s="46">
        <f t="shared" si="6"/>
        <v>-2</v>
      </c>
      <c r="W30" s="30">
        <f t="shared" si="9"/>
        <v>26</v>
      </c>
    </row>
    <row r="31">
      <c r="A31" s="30">
        <f t="shared" si="7"/>
        <v>27</v>
      </c>
      <c r="B31" s="48" t="s">
        <v>134</v>
      </c>
      <c r="C31" s="31">
        <v>184.0</v>
      </c>
      <c r="D31" s="31">
        <v>14.0</v>
      </c>
      <c r="E31" s="36">
        <f t="shared" si="2"/>
        <v>13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193</v>
      </c>
      <c r="O31" s="31">
        <f t="shared" si="33"/>
        <v>14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6</v>
      </c>
      <c r="V31" s="46">
        <f t="shared" si="6"/>
        <v>4</v>
      </c>
      <c r="W31" s="30">
        <f t="shared" si="9"/>
        <v>27</v>
      </c>
    </row>
    <row r="32">
      <c r="A32" s="30">
        <f t="shared" si="7"/>
        <v>28</v>
      </c>
      <c r="B32" s="43" t="s">
        <v>99</v>
      </c>
      <c r="C32" s="31">
        <v>183.0</v>
      </c>
      <c r="D32" s="31">
        <v>15.0</v>
      </c>
      <c r="E32" s="36">
        <f t="shared" si="2"/>
        <v>13.875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192</v>
      </c>
      <c r="O32" s="31">
        <f t="shared" si="34"/>
        <v>15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8</v>
      </c>
      <c r="V32" s="46">
        <f t="shared" si="6"/>
        <v>10</v>
      </c>
      <c r="W32" s="30">
        <f t="shared" si="9"/>
        <v>28</v>
      </c>
    </row>
    <row r="33">
      <c r="A33" s="30">
        <f t="shared" si="7"/>
        <v>29</v>
      </c>
      <c r="B33" s="28" t="s">
        <v>89</v>
      </c>
      <c r="C33" s="31">
        <v>183.0</v>
      </c>
      <c r="D33" s="31">
        <v>13.0</v>
      </c>
      <c r="E33" s="36">
        <f t="shared" si="2"/>
        <v>12.875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192</v>
      </c>
      <c r="O33" s="31">
        <f t="shared" si="35"/>
        <v>13</v>
      </c>
      <c r="P33" s="45" t="s">
        <v>58</v>
      </c>
      <c r="Q33" s="45" t="s">
        <v>58</v>
      </c>
      <c r="R33" s="45"/>
      <c r="S33" s="46">
        <f t="shared" si="4"/>
        <v>2</v>
      </c>
      <c r="T33" s="46"/>
      <c r="U33" s="46">
        <f t="shared" si="5"/>
        <v>6</v>
      </c>
      <c r="V33" s="46">
        <f t="shared" si="6"/>
        <v>-2</v>
      </c>
      <c r="W33" s="30">
        <f t="shared" si="9"/>
        <v>29</v>
      </c>
    </row>
    <row r="34">
      <c r="A34" s="30">
        <f t="shared" si="7"/>
        <v>30</v>
      </c>
      <c r="B34" s="28" t="s">
        <v>84</v>
      </c>
      <c r="C34" s="31">
        <v>180.0</v>
      </c>
      <c r="D34" s="31">
        <v>18.0</v>
      </c>
      <c r="E34" s="36">
        <f t="shared" si="2"/>
        <v>12</v>
      </c>
      <c r="F34" s="73">
        <v>3.0</v>
      </c>
      <c r="G34" s="74">
        <v>0.0</v>
      </c>
      <c r="H34" s="75">
        <v>9.0</v>
      </c>
      <c r="I34" s="74">
        <v>0.0</v>
      </c>
      <c r="J34" s="74">
        <v>0.0</v>
      </c>
      <c r="K34" s="74">
        <v>0.0</v>
      </c>
      <c r="L34" s="76">
        <v>9.0</v>
      </c>
      <c r="M34" s="74">
        <v>0.0</v>
      </c>
      <c r="N34" s="31">
        <f t="shared" ref="N34:O34" si="36">C34+L34</f>
        <v>189</v>
      </c>
      <c r="O34" s="31">
        <f t="shared" si="36"/>
        <v>18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4</v>
      </c>
      <c r="V34" s="46">
        <f t="shared" si="6"/>
        <v>5</v>
      </c>
      <c r="W34" s="30">
        <f t="shared" si="9"/>
        <v>30</v>
      </c>
    </row>
    <row r="35">
      <c r="A35" s="30">
        <f t="shared" si="7"/>
        <v>31</v>
      </c>
      <c r="B35" s="43" t="s">
        <v>106</v>
      </c>
      <c r="C35" s="31">
        <v>180.0</v>
      </c>
      <c r="D35" s="31">
        <v>16.0</v>
      </c>
      <c r="E35" s="36">
        <f t="shared" si="2"/>
        <v>12.2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189</v>
      </c>
      <c r="O35" s="31">
        <f t="shared" si="37"/>
        <v>16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5</v>
      </c>
      <c r="V35" s="46">
        <f t="shared" si="6"/>
        <v>-5</v>
      </c>
      <c r="W35" s="30">
        <f t="shared" si="9"/>
        <v>31</v>
      </c>
    </row>
    <row r="36">
      <c r="A36" s="30">
        <f t="shared" si="7"/>
        <v>32</v>
      </c>
      <c r="B36" s="28" t="s">
        <v>34</v>
      </c>
      <c r="C36" s="31">
        <v>180.0</v>
      </c>
      <c r="D36" s="31">
        <v>15.0</v>
      </c>
      <c r="E36" s="36">
        <f t="shared" si="2"/>
        <v>15</v>
      </c>
      <c r="F36" s="73">
        <v>2.0</v>
      </c>
      <c r="G36" s="74">
        <v>5.0</v>
      </c>
      <c r="H36" s="75">
        <v>0.0</v>
      </c>
      <c r="I36" s="74">
        <v>6.0</v>
      </c>
      <c r="J36" s="74">
        <v>6.0</v>
      </c>
      <c r="K36" s="74">
        <v>6.0</v>
      </c>
      <c r="L36" s="76">
        <v>18.0</v>
      </c>
      <c r="M36" s="74">
        <v>3.0</v>
      </c>
      <c r="N36" s="31">
        <f t="shared" ref="N36:O36" si="38">C36+L36</f>
        <v>198</v>
      </c>
      <c r="O36" s="31">
        <f t="shared" si="38"/>
        <v>18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10</v>
      </c>
      <c r="V36" s="46">
        <f t="shared" si="6"/>
        <v>8</v>
      </c>
      <c r="W36" s="30">
        <f t="shared" si="9"/>
        <v>32</v>
      </c>
    </row>
    <row r="37">
      <c r="A37" s="30">
        <f t="shared" si="7"/>
        <v>33</v>
      </c>
      <c r="B37" s="43" t="s">
        <v>62</v>
      </c>
      <c r="C37" s="31">
        <v>179.0</v>
      </c>
      <c r="D37" s="31">
        <v>14.0</v>
      </c>
      <c r="E37" s="36">
        <f t="shared" si="2"/>
        <v>13.375</v>
      </c>
      <c r="F37" s="73">
        <v>3.0</v>
      </c>
      <c r="G37" s="74">
        <v>0.0</v>
      </c>
      <c r="H37" s="75">
        <v>9.0</v>
      </c>
      <c r="I37" s="74">
        <v>0.0</v>
      </c>
      <c r="J37" s="74">
        <v>0.0</v>
      </c>
      <c r="K37" s="74">
        <v>0.0</v>
      </c>
      <c r="L37" s="76">
        <v>9.0</v>
      </c>
      <c r="M37" s="74">
        <v>0.0</v>
      </c>
      <c r="N37" s="31">
        <f t="shared" ref="N37:O37" si="39">C37+L37</f>
        <v>188</v>
      </c>
      <c r="O37" s="31">
        <f t="shared" si="39"/>
        <v>14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8</v>
      </c>
      <c r="V37" s="46">
        <f t="shared" si="6"/>
        <v>3</v>
      </c>
      <c r="W37" s="30">
        <f t="shared" si="9"/>
        <v>33</v>
      </c>
    </row>
    <row r="38">
      <c r="A38" s="30">
        <f t="shared" si="7"/>
        <v>34</v>
      </c>
      <c r="B38" s="43" t="s">
        <v>132</v>
      </c>
      <c r="C38" s="31">
        <v>178.0</v>
      </c>
      <c r="D38" s="31">
        <v>19.0</v>
      </c>
      <c r="E38" s="36">
        <f t="shared" si="2"/>
        <v>11.125</v>
      </c>
      <c r="F38" s="73">
        <v>1.0</v>
      </c>
      <c r="G38" s="74">
        <v>5.0</v>
      </c>
      <c r="H38" s="75">
        <v>0.0</v>
      </c>
      <c r="I38" s="74">
        <v>2.0</v>
      </c>
      <c r="J38" s="74">
        <v>1.0</v>
      </c>
      <c r="K38" s="74">
        <v>6.0</v>
      </c>
      <c r="L38" s="76">
        <v>9.0</v>
      </c>
      <c r="M38" s="74">
        <v>1.0</v>
      </c>
      <c r="N38" s="31">
        <f t="shared" ref="N38:O38" si="40">C38+L38</f>
        <v>187</v>
      </c>
      <c r="O38" s="31">
        <f t="shared" si="40"/>
        <v>20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0</v>
      </c>
      <c r="V38" s="46">
        <f t="shared" si="6"/>
        <v>-6</v>
      </c>
      <c r="W38" s="30">
        <f t="shared" si="9"/>
        <v>34</v>
      </c>
    </row>
    <row r="39">
      <c r="A39" s="30">
        <f t="shared" si="7"/>
        <v>35</v>
      </c>
      <c r="B39" s="43" t="s">
        <v>129</v>
      </c>
      <c r="C39" s="47">
        <v>178.0</v>
      </c>
      <c r="D39" s="31">
        <v>17.0</v>
      </c>
      <c r="E39" s="36">
        <f t="shared" si="2"/>
        <v>11.26666667</v>
      </c>
      <c r="F39" s="73">
        <v>1.0</v>
      </c>
      <c r="G39" s="74">
        <v>5.0</v>
      </c>
      <c r="H39" s="75">
        <v>0.0</v>
      </c>
      <c r="I39" s="74">
        <v>2.0</v>
      </c>
      <c r="J39" s="74">
        <v>6.0</v>
      </c>
      <c r="K39" s="74">
        <v>3.0</v>
      </c>
      <c r="L39" s="76">
        <v>11.0</v>
      </c>
      <c r="M39" s="74">
        <v>1.0</v>
      </c>
      <c r="N39" s="47">
        <f t="shared" ref="N39:O39" si="41">C39+L39</f>
        <v>189</v>
      </c>
      <c r="O39" s="31">
        <f t="shared" si="41"/>
        <v>18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1</v>
      </c>
      <c r="V39" s="46">
        <f t="shared" si="6"/>
        <v>-3</v>
      </c>
      <c r="W39" s="30">
        <f t="shared" si="9"/>
        <v>35</v>
      </c>
    </row>
    <row r="40">
      <c r="A40" s="30">
        <f t="shared" si="7"/>
        <v>36</v>
      </c>
      <c r="B40" s="28" t="s">
        <v>137</v>
      </c>
      <c r="C40" s="31">
        <v>178.0</v>
      </c>
      <c r="D40" s="31">
        <v>10.0</v>
      </c>
      <c r="E40" s="36">
        <f t="shared" si="2"/>
        <v>13.33333333</v>
      </c>
      <c r="F40" s="73">
        <v>3.0</v>
      </c>
      <c r="G40" s="74">
        <v>0.0</v>
      </c>
      <c r="H40" s="75">
        <v>9.0</v>
      </c>
      <c r="I40" s="74">
        <v>0.0</v>
      </c>
      <c r="J40" s="74">
        <v>0.0</v>
      </c>
      <c r="K40" s="74">
        <v>0.0</v>
      </c>
      <c r="L40" s="76">
        <v>9.0</v>
      </c>
      <c r="M40" s="74">
        <v>0.0</v>
      </c>
      <c r="N40" s="31">
        <f t="shared" ref="N40:O40" si="42">C40+L40</f>
        <v>187</v>
      </c>
      <c r="O40" s="31">
        <f t="shared" si="42"/>
        <v>10</v>
      </c>
      <c r="P40" s="45" t="s">
        <v>58</v>
      </c>
      <c r="Q40" s="45" t="s">
        <v>58</v>
      </c>
      <c r="R40" s="45"/>
      <c r="S40" s="46">
        <f t="shared" si="4"/>
        <v>2</v>
      </c>
      <c r="T40" s="46"/>
      <c r="U40" s="46">
        <f t="shared" si="5"/>
        <v>8</v>
      </c>
      <c r="V40" s="46">
        <f t="shared" si="6"/>
        <v>-7</v>
      </c>
      <c r="W40" s="30">
        <f t="shared" si="9"/>
        <v>36</v>
      </c>
    </row>
    <row r="41">
      <c r="A41" s="30">
        <f t="shared" si="7"/>
        <v>37</v>
      </c>
      <c r="B41" s="43" t="s">
        <v>133</v>
      </c>
      <c r="C41" s="31">
        <v>175.0</v>
      </c>
      <c r="D41" s="31">
        <v>14.0</v>
      </c>
      <c r="E41" s="36">
        <f t="shared" si="2"/>
        <v>11.06666667</v>
      </c>
      <c r="F41" s="73">
        <v>1.0</v>
      </c>
      <c r="G41" s="74">
        <v>6.0</v>
      </c>
      <c r="H41" s="75">
        <v>0.0</v>
      </c>
      <c r="I41" s="74">
        <v>6.0</v>
      </c>
      <c r="J41" s="74">
        <v>5.0</v>
      </c>
      <c r="K41" s="74">
        <v>5.0</v>
      </c>
      <c r="L41" s="76">
        <v>16.0</v>
      </c>
      <c r="M41" s="74">
        <v>1.0</v>
      </c>
      <c r="N41" s="31">
        <f t="shared" ref="N41:O41" si="43">C41+L41</f>
        <v>191</v>
      </c>
      <c r="O41" s="31">
        <f t="shared" si="43"/>
        <v>15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1</v>
      </c>
      <c r="V41" s="46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28" t="s">
        <v>128</v>
      </c>
      <c r="C42" s="31">
        <v>175.0</v>
      </c>
      <c r="D42" s="31">
        <v>13.0</v>
      </c>
      <c r="E42" s="36">
        <f t="shared" si="2"/>
        <v>14.16666667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4">C42+L42</f>
        <v>184</v>
      </c>
      <c r="O42" s="31">
        <f t="shared" si="44"/>
        <v>13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10</v>
      </c>
      <c r="V42" s="46">
        <f t="shared" si="6"/>
        <v>-5</v>
      </c>
      <c r="W42" s="30">
        <f t="shared" si="9"/>
        <v>38</v>
      </c>
    </row>
    <row r="43">
      <c r="A43" s="30">
        <f t="shared" si="7"/>
        <v>39</v>
      </c>
      <c r="B43" s="28" t="s">
        <v>98</v>
      </c>
      <c r="C43" s="31">
        <v>175.0</v>
      </c>
      <c r="D43" s="31">
        <v>12.0</v>
      </c>
      <c r="E43" s="36">
        <f t="shared" si="2"/>
        <v>12.1</v>
      </c>
      <c r="F43" s="73">
        <v>2.0</v>
      </c>
      <c r="G43" s="74">
        <v>6.0</v>
      </c>
      <c r="H43" s="75">
        <v>0.0</v>
      </c>
      <c r="I43" s="74">
        <v>6.0</v>
      </c>
      <c r="J43" s="74">
        <v>7.0</v>
      </c>
      <c r="K43" s="74">
        <v>7.0</v>
      </c>
      <c r="L43" s="76">
        <v>20.0</v>
      </c>
      <c r="M43" s="74">
        <v>3.0</v>
      </c>
      <c r="N43" s="31">
        <f t="shared" ref="N43:O43" si="45">C43+L43</f>
        <v>195</v>
      </c>
      <c r="O43" s="31">
        <f t="shared" si="45"/>
        <v>15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6</v>
      </c>
      <c r="V43" s="46">
        <f t="shared" si="6"/>
        <v>-5</v>
      </c>
      <c r="W43" s="30">
        <f t="shared" si="9"/>
        <v>39</v>
      </c>
    </row>
    <row r="44">
      <c r="A44" s="30">
        <f t="shared" si="7"/>
        <v>40</v>
      </c>
      <c r="B44" s="28" t="s">
        <v>49</v>
      </c>
      <c r="C44" s="31">
        <v>173.0</v>
      </c>
      <c r="D44" s="31">
        <v>14.0</v>
      </c>
      <c r="E44" s="36">
        <f t="shared" si="2"/>
        <v>10.78571429</v>
      </c>
      <c r="F44" s="73">
        <v>1.0</v>
      </c>
      <c r="G44" s="74">
        <v>6.0</v>
      </c>
      <c r="H44" s="75">
        <v>0.0</v>
      </c>
      <c r="I44" s="74">
        <v>3.0</v>
      </c>
      <c r="J44" s="74">
        <v>7.0</v>
      </c>
      <c r="K44" s="74">
        <v>5.0</v>
      </c>
      <c r="L44" s="76">
        <v>15.0</v>
      </c>
      <c r="M44" s="74">
        <v>1.0</v>
      </c>
      <c r="N44" s="31">
        <f t="shared" ref="N44:O44" si="46">C44+L44</f>
        <v>188</v>
      </c>
      <c r="O44" s="31">
        <f t="shared" si="46"/>
        <v>15</v>
      </c>
      <c r="P44" s="45" t="s">
        <v>58</v>
      </c>
      <c r="Q44" s="45" t="s">
        <v>58</v>
      </c>
      <c r="R44" s="45" t="s">
        <v>58</v>
      </c>
      <c r="S44" s="46">
        <f t="shared" si="4"/>
        <v>1</v>
      </c>
      <c r="T44" s="46"/>
      <c r="U44" s="46">
        <f t="shared" si="5"/>
        <v>1</v>
      </c>
      <c r="V44" s="46">
        <f t="shared" si="6"/>
        <v>-1</v>
      </c>
      <c r="W44" s="30">
        <f t="shared" si="9"/>
        <v>40</v>
      </c>
    </row>
    <row r="45">
      <c r="A45" s="30">
        <f t="shared" si="7"/>
        <v>41</v>
      </c>
      <c r="B45" s="48" t="s">
        <v>54</v>
      </c>
      <c r="C45" s="31">
        <v>173.0</v>
      </c>
      <c r="D45" s="31">
        <v>13.0</v>
      </c>
      <c r="E45" s="36">
        <f t="shared" si="2"/>
        <v>11.27272727</v>
      </c>
      <c r="F45" s="73">
        <v>1.0</v>
      </c>
      <c r="G45" s="74">
        <v>6.0</v>
      </c>
      <c r="H45" s="75">
        <v>0.0</v>
      </c>
      <c r="I45" s="74">
        <v>3.0</v>
      </c>
      <c r="J45" s="74">
        <v>5.0</v>
      </c>
      <c r="K45" s="74">
        <v>7.0</v>
      </c>
      <c r="L45" s="76">
        <v>15.0</v>
      </c>
      <c r="M45" s="74">
        <v>1.0</v>
      </c>
      <c r="N45" s="31">
        <f t="shared" ref="N45:O45" si="47">C45+L45</f>
        <v>188</v>
      </c>
      <c r="O45" s="31">
        <f t="shared" si="47"/>
        <v>14</v>
      </c>
      <c r="P45" s="45" t="s">
        <v>58</v>
      </c>
      <c r="Q45" s="45" t="s">
        <v>58</v>
      </c>
      <c r="R45" s="45"/>
      <c r="S45" s="46">
        <f t="shared" si="4"/>
        <v>1</v>
      </c>
      <c r="T45" s="46"/>
      <c r="U45" s="46">
        <f t="shared" si="5"/>
        <v>4</v>
      </c>
      <c r="V45" s="46">
        <f t="shared" si="6"/>
        <v>7</v>
      </c>
      <c r="W45" s="30">
        <f t="shared" si="9"/>
        <v>41</v>
      </c>
    </row>
    <row r="46">
      <c r="A46" s="30">
        <f t="shared" si="7"/>
        <v>42</v>
      </c>
      <c r="B46" s="43" t="s">
        <v>136</v>
      </c>
      <c r="C46" s="31">
        <v>172.0</v>
      </c>
      <c r="D46" s="31">
        <v>16.0</v>
      </c>
      <c r="E46" s="36">
        <f t="shared" si="2"/>
        <v>11.15384615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181</v>
      </c>
      <c r="O46" s="31">
        <f t="shared" si="48"/>
        <v>16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3</v>
      </c>
      <c r="V46" s="46">
        <f t="shared" si="6"/>
        <v>7</v>
      </c>
      <c r="W46" s="30">
        <f t="shared" si="9"/>
        <v>42</v>
      </c>
    </row>
    <row r="47">
      <c r="A47" s="30">
        <f t="shared" si="7"/>
        <v>43</v>
      </c>
      <c r="B47" s="28" t="s">
        <v>93</v>
      </c>
      <c r="C47" s="31">
        <v>170.0</v>
      </c>
      <c r="D47" s="31">
        <v>11.0</v>
      </c>
      <c r="E47" s="36">
        <f t="shared" si="2"/>
        <v>12.71428571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179</v>
      </c>
      <c r="O47" s="31">
        <f t="shared" si="49"/>
        <v>11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9</v>
      </c>
      <c r="V47" s="46">
        <f t="shared" si="6"/>
        <v>-2</v>
      </c>
      <c r="W47" s="30">
        <f t="shared" si="9"/>
        <v>43</v>
      </c>
    </row>
    <row r="48">
      <c r="A48" s="30">
        <f t="shared" si="7"/>
        <v>44</v>
      </c>
      <c r="B48" s="43" t="s">
        <v>122</v>
      </c>
      <c r="C48" s="31">
        <v>170.0</v>
      </c>
      <c r="D48" s="31">
        <v>11.0</v>
      </c>
      <c r="E48" s="36">
        <f t="shared" si="2"/>
        <v>11.88888889</v>
      </c>
      <c r="F48" s="73">
        <v>1.0</v>
      </c>
      <c r="G48" s="74">
        <v>7.0</v>
      </c>
      <c r="H48" s="75">
        <v>0.0</v>
      </c>
      <c r="I48" s="74">
        <v>1.0</v>
      </c>
      <c r="J48" s="74">
        <v>7.0</v>
      </c>
      <c r="K48" s="74">
        <v>6.0</v>
      </c>
      <c r="L48" s="76">
        <v>14.0</v>
      </c>
      <c r="M48" s="74">
        <v>2.0</v>
      </c>
      <c r="N48" s="31">
        <f t="shared" ref="N48:O48" si="50">C48+L48</f>
        <v>184</v>
      </c>
      <c r="O48" s="31">
        <f t="shared" si="50"/>
        <v>13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7</v>
      </c>
      <c r="V48" s="46">
        <f t="shared" si="6"/>
        <v>2</v>
      </c>
      <c r="W48" s="30">
        <f t="shared" si="9"/>
        <v>44</v>
      </c>
    </row>
    <row r="49">
      <c r="A49" s="30">
        <f t="shared" si="7"/>
        <v>45</v>
      </c>
      <c r="B49" s="43" t="s">
        <v>96</v>
      </c>
      <c r="C49" s="31">
        <v>170.0</v>
      </c>
      <c r="D49" s="31">
        <v>8.0</v>
      </c>
      <c r="E49" s="36">
        <f t="shared" si="2"/>
        <v>10.8</v>
      </c>
      <c r="F49" s="73">
        <v>2.0</v>
      </c>
      <c r="G49" s="74">
        <v>7.0</v>
      </c>
      <c r="H49" s="75">
        <v>0.0</v>
      </c>
      <c r="I49" s="74">
        <v>1.0</v>
      </c>
      <c r="J49" s="74">
        <v>5.0</v>
      </c>
      <c r="K49" s="74">
        <v>1.0</v>
      </c>
      <c r="L49" s="76">
        <v>7.0</v>
      </c>
      <c r="M49" s="74">
        <v>0.0</v>
      </c>
      <c r="N49" s="31">
        <f t="shared" ref="N49:O49" si="51">C49+L49</f>
        <v>177</v>
      </c>
      <c r="O49" s="31">
        <f t="shared" si="51"/>
        <v>8</v>
      </c>
      <c r="P49" s="45" t="s">
        <v>58</v>
      </c>
      <c r="Q49" s="45" t="s">
        <v>58</v>
      </c>
      <c r="R49" s="45"/>
      <c r="S49" s="46">
        <f t="shared" si="4"/>
        <v>2</v>
      </c>
      <c r="T49" s="46"/>
      <c r="U49" s="46">
        <f t="shared" si="5"/>
        <v>4</v>
      </c>
      <c r="V49" s="46">
        <f t="shared" si="6"/>
        <v>2</v>
      </c>
      <c r="W49" s="30">
        <f t="shared" si="9"/>
        <v>45</v>
      </c>
    </row>
    <row r="50">
      <c r="A50" s="30">
        <f t="shared" si="7"/>
        <v>46</v>
      </c>
      <c r="B50" s="48" t="s">
        <v>125</v>
      </c>
      <c r="C50" s="31">
        <v>167.0</v>
      </c>
      <c r="D50" s="31">
        <v>12.0</v>
      </c>
      <c r="E50" s="36">
        <f t="shared" si="2"/>
        <v>10.4375</v>
      </c>
      <c r="F50" s="73">
        <v>1.0</v>
      </c>
      <c r="G50" s="74">
        <v>7.0</v>
      </c>
      <c r="H50" s="75">
        <v>0.0</v>
      </c>
      <c r="I50" s="74">
        <v>6.0</v>
      </c>
      <c r="J50" s="74">
        <v>5.0</v>
      </c>
      <c r="K50" s="74">
        <v>6.0</v>
      </c>
      <c r="L50" s="76">
        <v>17.0</v>
      </c>
      <c r="M50" s="74">
        <v>2.0</v>
      </c>
      <c r="N50" s="31">
        <f t="shared" ref="N50:O50" si="52">C50+L50</f>
        <v>184</v>
      </c>
      <c r="O50" s="31">
        <f t="shared" si="52"/>
        <v>14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0</v>
      </c>
      <c r="V50" s="46">
        <f t="shared" si="6"/>
        <v>-3</v>
      </c>
      <c r="W50" s="30">
        <f t="shared" si="9"/>
        <v>46</v>
      </c>
    </row>
    <row r="51">
      <c r="A51" s="30">
        <f t="shared" si="7"/>
        <v>47</v>
      </c>
      <c r="B51" s="28" t="s">
        <v>127</v>
      </c>
      <c r="C51" s="31">
        <v>167.0</v>
      </c>
      <c r="D51" s="31">
        <v>6.0</v>
      </c>
      <c r="E51" s="36">
        <f t="shared" si="2"/>
        <v>15.33333333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176</v>
      </c>
      <c r="O51" s="31">
        <f t="shared" si="53"/>
        <v>6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12</v>
      </c>
      <c r="V51" s="46">
        <f t="shared" si="6"/>
        <v>-5</v>
      </c>
      <c r="W51" s="30">
        <f t="shared" si="9"/>
        <v>47</v>
      </c>
    </row>
    <row r="52">
      <c r="A52" s="30">
        <f t="shared" si="7"/>
        <v>48</v>
      </c>
      <c r="B52" s="43" t="s">
        <v>138</v>
      </c>
      <c r="C52" s="47">
        <v>166.0</v>
      </c>
      <c r="D52" s="31">
        <v>16.0</v>
      </c>
      <c r="E52" s="36">
        <f t="shared" si="2"/>
        <v>10.83333333</v>
      </c>
      <c r="F52" s="73">
        <v>1.0</v>
      </c>
      <c r="G52" s="74">
        <v>7.0</v>
      </c>
      <c r="H52" s="75">
        <v>0.0</v>
      </c>
      <c r="I52" s="74">
        <v>6.0</v>
      </c>
      <c r="J52" s="74">
        <v>7.0</v>
      </c>
      <c r="K52" s="74">
        <v>1.0</v>
      </c>
      <c r="L52" s="76">
        <v>14.0</v>
      </c>
      <c r="M52" s="74">
        <v>2.0</v>
      </c>
      <c r="N52" s="47">
        <f t="shared" ref="N52:O52" si="54">C52+L52</f>
        <v>180</v>
      </c>
      <c r="O52" s="31">
        <f t="shared" si="54"/>
        <v>18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4</v>
      </c>
      <c r="V52" s="46">
        <f t="shared" si="6"/>
        <v>-3</v>
      </c>
      <c r="W52" s="30">
        <f t="shared" si="9"/>
        <v>48</v>
      </c>
    </row>
    <row r="53">
      <c r="A53" s="30">
        <f t="shared" si="7"/>
        <v>49</v>
      </c>
      <c r="B53" s="48" t="s">
        <v>103</v>
      </c>
      <c r="C53" s="31">
        <v>166.0</v>
      </c>
      <c r="D53" s="31">
        <v>14.0</v>
      </c>
      <c r="E53" s="36">
        <f t="shared" si="2"/>
        <v>10.83333333</v>
      </c>
      <c r="F53" s="73">
        <v>1.0</v>
      </c>
      <c r="G53" s="74">
        <v>8.0</v>
      </c>
      <c r="H53" s="75">
        <v>0.0</v>
      </c>
      <c r="I53" s="74">
        <v>1.0</v>
      </c>
      <c r="J53" s="74">
        <v>7.0</v>
      </c>
      <c r="K53" s="74">
        <v>7.0</v>
      </c>
      <c r="L53" s="76">
        <v>15.0</v>
      </c>
      <c r="M53" s="74">
        <v>2.0</v>
      </c>
      <c r="N53" s="31">
        <f t="shared" ref="N53:O53" si="55">C53+L53</f>
        <v>181</v>
      </c>
      <c r="O53" s="31">
        <f t="shared" si="55"/>
        <v>16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4</v>
      </c>
      <c r="V53" s="46">
        <f t="shared" si="6"/>
        <v>2</v>
      </c>
      <c r="W53" s="30">
        <f t="shared" si="9"/>
        <v>49</v>
      </c>
    </row>
    <row r="54">
      <c r="A54" s="30">
        <f t="shared" si="7"/>
        <v>50</v>
      </c>
      <c r="B54" s="28" t="s">
        <v>102</v>
      </c>
      <c r="C54" s="31">
        <v>166.0</v>
      </c>
      <c r="D54" s="31">
        <v>9.0</v>
      </c>
      <c r="E54" s="36">
        <f t="shared" si="2"/>
        <v>15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175</v>
      </c>
      <c r="O54" s="31">
        <f t="shared" si="56"/>
        <v>9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12</v>
      </c>
      <c r="V54" s="46">
        <f t="shared" si="6"/>
        <v>-6</v>
      </c>
      <c r="W54" s="30">
        <f t="shared" si="9"/>
        <v>50</v>
      </c>
    </row>
    <row r="55">
      <c r="A55" s="30">
        <f t="shared" si="7"/>
        <v>51</v>
      </c>
      <c r="B55" s="43" t="s">
        <v>140</v>
      </c>
      <c r="C55" s="31">
        <v>162.0</v>
      </c>
      <c r="D55" s="31">
        <v>9.0</v>
      </c>
      <c r="E55" s="36">
        <f t="shared" si="2"/>
        <v>11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7">C55+L55</f>
        <v>171</v>
      </c>
      <c r="O55" s="31">
        <f t="shared" si="57"/>
        <v>9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8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3" t="s">
        <v>131</v>
      </c>
      <c r="C56" s="31">
        <v>160.0</v>
      </c>
      <c r="D56" s="31">
        <v>5.0</v>
      </c>
      <c r="E56" s="36">
        <f t="shared" si="2"/>
        <v>12.2</v>
      </c>
      <c r="F56" s="73">
        <v>1.0</v>
      </c>
      <c r="G56" s="74">
        <v>8.0</v>
      </c>
      <c r="H56" s="75">
        <v>0.0</v>
      </c>
      <c r="I56" s="74">
        <v>6.0</v>
      </c>
      <c r="J56" s="74">
        <v>7.0</v>
      </c>
      <c r="K56" s="74">
        <v>5.0</v>
      </c>
      <c r="L56" s="76">
        <v>18.0</v>
      </c>
      <c r="M56" s="74">
        <v>2.0</v>
      </c>
      <c r="N56" s="31">
        <f t="shared" ref="N56:O56" si="58">C56+L56</f>
        <v>178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11</v>
      </c>
      <c r="V56" s="46">
        <f t="shared" si="6"/>
        <v>3</v>
      </c>
      <c r="W56" s="30">
        <f t="shared" si="9"/>
        <v>52</v>
      </c>
    </row>
    <row r="57">
      <c r="A57" s="30">
        <f t="shared" si="7"/>
        <v>53</v>
      </c>
      <c r="B57" s="48" t="s">
        <v>70</v>
      </c>
      <c r="C57" s="31">
        <v>158.0</v>
      </c>
      <c r="D57" s="31">
        <v>7.0</v>
      </c>
      <c r="E57" s="36">
        <f t="shared" si="2"/>
        <v>10.25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167</v>
      </c>
      <c r="O57" s="31">
        <f t="shared" si="59"/>
        <v>7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7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48" t="s">
        <v>139</v>
      </c>
      <c r="C58" s="31">
        <v>153.0</v>
      </c>
      <c r="D58" s="31">
        <v>5.0</v>
      </c>
      <c r="E58" s="36">
        <f t="shared" si="2"/>
        <v>10.25</v>
      </c>
      <c r="F58" s="73">
        <v>2.0</v>
      </c>
      <c r="G58" s="74">
        <v>8.0</v>
      </c>
      <c r="H58" s="75">
        <v>0.0</v>
      </c>
      <c r="I58" s="74">
        <v>6.0</v>
      </c>
      <c r="J58" s="74">
        <v>6.0</v>
      </c>
      <c r="K58" s="74">
        <v>7.0</v>
      </c>
      <c r="L58" s="76">
        <v>19.0</v>
      </c>
      <c r="M58" s="74">
        <v>2.0</v>
      </c>
      <c r="N58" s="31">
        <f t="shared" ref="N58:O58" si="60">C58+L58</f>
        <v>172</v>
      </c>
      <c r="O58" s="31">
        <f t="shared" si="60"/>
        <v>7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11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43" t="s">
        <v>79</v>
      </c>
      <c r="C59" s="31">
        <v>151.0</v>
      </c>
      <c r="D59" s="31">
        <v>4.0</v>
      </c>
      <c r="E59" s="36">
        <f t="shared" si="2"/>
        <v>10.16666667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160</v>
      </c>
      <c r="O59" s="31">
        <f t="shared" si="61"/>
        <v>4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10</v>
      </c>
      <c r="V59" s="46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43" t="s">
        <v>100</v>
      </c>
      <c r="C60" s="31">
        <v>148.0</v>
      </c>
      <c r="D60" s="31">
        <v>12.0</v>
      </c>
      <c r="E60" s="36">
        <f t="shared" si="2"/>
        <v>9.307692308</v>
      </c>
      <c r="F60" s="73">
        <v>1.0</v>
      </c>
      <c r="G60" s="74">
        <v>8.0</v>
      </c>
      <c r="H60" s="75">
        <v>0.0</v>
      </c>
      <c r="I60" s="74">
        <v>1.0</v>
      </c>
      <c r="J60" s="74">
        <v>6.0</v>
      </c>
      <c r="K60" s="74">
        <v>5.0</v>
      </c>
      <c r="L60" s="76">
        <v>12.0</v>
      </c>
      <c r="M60" s="74">
        <v>0.0</v>
      </c>
      <c r="N60" s="31">
        <f t="shared" ref="N60:O60" si="62">C60+L60</f>
        <v>160</v>
      </c>
      <c r="O60" s="31">
        <f t="shared" si="62"/>
        <v>12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3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148.0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157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12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143.0</v>
      </c>
      <c r="D62" s="31">
        <v>7.0</v>
      </c>
      <c r="E62" s="36">
        <f t="shared" si="2"/>
        <v>8.833333333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152</v>
      </c>
      <c r="O62" s="31">
        <f t="shared" si="64"/>
        <v>7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10</v>
      </c>
      <c r="V62" s="46">
        <f t="shared" si="6"/>
        <v>3</v>
      </c>
      <c r="W62" s="30">
        <f t="shared" si="9"/>
        <v>58</v>
      </c>
    </row>
    <row r="63">
      <c r="A63" s="30">
        <f t="shared" si="7"/>
        <v>59</v>
      </c>
      <c r="B63" s="43" t="s">
        <v>142</v>
      </c>
      <c r="C63" s="47">
        <v>141.0</v>
      </c>
      <c r="D63" s="31">
        <v>4.0</v>
      </c>
      <c r="E63" s="36">
        <f t="shared" si="2"/>
        <v>8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47">
        <f t="shared" ref="N63:O63" si="65">C63+L63</f>
        <v>150</v>
      </c>
      <c r="O63" s="31">
        <f t="shared" si="65"/>
        <v>4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13</v>
      </c>
      <c r="V63" s="46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28" t="s">
        <v>80</v>
      </c>
      <c r="C64" s="31">
        <v>139.0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148</v>
      </c>
      <c r="O64" s="31">
        <f t="shared" si="66"/>
        <v>0</v>
      </c>
      <c r="P64" s="45" t="s">
        <v>58</v>
      </c>
      <c r="Q64" s="45" t="s">
        <v>58</v>
      </c>
      <c r="R64" s="45" t="s">
        <v>143</v>
      </c>
      <c r="S64" s="46">
        <f t="shared" si="4"/>
        <v>1</v>
      </c>
      <c r="T64" s="46"/>
      <c r="U64" s="46">
        <f t="shared" si="5"/>
        <v>15</v>
      </c>
      <c r="V64" s="46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28" t="s">
        <v>72</v>
      </c>
      <c r="C65" s="31">
        <v>139.0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7">C65+L65</f>
        <v>148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1</v>
      </c>
      <c r="T65" s="46"/>
      <c r="U65" s="46">
        <f t="shared" si="5"/>
        <v>15</v>
      </c>
      <c r="V65" s="46">
        <f t="shared" si="6"/>
        <v>-1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135.0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144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16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135.0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144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16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130.0</v>
      </c>
      <c r="D68" s="31">
        <v>3.0</v>
      </c>
      <c r="E68" s="36">
        <f t="shared" si="2"/>
        <v>6.2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139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11</v>
      </c>
      <c r="V68" s="46">
        <f t="shared" si="6"/>
        <v>1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128.0</v>
      </c>
      <c r="D69" s="31">
        <v>3.0</v>
      </c>
      <c r="E69" s="36">
        <f t="shared" si="2"/>
        <v>6.714285714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137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9</v>
      </c>
      <c r="V69" s="46">
        <f t="shared" si="6"/>
        <v>-1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desc"",0)"),"Mauricio Palacios")</f>
        <v>Mauricio Palacios</v>
      </c>
      <c r="C76" s="84">
        <f>IFERROR(__xludf.DUMMYFUNCTION("""COMPUTED_VALUE"""),20.0)</f>
        <v>20</v>
      </c>
      <c r="D76" s="84">
        <f>IFERROR(__xludf.DUMMYFUNCTION("""COMPUTED_VALUE"""),3.0)</f>
        <v>3</v>
      </c>
      <c r="E76" s="84">
        <f>IFERROR(__xludf.DUMMYFUNCTION("""COMPUTED_VALUE"""),6.0)</f>
        <v>6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IFERROR(__xludf.DUMMYFUNCTION("""COMPUTED_VALUE"""),"Pulkit Mathur")</f>
        <v>Pulkit Mathur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IFERROR(__xludf.DUMMYFUNCTION("""COMPUTED_VALUE"""),"Vishnu Amarnath")</f>
        <v>Vishnu Amarnath</v>
      </c>
      <c r="C78" s="84">
        <f>IFERROR(__xludf.DUMMYFUNCTION("""COMPUTED_VALUE"""),19.0)</f>
        <v>19</v>
      </c>
      <c r="D78" s="84">
        <f>IFERROR(__xludf.DUMMYFUNCTION("""COMPUTED_VALUE"""),2.0)</f>
        <v>2</v>
      </c>
      <c r="E78" s="84">
        <f>IFERROR(__xludf.DUMMYFUNCTION("""COMPUTED_VALUE"""),8.0)</f>
        <v>8</v>
      </c>
      <c r="F78" s="1"/>
    </row>
    <row r="79">
      <c r="A79" s="1"/>
      <c r="B79" s="43" t="str">
        <f>IFERROR(__xludf.DUMMYFUNCTION("""COMPUTED_VALUE"""),"Basudev Thoppai Vidyasankar")</f>
        <v>Basudev Thoppai Vidyasankar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IFERROR(__xludf.DUMMYFUNCTION("""COMPUTED_VALUE"""),2.0)</f>
        <v>2</v>
      </c>
      <c r="F79" s="1"/>
    </row>
    <row r="80">
      <c r="A80" s="1"/>
      <c r="B80" s="43" t="str">
        <f>IFERROR(__xludf.DUMMYFUNCTION("""COMPUTED_VALUE"""),"Adrian Tay")</f>
        <v>Adrian Tay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IFERROR(__xludf.DUMMYFUNCTION("""COMPUTED_VALUE"""),"Nicole Ni")</f>
        <v>Nicole Ni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IFERROR(__xludf.DUMMYFUNCTION("""COMPUTED_VALUE"""),8.0)</f>
        <v>8</v>
      </c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10"")"),"Elayaraja Thangaraj ")</f>
        <v>Elayaraja Thangaraj </v>
      </c>
      <c r="C90" s="84">
        <f>IFERROR(__xludf.DUMMYFUNCTION("""COMPUTED_VALUE"""),10.0)</f>
        <v>10</v>
      </c>
      <c r="D90" s="84">
        <f t="shared" ref="D90:D99" si="72">VLOOKUP(B90,indirect($AB$2&amp;"!B$5:w$70"),22, false)</f>
        <v>38</v>
      </c>
      <c r="E90" s="84">
        <f t="shared" ref="E90:E99" si="73">VLOOKUP(B90,B$5:W$69,22, false)</f>
        <v>28</v>
      </c>
      <c r="F90" s="84">
        <f t="shared" ref="F90:F99" si="74">VLOOKUP(B90,indirect($AB$2&amp;"!B$5:U$70"),11, false)</f>
        <v>19</v>
      </c>
      <c r="G90" s="84">
        <f t="shared" ref="G90:G99" si="75">VLOOKUP(B90,indirect($AB$2&amp;"!B$5:U$70"),6, false)</f>
        <v>5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IFERROR(__xludf.DUMMYFUNCTION("""COMPUTED_VALUE"""),"Manish Anand")</f>
        <v>Manish Anand</v>
      </c>
      <c r="C91" s="84">
        <f>IFERROR(__xludf.DUMMYFUNCTION("""COMPUTED_VALUE"""),9.0)</f>
        <v>9</v>
      </c>
      <c r="D91" s="84">
        <f t="shared" si="72"/>
        <v>16</v>
      </c>
      <c r="E91" s="84">
        <f t="shared" si="73"/>
        <v>7</v>
      </c>
      <c r="F91" s="84">
        <f t="shared" si="74"/>
        <v>19</v>
      </c>
      <c r="G91" s="84">
        <f t="shared" si="75"/>
        <v>2</v>
      </c>
      <c r="L91" s="84" t="str">
        <f t="shared" si="76"/>
        <v>ok</v>
      </c>
    </row>
    <row r="92">
      <c r="A92" s="1"/>
      <c r="B92" s="43" t="str">
        <f>IFERROR(__xludf.DUMMYFUNCTION("""COMPUTED_VALUE"""),"Scott Li")</f>
        <v>Scott Li</v>
      </c>
      <c r="C92" s="84">
        <f>IFERROR(__xludf.DUMMYFUNCTION("""COMPUTED_VALUE"""),8.0)</f>
        <v>8</v>
      </c>
      <c r="D92" s="84">
        <f t="shared" si="72"/>
        <v>25</v>
      </c>
      <c r="E92" s="84">
        <f t="shared" si="73"/>
        <v>17</v>
      </c>
      <c r="F92" s="84">
        <f t="shared" si="74"/>
        <v>18</v>
      </c>
      <c r="G92" s="84">
        <f t="shared" si="75"/>
        <v>3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IFERROR(__xludf.DUMMYFUNCTION("""COMPUTED_VALUE"""),"Adrian Tay")</f>
        <v>Adrian Tay</v>
      </c>
      <c r="C93" s="84">
        <f>IFERROR(__xludf.DUMMYFUNCTION("""COMPUTED_VALUE"""),8.0)</f>
        <v>8</v>
      </c>
      <c r="D93" s="84">
        <f t="shared" si="72"/>
        <v>40</v>
      </c>
      <c r="E93" s="84">
        <f t="shared" si="73"/>
        <v>32</v>
      </c>
      <c r="F93" s="84">
        <f t="shared" si="74"/>
        <v>18</v>
      </c>
      <c r="G93" s="84">
        <f t="shared" si="75"/>
        <v>6</v>
      </c>
      <c r="L93" s="84" t="str">
        <f t="shared" si="76"/>
        <v>ok</v>
      </c>
    </row>
    <row r="94">
      <c r="A94" s="1"/>
      <c r="B94" s="43" t="str">
        <f>IFERROR(__xludf.DUMMYFUNCTION("""COMPUTED_VALUE"""),"Vinaya Kajla")</f>
        <v>Vinaya Kajla</v>
      </c>
      <c r="C94" s="84">
        <f>IFERROR(__xludf.DUMMYFUNCTION("""COMPUTED_VALUE"""),7.0)</f>
        <v>7</v>
      </c>
      <c r="D94" s="84">
        <f t="shared" si="72"/>
        <v>48</v>
      </c>
      <c r="E94" s="84">
        <f t="shared" si="73"/>
        <v>41</v>
      </c>
      <c r="F94" s="84">
        <f t="shared" si="74"/>
        <v>19</v>
      </c>
      <c r="G94" s="84">
        <f t="shared" si="75"/>
        <v>7</v>
      </c>
      <c r="L94" s="84" t="str">
        <f t="shared" si="76"/>
        <v>ok</v>
      </c>
    </row>
    <row r="95">
      <c r="A95" s="1"/>
      <c r="B95" s="43" t="str">
        <f>IFERROR(__xludf.DUMMYFUNCTION("""COMPUTED_VALUE"""),"Sandy Weyant")</f>
        <v>Sandy Weyant</v>
      </c>
      <c r="C95" s="84">
        <f>IFERROR(__xludf.DUMMYFUNCTION("""COMPUTED_VALUE"""),7.0)</f>
        <v>7</v>
      </c>
      <c r="D95" s="84">
        <f t="shared" si="72"/>
        <v>49</v>
      </c>
      <c r="E95" s="84">
        <f t="shared" si="73"/>
        <v>42</v>
      </c>
      <c r="F95" s="84">
        <f t="shared" si="74"/>
        <v>19</v>
      </c>
      <c r="G95" s="84">
        <f t="shared" si="75"/>
        <v>7</v>
      </c>
      <c r="L95" s="84" t="str">
        <f t="shared" si="76"/>
        <v>ok</v>
      </c>
    </row>
    <row r="96">
      <c r="A96" s="1"/>
      <c r="B96" s="43" t="str">
        <f>IFERROR(__xludf.DUMMYFUNCTION("""COMPUTED_VALUE"""),"Pavan Akkimsetty")</f>
        <v>Pavan Akkimsetty</v>
      </c>
      <c r="C96" s="84">
        <f>IFERROR(__xludf.DUMMYFUNCTION("""COMPUTED_VALUE"""),6.0)</f>
        <v>6</v>
      </c>
      <c r="D96" s="84">
        <f t="shared" si="72"/>
        <v>14</v>
      </c>
      <c r="E96" s="84">
        <f t="shared" si="73"/>
        <v>8</v>
      </c>
      <c r="F96" s="84">
        <f t="shared" si="74"/>
        <v>16</v>
      </c>
      <c r="G96" s="84">
        <f t="shared" si="75"/>
        <v>1</v>
      </c>
      <c r="L96" s="84" t="str">
        <f t="shared" si="76"/>
        <v>ok</v>
      </c>
    </row>
    <row r="97">
      <c r="A97" s="1"/>
      <c r="B97" s="43" t="str">
        <f>IFERROR(__xludf.DUMMYFUNCTION("""COMPUTED_VALUE"""),"Joe Luzzi")</f>
        <v>Joe Luzzi</v>
      </c>
      <c r="C97" s="84">
        <f>IFERROR(__xludf.DUMMYFUNCTION("""COMPUTED_VALUE"""),5.0)</f>
        <v>5</v>
      </c>
      <c r="D97" s="84">
        <f t="shared" si="72"/>
        <v>10</v>
      </c>
      <c r="E97" s="84">
        <f t="shared" si="73"/>
        <v>5</v>
      </c>
      <c r="F97" s="84">
        <f t="shared" si="74"/>
        <v>15</v>
      </c>
      <c r="G97" s="84">
        <f t="shared" si="75"/>
        <v>1</v>
      </c>
      <c r="L97" s="84" t="str">
        <f t="shared" si="76"/>
        <v>ok</v>
      </c>
    </row>
    <row r="98">
      <c r="A98" s="1"/>
      <c r="B98" s="43" t="str">
        <f>IFERROR(__xludf.DUMMYFUNCTION("""COMPUTED_VALUE"""),"Allen Zhang")</f>
        <v>Allen Zhang</v>
      </c>
      <c r="C98" s="84">
        <f>IFERROR(__xludf.DUMMYFUNCTION("""COMPUTED_VALUE"""),5.0)</f>
        <v>5</v>
      </c>
      <c r="D98" s="84">
        <f t="shared" si="72"/>
        <v>30</v>
      </c>
      <c r="E98" s="84">
        <f t="shared" si="73"/>
        <v>25</v>
      </c>
      <c r="F98" s="84">
        <f t="shared" si="74"/>
        <v>17</v>
      </c>
      <c r="G98" s="84">
        <f t="shared" si="75"/>
        <v>4</v>
      </c>
      <c r="L98" s="84" t="str">
        <f t="shared" si="76"/>
        <v>ok</v>
      </c>
    </row>
    <row r="99">
      <c r="A99" s="1"/>
      <c r="B99" s="43" t="str">
        <f>IFERROR(__xludf.DUMMYFUNCTION("""COMPUTED_VALUE"""),"Naveen Raj")</f>
        <v>Naveen Raj</v>
      </c>
      <c r="C99" s="84">
        <f>IFERROR(__xludf.DUMMYFUNCTION("""COMPUTED_VALUE"""),5.0)</f>
        <v>5</v>
      </c>
      <c r="D99" s="84">
        <f t="shared" si="72"/>
        <v>35</v>
      </c>
      <c r="E99" s="84">
        <f t="shared" si="73"/>
        <v>30</v>
      </c>
      <c r="F99" s="84">
        <f t="shared" si="74"/>
        <v>16</v>
      </c>
      <c r="G99" s="84">
        <f t="shared" si="75"/>
        <v>4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10"")"),"Sanjaye Elayattu")</f>
        <v>Sanjaye Elayattu</v>
      </c>
      <c r="C103" s="84">
        <f>IFERROR(__xludf.DUMMYFUNCTION("""COMPUTED_VALUE"""),-7.0)</f>
        <v>-7</v>
      </c>
      <c r="D103" s="84">
        <f t="shared" ref="D103:D112" si="77">VLOOKUP(B103,indirect($AB$2&amp;"!B$5:w$70"),22, false)</f>
        <v>29</v>
      </c>
      <c r="E103" s="84">
        <f t="shared" ref="E103:E112" si="78">VLOOKUP(B103,B$5:W$69,22, false)</f>
        <v>36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0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IFERROR(__xludf.DUMMYFUNCTION("""COMPUTED_VALUE"""),"Wayne Liu")</f>
        <v>Wayne Liu</v>
      </c>
      <c r="C104" s="84">
        <f>IFERROR(__xludf.DUMMYFUNCTION("""COMPUTED_VALUE"""),-6.0)</f>
        <v>-6</v>
      </c>
      <c r="D104" s="84">
        <f t="shared" si="77"/>
        <v>28</v>
      </c>
      <c r="E104" s="84">
        <f t="shared" si="78"/>
        <v>34</v>
      </c>
      <c r="F104" s="84">
        <f t="shared" si="79"/>
        <v>9</v>
      </c>
      <c r="G104" s="84">
        <f t="shared" si="80"/>
        <v>3</v>
      </c>
      <c r="L104" s="84" t="str">
        <f t="shared" si="81"/>
        <v>ok</v>
      </c>
    </row>
    <row r="105">
      <c r="A105" s="1"/>
      <c r="B105" s="43" t="str">
        <f>IFERROR(__xludf.DUMMYFUNCTION("""COMPUTED_VALUE"""),"Eric Pan")</f>
        <v>Eric Pan</v>
      </c>
      <c r="C105" s="84">
        <f>IFERROR(__xludf.DUMMYFUNCTION("""COMPUTED_VALUE"""),-6.0)</f>
        <v>-6</v>
      </c>
      <c r="D105" s="84">
        <f t="shared" si="77"/>
        <v>44</v>
      </c>
      <c r="E105" s="84">
        <f t="shared" si="78"/>
        <v>50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IFERROR(__xludf.DUMMYFUNCTION("""COMPUTED_VALUE"""),"Lloyd Sagar")</f>
        <v>Lloyd Sagar</v>
      </c>
      <c r="C106" s="84">
        <f>IFERROR(__xludf.DUMMYFUNCTION("""COMPUTED_VALUE"""),-5.0)</f>
        <v>-5</v>
      </c>
      <c r="D106" s="84">
        <f t="shared" si="77"/>
        <v>26</v>
      </c>
      <c r="E106" s="84">
        <f t="shared" si="78"/>
        <v>31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IFERROR(__xludf.DUMMYFUNCTION("""COMPUTED_VALUE"""),"Oscar Bonilla")</f>
        <v>Oscar Bonilla</v>
      </c>
      <c r="C107" s="84">
        <f>IFERROR(__xludf.DUMMYFUNCTION("""COMPUTED_VALUE"""),-5.0)</f>
        <v>-5</v>
      </c>
      <c r="D107" s="84">
        <f t="shared" si="77"/>
        <v>33</v>
      </c>
      <c r="E107" s="84">
        <f t="shared" si="78"/>
        <v>38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IFERROR(__xludf.DUMMYFUNCTION("""COMPUTED_VALUE"""),"Mauricio Palacios")</f>
        <v>Mauricio Palacios</v>
      </c>
      <c r="C108" s="84">
        <f>IFERROR(__xludf.DUMMYFUNCTION("""COMPUTED_VALUE"""),-5.0)</f>
        <v>-5</v>
      </c>
      <c r="D108" s="84">
        <f t="shared" si="77"/>
        <v>34</v>
      </c>
      <c r="E108" s="84">
        <f t="shared" si="78"/>
        <v>39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IFERROR(__xludf.DUMMYFUNCTION("""COMPUTED_VALUE"""),"Matthew Huang")</f>
        <v>Matthew Huang</v>
      </c>
      <c r="C109" s="84">
        <f>IFERROR(__xludf.DUMMYFUNCTION("""COMPUTED_VALUE"""),-5.0)</f>
        <v>-5</v>
      </c>
      <c r="D109" s="84">
        <f t="shared" si="77"/>
        <v>42</v>
      </c>
      <c r="E109" s="84">
        <f t="shared" si="78"/>
        <v>47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IFERROR(__xludf.DUMMYFUNCTION("""COMPUTED_VALUE"""),"Tom Le")</f>
        <v>Tom Le</v>
      </c>
      <c r="C110" s="84">
        <f>IFERROR(__xludf.DUMMYFUNCTION("""COMPUTED_VALUE"""),-4.0)</f>
        <v>-4</v>
      </c>
      <c r="D110" s="84">
        <f t="shared" si="77"/>
        <v>7</v>
      </c>
      <c r="E110" s="84">
        <f t="shared" si="78"/>
        <v>11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IFERROR(__xludf.DUMMYFUNCTION("""COMPUTED_VALUE"""),"Troy Wong")</f>
        <v>Troy Wong</v>
      </c>
      <c r="C111" s="84">
        <f>IFERROR(__xludf.DUMMYFUNCTION("""COMPUTED_VALUE"""),-4.0)</f>
        <v>-4</v>
      </c>
      <c r="D111" s="84">
        <f t="shared" si="77"/>
        <v>8</v>
      </c>
      <c r="E111" s="84">
        <f t="shared" si="78"/>
        <v>12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IFERROR(__xludf.DUMMYFUNCTION("""COMPUTED_VALUE"""),"James Phan")</f>
        <v>James Phan</v>
      </c>
      <c r="C112" s="84">
        <f>IFERROR(__xludf.DUMMYFUNCTION("""COMPUTED_VALUE"""),-4.0)</f>
        <v>-4</v>
      </c>
      <c r="D112" s="84">
        <f t="shared" si="77"/>
        <v>9</v>
      </c>
      <c r="E112" s="84">
        <f t="shared" si="78"/>
        <v>13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45759.0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15.0</v>
      </c>
      <c r="E2" s="1"/>
      <c r="F2" s="1"/>
      <c r="R2" s="19"/>
      <c r="AB2" s="20" t="str">
        <f>text(C1-7,"mm/dd/yy")</f>
        <v>04/05/25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214.0</v>
      </c>
      <c r="D5" s="31">
        <v>25.0</v>
      </c>
      <c r="E5" s="36">
        <f t="shared" ref="E5:E69" si="2">if(($D$2-U5-S5)&lt;&gt;0,(C5-(U5*9)-(S5*13))/($D$2-U5-S5),0)</f>
        <v>14.35714286</v>
      </c>
      <c r="F5" s="73">
        <v>1.0</v>
      </c>
      <c r="G5" s="74">
        <v>9.0</v>
      </c>
      <c r="H5" s="75">
        <v>0.0</v>
      </c>
      <c r="I5" s="74">
        <v>4.0</v>
      </c>
      <c r="J5" s="74">
        <v>6.0</v>
      </c>
      <c r="K5" s="74">
        <v>6.0</v>
      </c>
      <c r="L5" s="76">
        <v>16.0</v>
      </c>
      <c r="M5" s="74">
        <v>2.0</v>
      </c>
      <c r="N5" s="31">
        <f t="shared" ref="N5:O5" si="1">C5+L5</f>
        <v>230</v>
      </c>
      <c r="O5" s="31">
        <f t="shared" si="1"/>
        <v>27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198.0</v>
      </c>
      <c r="D6" s="31">
        <v>22.0</v>
      </c>
      <c r="E6" s="36">
        <f t="shared" si="2"/>
        <v>14.9</v>
      </c>
      <c r="F6" s="73">
        <v>2.0</v>
      </c>
      <c r="G6" s="74">
        <v>9.0</v>
      </c>
      <c r="H6" s="75">
        <v>0.0</v>
      </c>
      <c r="I6" s="74">
        <v>6.0</v>
      </c>
      <c r="J6" s="74">
        <v>4.0</v>
      </c>
      <c r="K6" s="74">
        <v>6.0</v>
      </c>
      <c r="L6" s="76">
        <v>16.0</v>
      </c>
      <c r="M6" s="74">
        <v>2.0</v>
      </c>
      <c r="N6" s="31">
        <f t="shared" ref="N6:O6" si="3">C6+L6</f>
        <v>214</v>
      </c>
      <c r="O6" s="31">
        <f t="shared" si="3"/>
        <v>24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4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44</v>
      </c>
      <c r="C7" s="31">
        <v>197.0</v>
      </c>
      <c r="D7" s="31">
        <v>22.0</v>
      </c>
      <c r="E7" s="36">
        <f t="shared" si="2"/>
        <v>14.63636364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206</v>
      </c>
      <c r="O7" s="31">
        <f t="shared" si="8"/>
        <v>22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4</v>
      </c>
      <c r="V7" s="46">
        <f t="shared" si="6"/>
        <v>6</v>
      </c>
      <c r="W7" s="30">
        <f t="shared" si="9"/>
        <v>3</v>
      </c>
    </row>
    <row r="8">
      <c r="A8" s="30">
        <f t="shared" si="7"/>
        <v>4</v>
      </c>
      <c r="B8" s="43" t="s">
        <v>88</v>
      </c>
      <c r="C8" s="47">
        <v>195.0</v>
      </c>
      <c r="D8" s="31">
        <v>19.0</v>
      </c>
      <c r="E8" s="36">
        <f t="shared" si="2"/>
        <v>13</v>
      </c>
      <c r="F8" s="73">
        <v>1.0</v>
      </c>
      <c r="G8" s="74">
        <v>9.0</v>
      </c>
      <c r="H8" s="75">
        <v>0.0</v>
      </c>
      <c r="I8" s="74">
        <v>4.0</v>
      </c>
      <c r="J8" s="74">
        <v>4.0</v>
      </c>
      <c r="K8" s="74">
        <v>0.0</v>
      </c>
      <c r="L8" s="76">
        <v>8.0</v>
      </c>
      <c r="M8" s="74">
        <v>0.0</v>
      </c>
      <c r="N8" s="47">
        <f t="shared" ref="N8:O8" si="10">C8+L8</f>
        <v>203</v>
      </c>
      <c r="O8" s="31">
        <f t="shared" si="10"/>
        <v>19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0</v>
      </c>
      <c r="V8" s="46">
        <f t="shared" si="6"/>
        <v>4</v>
      </c>
      <c r="W8" s="30">
        <f t="shared" si="9"/>
        <v>4</v>
      </c>
    </row>
    <row r="9">
      <c r="A9" s="30">
        <f t="shared" si="7"/>
        <v>5</v>
      </c>
      <c r="B9" s="28" t="s">
        <v>97</v>
      </c>
      <c r="C9" s="31">
        <v>193.0</v>
      </c>
      <c r="D9" s="31">
        <v>16.0</v>
      </c>
      <c r="E9" s="36">
        <f t="shared" si="2"/>
        <v>13.16666667</v>
      </c>
      <c r="F9" s="73">
        <v>1.0</v>
      </c>
      <c r="G9" s="74">
        <v>9.0</v>
      </c>
      <c r="H9" s="75">
        <v>0.0</v>
      </c>
      <c r="I9" s="74">
        <v>6.0</v>
      </c>
      <c r="J9" s="74">
        <v>6.0</v>
      </c>
      <c r="K9" s="74">
        <v>0.0</v>
      </c>
      <c r="L9" s="76">
        <v>12.0</v>
      </c>
      <c r="M9" s="74">
        <v>2.0</v>
      </c>
      <c r="N9" s="31">
        <f t="shared" ref="N9:O9" si="11">C9+L9</f>
        <v>205</v>
      </c>
      <c r="O9" s="31">
        <f t="shared" si="11"/>
        <v>18</v>
      </c>
      <c r="P9" s="45" t="s">
        <v>58</v>
      </c>
      <c r="Q9" s="45" t="s">
        <v>58</v>
      </c>
      <c r="R9" s="45"/>
      <c r="S9" s="46">
        <f t="shared" si="4"/>
        <v>2</v>
      </c>
      <c r="T9" s="46"/>
      <c r="U9" s="46">
        <f t="shared" si="5"/>
        <v>1</v>
      </c>
      <c r="V9" s="46">
        <f t="shared" si="6"/>
        <v>5</v>
      </c>
      <c r="W9" s="30">
        <f t="shared" si="9"/>
        <v>5</v>
      </c>
    </row>
    <row r="10">
      <c r="A10" s="30">
        <f t="shared" si="7"/>
        <v>6</v>
      </c>
      <c r="B10" s="43" t="s">
        <v>94</v>
      </c>
      <c r="C10" s="31">
        <v>192.0</v>
      </c>
      <c r="D10" s="31">
        <v>18.0</v>
      </c>
      <c r="E10" s="36">
        <f t="shared" si="2"/>
        <v>14.88888889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201</v>
      </c>
      <c r="O10" s="31">
        <f t="shared" si="12"/>
        <v>18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5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28" t="s">
        <v>120</v>
      </c>
      <c r="C11" s="31">
        <v>191.0</v>
      </c>
      <c r="D11" s="31">
        <v>21.0</v>
      </c>
      <c r="E11" s="36">
        <f t="shared" si="2"/>
        <v>14.2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200</v>
      </c>
      <c r="O11" s="31">
        <f t="shared" si="13"/>
        <v>21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4</v>
      </c>
      <c r="V11" s="46">
        <f t="shared" si="6"/>
        <v>-1</v>
      </c>
      <c r="W11" s="30">
        <f t="shared" si="9"/>
        <v>7</v>
      </c>
    </row>
    <row r="12">
      <c r="A12" s="30">
        <f t="shared" si="7"/>
        <v>8</v>
      </c>
      <c r="B12" s="43" t="s">
        <v>130</v>
      </c>
      <c r="C12" s="31">
        <v>191.0</v>
      </c>
      <c r="D12" s="31">
        <v>17.0</v>
      </c>
      <c r="E12" s="36">
        <f t="shared" si="2"/>
        <v>15.22222222</v>
      </c>
      <c r="F12" s="73">
        <v>3.0</v>
      </c>
      <c r="G12" s="74">
        <v>0.0</v>
      </c>
      <c r="H12" s="75">
        <v>9.0</v>
      </c>
      <c r="I12" s="74">
        <v>0.0</v>
      </c>
      <c r="J12" s="74">
        <v>0.0</v>
      </c>
      <c r="K12" s="74">
        <v>0.0</v>
      </c>
      <c r="L12" s="76">
        <v>9.0</v>
      </c>
      <c r="M12" s="74">
        <v>0.0</v>
      </c>
      <c r="N12" s="31">
        <f t="shared" ref="N12:O12" si="14">C12+L12</f>
        <v>200</v>
      </c>
      <c r="O12" s="31">
        <f t="shared" si="14"/>
        <v>17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6</v>
      </c>
      <c r="V12" s="46">
        <f t="shared" si="6"/>
        <v>-4</v>
      </c>
      <c r="W12" s="30">
        <f t="shared" si="9"/>
        <v>8</v>
      </c>
    </row>
    <row r="13">
      <c r="A13" s="30">
        <f t="shared" si="7"/>
        <v>9</v>
      </c>
      <c r="B13" s="43" t="s">
        <v>121</v>
      </c>
      <c r="C13" s="31">
        <v>190.0</v>
      </c>
      <c r="D13" s="31">
        <v>17.0</v>
      </c>
      <c r="E13" s="36">
        <f t="shared" si="2"/>
        <v>15.375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199</v>
      </c>
      <c r="O13" s="31">
        <f t="shared" si="15"/>
        <v>17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6</v>
      </c>
      <c r="V13" s="46">
        <f t="shared" si="6"/>
        <v>-4</v>
      </c>
      <c r="W13" s="30">
        <f t="shared" si="9"/>
        <v>9</v>
      </c>
    </row>
    <row r="14">
      <c r="A14" s="30">
        <f t="shared" si="7"/>
        <v>10</v>
      </c>
      <c r="B14" s="28" t="s">
        <v>104</v>
      </c>
      <c r="C14" s="31">
        <v>189.0</v>
      </c>
      <c r="D14" s="31">
        <v>16.0</v>
      </c>
      <c r="E14" s="36">
        <f t="shared" si="2"/>
        <v>13.16666667</v>
      </c>
      <c r="F14" s="73">
        <v>2.0</v>
      </c>
      <c r="G14" s="74">
        <v>1.0</v>
      </c>
      <c r="H14" s="75">
        <v>0.0</v>
      </c>
      <c r="I14" s="74">
        <v>6.0</v>
      </c>
      <c r="J14" s="74">
        <v>3.0</v>
      </c>
      <c r="K14" s="74">
        <v>6.0</v>
      </c>
      <c r="L14" s="76">
        <v>15.0</v>
      </c>
      <c r="M14" s="74">
        <v>2.0</v>
      </c>
      <c r="N14" s="31">
        <f t="shared" ref="N14:O14" si="16">C14+L14</f>
        <v>204</v>
      </c>
      <c r="O14" s="31">
        <f t="shared" si="16"/>
        <v>18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2</v>
      </c>
      <c r="V14" s="46">
        <f t="shared" si="6"/>
        <v>1</v>
      </c>
      <c r="W14" s="30">
        <f t="shared" si="9"/>
        <v>10</v>
      </c>
    </row>
    <row r="15">
      <c r="A15" s="30">
        <f t="shared" si="7"/>
        <v>11</v>
      </c>
      <c r="B15" s="43" t="s">
        <v>64</v>
      </c>
      <c r="C15" s="47">
        <v>188.0</v>
      </c>
      <c r="D15" s="31">
        <v>19.0</v>
      </c>
      <c r="E15" s="36">
        <f t="shared" si="2"/>
        <v>13.07692308</v>
      </c>
      <c r="F15" s="73">
        <v>1.0</v>
      </c>
      <c r="G15" s="74">
        <v>1.0</v>
      </c>
      <c r="H15" s="75">
        <v>0.0</v>
      </c>
      <c r="I15" s="74">
        <v>3.0</v>
      </c>
      <c r="J15" s="74">
        <v>3.0</v>
      </c>
      <c r="K15" s="74">
        <v>4.0</v>
      </c>
      <c r="L15" s="76">
        <v>10.0</v>
      </c>
      <c r="M15" s="74">
        <v>0.0</v>
      </c>
      <c r="N15" s="47">
        <f t="shared" ref="N15:O15" si="17">C15+L15</f>
        <v>198</v>
      </c>
      <c r="O15" s="31">
        <f t="shared" si="17"/>
        <v>19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2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28" t="s">
        <v>67</v>
      </c>
      <c r="C16" s="31">
        <v>187.0</v>
      </c>
      <c r="D16" s="31">
        <v>18.0</v>
      </c>
      <c r="E16" s="36">
        <f t="shared" si="2"/>
        <v>15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196</v>
      </c>
      <c r="O16" s="31">
        <f t="shared" si="18"/>
        <v>18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6</v>
      </c>
      <c r="V16" s="46">
        <f t="shared" si="6"/>
        <v>0</v>
      </c>
      <c r="W16" s="30">
        <f t="shared" si="9"/>
        <v>12</v>
      </c>
    </row>
    <row r="17">
      <c r="A17" s="30">
        <f t="shared" si="7"/>
        <v>13</v>
      </c>
      <c r="B17" s="43" t="s">
        <v>87</v>
      </c>
      <c r="C17" s="47">
        <v>186.0</v>
      </c>
      <c r="D17" s="31">
        <v>15.0</v>
      </c>
      <c r="E17" s="36">
        <f t="shared" si="2"/>
        <v>13.25</v>
      </c>
      <c r="F17" s="73">
        <v>1.0</v>
      </c>
      <c r="G17" s="74">
        <v>1.0</v>
      </c>
      <c r="H17" s="75">
        <v>0.0</v>
      </c>
      <c r="I17" s="74">
        <v>3.0</v>
      </c>
      <c r="J17" s="74">
        <v>6.0</v>
      </c>
      <c r="K17" s="74">
        <v>6.0</v>
      </c>
      <c r="L17" s="76">
        <v>15.0</v>
      </c>
      <c r="M17" s="74">
        <v>2.0</v>
      </c>
      <c r="N17" s="47">
        <f t="shared" ref="N17:O17" si="19">C17+L17</f>
        <v>201</v>
      </c>
      <c r="O17" s="31">
        <f t="shared" si="19"/>
        <v>17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3</v>
      </c>
      <c r="V17" s="46">
        <f t="shared" si="6"/>
        <v>1</v>
      </c>
      <c r="W17" s="30">
        <f t="shared" si="9"/>
        <v>13</v>
      </c>
    </row>
    <row r="18">
      <c r="A18" s="30">
        <f t="shared" si="7"/>
        <v>14</v>
      </c>
      <c r="B18" s="28" t="s">
        <v>74</v>
      </c>
      <c r="C18" s="31">
        <v>185.0</v>
      </c>
      <c r="D18" s="31">
        <v>18.0</v>
      </c>
      <c r="E18" s="36">
        <f t="shared" si="2"/>
        <v>14</v>
      </c>
      <c r="F18" s="73">
        <v>1.0</v>
      </c>
      <c r="G18" s="74">
        <v>1.0</v>
      </c>
      <c r="H18" s="75">
        <v>0.0</v>
      </c>
      <c r="I18" s="74">
        <v>6.0</v>
      </c>
      <c r="J18" s="74">
        <v>6.0</v>
      </c>
      <c r="K18" s="74">
        <v>4.0</v>
      </c>
      <c r="L18" s="76">
        <v>16.0</v>
      </c>
      <c r="M18" s="74">
        <v>2.0</v>
      </c>
      <c r="N18" s="31">
        <f t="shared" ref="N18:O18" si="20">C18+L18</f>
        <v>201</v>
      </c>
      <c r="O18" s="31">
        <f t="shared" si="20"/>
        <v>20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5</v>
      </c>
      <c r="V18" s="46">
        <f t="shared" si="6"/>
        <v>2</v>
      </c>
      <c r="W18" s="30">
        <f t="shared" si="9"/>
        <v>14</v>
      </c>
    </row>
    <row r="19">
      <c r="A19" s="30">
        <f t="shared" si="7"/>
        <v>15</v>
      </c>
      <c r="B19" s="28" t="s">
        <v>95</v>
      </c>
      <c r="C19" s="31">
        <v>184.0</v>
      </c>
      <c r="D19" s="31">
        <v>20.0</v>
      </c>
      <c r="E19" s="36">
        <f t="shared" si="2"/>
        <v>13.45454545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193</v>
      </c>
      <c r="O19" s="31">
        <f t="shared" si="21"/>
        <v>20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4</v>
      </c>
      <c r="V19" s="46">
        <f t="shared" si="6"/>
        <v>2</v>
      </c>
      <c r="W19" s="30">
        <f t="shared" si="9"/>
        <v>15</v>
      </c>
    </row>
    <row r="20">
      <c r="A20" s="30">
        <f t="shared" si="7"/>
        <v>16</v>
      </c>
      <c r="B20" s="28" t="s">
        <v>101</v>
      </c>
      <c r="C20" s="31">
        <v>184.0</v>
      </c>
      <c r="D20" s="31">
        <v>14.0</v>
      </c>
      <c r="E20" s="36">
        <f t="shared" si="2"/>
        <v>13.09090909</v>
      </c>
      <c r="F20" s="73">
        <v>1.0</v>
      </c>
      <c r="G20" s="74">
        <v>2.0</v>
      </c>
      <c r="H20" s="75">
        <v>0.0</v>
      </c>
      <c r="I20" s="74">
        <v>6.0</v>
      </c>
      <c r="J20" s="74">
        <v>7.0</v>
      </c>
      <c r="K20" s="74">
        <v>6.0</v>
      </c>
      <c r="L20" s="76">
        <v>19.0</v>
      </c>
      <c r="M20" s="74">
        <v>3.0</v>
      </c>
      <c r="N20" s="31">
        <f t="shared" ref="N20:O20" si="22">C20+L20</f>
        <v>203</v>
      </c>
      <c r="O20" s="31">
        <f t="shared" si="22"/>
        <v>17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3</v>
      </c>
      <c r="V20" s="46">
        <f t="shared" si="6"/>
        <v>-1</v>
      </c>
      <c r="W20" s="30">
        <f t="shared" si="9"/>
        <v>16</v>
      </c>
    </row>
    <row r="21">
      <c r="A21" s="30">
        <f t="shared" si="7"/>
        <v>17</v>
      </c>
      <c r="B21" s="28" t="s">
        <v>92</v>
      </c>
      <c r="C21" s="31">
        <v>180.0</v>
      </c>
      <c r="D21" s="31">
        <v>16.0</v>
      </c>
      <c r="E21" s="36">
        <f t="shared" si="2"/>
        <v>14</v>
      </c>
      <c r="F21" s="73">
        <v>3.0</v>
      </c>
      <c r="G21" s="74">
        <v>0.0</v>
      </c>
      <c r="H21" s="75">
        <v>9.0</v>
      </c>
      <c r="I21" s="74">
        <v>0.0</v>
      </c>
      <c r="J21" s="74">
        <v>0.0</v>
      </c>
      <c r="K21" s="74">
        <v>0.0</v>
      </c>
      <c r="L21" s="76">
        <v>9.0</v>
      </c>
      <c r="M21" s="74">
        <v>0.0</v>
      </c>
      <c r="N21" s="31">
        <f t="shared" ref="N21:O21" si="23">C21+L21</f>
        <v>189</v>
      </c>
      <c r="O21" s="31">
        <f t="shared" si="23"/>
        <v>16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6</v>
      </c>
      <c r="V21" s="46">
        <f t="shared" si="6"/>
        <v>1</v>
      </c>
      <c r="W21" s="30">
        <f t="shared" si="9"/>
        <v>17</v>
      </c>
    </row>
    <row r="22">
      <c r="A22" s="30">
        <f t="shared" si="7"/>
        <v>18</v>
      </c>
      <c r="B22" s="28" t="s">
        <v>116</v>
      </c>
      <c r="C22" s="31">
        <v>179.0</v>
      </c>
      <c r="D22" s="31">
        <v>15.0</v>
      </c>
      <c r="E22" s="36">
        <f t="shared" si="2"/>
        <v>14</v>
      </c>
      <c r="F22" s="73">
        <v>1.0</v>
      </c>
      <c r="G22" s="74">
        <v>2.0</v>
      </c>
      <c r="H22" s="75">
        <v>0.0</v>
      </c>
      <c r="I22" s="74">
        <v>6.0</v>
      </c>
      <c r="J22" s="74">
        <v>5.0</v>
      </c>
      <c r="K22" s="74">
        <v>3.0</v>
      </c>
      <c r="L22" s="76">
        <v>14.0</v>
      </c>
      <c r="M22" s="74">
        <v>1.0</v>
      </c>
      <c r="N22" s="31">
        <f t="shared" ref="N22:O22" si="24">C22+L22</f>
        <v>193</v>
      </c>
      <c r="O22" s="31">
        <f t="shared" si="24"/>
        <v>16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6</v>
      </c>
      <c r="V22" s="46">
        <f t="shared" si="6"/>
        <v>5</v>
      </c>
      <c r="W22" s="30">
        <f t="shared" si="9"/>
        <v>18</v>
      </c>
    </row>
    <row r="23">
      <c r="A23" s="30">
        <f t="shared" si="7"/>
        <v>19</v>
      </c>
      <c r="B23" s="28" t="s">
        <v>119</v>
      </c>
      <c r="C23" s="31">
        <v>178.0</v>
      </c>
      <c r="D23" s="31">
        <v>17.0</v>
      </c>
      <c r="E23" s="36">
        <f t="shared" si="2"/>
        <v>12.9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187</v>
      </c>
      <c r="O23" s="31">
        <f t="shared" si="25"/>
        <v>17</v>
      </c>
      <c r="P23" s="45" t="s">
        <v>58</v>
      </c>
      <c r="Q23" s="45" t="s">
        <v>58</v>
      </c>
      <c r="R23" s="45" t="s">
        <v>58</v>
      </c>
      <c r="S23" s="46">
        <f t="shared" si="4"/>
        <v>1</v>
      </c>
      <c r="T23" s="46"/>
      <c r="U23" s="46">
        <f t="shared" si="5"/>
        <v>4</v>
      </c>
      <c r="V23" s="46">
        <f t="shared" si="6"/>
        <v>1</v>
      </c>
      <c r="W23" s="30">
        <f t="shared" si="9"/>
        <v>19</v>
      </c>
    </row>
    <row r="24">
      <c r="A24" s="30">
        <f t="shared" si="7"/>
        <v>20</v>
      </c>
      <c r="B24" s="43" t="s">
        <v>56</v>
      </c>
      <c r="C24" s="31">
        <v>177.0</v>
      </c>
      <c r="D24" s="31">
        <v>16.0</v>
      </c>
      <c r="E24" s="36">
        <f t="shared" si="2"/>
        <v>11.8</v>
      </c>
      <c r="F24" s="73">
        <v>1.0</v>
      </c>
      <c r="G24" s="74">
        <v>2.0</v>
      </c>
      <c r="H24" s="75">
        <v>0.0</v>
      </c>
      <c r="I24" s="74">
        <v>0.0</v>
      </c>
      <c r="J24" s="74">
        <v>5.0</v>
      </c>
      <c r="K24" s="74">
        <v>6.0</v>
      </c>
      <c r="L24" s="76">
        <v>11.0</v>
      </c>
      <c r="M24" s="74">
        <v>1.0</v>
      </c>
      <c r="N24" s="31">
        <f t="shared" ref="N24:O24" si="26">C24+L24</f>
        <v>188</v>
      </c>
      <c r="O24" s="31">
        <f t="shared" si="26"/>
        <v>17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-7</v>
      </c>
      <c r="W24" s="30">
        <f t="shared" si="9"/>
        <v>20</v>
      </c>
    </row>
    <row r="25">
      <c r="A25" s="30">
        <f t="shared" si="7"/>
        <v>21</v>
      </c>
      <c r="B25" s="28" t="s">
        <v>105</v>
      </c>
      <c r="C25" s="31">
        <v>177.0</v>
      </c>
      <c r="D25" s="31">
        <v>14.0</v>
      </c>
      <c r="E25" s="36">
        <f t="shared" si="2"/>
        <v>13.22222222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186</v>
      </c>
      <c r="O25" s="31">
        <f t="shared" si="27"/>
        <v>14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5</v>
      </c>
      <c r="V25" s="46">
        <f t="shared" si="6"/>
        <v>4</v>
      </c>
      <c r="W25" s="30">
        <f t="shared" si="9"/>
        <v>21</v>
      </c>
    </row>
    <row r="26">
      <c r="A26" s="30">
        <f t="shared" si="7"/>
        <v>22</v>
      </c>
      <c r="B26" s="43" t="s">
        <v>90</v>
      </c>
      <c r="C26" s="31">
        <v>176.0</v>
      </c>
      <c r="D26" s="31">
        <v>13.0</v>
      </c>
      <c r="E26" s="36">
        <f t="shared" si="2"/>
        <v>12.22222222</v>
      </c>
      <c r="F26" s="73">
        <v>2.0</v>
      </c>
      <c r="G26" s="74">
        <v>2.0</v>
      </c>
      <c r="H26" s="75">
        <v>0.0</v>
      </c>
      <c r="I26" s="74">
        <v>0.0</v>
      </c>
      <c r="J26" s="74">
        <v>7.0</v>
      </c>
      <c r="K26" s="74">
        <v>3.0</v>
      </c>
      <c r="L26" s="76">
        <v>10.0</v>
      </c>
      <c r="M26" s="74">
        <v>1.0</v>
      </c>
      <c r="N26" s="31">
        <f t="shared" ref="N26:O26" si="28">C26+L26</f>
        <v>186</v>
      </c>
      <c r="O26" s="31">
        <f t="shared" si="28"/>
        <v>14</v>
      </c>
      <c r="P26" s="45" t="s">
        <v>58</v>
      </c>
      <c r="Q26" s="45" t="s">
        <v>58</v>
      </c>
      <c r="R26" s="45"/>
      <c r="S26" s="46">
        <f t="shared" si="4"/>
        <v>3</v>
      </c>
      <c r="T26" s="46"/>
      <c r="U26" s="46">
        <f t="shared" si="5"/>
        <v>3</v>
      </c>
      <c r="V26" s="46">
        <f t="shared" si="6"/>
        <v>-1</v>
      </c>
      <c r="W26" s="30">
        <f t="shared" si="9"/>
        <v>22</v>
      </c>
    </row>
    <row r="27">
      <c r="A27" s="30">
        <f t="shared" si="7"/>
        <v>23</v>
      </c>
      <c r="B27" s="43" t="s">
        <v>107</v>
      </c>
      <c r="C27" s="31">
        <v>176.0</v>
      </c>
      <c r="D27" s="31">
        <v>10.0</v>
      </c>
      <c r="E27" s="36">
        <f t="shared" si="2"/>
        <v>12.36363636</v>
      </c>
      <c r="F27" s="73">
        <v>2.0</v>
      </c>
      <c r="G27" s="74">
        <v>3.0</v>
      </c>
      <c r="H27" s="75">
        <v>0.0</v>
      </c>
      <c r="I27" s="74">
        <v>4.0</v>
      </c>
      <c r="J27" s="74">
        <v>1.0</v>
      </c>
      <c r="K27" s="74">
        <v>6.0</v>
      </c>
      <c r="L27" s="76">
        <v>11.0</v>
      </c>
      <c r="M27" s="74">
        <v>1.0</v>
      </c>
      <c r="N27" s="31">
        <f t="shared" ref="N27:O27" si="29">C27+L27</f>
        <v>187</v>
      </c>
      <c r="O27" s="31">
        <f t="shared" si="29"/>
        <v>11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3</v>
      </c>
      <c r="V27" s="46">
        <f t="shared" si="6"/>
        <v>-4</v>
      </c>
      <c r="W27" s="30">
        <f t="shared" si="9"/>
        <v>23</v>
      </c>
    </row>
    <row r="28">
      <c r="A28" s="30">
        <f t="shared" si="7"/>
        <v>24</v>
      </c>
      <c r="B28" s="43" t="s">
        <v>111</v>
      </c>
      <c r="C28" s="47">
        <v>175.0</v>
      </c>
      <c r="D28" s="31">
        <v>16.0</v>
      </c>
      <c r="E28" s="36">
        <f t="shared" si="2"/>
        <v>12.07692308</v>
      </c>
      <c r="F28" s="73">
        <v>3.0</v>
      </c>
      <c r="G28" s="74">
        <v>0.0</v>
      </c>
      <c r="H28" s="75">
        <v>9.0</v>
      </c>
      <c r="I28" s="74">
        <v>0.0</v>
      </c>
      <c r="J28" s="74">
        <v>0.0</v>
      </c>
      <c r="K28" s="74">
        <v>0.0</v>
      </c>
      <c r="L28" s="76">
        <v>9.0</v>
      </c>
      <c r="M28" s="74">
        <v>0.0</v>
      </c>
      <c r="N28" s="47">
        <f t="shared" ref="N28:O28" si="30">C28+L28</f>
        <v>184</v>
      </c>
      <c r="O28" s="31">
        <f t="shared" si="30"/>
        <v>16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2</v>
      </c>
      <c r="V28" s="46">
        <f t="shared" si="6"/>
        <v>-2</v>
      </c>
      <c r="W28" s="30">
        <f t="shared" si="9"/>
        <v>24</v>
      </c>
    </row>
    <row r="29">
      <c r="A29" s="30">
        <f t="shared" si="7"/>
        <v>25</v>
      </c>
      <c r="B29" s="48" t="s">
        <v>82</v>
      </c>
      <c r="C29" s="31">
        <v>175.0</v>
      </c>
      <c r="D29" s="31">
        <v>15.0</v>
      </c>
      <c r="E29" s="36">
        <f t="shared" si="2"/>
        <v>12.33333333</v>
      </c>
      <c r="F29" s="73">
        <v>1.0</v>
      </c>
      <c r="G29" s="74">
        <v>3.0</v>
      </c>
      <c r="H29" s="75">
        <v>0.0</v>
      </c>
      <c r="I29" s="74">
        <v>6.0</v>
      </c>
      <c r="J29" s="74">
        <v>6.0</v>
      </c>
      <c r="K29" s="74">
        <v>6.0</v>
      </c>
      <c r="L29" s="76">
        <v>18.0</v>
      </c>
      <c r="M29" s="74">
        <v>3.0</v>
      </c>
      <c r="N29" s="31">
        <f t="shared" ref="N29:O29" si="31">C29+L29</f>
        <v>193</v>
      </c>
      <c r="O29" s="31">
        <f t="shared" si="31"/>
        <v>18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3</v>
      </c>
      <c r="V29" s="46">
        <f t="shared" si="6"/>
        <v>2</v>
      </c>
      <c r="W29" s="30">
        <f t="shared" si="9"/>
        <v>25</v>
      </c>
    </row>
    <row r="30">
      <c r="A30" s="30">
        <f t="shared" si="7"/>
        <v>26</v>
      </c>
      <c r="B30" s="43" t="s">
        <v>106</v>
      </c>
      <c r="C30" s="31">
        <v>171.0</v>
      </c>
      <c r="D30" s="31">
        <v>16.0</v>
      </c>
      <c r="E30" s="36">
        <f t="shared" si="2"/>
        <v>12.2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180</v>
      </c>
      <c r="O30" s="31">
        <f t="shared" si="32"/>
        <v>16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4</v>
      </c>
      <c r="V30" s="46">
        <f t="shared" si="6"/>
        <v>0</v>
      </c>
      <c r="W30" s="30">
        <f t="shared" si="9"/>
        <v>26</v>
      </c>
    </row>
    <row r="31">
      <c r="A31" s="30">
        <f t="shared" si="7"/>
        <v>27</v>
      </c>
      <c r="B31" s="28" t="s">
        <v>89</v>
      </c>
      <c r="C31" s="31">
        <v>171.0</v>
      </c>
      <c r="D31" s="31">
        <v>12.0</v>
      </c>
      <c r="E31" s="36">
        <f t="shared" si="2"/>
        <v>12.5</v>
      </c>
      <c r="F31" s="73">
        <v>1.0</v>
      </c>
      <c r="G31" s="74">
        <v>3.0</v>
      </c>
      <c r="H31" s="75">
        <v>0.0</v>
      </c>
      <c r="I31" s="74">
        <v>4.0</v>
      </c>
      <c r="J31" s="74">
        <v>6.0</v>
      </c>
      <c r="K31" s="74">
        <v>2.0</v>
      </c>
      <c r="L31" s="76">
        <v>12.0</v>
      </c>
      <c r="M31" s="74">
        <v>1.0</v>
      </c>
      <c r="N31" s="31">
        <f t="shared" ref="N31:O31" si="33">C31+L31</f>
        <v>183</v>
      </c>
      <c r="O31" s="31">
        <f t="shared" si="33"/>
        <v>13</v>
      </c>
      <c r="P31" s="45" t="s">
        <v>58</v>
      </c>
      <c r="Q31" s="45" t="s">
        <v>58</v>
      </c>
      <c r="R31" s="45"/>
      <c r="S31" s="46">
        <f t="shared" si="4"/>
        <v>2</v>
      </c>
      <c r="T31" s="46"/>
      <c r="U31" s="46">
        <f t="shared" si="5"/>
        <v>5</v>
      </c>
      <c r="V31" s="46">
        <f t="shared" si="6"/>
        <v>2</v>
      </c>
      <c r="W31" s="30">
        <f t="shared" si="9"/>
        <v>27</v>
      </c>
    </row>
    <row r="32">
      <c r="A32" s="30">
        <f t="shared" si="7"/>
        <v>28</v>
      </c>
      <c r="B32" s="43" t="s">
        <v>132</v>
      </c>
      <c r="C32" s="31">
        <v>169.0</v>
      </c>
      <c r="D32" s="31">
        <v>18.0</v>
      </c>
      <c r="E32" s="36">
        <f t="shared" si="2"/>
        <v>11.26666667</v>
      </c>
      <c r="F32" s="73">
        <v>1.0</v>
      </c>
      <c r="G32" s="74">
        <v>3.0</v>
      </c>
      <c r="H32" s="75">
        <v>0.0</v>
      </c>
      <c r="I32" s="74">
        <v>6.0</v>
      </c>
      <c r="J32" s="74">
        <v>1.0</v>
      </c>
      <c r="K32" s="74">
        <v>2.0</v>
      </c>
      <c r="L32" s="76">
        <v>9.0</v>
      </c>
      <c r="M32" s="74">
        <v>1.0</v>
      </c>
      <c r="N32" s="31">
        <f t="shared" ref="N32:O32" si="34">C32+L32</f>
        <v>178</v>
      </c>
      <c r="O32" s="31">
        <f t="shared" si="34"/>
        <v>19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0</v>
      </c>
      <c r="V32" s="46">
        <f t="shared" si="6"/>
        <v>5</v>
      </c>
      <c r="W32" s="30">
        <f t="shared" si="9"/>
        <v>28</v>
      </c>
    </row>
    <row r="33">
      <c r="A33" s="30">
        <f t="shared" si="7"/>
        <v>29</v>
      </c>
      <c r="B33" s="28" t="s">
        <v>137</v>
      </c>
      <c r="C33" s="31">
        <v>169.0</v>
      </c>
      <c r="D33" s="31">
        <v>10.0</v>
      </c>
      <c r="E33" s="36">
        <f t="shared" si="2"/>
        <v>13.33333333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178</v>
      </c>
      <c r="O33" s="31">
        <f t="shared" si="35"/>
        <v>10</v>
      </c>
      <c r="P33" s="45" t="s">
        <v>58</v>
      </c>
      <c r="Q33" s="45" t="s">
        <v>58</v>
      </c>
      <c r="R33" s="45"/>
      <c r="S33" s="46">
        <f t="shared" si="4"/>
        <v>2</v>
      </c>
      <c r="T33" s="46"/>
      <c r="U33" s="46">
        <f t="shared" si="5"/>
        <v>7</v>
      </c>
      <c r="V33" s="46">
        <f t="shared" si="6"/>
        <v>-5</v>
      </c>
      <c r="W33" s="30">
        <f t="shared" si="9"/>
        <v>29</v>
      </c>
    </row>
    <row r="34">
      <c r="A34" s="30">
        <f t="shared" si="7"/>
        <v>30</v>
      </c>
      <c r="B34" s="43" t="s">
        <v>61</v>
      </c>
      <c r="C34" s="47">
        <v>167.0</v>
      </c>
      <c r="D34" s="31">
        <v>21.0</v>
      </c>
      <c r="E34" s="36">
        <f t="shared" si="2"/>
        <v>11.13333333</v>
      </c>
      <c r="F34" s="73">
        <v>1.0</v>
      </c>
      <c r="G34" s="74">
        <v>4.0</v>
      </c>
      <c r="H34" s="75">
        <v>0.0</v>
      </c>
      <c r="I34" s="74">
        <v>6.0</v>
      </c>
      <c r="J34" s="74">
        <v>6.0</v>
      </c>
      <c r="K34" s="74">
        <v>5.0</v>
      </c>
      <c r="L34" s="76">
        <v>17.0</v>
      </c>
      <c r="M34" s="74">
        <v>2.0</v>
      </c>
      <c r="N34" s="47">
        <f t="shared" ref="N34:O34" si="36">C34+L34</f>
        <v>184</v>
      </c>
      <c r="O34" s="31">
        <f t="shared" si="36"/>
        <v>23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0</v>
      </c>
      <c r="V34" s="46">
        <f t="shared" si="6"/>
        <v>2</v>
      </c>
      <c r="W34" s="30">
        <f t="shared" si="9"/>
        <v>30</v>
      </c>
    </row>
    <row r="35">
      <c r="A35" s="30">
        <f t="shared" si="7"/>
        <v>31</v>
      </c>
      <c r="B35" s="48" t="s">
        <v>134</v>
      </c>
      <c r="C35" s="31">
        <v>167.0</v>
      </c>
      <c r="D35" s="31">
        <v>12.0</v>
      </c>
      <c r="E35" s="36">
        <f t="shared" si="2"/>
        <v>12.11111111</v>
      </c>
      <c r="F35" s="73">
        <v>1.0</v>
      </c>
      <c r="G35" s="74">
        <v>4.0</v>
      </c>
      <c r="H35" s="75">
        <v>0.0</v>
      </c>
      <c r="I35" s="74">
        <v>6.0</v>
      </c>
      <c r="J35" s="74">
        <v>4.0</v>
      </c>
      <c r="K35" s="74">
        <v>7.0</v>
      </c>
      <c r="L35" s="76">
        <v>17.0</v>
      </c>
      <c r="M35" s="74">
        <v>2.0</v>
      </c>
      <c r="N35" s="31">
        <f t="shared" ref="N35:O35" si="37">C35+L35</f>
        <v>184</v>
      </c>
      <c r="O35" s="31">
        <f t="shared" si="37"/>
        <v>14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5</v>
      </c>
      <c r="V35" s="46">
        <f t="shared" si="6"/>
        <v>-3</v>
      </c>
      <c r="W35" s="30">
        <f t="shared" si="9"/>
        <v>31</v>
      </c>
    </row>
    <row r="36">
      <c r="A36" s="30">
        <f t="shared" si="7"/>
        <v>32</v>
      </c>
      <c r="B36" s="43" t="s">
        <v>129</v>
      </c>
      <c r="C36" s="47">
        <v>166.0</v>
      </c>
      <c r="D36" s="31">
        <v>17.0</v>
      </c>
      <c r="E36" s="36">
        <f t="shared" si="2"/>
        <v>11.21428571</v>
      </c>
      <c r="F36" s="73">
        <v>1.0</v>
      </c>
      <c r="G36" s="74">
        <v>4.0</v>
      </c>
      <c r="H36" s="75">
        <v>0.0</v>
      </c>
      <c r="I36" s="74">
        <v>3.0</v>
      </c>
      <c r="J36" s="74">
        <v>4.0</v>
      </c>
      <c r="K36" s="74">
        <v>5.0</v>
      </c>
      <c r="L36" s="76">
        <v>12.0</v>
      </c>
      <c r="M36" s="74">
        <v>0.0</v>
      </c>
      <c r="N36" s="47">
        <f t="shared" ref="N36:O36" si="38">C36+L36</f>
        <v>178</v>
      </c>
      <c r="O36" s="31">
        <f t="shared" si="38"/>
        <v>17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1</v>
      </c>
      <c r="V36" s="46">
        <f t="shared" si="6"/>
        <v>4</v>
      </c>
      <c r="W36" s="30">
        <f t="shared" si="9"/>
        <v>32</v>
      </c>
    </row>
    <row r="37">
      <c r="A37" s="30">
        <f t="shared" si="7"/>
        <v>33</v>
      </c>
      <c r="B37" s="28" t="s">
        <v>128</v>
      </c>
      <c r="C37" s="31">
        <v>166.0</v>
      </c>
      <c r="D37" s="31">
        <v>13.0</v>
      </c>
      <c r="E37" s="36">
        <f t="shared" si="2"/>
        <v>14.16666667</v>
      </c>
      <c r="F37" s="73">
        <v>3.0</v>
      </c>
      <c r="G37" s="74">
        <v>0.0</v>
      </c>
      <c r="H37" s="75">
        <v>9.0</v>
      </c>
      <c r="I37" s="74">
        <v>0.0</v>
      </c>
      <c r="J37" s="74">
        <v>0.0</v>
      </c>
      <c r="K37" s="74">
        <v>0.0</v>
      </c>
      <c r="L37" s="76">
        <v>9.0</v>
      </c>
      <c r="M37" s="74">
        <v>0.0</v>
      </c>
      <c r="N37" s="31">
        <f t="shared" ref="N37:O37" si="39">C37+L37</f>
        <v>175</v>
      </c>
      <c r="O37" s="31">
        <f t="shared" si="39"/>
        <v>13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9</v>
      </c>
      <c r="V37" s="46">
        <f t="shared" si="6"/>
        <v>9</v>
      </c>
      <c r="W37" s="30">
        <f t="shared" si="9"/>
        <v>33</v>
      </c>
    </row>
    <row r="38">
      <c r="A38" s="30">
        <f t="shared" si="7"/>
        <v>34</v>
      </c>
      <c r="B38" s="28" t="s">
        <v>98</v>
      </c>
      <c r="C38" s="31">
        <v>166.0</v>
      </c>
      <c r="D38" s="31">
        <v>12.0</v>
      </c>
      <c r="E38" s="36">
        <f t="shared" si="2"/>
        <v>12.44444444</v>
      </c>
      <c r="F38" s="73">
        <v>3.0</v>
      </c>
      <c r="G38" s="74">
        <v>0.0</v>
      </c>
      <c r="H38" s="75">
        <v>9.0</v>
      </c>
      <c r="I38" s="74">
        <v>0.0</v>
      </c>
      <c r="J38" s="74">
        <v>0.0</v>
      </c>
      <c r="K38" s="74">
        <v>0.0</v>
      </c>
      <c r="L38" s="76">
        <v>9.0</v>
      </c>
      <c r="M38" s="74">
        <v>0.0</v>
      </c>
      <c r="N38" s="31">
        <f t="shared" ref="N38:O38" si="40">C38+L38</f>
        <v>175</v>
      </c>
      <c r="O38" s="31">
        <f t="shared" si="40"/>
        <v>12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6</v>
      </c>
      <c r="V38" s="46">
        <f t="shared" si="6"/>
        <v>-3</v>
      </c>
      <c r="W38" s="30">
        <f t="shared" si="9"/>
        <v>34</v>
      </c>
    </row>
    <row r="39">
      <c r="A39" s="30">
        <f t="shared" si="7"/>
        <v>35</v>
      </c>
      <c r="B39" s="28" t="s">
        <v>84</v>
      </c>
      <c r="C39" s="31">
        <v>164.0</v>
      </c>
      <c r="D39" s="31">
        <v>16.0</v>
      </c>
      <c r="E39" s="36">
        <f t="shared" si="2"/>
        <v>11.41666667</v>
      </c>
      <c r="F39" s="73">
        <v>2.0</v>
      </c>
      <c r="G39" s="74">
        <v>4.0</v>
      </c>
      <c r="H39" s="75">
        <v>0.0</v>
      </c>
      <c r="I39" s="74">
        <v>3.0</v>
      </c>
      <c r="J39" s="74">
        <v>6.0</v>
      </c>
      <c r="K39" s="74">
        <v>7.0</v>
      </c>
      <c r="L39" s="76">
        <v>16.0</v>
      </c>
      <c r="M39" s="74">
        <v>2.0</v>
      </c>
      <c r="N39" s="31">
        <f t="shared" ref="N39:O39" si="41">C39+L39</f>
        <v>180</v>
      </c>
      <c r="O39" s="31">
        <f t="shared" si="41"/>
        <v>18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3</v>
      </c>
      <c r="V39" s="46">
        <f t="shared" si="6"/>
        <v>-5</v>
      </c>
      <c r="W39" s="30">
        <f t="shared" si="9"/>
        <v>35</v>
      </c>
    </row>
    <row r="40">
      <c r="A40" s="30">
        <f t="shared" si="7"/>
        <v>36</v>
      </c>
      <c r="B40" s="43" t="s">
        <v>62</v>
      </c>
      <c r="C40" s="31">
        <v>164.0</v>
      </c>
      <c r="D40" s="31">
        <v>13.0</v>
      </c>
      <c r="E40" s="36">
        <f t="shared" si="2"/>
        <v>12.625</v>
      </c>
      <c r="F40" s="73">
        <v>1.0</v>
      </c>
      <c r="G40" s="74">
        <v>5.0</v>
      </c>
      <c r="H40" s="75">
        <v>0.0</v>
      </c>
      <c r="I40" s="74">
        <v>6.0</v>
      </c>
      <c r="J40" s="74">
        <v>4.0</v>
      </c>
      <c r="K40" s="74">
        <v>5.0</v>
      </c>
      <c r="L40" s="76">
        <v>15.0</v>
      </c>
      <c r="M40" s="74">
        <v>1.0</v>
      </c>
      <c r="N40" s="31">
        <f t="shared" ref="N40:O40" si="42">C40+L40</f>
        <v>179</v>
      </c>
      <c r="O40" s="31">
        <f t="shared" si="42"/>
        <v>14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7</v>
      </c>
      <c r="V40" s="46">
        <f t="shared" si="6"/>
        <v>1</v>
      </c>
      <c r="W40" s="30">
        <f t="shared" si="9"/>
        <v>36</v>
      </c>
    </row>
    <row r="41">
      <c r="A41" s="30">
        <f t="shared" si="7"/>
        <v>37</v>
      </c>
      <c r="B41" s="43" t="s">
        <v>133</v>
      </c>
      <c r="C41" s="31">
        <v>164.0</v>
      </c>
      <c r="D41" s="31">
        <v>13.0</v>
      </c>
      <c r="E41" s="36">
        <f t="shared" si="2"/>
        <v>11.07142857</v>
      </c>
      <c r="F41" s="73">
        <v>1.0</v>
      </c>
      <c r="G41" s="74">
        <v>5.0</v>
      </c>
      <c r="H41" s="75">
        <v>0.0</v>
      </c>
      <c r="I41" s="74">
        <v>0.0</v>
      </c>
      <c r="J41" s="74">
        <v>4.0</v>
      </c>
      <c r="K41" s="74">
        <v>7.0</v>
      </c>
      <c r="L41" s="76">
        <v>11.0</v>
      </c>
      <c r="M41" s="74">
        <v>1.0</v>
      </c>
      <c r="N41" s="31">
        <f t="shared" ref="N41:O41" si="43">C41+L41</f>
        <v>175</v>
      </c>
      <c r="O41" s="31">
        <f t="shared" si="43"/>
        <v>14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1</v>
      </c>
      <c r="V41" s="46">
        <f t="shared" si="6"/>
        <v>3</v>
      </c>
      <c r="W41" s="30">
        <f t="shared" si="9"/>
        <v>37</v>
      </c>
    </row>
    <row r="42">
      <c r="A42" s="30">
        <f t="shared" si="7"/>
        <v>38</v>
      </c>
      <c r="B42" s="43" t="s">
        <v>99</v>
      </c>
      <c r="C42" s="31">
        <v>164.0</v>
      </c>
      <c r="D42" s="31">
        <v>12.0</v>
      </c>
      <c r="E42" s="36">
        <f t="shared" si="2"/>
        <v>12.625</v>
      </c>
      <c r="F42" s="73">
        <v>1.0</v>
      </c>
      <c r="G42" s="74">
        <v>5.0</v>
      </c>
      <c r="H42" s="75">
        <v>0.0</v>
      </c>
      <c r="I42" s="74">
        <v>6.0</v>
      </c>
      <c r="J42" s="74">
        <v>6.0</v>
      </c>
      <c r="K42" s="74">
        <v>7.0</v>
      </c>
      <c r="L42" s="76">
        <v>19.0</v>
      </c>
      <c r="M42" s="74">
        <v>3.0</v>
      </c>
      <c r="N42" s="31">
        <f t="shared" ref="N42:O42" si="44">C42+L42</f>
        <v>183</v>
      </c>
      <c r="O42" s="31">
        <f t="shared" si="44"/>
        <v>15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7</v>
      </c>
      <c r="V42" s="46">
        <f t="shared" si="6"/>
        <v>1</v>
      </c>
      <c r="W42" s="30">
        <f t="shared" si="9"/>
        <v>38</v>
      </c>
    </row>
    <row r="43">
      <c r="A43" s="30">
        <f t="shared" si="7"/>
        <v>39</v>
      </c>
      <c r="B43" s="28" t="s">
        <v>49</v>
      </c>
      <c r="C43" s="31">
        <v>162.0</v>
      </c>
      <c r="D43" s="31">
        <v>13.0</v>
      </c>
      <c r="E43" s="36">
        <f t="shared" si="2"/>
        <v>10.76923077</v>
      </c>
      <c r="F43" s="73">
        <v>1.0</v>
      </c>
      <c r="G43" s="74">
        <v>5.0</v>
      </c>
      <c r="H43" s="75">
        <v>0.0</v>
      </c>
      <c r="I43" s="74">
        <v>0.0</v>
      </c>
      <c r="J43" s="74">
        <v>6.0</v>
      </c>
      <c r="K43" s="74">
        <v>5.0</v>
      </c>
      <c r="L43" s="76">
        <v>11.0</v>
      </c>
      <c r="M43" s="74">
        <v>1.0</v>
      </c>
      <c r="N43" s="31">
        <f t="shared" ref="N43:O43" si="45">C43+L43</f>
        <v>173</v>
      </c>
      <c r="O43" s="31">
        <f t="shared" si="45"/>
        <v>14</v>
      </c>
      <c r="P43" s="45" t="s">
        <v>58</v>
      </c>
      <c r="Q43" s="45" t="s">
        <v>58</v>
      </c>
      <c r="R43" s="45" t="s">
        <v>58</v>
      </c>
      <c r="S43" s="46">
        <f t="shared" si="4"/>
        <v>1</v>
      </c>
      <c r="T43" s="46"/>
      <c r="U43" s="46">
        <f t="shared" si="5"/>
        <v>1</v>
      </c>
      <c r="V43" s="46">
        <f t="shared" si="6"/>
        <v>-5</v>
      </c>
      <c r="W43" s="30">
        <f t="shared" si="9"/>
        <v>39</v>
      </c>
    </row>
    <row r="44">
      <c r="A44" s="30">
        <f t="shared" si="7"/>
        <v>40</v>
      </c>
      <c r="B44" s="28" t="s">
        <v>34</v>
      </c>
      <c r="C44" s="31">
        <v>162.0</v>
      </c>
      <c r="D44" s="31">
        <v>12.0</v>
      </c>
      <c r="E44" s="36">
        <f t="shared" si="2"/>
        <v>14.4</v>
      </c>
      <c r="F44" s="73">
        <v>2.0</v>
      </c>
      <c r="G44" s="74">
        <v>6.0</v>
      </c>
      <c r="H44" s="75">
        <v>0.0</v>
      </c>
      <c r="I44" s="74">
        <v>6.0</v>
      </c>
      <c r="J44" s="74">
        <v>6.0</v>
      </c>
      <c r="K44" s="74">
        <v>6.0</v>
      </c>
      <c r="L44" s="76">
        <v>18.0</v>
      </c>
      <c r="M44" s="74">
        <v>3.0</v>
      </c>
      <c r="N44" s="31">
        <f t="shared" ref="N44:O44" si="46">C44+L44</f>
        <v>180</v>
      </c>
      <c r="O44" s="31">
        <f t="shared" si="46"/>
        <v>15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10</v>
      </c>
      <c r="V44" s="46">
        <f t="shared" si="6"/>
        <v>-5</v>
      </c>
      <c r="W44" s="30">
        <f t="shared" si="9"/>
        <v>40</v>
      </c>
    </row>
    <row r="45">
      <c r="A45" s="30">
        <f t="shared" si="7"/>
        <v>41</v>
      </c>
      <c r="B45" s="28" t="s">
        <v>93</v>
      </c>
      <c r="C45" s="31">
        <v>161.0</v>
      </c>
      <c r="D45" s="31">
        <v>11.0</v>
      </c>
      <c r="E45" s="36">
        <f t="shared" si="2"/>
        <v>12.71428571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7">C45+L45</f>
        <v>170</v>
      </c>
      <c r="O45" s="31">
        <f t="shared" si="47"/>
        <v>11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8</v>
      </c>
      <c r="V45" s="46">
        <f t="shared" si="6"/>
        <v>0</v>
      </c>
      <c r="W45" s="30">
        <f t="shared" si="9"/>
        <v>41</v>
      </c>
    </row>
    <row r="46">
      <c r="A46" s="30">
        <f t="shared" si="7"/>
        <v>42</v>
      </c>
      <c r="B46" s="28" t="s">
        <v>127</v>
      </c>
      <c r="C46" s="31">
        <v>158.0</v>
      </c>
      <c r="D46" s="31">
        <v>6.0</v>
      </c>
      <c r="E46" s="36">
        <f t="shared" si="2"/>
        <v>15.33333333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167</v>
      </c>
      <c r="O46" s="31">
        <f t="shared" si="48"/>
        <v>6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11</v>
      </c>
      <c r="V46" s="46">
        <f t="shared" si="6"/>
        <v>8</v>
      </c>
      <c r="W46" s="30">
        <f t="shared" si="9"/>
        <v>42</v>
      </c>
    </row>
    <row r="47">
      <c r="A47" s="30">
        <f t="shared" si="7"/>
        <v>43</v>
      </c>
      <c r="B47" s="48" t="s">
        <v>125</v>
      </c>
      <c r="C47" s="31">
        <v>157.0</v>
      </c>
      <c r="D47" s="31">
        <v>11.0</v>
      </c>
      <c r="E47" s="36">
        <f t="shared" si="2"/>
        <v>10.46666667</v>
      </c>
      <c r="F47" s="73">
        <v>1.0</v>
      </c>
      <c r="G47" s="74">
        <v>6.0</v>
      </c>
      <c r="H47" s="75">
        <v>0.0</v>
      </c>
      <c r="I47" s="74">
        <v>6.0</v>
      </c>
      <c r="J47" s="74">
        <v>4.0</v>
      </c>
      <c r="K47" s="74">
        <v>0.0</v>
      </c>
      <c r="L47" s="76">
        <v>10.0</v>
      </c>
      <c r="M47" s="74">
        <v>1.0</v>
      </c>
      <c r="N47" s="31">
        <f t="shared" ref="N47:O47" si="49">C47+L47</f>
        <v>167</v>
      </c>
      <c r="O47" s="31">
        <f t="shared" si="49"/>
        <v>12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0</v>
      </c>
      <c r="V47" s="46">
        <f t="shared" si="6"/>
        <v>-5</v>
      </c>
      <c r="W47" s="30">
        <f t="shared" si="9"/>
        <v>43</v>
      </c>
    </row>
    <row r="48">
      <c r="A48" s="30">
        <f t="shared" si="7"/>
        <v>44</v>
      </c>
      <c r="B48" s="28" t="s">
        <v>102</v>
      </c>
      <c r="C48" s="31">
        <v>157.0</v>
      </c>
      <c r="D48" s="31">
        <v>9.0</v>
      </c>
      <c r="E48" s="36">
        <f t="shared" si="2"/>
        <v>15</v>
      </c>
      <c r="F48" s="73">
        <v>3.0</v>
      </c>
      <c r="G48" s="74">
        <v>0.0</v>
      </c>
      <c r="H48" s="75">
        <v>9.0</v>
      </c>
      <c r="I48" s="74">
        <v>0.0</v>
      </c>
      <c r="J48" s="74">
        <v>0.0</v>
      </c>
      <c r="K48" s="74">
        <v>0.0</v>
      </c>
      <c r="L48" s="76">
        <v>9.0</v>
      </c>
      <c r="M48" s="74">
        <v>0.0</v>
      </c>
      <c r="N48" s="31">
        <f t="shared" ref="N48:O48" si="50">C48+L48</f>
        <v>166</v>
      </c>
      <c r="O48" s="31">
        <f t="shared" si="50"/>
        <v>9</v>
      </c>
      <c r="P48" s="45" t="s">
        <v>58</v>
      </c>
      <c r="Q48" s="45" t="s">
        <v>58</v>
      </c>
      <c r="R48" s="45"/>
      <c r="S48" s="46">
        <f t="shared" si="4"/>
        <v>1</v>
      </c>
      <c r="T48" s="46"/>
      <c r="U48" s="46">
        <f t="shared" si="5"/>
        <v>11</v>
      </c>
      <c r="V48" s="46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43" t="s">
        <v>138</v>
      </c>
      <c r="C49" s="47">
        <v>156.0</v>
      </c>
      <c r="D49" s="31">
        <v>15.0</v>
      </c>
      <c r="E49" s="36">
        <f t="shared" si="2"/>
        <v>10.90909091</v>
      </c>
      <c r="F49" s="73">
        <v>1.0</v>
      </c>
      <c r="G49" s="74">
        <v>6.0</v>
      </c>
      <c r="H49" s="75">
        <v>0.0</v>
      </c>
      <c r="I49" s="74">
        <v>4.0</v>
      </c>
      <c r="J49" s="74">
        <v>6.0</v>
      </c>
      <c r="K49" s="74">
        <v>0.0</v>
      </c>
      <c r="L49" s="76">
        <v>10.0</v>
      </c>
      <c r="M49" s="74">
        <v>1.0</v>
      </c>
      <c r="N49" s="47">
        <f t="shared" ref="N49:O49" si="51">C49+L49</f>
        <v>166</v>
      </c>
      <c r="O49" s="31">
        <f t="shared" si="51"/>
        <v>16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4</v>
      </c>
      <c r="V49" s="46">
        <f t="shared" si="6"/>
        <v>2</v>
      </c>
      <c r="W49" s="30">
        <f t="shared" si="9"/>
        <v>45</v>
      </c>
    </row>
    <row r="50">
      <c r="A50" s="30">
        <f t="shared" si="7"/>
        <v>46</v>
      </c>
      <c r="B50" s="43" t="s">
        <v>122</v>
      </c>
      <c r="C50" s="31">
        <v>156.0</v>
      </c>
      <c r="D50" s="31">
        <v>10.0</v>
      </c>
      <c r="E50" s="36">
        <f t="shared" si="2"/>
        <v>11.625</v>
      </c>
      <c r="F50" s="73">
        <v>1.0</v>
      </c>
      <c r="G50" s="74">
        <v>6.0</v>
      </c>
      <c r="H50" s="75">
        <v>0.0</v>
      </c>
      <c r="I50" s="74">
        <v>4.0</v>
      </c>
      <c r="J50" s="74">
        <v>4.0</v>
      </c>
      <c r="K50" s="74">
        <v>6.0</v>
      </c>
      <c r="L50" s="76">
        <v>14.0</v>
      </c>
      <c r="M50" s="74">
        <v>1.0</v>
      </c>
      <c r="N50" s="31">
        <f t="shared" ref="N50:O50" si="52">C50+L50</f>
        <v>170</v>
      </c>
      <c r="O50" s="31">
        <f t="shared" si="52"/>
        <v>11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7</v>
      </c>
      <c r="V50" s="46">
        <f t="shared" si="6"/>
        <v>-2</v>
      </c>
      <c r="W50" s="30">
        <f t="shared" si="9"/>
        <v>46</v>
      </c>
    </row>
    <row r="51">
      <c r="A51" s="30">
        <f t="shared" si="7"/>
        <v>47</v>
      </c>
      <c r="B51" s="43" t="s">
        <v>96</v>
      </c>
      <c r="C51" s="31">
        <v>156.0</v>
      </c>
      <c r="D51" s="31">
        <v>8.0</v>
      </c>
      <c r="E51" s="36">
        <f t="shared" si="2"/>
        <v>10.44444444</v>
      </c>
      <c r="F51" s="73">
        <v>1.0</v>
      </c>
      <c r="G51" s="74">
        <v>7.0</v>
      </c>
      <c r="H51" s="75">
        <v>0.0</v>
      </c>
      <c r="I51" s="74">
        <v>2.0</v>
      </c>
      <c r="J51" s="74">
        <v>6.0</v>
      </c>
      <c r="K51" s="74">
        <v>6.0</v>
      </c>
      <c r="L51" s="76">
        <v>14.0</v>
      </c>
      <c r="M51" s="74">
        <v>0.0</v>
      </c>
      <c r="N51" s="31">
        <f t="shared" ref="N51:O51" si="53">C51+L51</f>
        <v>170</v>
      </c>
      <c r="O51" s="31">
        <f t="shared" si="53"/>
        <v>8</v>
      </c>
      <c r="P51" s="45" t="s">
        <v>58</v>
      </c>
      <c r="Q51" s="45" t="s">
        <v>58</v>
      </c>
      <c r="R51" s="45"/>
      <c r="S51" s="46">
        <f t="shared" si="4"/>
        <v>2</v>
      </c>
      <c r="T51" s="46"/>
      <c r="U51" s="46">
        <f t="shared" si="5"/>
        <v>4</v>
      </c>
      <c r="V51" s="46">
        <f t="shared" si="6"/>
        <v>2</v>
      </c>
      <c r="W51" s="30">
        <f t="shared" si="9"/>
        <v>47</v>
      </c>
    </row>
    <row r="52">
      <c r="A52" s="30">
        <f t="shared" si="7"/>
        <v>48</v>
      </c>
      <c r="B52" s="48" t="s">
        <v>54</v>
      </c>
      <c r="C52" s="31">
        <v>154.0</v>
      </c>
      <c r="D52" s="31">
        <v>11.0</v>
      </c>
      <c r="E52" s="36">
        <f t="shared" si="2"/>
        <v>10.5</v>
      </c>
      <c r="F52" s="73">
        <v>1.0</v>
      </c>
      <c r="G52" s="74">
        <v>7.0</v>
      </c>
      <c r="H52" s="75">
        <v>0.0</v>
      </c>
      <c r="I52" s="74">
        <v>6.0</v>
      </c>
      <c r="J52" s="74">
        <v>6.0</v>
      </c>
      <c r="K52" s="74">
        <v>7.0</v>
      </c>
      <c r="L52" s="76">
        <v>19.0</v>
      </c>
      <c r="M52" s="74">
        <v>2.0</v>
      </c>
      <c r="N52" s="31">
        <f t="shared" ref="N52:O52" si="54">C52+L52</f>
        <v>173</v>
      </c>
      <c r="O52" s="31">
        <f t="shared" si="54"/>
        <v>13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4</v>
      </c>
      <c r="V52" s="46">
        <f t="shared" si="6"/>
        <v>3</v>
      </c>
      <c r="W52" s="30">
        <f t="shared" si="9"/>
        <v>48</v>
      </c>
    </row>
    <row r="53">
      <c r="A53" s="30">
        <f t="shared" si="7"/>
        <v>49</v>
      </c>
      <c r="B53" s="43" t="s">
        <v>136</v>
      </c>
      <c r="C53" s="31">
        <v>153.0</v>
      </c>
      <c r="D53" s="31">
        <v>14.0</v>
      </c>
      <c r="E53" s="36">
        <f t="shared" si="2"/>
        <v>10.38461538</v>
      </c>
      <c r="F53" s="73">
        <v>1.0</v>
      </c>
      <c r="G53" s="74">
        <v>7.0</v>
      </c>
      <c r="H53" s="75">
        <v>0.0</v>
      </c>
      <c r="I53" s="74">
        <v>6.0</v>
      </c>
      <c r="J53" s="74">
        <v>7.0</v>
      </c>
      <c r="K53" s="74">
        <v>6.0</v>
      </c>
      <c r="L53" s="76">
        <v>19.0</v>
      </c>
      <c r="M53" s="74">
        <v>2.0</v>
      </c>
      <c r="N53" s="31">
        <f t="shared" ref="N53:O53" si="55">C53+L53</f>
        <v>172</v>
      </c>
      <c r="O53" s="31">
        <f t="shared" si="55"/>
        <v>16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2</v>
      </c>
      <c r="V53" s="46">
        <f t="shared" si="6"/>
        <v>-4</v>
      </c>
      <c r="W53" s="30">
        <f t="shared" si="9"/>
        <v>49</v>
      </c>
    </row>
    <row r="54">
      <c r="A54" s="30">
        <f t="shared" si="7"/>
        <v>50</v>
      </c>
      <c r="B54" s="43" t="s">
        <v>140</v>
      </c>
      <c r="C54" s="31">
        <v>153.0</v>
      </c>
      <c r="D54" s="31">
        <v>9.0</v>
      </c>
      <c r="E54" s="36">
        <f t="shared" si="2"/>
        <v>11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162</v>
      </c>
      <c r="O54" s="31">
        <f t="shared" si="56"/>
        <v>9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7</v>
      </c>
      <c r="V54" s="46">
        <f t="shared" si="6"/>
        <v>-4</v>
      </c>
      <c r="W54" s="30">
        <f t="shared" si="9"/>
        <v>50</v>
      </c>
    </row>
    <row r="55">
      <c r="A55" s="30">
        <f t="shared" si="7"/>
        <v>51</v>
      </c>
      <c r="B55" s="48" t="s">
        <v>103</v>
      </c>
      <c r="C55" s="31">
        <v>150.0</v>
      </c>
      <c r="D55" s="31">
        <v>12.0</v>
      </c>
      <c r="E55" s="36">
        <f t="shared" si="2"/>
        <v>10.36363636</v>
      </c>
      <c r="F55" s="73">
        <v>1.0</v>
      </c>
      <c r="G55" s="74">
        <v>7.0</v>
      </c>
      <c r="H55" s="75">
        <v>0.0</v>
      </c>
      <c r="I55" s="74">
        <v>2.0</v>
      </c>
      <c r="J55" s="74">
        <v>7.0</v>
      </c>
      <c r="K55" s="74">
        <v>7.0</v>
      </c>
      <c r="L55" s="76">
        <v>16.0</v>
      </c>
      <c r="M55" s="74">
        <v>2.0</v>
      </c>
      <c r="N55" s="31">
        <f t="shared" ref="N55:O55" si="57">C55+L55</f>
        <v>166</v>
      </c>
      <c r="O55" s="31">
        <f t="shared" si="57"/>
        <v>14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4</v>
      </c>
      <c r="V55" s="46">
        <f t="shared" si="6"/>
        <v>-3</v>
      </c>
      <c r="W55" s="30">
        <f t="shared" si="9"/>
        <v>51</v>
      </c>
    </row>
    <row r="56">
      <c r="A56" s="30">
        <f t="shared" si="7"/>
        <v>52</v>
      </c>
      <c r="B56" s="48" t="s">
        <v>70</v>
      </c>
      <c r="C56" s="31">
        <v>149.0</v>
      </c>
      <c r="D56" s="31">
        <v>7.0</v>
      </c>
      <c r="E56" s="36">
        <f t="shared" si="2"/>
        <v>10.25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158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6</v>
      </c>
      <c r="V56" s="46">
        <f t="shared" si="6"/>
        <v>2</v>
      </c>
      <c r="W56" s="30">
        <f t="shared" si="9"/>
        <v>52</v>
      </c>
    </row>
    <row r="57">
      <c r="A57" s="30">
        <f t="shared" si="7"/>
        <v>53</v>
      </c>
      <c r="B57" s="48" t="s">
        <v>139</v>
      </c>
      <c r="C57" s="31">
        <v>144.0</v>
      </c>
      <c r="D57" s="31">
        <v>5.0</v>
      </c>
      <c r="E57" s="36">
        <f t="shared" si="2"/>
        <v>10.66666667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153</v>
      </c>
      <c r="O57" s="31">
        <f t="shared" si="59"/>
        <v>5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11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43" t="s">
        <v>79</v>
      </c>
      <c r="C58" s="31">
        <v>142.0</v>
      </c>
      <c r="D58" s="31">
        <v>4.0</v>
      </c>
      <c r="E58" s="36">
        <f t="shared" si="2"/>
        <v>10.16666667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151</v>
      </c>
      <c r="O58" s="31">
        <f t="shared" si="60"/>
        <v>4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9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43" t="s">
        <v>131</v>
      </c>
      <c r="C59" s="31">
        <v>142.0</v>
      </c>
      <c r="D59" s="31">
        <v>3.0</v>
      </c>
      <c r="E59" s="36">
        <f t="shared" si="2"/>
        <v>10.75</v>
      </c>
      <c r="F59" s="73">
        <v>1.0</v>
      </c>
      <c r="G59" s="74">
        <v>8.0</v>
      </c>
      <c r="H59" s="75">
        <v>0.0</v>
      </c>
      <c r="I59" s="74">
        <v>6.0</v>
      </c>
      <c r="J59" s="74">
        <v>6.0</v>
      </c>
      <c r="K59" s="74">
        <v>6.0</v>
      </c>
      <c r="L59" s="76">
        <v>18.0</v>
      </c>
      <c r="M59" s="74">
        <v>2.0</v>
      </c>
      <c r="N59" s="31">
        <f t="shared" ref="N59:O59" si="61">C59+L59</f>
        <v>160</v>
      </c>
      <c r="O59" s="31">
        <f t="shared" si="61"/>
        <v>5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11</v>
      </c>
      <c r="V59" s="46">
        <f t="shared" si="6"/>
        <v>2</v>
      </c>
      <c r="W59" s="30">
        <f t="shared" si="9"/>
        <v>55</v>
      </c>
    </row>
    <row r="60">
      <c r="A60" s="30">
        <f t="shared" si="7"/>
        <v>56</v>
      </c>
      <c r="B60" s="43" t="s">
        <v>100</v>
      </c>
      <c r="C60" s="31">
        <v>139.0</v>
      </c>
      <c r="D60" s="31">
        <v>12.0</v>
      </c>
      <c r="E60" s="36">
        <f t="shared" si="2"/>
        <v>9.333333333</v>
      </c>
      <c r="F60" s="73">
        <v>1.0</v>
      </c>
      <c r="G60" s="74">
        <v>8.0</v>
      </c>
      <c r="H60" s="75">
        <v>0.0</v>
      </c>
      <c r="I60" s="74">
        <v>6.0</v>
      </c>
      <c r="J60" s="74">
        <v>1.0</v>
      </c>
      <c r="K60" s="74">
        <v>2.0</v>
      </c>
      <c r="L60" s="76">
        <v>9.0</v>
      </c>
      <c r="M60" s="74">
        <v>0.0</v>
      </c>
      <c r="N60" s="31">
        <f t="shared" ref="N60:O60" si="62">C60+L60</f>
        <v>148</v>
      </c>
      <c r="O60" s="31">
        <f t="shared" si="62"/>
        <v>12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3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139.0</v>
      </c>
      <c r="D61" s="31">
        <v>5.0</v>
      </c>
      <c r="E61" s="36">
        <f t="shared" si="2"/>
        <v>9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3">C61+L61</f>
        <v>148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11</v>
      </c>
      <c r="V61" s="46">
        <f t="shared" si="6"/>
        <v>-2</v>
      </c>
      <c r="W61" s="30">
        <f t="shared" si="9"/>
        <v>57</v>
      </c>
    </row>
    <row r="62">
      <c r="A62" s="30">
        <f t="shared" si="7"/>
        <v>58</v>
      </c>
      <c r="B62" s="43" t="s">
        <v>142</v>
      </c>
      <c r="C62" s="47">
        <v>132.0</v>
      </c>
      <c r="D62" s="31">
        <v>4.0</v>
      </c>
      <c r="E62" s="36">
        <f t="shared" si="2"/>
        <v>8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141</v>
      </c>
      <c r="O62" s="31">
        <f t="shared" si="64"/>
        <v>4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12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28" t="s">
        <v>80</v>
      </c>
      <c r="C63" s="31">
        <v>130.0</v>
      </c>
      <c r="D63" s="31">
        <v>0.0</v>
      </c>
      <c r="E63" s="36">
        <f t="shared" si="2"/>
        <v>0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5">C63+L63</f>
        <v>139</v>
      </c>
      <c r="O63" s="31">
        <f t="shared" si="65"/>
        <v>0</v>
      </c>
      <c r="P63" s="45" t="s">
        <v>58</v>
      </c>
      <c r="Q63" s="45" t="s">
        <v>58</v>
      </c>
      <c r="R63" s="45" t="s">
        <v>143</v>
      </c>
      <c r="S63" s="46">
        <f t="shared" si="4"/>
        <v>1</v>
      </c>
      <c r="T63" s="46"/>
      <c r="U63" s="46">
        <f t="shared" si="5"/>
        <v>14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72</v>
      </c>
      <c r="C64" s="31">
        <v>130.0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139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1</v>
      </c>
      <c r="T64" s="46"/>
      <c r="U64" s="46">
        <f t="shared" si="5"/>
        <v>14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3" t="s">
        <v>118</v>
      </c>
      <c r="C65" s="47">
        <v>129.0</v>
      </c>
      <c r="D65" s="31">
        <v>5.0</v>
      </c>
      <c r="E65" s="36">
        <f t="shared" si="2"/>
        <v>8</v>
      </c>
      <c r="F65" s="73">
        <v>2.0</v>
      </c>
      <c r="G65" s="74">
        <v>8.0</v>
      </c>
      <c r="H65" s="75">
        <v>0.0</v>
      </c>
      <c r="I65" s="74">
        <v>7.0</v>
      </c>
      <c r="J65" s="74">
        <v>1.0</v>
      </c>
      <c r="K65" s="74">
        <v>6.0</v>
      </c>
      <c r="L65" s="76">
        <v>14.0</v>
      </c>
      <c r="M65" s="74">
        <v>2.0</v>
      </c>
      <c r="N65" s="47">
        <f t="shared" ref="N65:O65" si="67">C65+L65</f>
        <v>143</v>
      </c>
      <c r="O65" s="31">
        <f t="shared" si="67"/>
        <v>7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9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126.0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135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15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126.0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135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15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78</v>
      </c>
      <c r="C68" s="47">
        <v>119.0</v>
      </c>
      <c r="D68" s="31">
        <v>3.0</v>
      </c>
      <c r="E68" s="36">
        <f t="shared" si="2"/>
        <v>6.714285714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47">
        <f t="shared" ref="N68:O68" si="70">C68+L68</f>
        <v>128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8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135</v>
      </c>
      <c r="C69" s="31">
        <v>115.0</v>
      </c>
      <c r="D69" s="31">
        <v>1.0</v>
      </c>
      <c r="E69" s="36">
        <f t="shared" si="2"/>
        <v>5</v>
      </c>
      <c r="F69" s="73">
        <v>1.0</v>
      </c>
      <c r="G69" s="74">
        <v>8.0</v>
      </c>
      <c r="H69" s="75">
        <v>0.0</v>
      </c>
      <c r="I69" s="74">
        <v>7.0</v>
      </c>
      <c r="J69" s="74">
        <v>6.0</v>
      </c>
      <c r="K69" s="74">
        <v>2.0</v>
      </c>
      <c r="L69" s="76">
        <v>15.0</v>
      </c>
      <c r="M69" s="74">
        <v>2.0</v>
      </c>
      <c r="N69" s="31">
        <f t="shared" ref="N69:O69" si="71">C69+L69</f>
        <v>130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10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desc"",0)"),"Manish Anand")</f>
        <v>Manish Anand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IFERROR(__xludf.DUMMYFUNCTION("""COMPUTED_VALUE"""),2.0)</f>
        <v>2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IFERROR(__xludf.DUMMYFUNCTION("""COMPUTED_VALUE"""),"Elayaraja Thangaraj ")</f>
        <v>Elayaraja Thangaraj 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IFERROR(__xludf.DUMMYFUNCTION("""COMPUTED_VALUE"""),5.0)</f>
        <v>5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IFERROR(__xludf.DUMMYFUNCTION("""COMPUTED_VALUE"""),"Vinaya Kajla")</f>
        <v>Vinaya Kajla</v>
      </c>
      <c r="C78" s="84">
        <f>IFERROR(__xludf.DUMMYFUNCTION("""COMPUTED_VALUE"""),19.0)</f>
        <v>19</v>
      </c>
      <c r="D78" s="84">
        <f>IFERROR(__xludf.DUMMYFUNCTION("""COMPUTED_VALUE"""),2.0)</f>
        <v>2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IFERROR(__xludf.DUMMYFUNCTION("""COMPUTED_VALUE"""),"Sandy Weyant")</f>
        <v>Sandy Weyant</v>
      </c>
      <c r="C79" s="84">
        <f>IFERROR(__xludf.DUMMYFUNCTION("""COMPUTED_VALUE"""),19.0)</f>
        <v>19</v>
      </c>
      <c r="D79" s="84">
        <f>IFERROR(__xludf.DUMMYFUNCTION("""COMPUTED_VALUE"""),2.0)</f>
        <v>2</v>
      </c>
      <c r="E79" s="84">
        <f>IFERROR(__xludf.DUMMYFUNCTION("""COMPUTED_VALUE"""),7.0)</f>
        <v>7</v>
      </c>
      <c r="F79" s="1"/>
    </row>
    <row r="80">
      <c r="A80" s="1"/>
      <c r="B80" s="43" t="str">
        <f>IFERROR(__xludf.DUMMYFUNCTION("""COMPUTED_VALUE"""),"Scott Li")</f>
        <v>Scott Li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IFERROR(__xludf.DUMMYFUNCTION("""COMPUTED_VALUE"""),3.0)</f>
        <v>3</v>
      </c>
      <c r="F80" s="1"/>
      <c r="L80" s="33"/>
    </row>
    <row r="81">
      <c r="A81" s="1"/>
      <c r="B81" s="43" t="str">
        <f>IFERROR(__xludf.DUMMYFUNCTION("""COMPUTED_VALUE"""),"Adrian Tay")</f>
        <v>Adrian Tay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IFERROR(__xludf.DUMMYFUNCTION("""COMPUTED_VALUE"""),6.0)</f>
        <v>6</v>
      </c>
      <c r="F81" s="1"/>
      <c r="L81" s="33"/>
    </row>
    <row r="82">
      <c r="A82" s="1"/>
      <c r="B82" s="43" t="str">
        <f>IFERROR(__xludf.DUMMYFUNCTION("""COMPUTED_VALUE"""),"Nicole Ni")</f>
        <v>Nicole Ni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IFERROR(__xludf.DUMMYFUNCTION("""COMPUTED_VALUE"""),8.0)</f>
        <v>8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10"")"),"Oscar Bonilla")</f>
        <v>Oscar Bonilla</v>
      </c>
      <c r="C90" s="84">
        <f>IFERROR(__xludf.DUMMYFUNCTION("""COMPUTED_VALUE"""),9.0)</f>
        <v>9</v>
      </c>
      <c r="D90" s="84">
        <f t="shared" ref="D90:D99" si="72">VLOOKUP(B90,indirect($AB$2&amp;"!B$5:w$70"),22, false)</f>
        <v>42</v>
      </c>
      <c r="E90" s="84">
        <f t="shared" ref="E90:E99" si="73">VLOOKUP(B90,B$5:W$69,22, false)</f>
        <v>33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8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IFERROR(__xludf.DUMMYFUNCTION("""COMPUTED_VALUE"""),"Matthew Huang")</f>
        <v>Matthew Huang</v>
      </c>
      <c r="C91" s="84">
        <f>IFERROR(__xludf.DUMMYFUNCTION("""COMPUTED_VALUE"""),8.0)</f>
        <v>8</v>
      </c>
      <c r="D91" s="84">
        <f t="shared" si="72"/>
        <v>50</v>
      </c>
      <c r="E91" s="84">
        <f t="shared" si="73"/>
        <v>42</v>
      </c>
      <c r="F91" s="84">
        <f t="shared" si="74"/>
        <v>18</v>
      </c>
      <c r="G91" s="84">
        <f t="shared" si="75"/>
        <v>10</v>
      </c>
      <c r="L91" s="84" t="str">
        <f t="shared" si="76"/>
        <v>ok</v>
      </c>
    </row>
    <row r="92">
      <c r="A92" s="1"/>
      <c r="B92" s="43" t="str">
        <f>IFERROR(__xludf.DUMMYFUNCTION("""COMPUTED_VALUE"""),"Alejandro Mejia")</f>
        <v>Alejandro Mejia</v>
      </c>
      <c r="C92" s="84">
        <f>IFERROR(__xludf.DUMMYFUNCTION("""COMPUTED_VALUE"""),6.0)</f>
        <v>6</v>
      </c>
      <c r="D92" s="84">
        <f t="shared" si="72"/>
        <v>9</v>
      </c>
      <c r="E92" s="84">
        <f t="shared" si="73"/>
        <v>3</v>
      </c>
      <c r="F92" s="84">
        <f t="shared" si="74"/>
        <v>19</v>
      </c>
      <c r="G92" s="84">
        <f t="shared" si="75"/>
        <v>9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IFERROR(__xludf.DUMMYFUNCTION("""COMPUTED_VALUE"""),"David Shin")</f>
        <v>David Shin</v>
      </c>
      <c r="C93" s="84">
        <f>IFERROR(__xludf.DUMMYFUNCTION("""COMPUTED_VALUE"""),5.0)</f>
        <v>5</v>
      </c>
      <c r="D93" s="84">
        <f t="shared" si="72"/>
        <v>10</v>
      </c>
      <c r="E93" s="84">
        <f t="shared" si="73"/>
        <v>5</v>
      </c>
      <c r="F93" s="84">
        <f t="shared" si="74"/>
        <v>15</v>
      </c>
      <c r="G93" s="84">
        <f t="shared" si="75"/>
        <v>9</v>
      </c>
      <c r="L93" s="84" t="str">
        <f t="shared" si="76"/>
        <v>ok</v>
      </c>
    </row>
    <row r="94">
      <c r="A94" s="1"/>
      <c r="B94" s="43" t="str">
        <f>IFERROR(__xludf.DUMMYFUNCTION("""COMPUTED_VALUE"""),"Lam Bui")</f>
        <v>Lam Bui</v>
      </c>
      <c r="C94" s="84">
        <f>IFERROR(__xludf.DUMMYFUNCTION("""COMPUTED_VALUE"""),5.0)</f>
        <v>5</v>
      </c>
      <c r="D94" s="84">
        <f t="shared" si="72"/>
        <v>23</v>
      </c>
      <c r="E94" s="84">
        <f t="shared" si="73"/>
        <v>18</v>
      </c>
      <c r="F94" s="84">
        <f t="shared" si="74"/>
        <v>19</v>
      </c>
      <c r="G94" s="84">
        <f t="shared" si="75"/>
        <v>4</v>
      </c>
      <c r="L94" s="84" t="str">
        <f t="shared" si="76"/>
        <v>ok</v>
      </c>
    </row>
    <row r="95">
      <c r="A95" s="1"/>
      <c r="B95" s="43" t="str">
        <f>IFERROR(__xludf.DUMMYFUNCTION("""COMPUTED_VALUE"""),"Wayne Liu")</f>
        <v>Wayne Liu</v>
      </c>
      <c r="C95" s="84">
        <f>IFERROR(__xludf.DUMMYFUNCTION("""COMPUTED_VALUE"""),5.0)</f>
        <v>5</v>
      </c>
      <c r="D95" s="84">
        <f t="shared" si="72"/>
        <v>33</v>
      </c>
      <c r="E95" s="84">
        <f t="shared" si="73"/>
        <v>28</v>
      </c>
      <c r="F95" s="84">
        <f t="shared" si="74"/>
        <v>16</v>
      </c>
      <c r="G95" s="84">
        <f t="shared" si="75"/>
        <v>6</v>
      </c>
      <c r="L95" s="84" t="str">
        <f t="shared" si="76"/>
        <v>ok</v>
      </c>
    </row>
    <row r="96">
      <c r="A96" s="1"/>
      <c r="B96" s="43" t="str">
        <f>IFERROR(__xludf.DUMMYFUNCTION("""COMPUTED_VALUE"""),"Sandeep Kamalon")</f>
        <v>Sandeep Kamalon</v>
      </c>
      <c r="C96" s="84">
        <f>IFERROR(__xludf.DUMMYFUNCTION("""COMPUTED_VALUE"""),4.0)</f>
        <v>4</v>
      </c>
      <c r="D96" s="84">
        <f t="shared" si="72"/>
        <v>8</v>
      </c>
      <c r="E96" s="84">
        <f t="shared" si="73"/>
        <v>4</v>
      </c>
      <c r="F96" s="84">
        <f t="shared" si="74"/>
        <v>16</v>
      </c>
      <c r="G96" s="84">
        <f t="shared" si="75"/>
        <v>9</v>
      </c>
      <c r="L96" s="84" t="str">
        <f t="shared" si="76"/>
        <v>ok</v>
      </c>
    </row>
    <row r="97">
      <c r="A97" s="1"/>
      <c r="B97" s="43" t="str">
        <f>IFERROR(__xludf.DUMMYFUNCTION("""COMPUTED_VALUE"""),"Erik Hoeckmann")</f>
        <v>Erik Hoeckmann</v>
      </c>
      <c r="C97" s="84">
        <f>IFERROR(__xludf.DUMMYFUNCTION("""COMPUTED_VALUE"""),4.0)</f>
        <v>4</v>
      </c>
      <c r="D97" s="84">
        <f t="shared" si="72"/>
        <v>25</v>
      </c>
      <c r="E97" s="84">
        <f t="shared" si="73"/>
        <v>21</v>
      </c>
      <c r="F97" s="84">
        <f t="shared" si="74"/>
        <v>18</v>
      </c>
      <c r="G97" s="84">
        <f t="shared" si="75"/>
        <v>5</v>
      </c>
      <c r="L97" s="84" t="str">
        <f t="shared" si="76"/>
        <v>ok</v>
      </c>
    </row>
    <row r="98">
      <c r="A98" s="1"/>
      <c r="B98" s="43" t="str">
        <f>IFERROR(__xludf.DUMMYFUNCTION("""COMPUTED_VALUE"""),"Tina Hanson")</f>
        <v>Tina Hanson</v>
      </c>
      <c r="C98" s="84">
        <f>IFERROR(__xludf.DUMMYFUNCTION("""COMPUTED_VALUE"""),4.0)</f>
        <v>4</v>
      </c>
      <c r="D98" s="84">
        <f t="shared" si="72"/>
        <v>36</v>
      </c>
      <c r="E98" s="84">
        <f t="shared" si="73"/>
        <v>32</v>
      </c>
      <c r="F98" s="84">
        <f t="shared" si="74"/>
        <v>15</v>
      </c>
      <c r="G98" s="84">
        <f t="shared" si="75"/>
        <v>6</v>
      </c>
      <c r="L98" s="84" t="str">
        <f t="shared" si="76"/>
        <v>ok</v>
      </c>
    </row>
    <row r="99">
      <c r="A99" s="1"/>
      <c r="B99" s="43" t="str">
        <f>IFERROR(__xludf.DUMMYFUNCTION("""COMPUTED_VALUE"""),"Saravanan Veerapandian")</f>
        <v>Saravanan Veerapandian</v>
      </c>
      <c r="C99" s="84">
        <f>IFERROR(__xludf.DUMMYFUNCTION("""COMPUTED_VALUE"""),3.0)</f>
        <v>3</v>
      </c>
      <c r="D99" s="84">
        <f t="shared" si="72"/>
        <v>40</v>
      </c>
      <c r="E99" s="84">
        <f t="shared" si="73"/>
        <v>37</v>
      </c>
      <c r="F99" s="84">
        <f t="shared" si="74"/>
        <v>15</v>
      </c>
      <c r="G99" s="84">
        <f t="shared" si="75"/>
        <v>7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10"")"),"Alex Hou")</f>
        <v>Alex Hou</v>
      </c>
      <c r="C103" s="84">
        <f>IFERROR(__xludf.DUMMYFUNCTION("""COMPUTED_VALUE"""),-7.0)</f>
        <v>-7</v>
      </c>
      <c r="D103" s="84">
        <f t="shared" ref="D103:D112" si="77">VLOOKUP(B103,indirect($AB$2&amp;"!B$5:w$70"),22, false)</f>
        <v>13</v>
      </c>
      <c r="E103" s="84">
        <f t="shared" ref="E103:E112" si="78">VLOOKUP(B103,B$5:W$69,22, false)</f>
        <v>20</v>
      </c>
      <c r="F103" s="84">
        <f t="shared" ref="F103:F112" si="79">VLOOKUP(B103,indirect($AB$2&amp;"!B$5:U$70"),11, false)</f>
        <v>4</v>
      </c>
      <c r="G103" s="84">
        <f t="shared" ref="G103:G112" si="80">VLOOKUP(B103,indirect($AB$2&amp;"!B$5:U$70"),6, false)</f>
        <v>2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IFERROR(__xludf.DUMMYFUNCTION("""COMPUTED_VALUE"""),"Sanjaye Elayattu")</f>
        <v>Sanjaye Elayattu</v>
      </c>
      <c r="C104" s="84">
        <f>IFERROR(__xludf.DUMMYFUNCTION("""COMPUTED_VALUE"""),-5.0)</f>
        <v>-5</v>
      </c>
      <c r="D104" s="84">
        <f t="shared" si="77"/>
        <v>24</v>
      </c>
      <c r="E104" s="84">
        <f t="shared" si="78"/>
        <v>29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IFERROR(__xludf.DUMMYFUNCTION("""COMPUTED_VALUE"""),"Naveen Raj")</f>
        <v>Naveen Raj</v>
      </c>
      <c r="C105" s="84">
        <f>IFERROR(__xludf.DUMMYFUNCTION("""COMPUTED_VALUE"""),-5.0)</f>
        <v>-5</v>
      </c>
      <c r="D105" s="84">
        <f t="shared" si="77"/>
        <v>30</v>
      </c>
      <c r="E105" s="84">
        <f t="shared" si="78"/>
        <v>35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IFERROR(__xludf.DUMMYFUNCTION("""COMPUTED_VALUE"""),"Jimmy Awolesi")</f>
        <v>Jimmy Awolesi</v>
      </c>
      <c r="C106" s="84">
        <f>IFERROR(__xludf.DUMMYFUNCTION("""COMPUTED_VALUE"""),-5.0)</f>
        <v>-5</v>
      </c>
      <c r="D106" s="84">
        <f t="shared" si="77"/>
        <v>34</v>
      </c>
      <c r="E106" s="84">
        <f t="shared" si="78"/>
        <v>39</v>
      </c>
      <c r="F106" s="84">
        <f t="shared" si="79"/>
        <v>9</v>
      </c>
      <c r="G106" s="84">
        <f t="shared" si="80"/>
        <v>6</v>
      </c>
      <c r="L106" s="84" t="str">
        <f t="shared" si="81"/>
        <v>ok</v>
      </c>
    </row>
    <row r="107">
      <c r="A107" s="1"/>
      <c r="B107" s="43" t="str">
        <f>IFERROR(__xludf.DUMMYFUNCTION("""COMPUTED_VALUE"""),"Adrian Tay")</f>
        <v>Adrian Tay</v>
      </c>
      <c r="C107" s="84">
        <f>IFERROR(__xludf.DUMMYFUNCTION("""COMPUTED_VALUE"""),-5.0)</f>
        <v>-5</v>
      </c>
      <c r="D107" s="84">
        <f t="shared" si="77"/>
        <v>35</v>
      </c>
      <c r="E107" s="84">
        <f t="shared" si="78"/>
        <v>40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IFERROR(__xludf.DUMMYFUNCTION("""COMPUTED_VALUE"""),"Kumar Palakeel")</f>
        <v>Kumar Palakeel</v>
      </c>
      <c r="C108" s="84">
        <f>IFERROR(__xludf.DUMMYFUNCTION("""COMPUTED_VALUE"""),-5.0)</f>
        <v>-5</v>
      </c>
      <c r="D108" s="84">
        <f t="shared" si="77"/>
        <v>38</v>
      </c>
      <c r="E108" s="84">
        <f t="shared" si="78"/>
        <v>43</v>
      </c>
      <c r="F108" s="84">
        <f t="shared" si="79"/>
        <v>7</v>
      </c>
      <c r="G108" s="84">
        <f t="shared" si="80"/>
        <v>7</v>
      </c>
      <c r="L108" s="84" t="str">
        <f t="shared" si="81"/>
        <v>ok</v>
      </c>
    </row>
    <row r="109">
      <c r="A109" s="1"/>
      <c r="B109" s="43" t="str">
        <f>IFERROR(__xludf.DUMMYFUNCTION("""COMPUTED_VALUE"""),"Troy Wong")</f>
        <v>Troy Wong</v>
      </c>
      <c r="C109" s="84">
        <f>IFERROR(__xludf.DUMMYFUNCTION("""COMPUTED_VALUE"""),-4.0)</f>
        <v>-4</v>
      </c>
      <c r="D109" s="84">
        <f t="shared" si="77"/>
        <v>4</v>
      </c>
      <c r="E109" s="84">
        <f t="shared" si="78"/>
        <v>8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IFERROR(__xludf.DUMMYFUNCTION("""COMPUTED_VALUE"""),"James Phan")</f>
        <v>James Phan</v>
      </c>
      <c r="C110" s="84">
        <f>IFERROR(__xludf.DUMMYFUNCTION("""COMPUTED_VALUE"""),-4.0)</f>
        <v>-4</v>
      </c>
      <c r="D110" s="84">
        <f t="shared" si="77"/>
        <v>5</v>
      </c>
      <c r="E110" s="84">
        <f t="shared" si="78"/>
        <v>9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IFERROR(__xludf.DUMMYFUNCTION("""COMPUTED_VALUE"""),"Ethan Gu")</f>
        <v>Ethan Gu</v>
      </c>
      <c r="C111" s="84">
        <f>IFERROR(__xludf.DUMMYFUNCTION("""COMPUTED_VALUE"""),-4.0)</f>
        <v>-4</v>
      </c>
      <c r="D111" s="84">
        <f t="shared" si="77"/>
        <v>7</v>
      </c>
      <c r="E111" s="84">
        <f t="shared" si="78"/>
        <v>11</v>
      </c>
      <c r="F111" s="84">
        <f t="shared" si="79"/>
        <v>9</v>
      </c>
      <c r="G111" s="84">
        <f t="shared" si="80"/>
        <v>1</v>
      </c>
      <c r="L111" s="84" t="str">
        <f t="shared" si="81"/>
        <v>ok</v>
      </c>
    </row>
    <row r="112">
      <c r="A112" s="1"/>
      <c r="B112" s="43" t="str">
        <f>IFERROR(__xludf.DUMMYFUNCTION("""COMPUTED_VALUE"""),"Herman Au")</f>
        <v>Herman Au</v>
      </c>
      <c r="C112" s="84">
        <f>IFERROR(__xludf.DUMMYFUNCTION("""COMPUTED_VALUE"""),-4.0)</f>
        <v>-4</v>
      </c>
      <c r="D112" s="84">
        <f t="shared" si="77"/>
        <v>19</v>
      </c>
      <c r="E112" s="84">
        <f t="shared" si="78"/>
        <v>23</v>
      </c>
      <c r="F112" s="84">
        <f t="shared" si="79"/>
        <v>11</v>
      </c>
      <c r="G112" s="84">
        <f t="shared" si="80"/>
        <v>3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45752.0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14.0</v>
      </c>
      <c r="E2" s="1"/>
      <c r="F2" s="1"/>
      <c r="R2" s="19"/>
      <c r="AB2" s="20" t="str">
        <f>text(C1-7,"mm/dd/yy")</f>
        <v>03/29/25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196.0</v>
      </c>
      <c r="D5" s="31">
        <v>22.0</v>
      </c>
      <c r="E5" s="36">
        <f t="shared" ref="E5:E69" si="2">if(($D$2-U5-S5)&lt;&gt;0,(C5-(U5*9)-(S5*13))/($D$2-U5-S5),0)</f>
        <v>14.07692308</v>
      </c>
      <c r="F5" s="73">
        <v>1.0</v>
      </c>
      <c r="G5" s="74">
        <v>1.0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3.0</v>
      </c>
      <c r="N5" s="31">
        <f t="shared" ref="N5:O5" si="1">C5+L5</f>
        <v>214</v>
      </c>
      <c r="O5" s="31">
        <f t="shared" si="1"/>
        <v>25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189.0</v>
      </c>
      <c r="D6" s="31">
        <v>22.0</v>
      </c>
      <c r="E6" s="36">
        <f t="shared" si="2"/>
        <v>15.55555556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198</v>
      </c>
      <c r="O6" s="31">
        <f t="shared" si="3"/>
        <v>22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4</v>
      </c>
      <c r="V6" s="46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43" t="s">
        <v>94</v>
      </c>
      <c r="C7" s="31">
        <v>184.0</v>
      </c>
      <c r="D7" s="31">
        <v>17.0</v>
      </c>
      <c r="E7" s="36">
        <f t="shared" si="2"/>
        <v>15</v>
      </c>
      <c r="F7" s="73">
        <v>1.0</v>
      </c>
      <c r="G7" s="74">
        <v>1.0</v>
      </c>
      <c r="H7" s="75">
        <v>0.0</v>
      </c>
      <c r="I7" s="74">
        <v>6.0</v>
      </c>
      <c r="J7" s="74">
        <v>0.0</v>
      </c>
      <c r="K7" s="74">
        <v>2.0</v>
      </c>
      <c r="L7" s="76">
        <v>8.0</v>
      </c>
      <c r="M7" s="74">
        <v>1.0</v>
      </c>
      <c r="N7" s="31">
        <f t="shared" ref="N7:O7" si="8">C7+L7</f>
        <v>192</v>
      </c>
      <c r="O7" s="31">
        <f t="shared" si="8"/>
        <v>18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4</v>
      </c>
      <c r="V7" s="46">
        <f t="shared" si="6"/>
        <v>5</v>
      </c>
      <c r="W7" s="30">
        <f t="shared" si="9"/>
        <v>3</v>
      </c>
    </row>
    <row r="8">
      <c r="A8" s="30">
        <f t="shared" si="7"/>
        <v>4</v>
      </c>
      <c r="B8" s="43" t="s">
        <v>130</v>
      </c>
      <c r="C8" s="31">
        <v>182.0</v>
      </c>
      <c r="D8" s="31">
        <v>17.0</v>
      </c>
      <c r="E8" s="36">
        <f t="shared" si="2"/>
        <v>15.22222222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31">
        <f t="shared" ref="N8:O8" si="10">C8+L8</f>
        <v>191</v>
      </c>
      <c r="O8" s="31">
        <f t="shared" si="10"/>
        <v>17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5</v>
      </c>
      <c r="V8" s="46">
        <f t="shared" si="6"/>
        <v>2</v>
      </c>
      <c r="W8" s="30">
        <f t="shared" si="9"/>
        <v>4</v>
      </c>
    </row>
    <row r="9">
      <c r="A9" s="30">
        <f t="shared" si="7"/>
        <v>5</v>
      </c>
      <c r="B9" s="43" t="s">
        <v>121</v>
      </c>
      <c r="C9" s="31">
        <v>181.0</v>
      </c>
      <c r="D9" s="31">
        <v>17.0</v>
      </c>
      <c r="E9" s="36">
        <f t="shared" si="2"/>
        <v>15.375</v>
      </c>
      <c r="F9" s="73">
        <v>3.0</v>
      </c>
      <c r="G9" s="74">
        <v>0.0</v>
      </c>
      <c r="H9" s="75">
        <v>9.0</v>
      </c>
      <c r="I9" s="74">
        <v>0.0</v>
      </c>
      <c r="J9" s="74">
        <v>0.0</v>
      </c>
      <c r="K9" s="74">
        <v>0.0</v>
      </c>
      <c r="L9" s="76">
        <v>9.0</v>
      </c>
      <c r="M9" s="74">
        <v>0.0</v>
      </c>
      <c r="N9" s="31">
        <f t="shared" ref="N9:O9" si="11">C9+L9</f>
        <v>190</v>
      </c>
      <c r="O9" s="31">
        <f t="shared" si="11"/>
        <v>17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5</v>
      </c>
      <c r="V9" s="46">
        <f t="shared" si="6"/>
        <v>2</v>
      </c>
      <c r="W9" s="30">
        <f t="shared" si="9"/>
        <v>5</v>
      </c>
    </row>
    <row r="10">
      <c r="A10" s="30">
        <f t="shared" si="7"/>
        <v>6</v>
      </c>
      <c r="B10" s="28" t="s">
        <v>120</v>
      </c>
      <c r="C10" s="31">
        <v>180.0</v>
      </c>
      <c r="D10" s="31">
        <v>20.0</v>
      </c>
      <c r="E10" s="36">
        <f t="shared" si="2"/>
        <v>14</v>
      </c>
      <c r="F10" s="73">
        <v>1.0</v>
      </c>
      <c r="G10" s="74">
        <v>1.0</v>
      </c>
      <c r="H10" s="75">
        <v>0.0</v>
      </c>
      <c r="I10" s="74">
        <v>3.0</v>
      </c>
      <c r="J10" s="74">
        <v>6.0</v>
      </c>
      <c r="K10" s="74">
        <v>2.0</v>
      </c>
      <c r="L10" s="76">
        <v>11.0</v>
      </c>
      <c r="M10" s="74">
        <v>1.0</v>
      </c>
      <c r="N10" s="31">
        <f t="shared" ref="N10:O10" si="12">C10+L10</f>
        <v>191</v>
      </c>
      <c r="O10" s="31">
        <f t="shared" si="12"/>
        <v>21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3</v>
      </c>
      <c r="V10" s="46">
        <f t="shared" si="6"/>
        <v>-4</v>
      </c>
      <c r="W10" s="30">
        <f t="shared" si="9"/>
        <v>6</v>
      </c>
    </row>
    <row r="11">
      <c r="A11" s="30">
        <f t="shared" si="7"/>
        <v>7</v>
      </c>
      <c r="B11" s="43" t="s">
        <v>64</v>
      </c>
      <c r="C11" s="47">
        <v>179.0</v>
      </c>
      <c r="D11" s="31">
        <v>18.0</v>
      </c>
      <c r="E11" s="36">
        <f t="shared" si="2"/>
        <v>13.41666667</v>
      </c>
      <c r="F11" s="73">
        <v>1.0</v>
      </c>
      <c r="G11" s="74">
        <v>1.0</v>
      </c>
      <c r="H11" s="75">
        <v>0.0</v>
      </c>
      <c r="I11" s="74">
        <v>3.0</v>
      </c>
      <c r="J11" s="74">
        <v>0.0</v>
      </c>
      <c r="K11" s="74">
        <v>6.0</v>
      </c>
      <c r="L11" s="76">
        <v>9.0</v>
      </c>
      <c r="M11" s="74">
        <v>1.0</v>
      </c>
      <c r="N11" s="47">
        <f t="shared" ref="N11:O11" si="13">C11+L11</f>
        <v>188</v>
      </c>
      <c r="O11" s="31">
        <f t="shared" si="13"/>
        <v>19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2</v>
      </c>
      <c r="V11" s="46">
        <f t="shared" si="6"/>
        <v>3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47">
        <v>179.0</v>
      </c>
      <c r="D12" s="31">
        <v>18.0</v>
      </c>
      <c r="E12" s="36">
        <f t="shared" si="2"/>
        <v>12.76923077</v>
      </c>
      <c r="F12" s="73">
        <v>1.0</v>
      </c>
      <c r="G12" s="74">
        <v>9.0</v>
      </c>
      <c r="H12" s="75">
        <v>0.0</v>
      </c>
      <c r="I12" s="74">
        <v>6.0</v>
      </c>
      <c r="J12" s="74">
        <v>4.0</v>
      </c>
      <c r="K12" s="74">
        <v>6.0</v>
      </c>
      <c r="L12" s="76">
        <v>16.0</v>
      </c>
      <c r="M12" s="74">
        <v>1.0</v>
      </c>
      <c r="N12" s="47">
        <f t="shared" ref="N12:O12" si="14">C12+L12</f>
        <v>195</v>
      </c>
      <c r="O12" s="31">
        <f t="shared" si="14"/>
        <v>19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0</v>
      </c>
      <c r="V12" s="46">
        <f t="shared" si="6"/>
        <v>3</v>
      </c>
      <c r="W12" s="30">
        <f t="shared" si="9"/>
        <v>8</v>
      </c>
    </row>
    <row r="13">
      <c r="A13" s="30">
        <f t="shared" si="7"/>
        <v>9</v>
      </c>
      <c r="B13" s="28" t="s">
        <v>44</v>
      </c>
      <c r="C13" s="31">
        <v>178.0</v>
      </c>
      <c r="D13" s="31">
        <v>19.0</v>
      </c>
      <c r="E13" s="36">
        <f t="shared" si="2"/>
        <v>13.72727273</v>
      </c>
      <c r="F13" s="73">
        <v>1.0</v>
      </c>
      <c r="G13" s="74">
        <v>9.0</v>
      </c>
      <c r="H13" s="75">
        <v>0.0</v>
      </c>
      <c r="I13" s="74">
        <v>6.0</v>
      </c>
      <c r="J13" s="74">
        <v>6.0</v>
      </c>
      <c r="K13" s="74">
        <v>7.0</v>
      </c>
      <c r="L13" s="76">
        <v>19.0</v>
      </c>
      <c r="M13" s="74">
        <v>3.0</v>
      </c>
      <c r="N13" s="31">
        <f t="shared" ref="N13:O13" si="15">C13+L13</f>
        <v>197</v>
      </c>
      <c r="O13" s="31">
        <f t="shared" si="15"/>
        <v>22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3</v>
      </c>
      <c r="V13" s="46">
        <f t="shared" si="6"/>
        <v>-5</v>
      </c>
      <c r="W13" s="30">
        <f t="shared" si="9"/>
        <v>9</v>
      </c>
    </row>
    <row r="14">
      <c r="A14" s="30">
        <f t="shared" si="7"/>
        <v>10</v>
      </c>
      <c r="B14" s="28" t="s">
        <v>97</v>
      </c>
      <c r="C14" s="31">
        <v>178.0</v>
      </c>
      <c r="D14" s="31">
        <v>15.0</v>
      </c>
      <c r="E14" s="36">
        <f t="shared" si="2"/>
        <v>13</v>
      </c>
      <c r="F14" s="73">
        <v>2.0</v>
      </c>
      <c r="G14" s="74">
        <v>9.0</v>
      </c>
      <c r="H14" s="75">
        <v>0.0</v>
      </c>
      <c r="I14" s="74">
        <v>3.0</v>
      </c>
      <c r="J14" s="74">
        <v>6.0</v>
      </c>
      <c r="K14" s="74">
        <v>6.0</v>
      </c>
      <c r="L14" s="76">
        <v>15.0</v>
      </c>
      <c r="M14" s="74">
        <v>1.0</v>
      </c>
      <c r="N14" s="31">
        <f t="shared" ref="N14:O14" si="16">C14+L14</f>
        <v>193</v>
      </c>
      <c r="O14" s="31">
        <f t="shared" si="16"/>
        <v>16</v>
      </c>
      <c r="P14" s="45" t="s">
        <v>58</v>
      </c>
      <c r="Q14" s="45" t="s">
        <v>58</v>
      </c>
      <c r="R14" s="45"/>
      <c r="S14" s="46">
        <f t="shared" si="4"/>
        <v>2</v>
      </c>
      <c r="T14" s="46"/>
      <c r="U14" s="46">
        <f t="shared" si="5"/>
        <v>1</v>
      </c>
      <c r="V14" s="46">
        <f t="shared" si="6"/>
        <v>-5</v>
      </c>
      <c r="W14" s="30">
        <f t="shared" si="9"/>
        <v>10</v>
      </c>
    </row>
    <row r="15">
      <c r="A15" s="30">
        <f t="shared" si="7"/>
        <v>11</v>
      </c>
      <c r="B15" s="28" t="s">
        <v>104</v>
      </c>
      <c r="C15" s="31">
        <v>175.0</v>
      </c>
      <c r="D15" s="31">
        <v>15.0</v>
      </c>
      <c r="E15" s="36">
        <f t="shared" si="2"/>
        <v>13.09090909</v>
      </c>
      <c r="F15" s="73">
        <v>2.0</v>
      </c>
      <c r="G15" s="74">
        <v>9.0</v>
      </c>
      <c r="H15" s="75">
        <v>0.0</v>
      </c>
      <c r="I15" s="74">
        <v>3.0</v>
      </c>
      <c r="J15" s="74">
        <v>4.0</v>
      </c>
      <c r="K15" s="74">
        <v>7.0</v>
      </c>
      <c r="L15" s="76">
        <v>14.0</v>
      </c>
      <c r="M15" s="74">
        <v>1.0</v>
      </c>
      <c r="N15" s="31">
        <f t="shared" ref="N15:O15" si="17">C15+L15</f>
        <v>189</v>
      </c>
      <c r="O15" s="31">
        <f t="shared" si="17"/>
        <v>16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2</v>
      </c>
      <c r="V15" s="46">
        <f t="shared" si="6"/>
        <v>1</v>
      </c>
      <c r="W15" s="30">
        <f t="shared" si="9"/>
        <v>11</v>
      </c>
    </row>
    <row r="16">
      <c r="A16" s="30">
        <f t="shared" si="7"/>
        <v>12</v>
      </c>
      <c r="B16" s="28" t="s">
        <v>67</v>
      </c>
      <c r="C16" s="31">
        <v>174.0</v>
      </c>
      <c r="D16" s="31">
        <v>16.0</v>
      </c>
      <c r="E16" s="36">
        <f t="shared" si="2"/>
        <v>14.5</v>
      </c>
      <c r="F16" s="73">
        <v>1.0</v>
      </c>
      <c r="G16" s="74">
        <v>2.0</v>
      </c>
      <c r="H16" s="75">
        <v>0.0</v>
      </c>
      <c r="I16" s="74">
        <v>6.0</v>
      </c>
      <c r="J16" s="74">
        <v>1.0</v>
      </c>
      <c r="K16" s="74">
        <v>6.0</v>
      </c>
      <c r="L16" s="76">
        <v>13.0</v>
      </c>
      <c r="M16" s="74">
        <v>2.0</v>
      </c>
      <c r="N16" s="31">
        <f t="shared" ref="N16:O16" si="18">C16+L16</f>
        <v>187</v>
      </c>
      <c r="O16" s="31">
        <f t="shared" si="18"/>
        <v>18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5</v>
      </c>
      <c r="V16" s="46">
        <f t="shared" si="6"/>
        <v>2</v>
      </c>
      <c r="W16" s="30">
        <f t="shared" si="9"/>
        <v>12</v>
      </c>
    </row>
    <row r="17">
      <c r="A17" s="30">
        <f t="shared" si="7"/>
        <v>13</v>
      </c>
      <c r="B17" s="43" t="s">
        <v>56</v>
      </c>
      <c r="C17" s="31">
        <v>173.0</v>
      </c>
      <c r="D17" s="31">
        <v>16.0</v>
      </c>
      <c r="E17" s="36">
        <f t="shared" si="2"/>
        <v>12.35714286</v>
      </c>
      <c r="F17" s="73">
        <v>1.0</v>
      </c>
      <c r="G17" s="74">
        <v>2.0</v>
      </c>
      <c r="H17" s="75">
        <v>0.0</v>
      </c>
      <c r="I17" s="74">
        <v>2.0</v>
      </c>
      <c r="J17" s="74">
        <v>1.0</v>
      </c>
      <c r="K17" s="74">
        <v>1.0</v>
      </c>
      <c r="L17" s="76">
        <v>4.0</v>
      </c>
      <c r="M17" s="74">
        <v>0.0</v>
      </c>
      <c r="N17" s="31">
        <f t="shared" ref="N17:O17" si="19">C17+L17</f>
        <v>177</v>
      </c>
      <c r="O17" s="31">
        <f t="shared" si="19"/>
        <v>16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0</v>
      </c>
      <c r="W17" s="30">
        <f t="shared" si="9"/>
        <v>13</v>
      </c>
    </row>
    <row r="18">
      <c r="A18" s="30">
        <f t="shared" si="7"/>
        <v>14</v>
      </c>
      <c r="B18" s="43" t="s">
        <v>87</v>
      </c>
      <c r="C18" s="47">
        <v>172.0</v>
      </c>
      <c r="D18" s="31">
        <v>13.0</v>
      </c>
      <c r="E18" s="36">
        <f t="shared" si="2"/>
        <v>13.18181818</v>
      </c>
      <c r="F18" s="73">
        <v>1.0</v>
      </c>
      <c r="G18" s="74">
        <v>2.0</v>
      </c>
      <c r="H18" s="75">
        <v>0.0</v>
      </c>
      <c r="I18" s="74">
        <v>2.0</v>
      </c>
      <c r="J18" s="74">
        <v>6.0</v>
      </c>
      <c r="K18" s="74">
        <v>6.0</v>
      </c>
      <c r="L18" s="76">
        <v>14.0</v>
      </c>
      <c r="M18" s="74">
        <v>2.0</v>
      </c>
      <c r="N18" s="47">
        <f t="shared" ref="N18:O18" si="20">C18+L18</f>
        <v>186</v>
      </c>
      <c r="O18" s="31">
        <f t="shared" si="20"/>
        <v>15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3</v>
      </c>
      <c r="V18" s="46">
        <f t="shared" si="6"/>
        <v>-5</v>
      </c>
      <c r="W18" s="30">
        <f t="shared" si="9"/>
        <v>14</v>
      </c>
    </row>
    <row r="19">
      <c r="A19" s="30">
        <f t="shared" si="7"/>
        <v>15</v>
      </c>
      <c r="B19" s="28" t="s">
        <v>101</v>
      </c>
      <c r="C19" s="31">
        <v>171.0</v>
      </c>
      <c r="D19" s="31">
        <v>12.0</v>
      </c>
      <c r="E19" s="36">
        <f t="shared" si="2"/>
        <v>13.1</v>
      </c>
      <c r="F19" s="73">
        <v>1.0</v>
      </c>
      <c r="G19" s="74">
        <v>2.0</v>
      </c>
      <c r="H19" s="75">
        <v>0.0</v>
      </c>
      <c r="I19" s="74">
        <v>6.0</v>
      </c>
      <c r="J19" s="74">
        <v>6.0</v>
      </c>
      <c r="K19" s="74">
        <v>1.0</v>
      </c>
      <c r="L19" s="76">
        <v>13.0</v>
      </c>
      <c r="M19" s="74">
        <v>2.0</v>
      </c>
      <c r="N19" s="31">
        <f t="shared" ref="N19:O19" si="21">C19+L19</f>
        <v>184</v>
      </c>
      <c r="O19" s="31">
        <f t="shared" si="21"/>
        <v>14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3</v>
      </c>
      <c r="V19" s="46">
        <f t="shared" si="6"/>
        <v>0</v>
      </c>
      <c r="W19" s="30">
        <f t="shared" si="9"/>
        <v>15</v>
      </c>
    </row>
    <row r="20">
      <c r="A20" s="30">
        <f t="shared" si="7"/>
        <v>16</v>
      </c>
      <c r="B20" s="28" t="s">
        <v>74</v>
      </c>
      <c r="C20" s="31">
        <v>168.0</v>
      </c>
      <c r="D20" s="31">
        <v>16.0</v>
      </c>
      <c r="E20" s="36">
        <f t="shared" si="2"/>
        <v>13.66666667</v>
      </c>
      <c r="F20" s="73">
        <v>1.0</v>
      </c>
      <c r="G20" s="74">
        <v>3.0</v>
      </c>
      <c r="H20" s="75">
        <v>0.0</v>
      </c>
      <c r="I20" s="74">
        <v>6.0</v>
      </c>
      <c r="J20" s="74">
        <v>5.0</v>
      </c>
      <c r="K20" s="74">
        <v>6.0</v>
      </c>
      <c r="L20" s="76">
        <v>17.0</v>
      </c>
      <c r="M20" s="74">
        <v>2.0</v>
      </c>
      <c r="N20" s="31">
        <f t="shared" ref="N20:O20" si="22">C20+L20</f>
        <v>185</v>
      </c>
      <c r="O20" s="31">
        <f t="shared" si="22"/>
        <v>18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5</v>
      </c>
      <c r="V20" s="46">
        <f t="shared" si="6"/>
        <v>1</v>
      </c>
      <c r="W20" s="30">
        <f t="shared" si="9"/>
        <v>16</v>
      </c>
    </row>
    <row r="21">
      <c r="A21" s="30">
        <f t="shared" si="7"/>
        <v>17</v>
      </c>
      <c r="B21" s="28" t="s">
        <v>95</v>
      </c>
      <c r="C21" s="31">
        <v>167.0</v>
      </c>
      <c r="D21" s="31">
        <v>18.0</v>
      </c>
      <c r="E21" s="36">
        <f t="shared" si="2"/>
        <v>12.72727273</v>
      </c>
      <c r="F21" s="73">
        <v>1.0</v>
      </c>
      <c r="G21" s="74">
        <v>3.0</v>
      </c>
      <c r="H21" s="75">
        <v>0.0</v>
      </c>
      <c r="I21" s="74">
        <v>4.0</v>
      </c>
      <c r="J21" s="74">
        <v>7.0</v>
      </c>
      <c r="K21" s="74">
        <v>6.0</v>
      </c>
      <c r="L21" s="76">
        <v>17.0</v>
      </c>
      <c r="M21" s="74">
        <v>2.0</v>
      </c>
      <c r="N21" s="31">
        <f t="shared" ref="N21:O21" si="23">C21+L21</f>
        <v>184</v>
      </c>
      <c r="O21" s="31">
        <f t="shared" si="23"/>
        <v>20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3</v>
      </c>
      <c r="V21" s="46">
        <f t="shared" si="6"/>
        <v>6</v>
      </c>
      <c r="W21" s="30">
        <f t="shared" si="9"/>
        <v>17</v>
      </c>
    </row>
    <row r="22">
      <c r="A22" s="30">
        <f t="shared" si="7"/>
        <v>18</v>
      </c>
      <c r="B22" s="28" t="s">
        <v>92</v>
      </c>
      <c r="C22" s="31">
        <v>165.0</v>
      </c>
      <c r="D22" s="31">
        <v>14.0</v>
      </c>
      <c r="E22" s="36">
        <f t="shared" si="2"/>
        <v>13.33333333</v>
      </c>
      <c r="F22" s="73">
        <v>1.0</v>
      </c>
      <c r="G22" s="74">
        <v>3.0</v>
      </c>
      <c r="H22" s="75">
        <v>0.0</v>
      </c>
      <c r="I22" s="74">
        <v>6.0</v>
      </c>
      <c r="J22" s="74">
        <v>7.0</v>
      </c>
      <c r="K22" s="74">
        <v>2.0</v>
      </c>
      <c r="L22" s="76">
        <v>15.0</v>
      </c>
      <c r="M22" s="74">
        <v>2.0</v>
      </c>
      <c r="N22" s="31">
        <f t="shared" ref="N22:O22" si="24">C22+L22</f>
        <v>180</v>
      </c>
      <c r="O22" s="31">
        <f t="shared" si="24"/>
        <v>16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5</v>
      </c>
      <c r="V22" s="46">
        <f t="shared" si="6"/>
        <v>2</v>
      </c>
      <c r="W22" s="30">
        <f t="shared" si="9"/>
        <v>18</v>
      </c>
    </row>
    <row r="23">
      <c r="A23" s="30">
        <f t="shared" si="7"/>
        <v>19</v>
      </c>
      <c r="B23" s="43" t="s">
        <v>107</v>
      </c>
      <c r="C23" s="31">
        <v>165.0</v>
      </c>
      <c r="D23" s="31">
        <v>10.0</v>
      </c>
      <c r="E23" s="36">
        <f t="shared" si="2"/>
        <v>12.5</v>
      </c>
      <c r="F23" s="73">
        <v>2.0</v>
      </c>
      <c r="G23" s="74">
        <v>3.0</v>
      </c>
      <c r="H23" s="75">
        <v>0.0</v>
      </c>
      <c r="I23" s="74">
        <v>4.0</v>
      </c>
      <c r="J23" s="74">
        <v>5.0</v>
      </c>
      <c r="K23" s="74">
        <v>2.0</v>
      </c>
      <c r="L23" s="76">
        <v>11.0</v>
      </c>
      <c r="M23" s="74">
        <v>0.0</v>
      </c>
      <c r="N23" s="31">
        <f t="shared" ref="N23:O23" si="25">C23+L23</f>
        <v>176</v>
      </c>
      <c r="O23" s="31">
        <f t="shared" si="25"/>
        <v>10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3</v>
      </c>
      <c r="V23" s="46">
        <f t="shared" si="6"/>
        <v>-3</v>
      </c>
      <c r="W23" s="30">
        <f t="shared" si="9"/>
        <v>19</v>
      </c>
    </row>
    <row r="24">
      <c r="A24" s="30">
        <f t="shared" si="7"/>
        <v>20</v>
      </c>
      <c r="B24" s="28" t="s">
        <v>119</v>
      </c>
      <c r="C24" s="31">
        <v>163.0</v>
      </c>
      <c r="D24" s="31">
        <v>16.0</v>
      </c>
      <c r="E24" s="36">
        <f t="shared" si="2"/>
        <v>12.3</v>
      </c>
      <c r="F24" s="73">
        <v>1.0</v>
      </c>
      <c r="G24" s="74">
        <v>4.0</v>
      </c>
      <c r="H24" s="75">
        <v>0.0</v>
      </c>
      <c r="I24" s="74">
        <v>4.0</v>
      </c>
      <c r="J24" s="74">
        <v>5.0</v>
      </c>
      <c r="K24" s="74">
        <v>6.0</v>
      </c>
      <c r="L24" s="76">
        <v>15.0</v>
      </c>
      <c r="M24" s="74">
        <v>1.0</v>
      </c>
      <c r="N24" s="31">
        <f t="shared" ref="N24:O24" si="26">C24+L24</f>
        <v>178</v>
      </c>
      <c r="O24" s="31">
        <f t="shared" si="26"/>
        <v>17</v>
      </c>
      <c r="P24" s="45" t="s">
        <v>58</v>
      </c>
      <c r="Q24" s="45" t="s">
        <v>58</v>
      </c>
      <c r="R24" s="45" t="s">
        <v>58</v>
      </c>
      <c r="S24" s="46">
        <f t="shared" si="4"/>
        <v>1</v>
      </c>
      <c r="T24" s="46"/>
      <c r="U24" s="46">
        <f t="shared" si="5"/>
        <v>3</v>
      </c>
      <c r="V24" s="46">
        <f t="shared" si="6"/>
        <v>-1</v>
      </c>
      <c r="W24" s="30">
        <f t="shared" si="9"/>
        <v>20</v>
      </c>
    </row>
    <row r="25">
      <c r="A25" s="30">
        <f t="shared" si="7"/>
        <v>21</v>
      </c>
      <c r="B25" s="43" t="s">
        <v>90</v>
      </c>
      <c r="C25" s="31">
        <v>161.0</v>
      </c>
      <c r="D25" s="31">
        <v>12.0</v>
      </c>
      <c r="E25" s="36">
        <f t="shared" si="2"/>
        <v>11.875</v>
      </c>
      <c r="F25" s="73">
        <v>2.0</v>
      </c>
      <c r="G25" s="74">
        <v>4.0</v>
      </c>
      <c r="H25" s="75">
        <v>0.0</v>
      </c>
      <c r="I25" s="74">
        <v>4.0</v>
      </c>
      <c r="J25" s="74">
        <v>7.0</v>
      </c>
      <c r="K25" s="74">
        <v>4.0</v>
      </c>
      <c r="L25" s="76">
        <v>15.0</v>
      </c>
      <c r="M25" s="74">
        <v>1.0</v>
      </c>
      <c r="N25" s="31">
        <f t="shared" ref="N25:O25" si="27">C25+L25</f>
        <v>176</v>
      </c>
      <c r="O25" s="31">
        <f t="shared" si="27"/>
        <v>13</v>
      </c>
      <c r="P25" s="45" t="s">
        <v>58</v>
      </c>
      <c r="Q25" s="45" t="s">
        <v>58</v>
      </c>
      <c r="R25" s="45"/>
      <c r="S25" s="46">
        <f t="shared" si="4"/>
        <v>3</v>
      </c>
      <c r="T25" s="46"/>
      <c r="U25" s="46">
        <f t="shared" si="5"/>
        <v>3</v>
      </c>
      <c r="V25" s="46">
        <f t="shared" si="6"/>
        <v>10</v>
      </c>
      <c r="W25" s="30">
        <f t="shared" si="9"/>
        <v>21</v>
      </c>
    </row>
    <row r="26">
      <c r="A26" s="30">
        <f t="shared" si="7"/>
        <v>22</v>
      </c>
      <c r="B26" s="43" t="s">
        <v>111</v>
      </c>
      <c r="C26" s="47">
        <v>160.0</v>
      </c>
      <c r="D26" s="31">
        <v>15.0</v>
      </c>
      <c r="E26" s="36">
        <f t="shared" si="2"/>
        <v>11.61538462</v>
      </c>
      <c r="F26" s="73">
        <v>1.0</v>
      </c>
      <c r="G26" s="74">
        <v>4.0</v>
      </c>
      <c r="H26" s="75">
        <v>0.0</v>
      </c>
      <c r="I26" s="74">
        <v>6.0</v>
      </c>
      <c r="J26" s="74">
        <v>5.0</v>
      </c>
      <c r="K26" s="74">
        <v>4.0</v>
      </c>
      <c r="L26" s="76">
        <v>15.0</v>
      </c>
      <c r="M26" s="74">
        <v>1.0</v>
      </c>
      <c r="N26" s="47">
        <f t="shared" ref="N26:O26" si="28">C26+L26</f>
        <v>175</v>
      </c>
      <c r="O26" s="31">
        <f t="shared" si="28"/>
        <v>16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1</v>
      </c>
      <c r="V26" s="46">
        <f t="shared" si="6"/>
        <v>2</v>
      </c>
      <c r="W26" s="30">
        <f t="shared" si="9"/>
        <v>22</v>
      </c>
    </row>
    <row r="27">
      <c r="A27" s="30">
        <f t="shared" si="7"/>
        <v>23</v>
      </c>
      <c r="B27" s="28" t="s">
        <v>116</v>
      </c>
      <c r="C27" s="31">
        <v>160.0</v>
      </c>
      <c r="D27" s="31">
        <v>12.0</v>
      </c>
      <c r="E27" s="36">
        <f t="shared" si="2"/>
        <v>13.28571429</v>
      </c>
      <c r="F27" s="73">
        <v>1.0</v>
      </c>
      <c r="G27" s="74">
        <v>4.0</v>
      </c>
      <c r="H27" s="75">
        <v>0.0</v>
      </c>
      <c r="I27" s="74">
        <v>6.0</v>
      </c>
      <c r="J27" s="74">
        <v>7.0</v>
      </c>
      <c r="K27" s="74">
        <v>6.0</v>
      </c>
      <c r="L27" s="76">
        <v>19.0</v>
      </c>
      <c r="M27" s="74">
        <v>3.0</v>
      </c>
      <c r="N27" s="31">
        <f t="shared" ref="N27:O27" si="29">C27+L27</f>
        <v>179</v>
      </c>
      <c r="O27" s="31">
        <f t="shared" si="29"/>
        <v>15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6</v>
      </c>
      <c r="V27" s="46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28" t="s">
        <v>137</v>
      </c>
      <c r="C28" s="31">
        <v>160.0</v>
      </c>
      <c r="D28" s="31">
        <v>10.0</v>
      </c>
      <c r="E28" s="36">
        <f t="shared" si="2"/>
        <v>13.33333333</v>
      </c>
      <c r="F28" s="73">
        <v>3.0</v>
      </c>
      <c r="G28" s="74">
        <v>0.0</v>
      </c>
      <c r="H28" s="75">
        <v>9.0</v>
      </c>
      <c r="I28" s="74">
        <v>0.0</v>
      </c>
      <c r="J28" s="74">
        <v>0.0</v>
      </c>
      <c r="K28" s="74">
        <v>0.0</v>
      </c>
      <c r="L28" s="76">
        <v>9.0</v>
      </c>
      <c r="M28" s="74">
        <v>0.0</v>
      </c>
      <c r="N28" s="31">
        <f t="shared" ref="N28:O28" si="30">C28+L28</f>
        <v>169</v>
      </c>
      <c r="O28" s="31">
        <f t="shared" si="30"/>
        <v>10</v>
      </c>
      <c r="P28" s="45" t="s">
        <v>58</v>
      </c>
      <c r="Q28" s="45" t="s">
        <v>58</v>
      </c>
      <c r="R28" s="45"/>
      <c r="S28" s="46">
        <f t="shared" si="4"/>
        <v>2</v>
      </c>
      <c r="T28" s="46"/>
      <c r="U28" s="46">
        <f t="shared" si="5"/>
        <v>6</v>
      </c>
      <c r="V28" s="46">
        <f t="shared" si="6"/>
        <v>-2</v>
      </c>
      <c r="W28" s="30">
        <f t="shared" si="9"/>
        <v>24</v>
      </c>
    </row>
    <row r="29">
      <c r="A29" s="30">
        <f t="shared" si="7"/>
        <v>25</v>
      </c>
      <c r="B29" s="28" t="s">
        <v>105</v>
      </c>
      <c r="C29" s="31">
        <v>159.0</v>
      </c>
      <c r="D29" s="31">
        <v>12.0</v>
      </c>
      <c r="E29" s="36">
        <f t="shared" si="2"/>
        <v>12.22222222</v>
      </c>
      <c r="F29" s="73">
        <v>2.0</v>
      </c>
      <c r="G29" s="74">
        <v>5.0</v>
      </c>
      <c r="H29" s="75">
        <v>0.0</v>
      </c>
      <c r="I29" s="74">
        <v>6.0</v>
      </c>
      <c r="J29" s="74">
        <v>6.0</v>
      </c>
      <c r="K29" s="74">
        <v>6.0</v>
      </c>
      <c r="L29" s="76">
        <v>18.0</v>
      </c>
      <c r="M29" s="74">
        <v>2.0</v>
      </c>
      <c r="N29" s="31">
        <f t="shared" ref="N29:O29" si="31">C29+L29</f>
        <v>177</v>
      </c>
      <c r="O29" s="31">
        <f t="shared" si="31"/>
        <v>14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4</v>
      </c>
      <c r="V29" s="46">
        <f t="shared" si="6"/>
        <v>8</v>
      </c>
      <c r="W29" s="30">
        <f t="shared" si="9"/>
        <v>25</v>
      </c>
    </row>
    <row r="30">
      <c r="A30" s="30">
        <f t="shared" si="7"/>
        <v>26</v>
      </c>
      <c r="B30" s="43" t="s">
        <v>106</v>
      </c>
      <c r="C30" s="31">
        <v>158.0</v>
      </c>
      <c r="D30" s="31">
        <v>16.0</v>
      </c>
      <c r="E30" s="36">
        <f t="shared" si="2"/>
        <v>11.8</v>
      </c>
      <c r="F30" s="73">
        <v>5.0</v>
      </c>
      <c r="G30" s="74">
        <v>0.0</v>
      </c>
      <c r="H30" s="75">
        <v>13.0</v>
      </c>
      <c r="I30" s="74">
        <v>0.0</v>
      </c>
      <c r="J30" s="74">
        <v>0.0</v>
      </c>
      <c r="K30" s="74">
        <v>0.0</v>
      </c>
      <c r="L30" s="76">
        <v>13.0</v>
      </c>
      <c r="M30" s="74">
        <v>0.0</v>
      </c>
      <c r="N30" s="31">
        <f t="shared" ref="N30:O30" si="32">C30+L30</f>
        <v>171</v>
      </c>
      <c r="O30" s="31">
        <f t="shared" si="32"/>
        <v>16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3</v>
      </c>
      <c r="V30" s="46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48" t="s">
        <v>82</v>
      </c>
      <c r="C31" s="31">
        <v>158.0</v>
      </c>
      <c r="D31" s="31">
        <v>13.0</v>
      </c>
      <c r="E31" s="36">
        <f t="shared" si="2"/>
        <v>11.90909091</v>
      </c>
      <c r="F31" s="73">
        <v>1.0</v>
      </c>
      <c r="G31" s="74">
        <v>5.0</v>
      </c>
      <c r="H31" s="75">
        <v>0.0</v>
      </c>
      <c r="I31" s="74">
        <v>7.0</v>
      </c>
      <c r="J31" s="74">
        <v>4.0</v>
      </c>
      <c r="K31" s="74">
        <v>6.0</v>
      </c>
      <c r="L31" s="76">
        <v>17.0</v>
      </c>
      <c r="M31" s="74">
        <v>2.0</v>
      </c>
      <c r="N31" s="31">
        <f t="shared" ref="N31:O31" si="33">C31+L31</f>
        <v>175</v>
      </c>
      <c r="O31" s="31">
        <f t="shared" si="33"/>
        <v>15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3</v>
      </c>
      <c r="V31" s="46">
        <f t="shared" si="6"/>
        <v>-9</v>
      </c>
      <c r="W31" s="30">
        <f t="shared" si="9"/>
        <v>27</v>
      </c>
    </row>
    <row r="32">
      <c r="A32" s="30">
        <f t="shared" si="7"/>
        <v>28</v>
      </c>
      <c r="B32" s="48" t="s">
        <v>134</v>
      </c>
      <c r="C32" s="31">
        <v>158.0</v>
      </c>
      <c r="D32" s="31">
        <v>12.0</v>
      </c>
      <c r="E32" s="36">
        <f t="shared" si="2"/>
        <v>12.5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167</v>
      </c>
      <c r="O32" s="31">
        <f t="shared" si="34"/>
        <v>12</v>
      </c>
      <c r="P32" s="45" t="s">
        <v>58</v>
      </c>
      <c r="Q32" s="45" t="s">
        <v>58</v>
      </c>
      <c r="R32" s="45"/>
      <c r="S32" s="46">
        <f t="shared" si="4"/>
        <v>1</v>
      </c>
      <c r="T32" s="46"/>
      <c r="U32" s="46">
        <f t="shared" si="5"/>
        <v>5</v>
      </c>
      <c r="V32" s="46">
        <f t="shared" si="6"/>
        <v>7</v>
      </c>
      <c r="W32" s="30">
        <f t="shared" si="9"/>
        <v>28</v>
      </c>
    </row>
    <row r="33">
      <c r="A33" s="30">
        <f t="shared" si="7"/>
        <v>29</v>
      </c>
      <c r="B33" s="28" t="s">
        <v>89</v>
      </c>
      <c r="C33" s="31">
        <v>156.0</v>
      </c>
      <c r="D33" s="31">
        <v>10.0</v>
      </c>
      <c r="E33" s="36">
        <f t="shared" si="2"/>
        <v>12.14285714</v>
      </c>
      <c r="F33" s="73">
        <v>1.0</v>
      </c>
      <c r="G33" s="74">
        <v>5.0</v>
      </c>
      <c r="H33" s="75">
        <v>0.0</v>
      </c>
      <c r="I33" s="74">
        <v>7.0</v>
      </c>
      <c r="J33" s="74">
        <v>6.0</v>
      </c>
      <c r="K33" s="74">
        <v>2.0</v>
      </c>
      <c r="L33" s="76">
        <v>15.0</v>
      </c>
      <c r="M33" s="74">
        <v>2.0</v>
      </c>
      <c r="N33" s="31">
        <f t="shared" ref="N33:O33" si="35">C33+L33</f>
        <v>171</v>
      </c>
      <c r="O33" s="31">
        <f t="shared" si="35"/>
        <v>12</v>
      </c>
      <c r="P33" s="45" t="s">
        <v>58</v>
      </c>
      <c r="Q33" s="45" t="s">
        <v>58</v>
      </c>
      <c r="R33" s="45"/>
      <c r="S33" s="46">
        <f t="shared" si="4"/>
        <v>2</v>
      </c>
      <c r="T33" s="46"/>
      <c r="U33" s="46">
        <f t="shared" si="5"/>
        <v>5</v>
      </c>
      <c r="V33" s="46">
        <f t="shared" si="6"/>
        <v>1</v>
      </c>
      <c r="W33" s="30">
        <f t="shared" si="9"/>
        <v>29</v>
      </c>
    </row>
    <row r="34">
      <c r="A34" s="30">
        <f t="shared" si="7"/>
        <v>30</v>
      </c>
      <c r="B34" s="28" t="s">
        <v>84</v>
      </c>
      <c r="C34" s="31">
        <v>155.0</v>
      </c>
      <c r="D34" s="31">
        <v>16.0</v>
      </c>
      <c r="E34" s="36">
        <f t="shared" si="2"/>
        <v>11.63636364</v>
      </c>
      <c r="F34" s="73">
        <v>3.0</v>
      </c>
      <c r="G34" s="74">
        <v>0.0</v>
      </c>
      <c r="H34" s="75">
        <v>9.0</v>
      </c>
      <c r="I34" s="74">
        <v>0.0</v>
      </c>
      <c r="J34" s="74">
        <v>0.0</v>
      </c>
      <c r="K34" s="74">
        <v>0.0</v>
      </c>
      <c r="L34" s="76">
        <v>9.0</v>
      </c>
      <c r="M34" s="74">
        <v>0.0</v>
      </c>
      <c r="N34" s="31">
        <f t="shared" ref="N34:O34" si="36">C34+L34</f>
        <v>164</v>
      </c>
      <c r="O34" s="31">
        <f t="shared" si="36"/>
        <v>16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3</v>
      </c>
      <c r="V34" s="46">
        <f t="shared" si="6"/>
        <v>-1</v>
      </c>
      <c r="W34" s="30">
        <f t="shared" si="9"/>
        <v>30</v>
      </c>
    </row>
    <row r="35">
      <c r="A35" s="30">
        <f t="shared" si="7"/>
        <v>31</v>
      </c>
      <c r="B35" s="28" t="s">
        <v>98</v>
      </c>
      <c r="C35" s="31">
        <v>154.0</v>
      </c>
      <c r="D35" s="31">
        <v>12.0</v>
      </c>
      <c r="E35" s="36">
        <f t="shared" si="2"/>
        <v>12.11111111</v>
      </c>
      <c r="F35" s="73">
        <v>1.0</v>
      </c>
      <c r="G35" s="74">
        <v>5.0</v>
      </c>
      <c r="H35" s="75">
        <v>0.0</v>
      </c>
      <c r="I35" s="74">
        <v>6.0</v>
      </c>
      <c r="J35" s="74">
        <v>4.0</v>
      </c>
      <c r="K35" s="74">
        <v>2.0</v>
      </c>
      <c r="L35" s="76">
        <v>12.0</v>
      </c>
      <c r="M35" s="74">
        <v>0.0</v>
      </c>
      <c r="N35" s="31">
        <f t="shared" ref="N35:O35" si="37">C35+L35</f>
        <v>166</v>
      </c>
      <c r="O35" s="31">
        <f t="shared" si="37"/>
        <v>12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5</v>
      </c>
      <c r="V35" s="46">
        <f t="shared" si="6"/>
        <v>-5</v>
      </c>
      <c r="W35" s="30">
        <f t="shared" si="9"/>
        <v>31</v>
      </c>
    </row>
    <row r="36">
      <c r="A36" s="30">
        <f t="shared" si="7"/>
        <v>32</v>
      </c>
      <c r="B36" s="43" t="s">
        <v>61</v>
      </c>
      <c r="C36" s="47">
        <v>153.0</v>
      </c>
      <c r="D36" s="31">
        <v>19.0</v>
      </c>
      <c r="E36" s="36">
        <f t="shared" si="2"/>
        <v>10.92857143</v>
      </c>
      <c r="F36" s="73">
        <v>1.0</v>
      </c>
      <c r="G36" s="74">
        <v>6.0</v>
      </c>
      <c r="H36" s="75">
        <v>0.0</v>
      </c>
      <c r="I36" s="74">
        <v>2.0</v>
      </c>
      <c r="J36" s="74">
        <v>6.0</v>
      </c>
      <c r="K36" s="74">
        <v>6.0</v>
      </c>
      <c r="L36" s="76">
        <v>14.0</v>
      </c>
      <c r="M36" s="74">
        <v>2.0</v>
      </c>
      <c r="N36" s="47">
        <f t="shared" ref="N36:O36" si="38">C36+L36</f>
        <v>167</v>
      </c>
      <c r="O36" s="31">
        <f t="shared" si="38"/>
        <v>21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6</v>
      </c>
      <c r="W36" s="30">
        <f t="shared" si="9"/>
        <v>32</v>
      </c>
    </row>
    <row r="37">
      <c r="A37" s="30">
        <f t="shared" si="7"/>
        <v>33</v>
      </c>
      <c r="B37" s="43" t="s">
        <v>132</v>
      </c>
      <c r="C37" s="31">
        <v>153.0</v>
      </c>
      <c r="D37" s="31">
        <v>16.0</v>
      </c>
      <c r="E37" s="36">
        <f t="shared" si="2"/>
        <v>10.92857143</v>
      </c>
      <c r="F37" s="73">
        <v>1.0</v>
      </c>
      <c r="G37" s="74">
        <v>6.0</v>
      </c>
      <c r="H37" s="75">
        <v>0.0</v>
      </c>
      <c r="I37" s="74">
        <v>6.0</v>
      </c>
      <c r="J37" s="74">
        <v>6.0</v>
      </c>
      <c r="K37" s="74">
        <v>4.0</v>
      </c>
      <c r="L37" s="76">
        <v>16.0</v>
      </c>
      <c r="M37" s="74">
        <v>2.0</v>
      </c>
      <c r="N37" s="31">
        <f t="shared" ref="N37:O37" si="39">C37+L37</f>
        <v>169</v>
      </c>
      <c r="O37" s="31">
        <f t="shared" si="39"/>
        <v>18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0</v>
      </c>
      <c r="V37" s="46">
        <f t="shared" si="6"/>
        <v>-1</v>
      </c>
      <c r="W37" s="30">
        <f t="shared" si="9"/>
        <v>33</v>
      </c>
    </row>
    <row r="38">
      <c r="A38" s="30">
        <f t="shared" si="7"/>
        <v>34</v>
      </c>
      <c r="B38" s="28" t="s">
        <v>49</v>
      </c>
      <c r="C38" s="31">
        <v>153.0</v>
      </c>
      <c r="D38" s="31">
        <v>13.0</v>
      </c>
      <c r="E38" s="36">
        <f t="shared" si="2"/>
        <v>10.91666667</v>
      </c>
      <c r="F38" s="73">
        <v>1.0</v>
      </c>
      <c r="G38" s="74">
        <v>6.0</v>
      </c>
      <c r="H38" s="75">
        <v>0.0</v>
      </c>
      <c r="I38" s="74">
        <v>2.0</v>
      </c>
      <c r="J38" s="74">
        <v>3.0</v>
      </c>
      <c r="K38" s="74">
        <v>4.0</v>
      </c>
      <c r="L38" s="76">
        <v>9.0</v>
      </c>
      <c r="M38" s="74">
        <v>0.0</v>
      </c>
      <c r="N38" s="31">
        <f t="shared" ref="N38:O38" si="40">C38+L38</f>
        <v>162</v>
      </c>
      <c r="O38" s="31">
        <f t="shared" si="40"/>
        <v>13</v>
      </c>
      <c r="P38" s="45" t="s">
        <v>58</v>
      </c>
      <c r="Q38" s="45" t="s">
        <v>58</v>
      </c>
      <c r="R38" s="45" t="s">
        <v>58</v>
      </c>
      <c r="S38" s="46">
        <f t="shared" si="4"/>
        <v>1</v>
      </c>
      <c r="T38" s="46"/>
      <c r="U38" s="46">
        <f t="shared" si="5"/>
        <v>1</v>
      </c>
      <c r="V38" s="46">
        <f t="shared" si="6"/>
        <v>-6</v>
      </c>
      <c r="W38" s="30">
        <f t="shared" si="9"/>
        <v>34</v>
      </c>
    </row>
    <row r="39">
      <c r="A39" s="30">
        <f t="shared" si="7"/>
        <v>35</v>
      </c>
      <c r="B39" s="28" t="s">
        <v>34</v>
      </c>
      <c r="C39" s="31">
        <v>153.0</v>
      </c>
      <c r="D39" s="31">
        <v>12.0</v>
      </c>
      <c r="E39" s="36">
        <f t="shared" si="2"/>
        <v>15.75</v>
      </c>
      <c r="F39" s="73">
        <v>3.0</v>
      </c>
      <c r="G39" s="74">
        <v>0.0</v>
      </c>
      <c r="H39" s="75">
        <v>9.0</v>
      </c>
      <c r="I39" s="74">
        <v>0.0</v>
      </c>
      <c r="J39" s="74">
        <v>0.0</v>
      </c>
      <c r="K39" s="74">
        <v>0.0</v>
      </c>
      <c r="L39" s="76">
        <v>9.0</v>
      </c>
      <c r="M39" s="74">
        <v>0.0</v>
      </c>
      <c r="N39" s="31">
        <f t="shared" ref="N39:O39" si="41">C39+L39</f>
        <v>162</v>
      </c>
      <c r="O39" s="31">
        <f t="shared" si="41"/>
        <v>12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10</v>
      </c>
      <c r="V39" s="46">
        <f t="shared" si="6"/>
        <v>-8</v>
      </c>
      <c r="W39" s="30">
        <f t="shared" si="9"/>
        <v>35</v>
      </c>
    </row>
    <row r="40">
      <c r="A40" s="30">
        <f t="shared" si="7"/>
        <v>36</v>
      </c>
      <c r="B40" s="43" t="s">
        <v>129</v>
      </c>
      <c r="C40" s="47">
        <v>151.0</v>
      </c>
      <c r="D40" s="31">
        <v>15.0</v>
      </c>
      <c r="E40" s="36">
        <f t="shared" si="2"/>
        <v>10.92307692</v>
      </c>
      <c r="F40" s="73">
        <v>1.0</v>
      </c>
      <c r="G40" s="74">
        <v>6.0</v>
      </c>
      <c r="H40" s="75">
        <v>0.0</v>
      </c>
      <c r="I40" s="74">
        <v>6.0</v>
      </c>
      <c r="J40" s="74">
        <v>3.0</v>
      </c>
      <c r="K40" s="74">
        <v>6.0</v>
      </c>
      <c r="L40" s="76">
        <v>15.0</v>
      </c>
      <c r="M40" s="74">
        <v>2.0</v>
      </c>
      <c r="N40" s="47">
        <f t="shared" ref="N40:O40" si="42">C40+L40</f>
        <v>166</v>
      </c>
      <c r="O40" s="31">
        <f t="shared" si="42"/>
        <v>17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</v>
      </c>
      <c r="V40" s="46">
        <f t="shared" si="6"/>
        <v>8</v>
      </c>
      <c r="W40" s="30">
        <f t="shared" si="9"/>
        <v>36</v>
      </c>
    </row>
    <row r="41">
      <c r="A41" s="30">
        <f t="shared" si="7"/>
        <v>37</v>
      </c>
      <c r="B41" s="43" t="s">
        <v>62</v>
      </c>
      <c r="C41" s="31">
        <v>150.0</v>
      </c>
      <c r="D41" s="31">
        <v>11.0</v>
      </c>
      <c r="E41" s="36">
        <f t="shared" si="2"/>
        <v>12.42857143</v>
      </c>
      <c r="F41" s="73">
        <v>1.0</v>
      </c>
      <c r="G41" s="74">
        <v>7.0</v>
      </c>
      <c r="H41" s="75">
        <v>0.0</v>
      </c>
      <c r="I41" s="74">
        <v>6.0</v>
      </c>
      <c r="J41" s="74">
        <v>6.0</v>
      </c>
      <c r="K41" s="74">
        <v>2.0</v>
      </c>
      <c r="L41" s="76">
        <v>14.0</v>
      </c>
      <c r="M41" s="74">
        <v>2.0</v>
      </c>
      <c r="N41" s="31">
        <f t="shared" ref="N41:O41" si="43">C41+L41</f>
        <v>164</v>
      </c>
      <c r="O41" s="31">
        <f t="shared" si="43"/>
        <v>13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7</v>
      </c>
      <c r="V41" s="46">
        <f t="shared" si="6"/>
        <v>11</v>
      </c>
      <c r="W41" s="30">
        <f t="shared" si="9"/>
        <v>37</v>
      </c>
    </row>
    <row r="42">
      <c r="A42" s="30">
        <f t="shared" si="7"/>
        <v>38</v>
      </c>
      <c r="B42" s="48" t="s">
        <v>125</v>
      </c>
      <c r="C42" s="31">
        <v>150.0</v>
      </c>
      <c r="D42" s="31">
        <v>11.0</v>
      </c>
      <c r="E42" s="36">
        <f t="shared" si="2"/>
        <v>10.71428571</v>
      </c>
      <c r="F42" s="73">
        <v>1.0</v>
      </c>
      <c r="G42" s="74">
        <v>7.0</v>
      </c>
      <c r="H42" s="75">
        <v>0.0</v>
      </c>
      <c r="I42" s="74">
        <v>2.0</v>
      </c>
      <c r="J42" s="74">
        <v>3.0</v>
      </c>
      <c r="K42" s="74">
        <v>2.0</v>
      </c>
      <c r="L42" s="76">
        <v>7.0</v>
      </c>
      <c r="M42" s="74">
        <v>0.0</v>
      </c>
      <c r="N42" s="31">
        <f t="shared" ref="N42:O42" si="44">C42+L42</f>
        <v>157</v>
      </c>
      <c r="O42" s="31">
        <f t="shared" si="44"/>
        <v>11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0</v>
      </c>
      <c r="V42" s="46">
        <f t="shared" si="6"/>
        <v>-2</v>
      </c>
      <c r="W42" s="30">
        <f t="shared" si="9"/>
        <v>38</v>
      </c>
    </row>
    <row r="43">
      <c r="A43" s="30">
        <f t="shared" si="7"/>
        <v>39</v>
      </c>
      <c r="B43" s="43" t="s">
        <v>99</v>
      </c>
      <c r="C43" s="31">
        <v>150.0</v>
      </c>
      <c r="D43" s="31">
        <v>10.0</v>
      </c>
      <c r="E43" s="36">
        <f t="shared" si="2"/>
        <v>12.42857143</v>
      </c>
      <c r="F43" s="73">
        <v>1.0</v>
      </c>
      <c r="G43" s="74">
        <v>7.0</v>
      </c>
      <c r="H43" s="75">
        <v>0.0</v>
      </c>
      <c r="I43" s="74">
        <v>2.0</v>
      </c>
      <c r="J43" s="74">
        <v>6.0</v>
      </c>
      <c r="K43" s="74">
        <v>6.0</v>
      </c>
      <c r="L43" s="76">
        <v>14.0</v>
      </c>
      <c r="M43" s="74">
        <v>2.0</v>
      </c>
      <c r="N43" s="31">
        <f t="shared" ref="N43:O43" si="45">C43+L43</f>
        <v>164</v>
      </c>
      <c r="O43" s="31">
        <f t="shared" si="45"/>
        <v>12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7</v>
      </c>
      <c r="V43" s="46">
        <f t="shared" si="6"/>
        <v>-5</v>
      </c>
      <c r="W43" s="30">
        <f t="shared" si="9"/>
        <v>39</v>
      </c>
    </row>
    <row r="44">
      <c r="A44" s="30">
        <f t="shared" si="7"/>
        <v>40</v>
      </c>
      <c r="B44" s="43" t="s">
        <v>133</v>
      </c>
      <c r="C44" s="31">
        <v>149.0</v>
      </c>
      <c r="D44" s="31">
        <v>11.0</v>
      </c>
      <c r="E44" s="36">
        <f t="shared" si="2"/>
        <v>10.76923077</v>
      </c>
      <c r="F44" s="73">
        <v>1.0</v>
      </c>
      <c r="G44" s="74">
        <v>7.0</v>
      </c>
      <c r="H44" s="75">
        <v>0.0</v>
      </c>
      <c r="I44" s="74">
        <v>6.0</v>
      </c>
      <c r="J44" s="74">
        <v>3.0</v>
      </c>
      <c r="K44" s="74">
        <v>6.0</v>
      </c>
      <c r="L44" s="76">
        <v>15.0</v>
      </c>
      <c r="M44" s="74">
        <v>2.0</v>
      </c>
      <c r="N44" s="31">
        <f t="shared" ref="N44:O44" si="46">C44+L44</f>
        <v>164</v>
      </c>
      <c r="O44" s="31">
        <f t="shared" si="46"/>
        <v>13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</v>
      </c>
      <c r="V44" s="46">
        <f t="shared" si="6"/>
        <v>1</v>
      </c>
      <c r="W44" s="30">
        <f t="shared" si="9"/>
        <v>40</v>
      </c>
    </row>
    <row r="45">
      <c r="A45" s="30">
        <f t="shared" si="7"/>
        <v>41</v>
      </c>
      <c r="B45" s="28" t="s">
        <v>93</v>
      </c>
      <c r="C45" s="31">
        <v>149.0</v>
      </c>
      <c r="D45" s="31">
        <v>10.0</v>
      </c>
      <c r="E45" s="36">
        <f t="shared" si="2"/>
        <v>12.28571429</v>
      </c>
      <c r="F45" s="73">
        <v>1.0</v>
      </c>
      <c r="G45" s="74">
        <v>8.0</v>
      </c>
      <c r="H45" s="75">
        <v>0.0</v>
      </c>
      <c r="I45" s="74">
        <v>6.0</v>
      </c>
      <c r="J45" s="74">
        <v>2.0</v>
      </c>
      <c r="K45" s="74">
        <v>4.0</v>
      </c>
      <c r="L45" s="76">
        <v>12.0</v>
      </c>
      <c r="M45" s="74">
        <v>1.0</v>
      </c>
      <c r="N45" s="31">
        <f t="shared" ref="N45:O45" si="47">C45+L45</f>
        <v>161</v>
      </c>
      <c r="O45" s="31">
        <f t="shared" si="47"/>
        <v>11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7</v>
      </c>
      <c r="V45" s="46">
        <f t="shared" si="6"/>
        <v>-4</v>
      </c>
      <c r="W45" s="30">
        <f t="shared" si="9"/>
        <v>41</v>
      </c>
    </row>
    <row r="46">
      <c r="A46" s="30">
        <f t="shared" si="7"/>
        <v>42</v>
      </c>
      <c r="B46" s="28" t="s">
        <v>128</v>
      </c>
      <c r="C46" s="31">
        <v>148.0</v>
      </c>
      <c r="D46" s="31">
        <v>10.0</v>
      </c>
      <c r="E46" s="36">
        <f t="shared" si="2"/>
        <v>12.66666667</v>
      </c>
      <c r="F46" s="73">
        <v>1.0</v>
      </c>
      <c r="G46" s="74">
        <v>8.0</v>
      </c>
      <c r="H46" s="75">
        <v>0.0</v>
      </c>
      <c r="I46" s="74">
        <v>6.0</v>
      </c>
      <c r="J46" s="74">
        <v>6.0</v>
      </c>
      <c r="K46" s="74">
        <v>6.0</v>
      </c>
      <c r="L46" s="76">
        <v>18.0</v>
      </c>
      <c r="M46" s="74">
        <v>3.0</v>
      </c>
      <c r="N46" s="31">
        <f t="shared" ref="N46:O46" si="48">C46+L46</f>
        <v>166</v>
      </c>
      <c r="O46" s="31">
        <f t="shared" si="48"/>
        <v>13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8</v>
      </c>
      <c r="V46" s="46">
        <f t="shared" si="6"/>
        <v>-3</v>
      </c>
      <c r="W46" s="30">
        <f t="shared" si="9"/>
        <v>42</v>
      </c>
    </row>
    <row r="47">
      <c r="A47" s="30">
        <f t="shared" si="7"/>
        <v>43</v>
      </c>
      <c r="B47" s="28" t="s">
        <v>102</v>
      </c>
      <c r="C47" s="31">
        <v>148.0</v>
      </c>
      <c r="D47" s="31">
        <v>9.0</v>
      </c>
      <c r="E47" s="36">
        <f t="shared" si="2"/>
        <v>15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157</v>
      </c>
      <c r="O47" s="31">
        <f t="shared" si="49"/>
        <v>9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10</v>
      </c>
      <c r="V47" s="46">
        <f t="shared" si="6"/>
        <v>-3</v>
      </c>
      <c r="W47" s="30">
        <f t="shared" si="9"/>
        <v>43</v>
      </c>
    </row>
    <row r="48">
      <c r="A48" s="30">
        <f t="shared" si="7"/>
        <v>44</v>
      </c>
      <c r="B48" s="43" t="s">
        <v>122</v>
      </c>
      <c r="C48" s="31">
        <v>145.0</v>
      </c>
      <c r="D48" s="31">
        <v>9.0</v>
      </c>
      <c r="E48" s="36">
        <f t="shared" si="2"/>
        <v>11.71428571</v>
      </c>
      <c r="F48" s="73">
        <v>1.0</v>
      </c>
      <c r="G48" s="74">
        <v>8.0</v>
      </c>
      <c r="H48" s="75">
        <v>0.0</v>
      </c>
      <c r="I48" s="74">
        <v>1.0</v>
      </c>
      <c r="J48" s="74">
        <v>6.0</v>
      </c>
      <c r="K48" s="74">
        <v>4.0</v>
      </c>
      <c r="L48" s="76">
        <v>11.0</v>
      </c>
      <c r="M48" s="74">
        <v>1.0</v>
      </c>
      <c r="N48" s="31">
        <f t="shared" ref="N48:O48" si="50">C48+L48</f>
        <v>156</v>
      </c>
      <c r="O48" s="31">
        <f t="shared" si="50"/>
        <v>10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7</v>
      </c>
      <c r="V48" s="46">
        <f t="shared" si="6"/>
        <v>-2</v>
      </c>
      <c r="W48" s="30">
        <f t="shared" si="9"/>
        <v>44</v>
      </c>
    </row>
    <row r="49">
      <c r="A49" s="30">
        <f t="shared" si="7"/>
        <v>45</v>
      </c>
      <c r="B49" s="43" t="s">
        <v>136</v>
      </c>
      <c r="C49" s="31">
        <v>144.0</v>
      </c>
      <c r="D49" s="31">
        <v>13.0</v>
      </c>
      <c r="E49" s="36">
        <f t="shared" si="2"/>
        <v>10.5</v>
      </c>
      <c r="F49" s="73">
        <v>1.0</v>
      </c>
      <c r="G49" s="74">
        <v>8.0</v>
      </c>
      <c r="H49" s="75">
        <v>0.0</v>
      </c>
      <c r="I49" s="74">
        <v>1.0</v>
      </c>
      <c r="J49" s="74">
        <v>2.0</v>
      </c>
      <c r="K49" s="74">
        <v>6.0</v>
      </c>
      <c r="L49" s="76">
        <v>9.0</v>
      </c>
      <c r="M49" s="74">
        <v>1.0</v>
      </c>
      <c r="N49" s="31">
        <f t="shared" ref="N49:O49" si="51">C49+L49</f>
        <v>153</v>
      </c>
      <c r="O49" s="31">
        <f t="shared" si="51"/>
        <v>14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2</v>
      </c>
      <c r="V49" s="46">
        <f t="shared" si="6"/>
        <v>0</v>
      </c>
      <c r="W49" s="30">
        <f t="shared" si="9"/>
        <v>45</v>
      </c>
    </row>
    <row r="50">
      <c r="A50" s="30">
        <f t="shared" si="7"/>
        <v>46</v>
      </c>
      <c r="B50" s="43" t="s">
        <v>140</v>
      </c>
      <c r="C50" s="31">
        <v>144.0</v>
      </c>
      <c r="D50" s="31">
        <v>9.0</v>
      </c>
      <c r="E50" s="36">
        <f t="shared" si="2"/>
        <v>11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2">C50+L50</f>
        <v>153</v>
      </c>
      <c r="O50" s="31">
        <f t="shared" si="52"/>
        <v>9</v>
      </c>
      <c r="P50" s="45" t="s">
        <v>58</v>
      </c>
      <c r="Q50" s="45" t="s">
        <v>58</v>
      </c>
      <c r="R50" s="45"/>
      <c r="S50" s="46">
        <f t="shared" si="4"/>
        <v>1</v>
      </c>
      <c r="T50" s="46"/>
      <c r="U50" s="46">
        <f t="shared" si="5"/>
        <v>6</v>
      </c>
      <c r="V50" s="46">
        <f t="shared" si="6"/>
        <v>-3</v>
      </c>
      <c r="W50" s="30">
        <f t="shared" si="9"/>
        <v>46</v>
      </c>
    </row>
    <row r="51">
      <c r="A51" s="30">
        <f t="shared" si="7"/>
        <v>47</v>
      </c>
      <c r="B51" s="43" t="s">
        <v>138</v>
      </c>
      <c r="C51" s="47">
        <v>142.0</v>
      </c>
      <c r="D51" s="31">
        <v>13.0</v>
      </c>
      <c r="E51" s="36">
        <f t="shared" si="2"/>
        <v>10.6</v>
      </c>
      <c r="F51" s="73">
        <v>1.0</v>
      </c>
      <c r="G51" s="74">
        <v>10.0</v>
      </c>
      <c r="H51" s="75">
        <v>0.0</v>
      </c>
      <c r="I51" s="74">
        <v>1.0</v>
      </c>
      <c r="J51" s="74">
        <v>6.0</v>
      </c>
      <c r="K51" s="74">
        <v>7.0</v>
      </c>
      <c r="L51" s="76">
        <v>14.0</v>
      </c>
      <c r="M51" s="74">
        <v>2.0</v>
      </c>
      <c r="N51" s="47">
        <f t="shared" ref="N51:O51" si="53">C51+L51</f>
        <v>156</v>
      </c>
      <c r="O51" s="31">
        <f t="shared" si="53"/>
        <v>15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4</v>
      </c>
      <c r="V51" s="46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48" t="s">
        <v>103</v>
      </c>
      <c r="C52" s="31">
        <v>142.0</v>
      </c>
      <c r="D52" s="31">
        <v>12.0</v>
      </c>
      <c r="E52" s="36">
        <f t="shared" si="2"/>
        <v>10.6</v>
      </c>
      <c r="F52" s="73">
        <v>1.0</v>
      </c>
      <c r="G52" s="74">
        <v>10.0</v>
      </c>
      <c r="H52" s="75">
        <v>0.0</v>
      </c>
      <c r="I52" s="74">
        <v>1.0</v>
      </c>
      <c r="J52" s="74">
        <v>1.0</v>
      </c>
      <c r="K52" s="74">
        <v>6.0</v>
      </c>
      <c r="L52" s="76">
        <v>8.0</v>
      </c>
      <c r="M52" s="74">
        <v>0.0</v>
      </c>
      <c r="N52" s="31">
        <f t="shared" ref="N52:O52" si="54">C52+L52</f>
        <v>150</v>
      </c>
      <c r="O52" s="31">
        <f t="shared" si="54"/>
        <v>12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4</v>
      </c>
      <c r="V52" s="46">
        <f t="shared" si="6"/>
        <v>-2</v>
      </c>
      <c r="W52" s="30">
        <f t="shared" si="9"/>
        <v>48</v>
      </c>
    </row>
    <row r="53">
      <c r="A53" s="30">
        <f t="shared" si="7"/>
        <v>49</v>
      </c>
      <c r="B53" s="43" t="s">
        <v>96</v>
      </c>
      <c r="C53" s="31">
        <v>142.0</v>
      </c>
      <c r="D53" s="31">
        <v>6.0</v>
      </c>
      <c r="E53" s="36">
        <f t="shared" si="2"/>
        <v>10</v>
      </c>
      <c r="F53" s="73">
        <v>2.0</v>
      </c>
      <c r="G53" s="74">
        <v>10.0</v>
      </c>
      <c r="H53" s="75">
        <v>0.0</v>
      </c>
      <c r="I53" s="74">
        <v>6.0</v>
      </c>
      <c r="J53" s="74">
        <v>1.0</v>
      </c>
      <c r="K53" s="74">
        <v>7.0</v>
      </c>
      <c r="L53" s="76">
        <v>14.0</v>
      </c>
      <c r="M53" s="74">
        <v>2.0</v>
      </c>
      <c r="N53" s="31">
        <f t="shared" ref="N53:O53" si="55">C53+L53</f>
        <v>156</v>
      </c>
      <c r="O53" s="31">
        <f t="shared" si="55"/>
        <v>8</v>
      </c>
      <c r="P53" s="45" t="s">
        <v>58</v>
      </c>
      <c r="Q53" s="45" t="s">
        <v>58</v>
      </c>
      <c r="R53" s="45"/>
      <c r="S53" s="46">
        <f t="shared" si="4"/>
        <v>2</v>
      </c>
      <c r="T53" s="46"/>
      <c r="U53" s="46">
        <f t="shared" si="5"/>
        <v>4</v>
      </c>
      <c r="V53" s="46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28" t="s">
        <v>127</v>
      </c>
      <c r="C54" s="31">
        <v>140.0</v>
      </c>
      <c r="D54" s="31">
        <v>4.0</v>
      </c>
      <c r="E54" s="36">
        <f t="shared" si="2"/>
        <v>12.33333333</v>
      </c>
      <c r="F54" s="73">
        <v>2.0</v>
      </c>
      <c r="G54" s="74">
        <v>10.0</v>
      </c>
      <c r="H54" s="75">
        <v>0.0</v>
      </c>
      <c r="I54" s="74">
        <v>6.0</v>
      </c>
      <c r="J54" s="74">
        <v>6.0</v>
      </c>
      <c r="K54" s="74">
        <v>6.0</v>
      </c>
      <c r="L54" s="76">
        <v>18.0</v>
      </c>
      <c r="M54" s="74">
        <v>2.0</v>
      </c>
      <c r="N54" s="31">
        <f t="shared" ref="N54:O54" si="56">C54+L54</f>
        <v>158</v>
      </c>
      <c r="O54" s="31">
        <f t="shared" si="56"/>
        <v>6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10</v>
      </c>
      <c r="V54" s="46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48" t="s">
        <v>54</v>
      </c>
      <c r="C55" s="31">
        <v>138.0</v>
      </c>
      <c r="D55" s="31">
        <v>9.0</v>
      </c>
      <c r="E55" s="36">
        <f t="shared" si="2"/>
        <v>9.888888889</v>
      </c>
      <c r="F55" s="73">
        <v>1.0</v>
      </c>
      <c r="G55" s="74">
        <v>11.0</v>
      </c>
      <c r="H55" s="75">
        <v>0.0</v>
      </c>
      <c r="I55" s="74">
        <v>6.0</v>
      </c>
      <c r="J55" s="74">
        <v>3.0</v>
      </c>
      <c r="K55" s="74">
        <v>7.0</v>
      </c>
      <c r="L55" s="76">
        <v>16.0</v>
      </c>
      <c r="M55" s="74">
        <v>2.0</v>
      </c>
      <c r="N55" s="31">
        <f t="shared" ref="N55:O55" si="57">C55+L55</f>
        <v>154</v>
      </c>
      <c r="O55" s="31">
        <f t="shared" si="57"/>
        <v>11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4</v>
      </c>
      <c r="V55" s="46">
        <f t="shared" si="6"/>
        <v>1</v>
      </c>
      <c r="W55" s="30">
        <f t="shared" si="9"/>
        <v>51</v>
      </c>
    </row>
    <row r="56">
      <c r="A56" s="30">
        <f t="shared" si="7"/>
        <v>52</v>
      </c>
      <c r="B56" s="48" t="s">
        <v>139</v>
      </c>
      <c r="C56" s="31">
        <v>135.0</v>
      </c>
      <c r="D56" s="31">
        <v>5.0</v>
      </c>
      <c r="E56" s="36">
        <f t="shared" si="2"/>
        <v>10.66666667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144</v>
      </c>
      <c r="O56" s="31">
        <f t="shared" si="58"/>
        <v>5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10</v>
      </c>
      <c r="V56" s="46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43" t="s">
        <v>79</v>
      </c>
      <c r="C57" s="31">
        <v>133.0</v>
      </c>
      <c r="D57" s="31">
        <v>4.0</v>
      </c>
      <c r="E57" s="36">
        <f t="shared" si="2"/>
        <v>10.16666667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142</v>
      </c>
      <c r="O57" s="31">
        <f t="shared" si="59"/>
        <v>4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8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132.0</v>
      </c>
      <c r="D58" s="31">
        <v>5.0</v>
      </c>
      <c r="E58" s="36">
        <f t="shared" si="2"/>
        <v>9.25</v>
      </c>
      <c r="F58" s="73">
        <v>2.0</v>
      </c>
      <c r="G58" s="74">
        <v>11.0</v>
      </c>
      <c r="H58" s="75">
        <v>0.0</v>
      </c>
      <c r="I58" s="74">
        <v>4.0</v>
      </c>
      <c r="J58" s="74">
        <v>6.0</v>
      </c>
      <c r="K58" s="74">
        <v>7.0</v>
      </c>
      <c r="L58" s="76">
        <v>17.0</v>
      </c>
      <c r="M58" s="74">
        <v>2.0</v>
      </c>
      <c r="N58" s="31">
        <f t="shared" ref="N58:O58" si="60">C58+L58</f>
        <v>149</v>
      </c>
      <c r="O58" s="31">
        <f t="shared" si="60"/>
        <v>7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5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130.0</v>
      </c>
      <c r="D59" s="31">
        <v>5.0</v>
      </c>
      <c r="E59" s="36">
        <f t="shared" si="2"/>
        <v>9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139</v>
      </c>
      <c r="O59" s="31">
        <f t="shared" si="61"/>
        <v>5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10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100</v>
      </c>
      <c r="C60" s="31">
        <v>127.0</v>
      </c>
      <c r="D60" s="31">
        <v>12.0</v>
      </c>
      <c r="E60" s="36">
        <f t="shared" si="2"/>
        <v>9.090909091</v>
      </c>
      <c r="F60" s="73">
        <v>1.0</v>
      </c>
      <c r="G60" s="74">
        <v>11.0</v>
      </c>
      <c r="H60" s="75">
        <v>0.0</v>
      </c>
      <c r="I60" s="74">
        <v>4.0</v>
      </c>
      <c r="J60" s="74">
        <v>3.0</v>
      </c>
      <c r="K60" s="74">
        <v>5.0</v>
      </c>
      <c r="L60" s="76">
        <v>12.0</v>
      </c>
      <c r="M60" s="74">
        <v>0.0</v>
      </c>
      <c r="N60" s="31">
        <f t="shared" ref="N60:O60" si="62">C60+L60</f>
        <v>139</v>
      </c>
      <c r="O60" s="31">
        <f t="shared" si="62"/>
        <v>12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3</v>
      </c>
      <c r="V60" s="46">
        <f t="shared" si="6"/>
        <v>1</v>
      </c>
      <c r="W60" s="30">
        <f t="shared" si="9"/>
        <v>56</v>
      </c>
    </row>
    <row r="61">
      <c r="A61" s="30">
        <f t="shared" si="7"/>
        <v>57</v>
      </c>
      <c r="B61" s="43" t="s">
        <v>131</v>
      </c>
      <c r="C61" s="31">
        <v>125.0</v>
      </c>
      <c r="D61" s="31">
        <v>1.0</v>
      </c>
      <c r="E61" s="36">
        <f t="shared" si="2"/>
        <v>8.666666667</v>
      </c>
      <c r="F61" s="73">
        <v>1.0</v>
      </c>
      <c r="G61" s="74">
        <v>11.0</v>
      </c>
      <c r="H61" s="75">
        <v>0.0</v>
      </c>
      <c r="I61" s="74">
        <v>6.0</v>
      </c>
      <c r="J61" s="74">
        <v>6.0</v>
      </c>
      <c r="K61" s="74">
        <v>5.0</v>
      </c>
      <c r="L61" s="76">
        <v>17.0</v>
      </c>
      <c r="M61" s="74">
        <v>2.0</v>
      </c>
      <c r="N61" s="31">
        <f t="shared" ref="N61:O61" si="63">C61+L61</f>
        <v>142</v>
      </c>
      <c r="O61" s="31">
        <f t="shared" si="63"/>
        <v>3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11</v>
      </c>
      <c r="V61" s="46">
        <f t="shared" si="6"/>
        <v>-1</v>
      </c>
      <c r="W61" s="30">
        <f t="shared" si="9"/>
        <v>57</v>
      </c>
    </row>
    <row r="62">
      <c r="A62" s="30">
        <f t="shared" si="7"/>
        <v>58</v>
      </c>
      <c r="B62" s="43" t="s">
        <v>142</v>
      </c>
      <c r="C62" s="47">
        <v>123.0</v>
      </c>
      <c r="D62" s="31">
        <v>4.0</v>
      </c>
      <c r="E62" s="36">
        <f t="shared" si="2"/>
        <v>8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132</v>
      </c>
      <c r="O62" s="31">
        <f t="shared" si="64"/>
        <v>4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11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28" t="s">
        <v>80</v>
      </c>
      <c r="C63" s="31">
        <v>121.0</v>
      </c>
      <c r="D63" s="31">
        <v>0.0</v>
      </c>
      <c r="E63" s="36">
        <f t="shared" si="2"/>
        <v>0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5">C63+L63</f>
        <v>130</v>
      </c>
      <c r="O63" s="31">
        <f t="shared" si="65"/>
        <v>0</v>
      </c>
      <c r="P63" s="45" t="s">
        <v>58</v>
      </c>
      <c r="Q63" s="45" t="s">
        <v>58</v>
      </c>
      <c r="R63" s="45" t="s">
        <v>143</v>
      </c>
      <c r="S63" s="46">
        <f t="shared" si="4"/>
        <v>1</v>
      </c>
      <c r="T63" s="46"/>
      <c r="U63" s="46">
        <f t="shared" si="5"/>
        <v>13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72</v>
      </c>
      <c r="C64" s="31">
        <v>121.0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130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1</v>
      </c>
      <c r="T64" s="46"/>
      <c r="U64" s="46">
        <f t="shared" si="5"/>
        <v>13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3" t="s">
        <v>118</v>
      </c>
      <c r="C65" s="47">
        <v>120.0</v>
      </c>
      <c r="D65" s="31">
        <v>5.0</v>
      </c>
      <c r="E65" s="36">
        <f t="shared" si="2"/>
        <v>7.8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47">
        <f t="shared" ref="N65:O65" si="67">C65+L65</f>
        <v>129</v>
      </c>
      <c r="O65" s="31">
        <f t="shared" si="67"/>
        <v>5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9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117.0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126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14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117.0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126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14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78</v>
      </c>
      <c r="C68" s="47">
        <v>110.0</v>
      </c>
      <c r="D68" s="31">
        <v>3.0</v>
      </c>
      <c r="E68" s="36">
        <f t="shared" si="2"/>
        <v>6.714285714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47">
        <f t="shared" ref="N68:O68" si="70">C68+L68</f>
        <v>119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7</v>
      </c>
      <c r="V68" s="46">
        <f t="shared" si="6"/>
        <v>1</v>
      </c>
      <c r="W68" s="30">
        <f t="shared" si="9"/>
        <v>64</v>
      </c>
    </row>
    <row r="69">
      <c r="A69" s="30">
        <f t="shared" si="7"/>
        <v>65</v>
      </c>
      <c r="B69" s="43" t="s">
        <v>135</v>
      </c>
      <c r="C69" s="31">
        <v>106.0</v>
      </c>
      <c r="D69" s="31">
        <v>1.0</v>
      </c>
      <c r="E69" s="36">
        <f t="shared" si="2"/>
        <v>4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31">
        <f t="shared" ref="N69:O69" si="71">C69+L69</f>
        <v>115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10</v>
      </c>
      <c r="V69" s="46">
        <f t="shared" si="6"/>
        <v>-1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desc"",0)"),"Alejandro Mejia")</f>
        <v>Alejandro Mejia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IFERROR(__xludf.DUMMYFUNCTION("""COMPUTED_VALUE"""),9.0)</f>
        <v>9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IFERROR(__xludf.DUMMYFUNCTION("""COMPUTED_VALUE"""),"Lam Bui")</f>
        <v>Lam Bui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IFERROR(__xludf.DUMMYFUNCTION("""COMPUTED_VALUE"""),4.0)</f>
        <v>4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IFERROR(__xludf.DUMMYFUNCTION("""COMPUTED_VALUE"""),"Pulkit Mathur")</f>
        <v>Pulkit Mathur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IFERROR(__xludf.DUMMYFUNCTION("""COMPUTED_VALUE"""),1.0)</f>
        <v>1</v>
      </c>
      <c r="F78" s="1"/>
    </row>
    <row r="79">
      <c r="A79" s="1"/>
      <c r="B79" s="43" t="str">
        <f>IFERROR(__xludf.DUMMYFUNCTION("""COMPUTED_VALUE"""),"Oscar Bonilla")</f>
        <v>Oscar Bonilla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IFERROR(__xludf.DUMMYFUNCTION("""COMPUTED_VALUE"""),8.0)</f>
        <v>8</v>
      </c>
      <c r="F79" s="1"/>
    </row>
    <row r="80">
      <c r="A80" s="1"/>
      <c r="B80" s="43" t="str">
        <f>IFERROR(__xludf.DUMMYFUNCTION("""COMPUTED_VALUE"""),"Erik Hoeckmann")</f>
        <v>Erik Hoeckmann</v>
      </c>
      <c r="C80" s="84">
        <f>IFERROR(__xludf.DUMMYFUNCTION("""COMPUTED_VALUE"""),18.0)</f>
        <v>18</v>
      </c>
      <c r="D80" s="84">
        <f>IFERROR(__xludf.DUMMYFUNCTION("""COMPUTED_VALUE"""),2.0)</f>
        <v>2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IFERROR(__xludf.DUMMYFUNCTION("""COMPUTED_VALUE"""),"Matthew Huang")</f>
        <v>Matthew Huang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IFERROR(__xludf.DUMMYFUNCTION("""COMPUTED_VALUE"""),10.0)</f>
        <v>10</v>
      </c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10"")"),"Suleman Alidina")</f>
        <v>Suleman Alidina</v>
      </c>
      <c r="C90" s="84">
        <f>IFERROR(__xludf.DUMMYFUNCTION("""COMPUTED_VALUE"""),11.0)</f>
        <v>11</v>
      </c>
      <c r="D90" s="84">
        <f t="shared" ref="D90:D99" si="72">VLOOKUP(B90,indirect($AB$2&amp;"!B$5:w$70"),22, false)</f>
        <v>48</v>
      </c>
      <c r="E90" s="84">
        <f t="shared" ref="E90:E99" si="73">VLOOKUP(B90,B$5:W$69,22, false)</f>
        <v>37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8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IFERROR(__xludf.DUMMYFUNCTION("""COMPUTED_VALUE"""),"Chinna Ponnaganti")</f>
        <v>Chinna Ponnaganti</v>
      </c>
      <c r="C91" s="84">
        <f>IFERROR(__xludf.DUMMYFUNCTION("""COMPUTED_VALUE"""),10.0)</f>
        <v>10</v>
      </c>
      <c r="D91" s="84">
        <f t="shared" si="72"/>
        <v>31</v>
      </c>
      <c r="E91" s="84">
        <f t="shared" si="73"/>
        <v>21</v>
      </c>
      <c r="F91" s="84">
        <f t="shared" si="74"/>
        <v>18</v>
      </c>
      <c r="G91" s="84">
        <f t="shared" si="75"/>
        <v>5</v>
      </c>
      <c r="L91" s="84" t="str">
        <f t="shared" si="76"/>
        <v>ok</v>
      </c>
    </row>
    <row r="92">
      <c r="A92" s="1"/>
      <c r="B92" s="43" t="str">
        <f>IFERROR(__xludf.DUMMYFUNCTION("""COMPUTED_VALUE"""),"Erik Hoeckmann")</f>
        <v>Erik Hoeckmann</v>
      </c>
      <c r="C92" s="84">
        <f>IFERROR(__xludf.DUMMYFUNCTION("""COMPUTED_VALUE"""),8.0)</f>
        <v>8</v>
      </c>
      <c r="D92" s="84">
        <f t="shared" si="72"/>
        <v>33</v>
      </c>
      <c r="E92" s="84">
        <f t="shared" si="73"/>
        <v>25</v>
      </c>
      <c r="F92" s="84">
        <f t="shared" si="74"/>
        <v>17</v>
      </c>
      <c r="G92" s="84">
        <f t="shared" si="75"/>
        <v>6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IFERROR(__xludf.DUMMYFUNCTION("""COMPUTED_VALUE"""),"Tina Hanson")</f>
        <v>Tina Hanson</v>
      </c>
      <c r="C93" s="84">
        <f>IFERROR(__xludf.DUMMYFUNCTION("""COMPUTED_VALUE"""),8.0)</f>
        <v>8</v>
      </c>
      <c r="D93" s="84">
        <f t="shared" si="72"/>
        <v>44</v>
      </c>
      <c r="E93" s="84">
        <f t="shared" si="73"/>
        <v>36</v>
      </c>
      <c r="F93" s="84">
        <f t="shared" si="74"/>
        <v>18</v>
      </c>
      <c r="G93" s="84">
        <f t="shared" si="75"/>
        <v>7</v>
      </c>
      <c r="L93" s="84" t="str">
        <f t="shared" si="76"/>
        <v>ok</v>
      </c>
    </row>
    <row r="94">
      <c r="A94" s="1"/>
      <c r="B94" s="43" t="str">
        <f>IFERROR(__xludf.DUMMYFUNCTION("""COMPUTED_VALUE"""),"Ramesh Bandaru")</f>
        <v>Ramesh Bandaru</v>
      </c>
      <c r="C94" s="84">
        <f>IFERROR(__xludf.DUMMYFUNCTION("""COMPUTED_VALUE"""),7.0)</f>
        <v>7</v>
      </c>
      <c r="D94" s="84">
        <f t="shared" si="72"/>
        <v>35</v>
      </c>
      <c r="E94" s="84">
        <f t="shared" si="73"/>
        <v>28</v>
      </c>
      <c r="F94" s="84">
        <f t="shared" si="74"/>
        <v>17</v>
      </c>
      <c r="G94" s="84">
        <f t="shared" si="75"/>
        <v>6</v>
      </c>
      <c r="L94" s="84" t="str">
        <f t="shared" si="76"/>
        <v>ok</v>
      </c>
    </row>
    <row r="95">
      <c r="A95" s="1"/>
      <c r="B95" s="43" t="str">
        <f>IFERROR(__xludf.DUMMYFUNCTION("""COMPUTED_VALUE"""),"Ted Shen")</f>
        <v>Ted Shen</v>
      </c>
      <c r="C95" s="84">
        <f>IFERROR(__xludf.DUMMYFUNCTION("""COMPUTED_VALUE"""),6.0)</f>
        <v>6</v>
      </c>
      <c r="D95" s="84">
        <f t="shared" si="72"/>
        <v>23</v>
      </c>
      <c r="E95" s="84">
        <f t="shared" si="73"/>
        <v>17</v>
      </c>
      <c r="F95" s="84">
        <f t="shared" si="74"/>
        <v>18</v>
      </c>
      <c r="G95" s="84">
        <f t="shared" si="75"/>
        <v>4</v>
      </c>
      <c r="L95" s="84" t="str">
        <f t="shared" si="76"/>
        <v>ok</v>
      </c>
    </row>
    <row r="96">
      <c r="A96" s="1"/>
      <c r="B96" s="43" t="str">
        <f>IFERROR(__xludf.DUMMYFUNCTION("""COMPUTED_VALUE"""),"Allen Zhang")</f>
        <v>Allen Zhang</v>
      </c>
      <c r="C96" s="84">
        <f>IFERROR(__xludf.DUMMYFUNCTION("""COMPUTED_VALUE"""),6.0)</f>
        <v>6</v>
      </c>
      <c r="D96" s="84">
        <f t="shared" si="72"/>
        <v>38</v>
      </c>
      <c r="E96" s="84">
        <f t="shared" si="73"/>
        <v>32</v>
      </c>
      <c r="F96" s="84">
        <f t="shared" si="74"/>
        <v>14</v>
      </c>
      <c r="G96" s="84">
        <f t="shared" si="75"/>
        <v>6</v>
      </c>
      <c r="L96" s="84" t="str">
        <f t="shared" si="76"/>
        <v>ok</v>
      </c>
    </row>
    <row r="97">
      <c r="A97" s="1"/>
      <c r="B97" s="43" t="str">
        <f>IFERROR(__xludf.DUMMYFUNCTION("""COMPUTED_VALUE"""),"Cid Macaraeg")</f>
        <v>Cid Macaraeg</v>
      </c>
      <c r="C97" s="84">
        <f>IFERROR(__xludf.DUMMYFUNCTION("""COMPUTED_VALUE"""),5.0)</f>
        <v>5</v>
      </c>
      <c r="D97" s="84">
        <f t="shared" si="72"/>
        <v>8</v>
      </c>
      <c r="E97" s="84">
        <f t="shared" si="73"/>
        <v>3</v>
      </c>
      <c r="F97" s="84">
        <f t="shared" si="74"/>
        <v>21</v>
      </c>
      <c r="G97" s="84">
        <f t="shared" si="75"/>
        <v>1</v>
      </c>
      <c r="L97" s="84" t="str">
        <f t="shared" si="76"/>
        <v>ok</v>
      </c>
    </row>
    <row r="98">
      <c r="A98" s="1"/>
      <c r="B98" s="43" t="str">
        <f>IFERROR(__xludf.DUMMYFUNCTION("""COMPUTED_VALUE"""),"Ethan Gu")</f>
        <v>Ethan Gu</v>
      </c>
      <c r="C98" s="84">
        <f>IFERROR(__xludf.DUMMYFUNCTION("""COMPUTED_VALUE"""),3.0)</f>
        <v>3</v>
      </c>
      <c r="D98" s="84">
        <f t="shared" si="72"/>
        <v>10</v>
      </c>
      <c r="E98" s="84">
        <f t="shared" si="73"/>
        <v>7</v>
      </c>
      <c r="F98" s="84">
        <f t="shared" si="74"/>
        <v>19</v>
      </c>
      <c r="G98" s="84">
        <f t="shared" si="75"/>
        <v>1</v>
      </c>
      <c r="L98" s="84" t="str">
        <f t="shared" si="76"/>
        <v>ok</v>
      </c>
    </row>
    <row r="99">
      <c r="A99" s="1"/>
      <c r="B99" s="43" t="str">
        <f>IFERROR(__xludf.DUMMYFUNCTION("""COMPUTED_VALUE"""),"Sandeep Kamalon")</f>
        <v>Sandeep Kamalon</v>
      </c>
      <c r="C99" s="84">
        <f>IFERROR(__xludf.DUMMYFUNCTION("""COMPUTED_VALUE"""),3.0)</f>
        <v>3</v>
      </c>
      <c r="D99" s="84">
        <f t="shared" si="72"/>
        <v>11</v>
      </c>
      <c r="E99" s="84">
        <f t="shared" si="73"/>
        <v>8</v>
      </c>
      <c r="F99" s="84">
        <f t="shared" si="74"/>
        <v>19</v>
      </c>
      <c r="G99" s="84">
        <f t="shared" si="75"/>
        <v>2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10"")"),"Scott Li")</f>
        <v>Scott Li</v>
      </c>
      <c r="C103" s="84">
        <f>IFERROR(__xludf.DUMMYFUNCTION("""COMPUTED_VALUE"""),-9.0)</f>
        <v>-9</v>
      </c>
      <c r="D103" s="84">
        <f t="shared" ref="D103:D112" si="77">VLOOKUP(B103,indirect($AB$2&amp;"!B$5:w$70"),22, false)</f>
        <v>18</v>
      </c>
      <c r="E103" s="84">
        <f t="shared" ref="E103:E112" si="78">VLOOKUP(B103,B$5:W$69,22, false)</f>
        <v>27</v>
      </c>
      <c r="F103" s="84">
        <f t="shared" ref="F103:F112" si="79">VLOOKUP(B103,indirect($AB$2&amp;"!B$5:U$70"),11, false)</f>
        <v>3</v>
      </c>
      <c r="G103" s="84">
        <f t="shared" ref="G103:G112" si="80">VLOOKUP(B103,indirect($AB$2&amp;"!B$5:U$70"),6, false)</f>
        <v>3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IFERROR(__xludf.DUMMYFUNCTION("""COMPUTED_VALUE"""),"Adrian Tay")</f>
        <v>Adrian Tay</v>
      </c>
      <c r="C104" s="84">
        <f>IFERROR(__xludf.DUMMYFUNCTION("""COMPUTED_VALUE"""),-8.0)</f>
        <v>-8</v>
      </c>
      <c r="D104" s="84">
        <f t="shared" si="77"/>
        <v>27</v>
      </c>
      <c r="E104" s="84">
        <f t="shared" si="78"/>
        <v>35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IFERROR(__xludf.DUMMYFUNCTION("""COMPUTED_VALUE"""),"Jimmy Awolesi")</f>
        <v>Jimmy Awolesi</v>
      </c>
      <c r="C105" s="84">
        <f>IFERROR(__xludf.DUMMYFUNCTION("""COMPUTED_VALUE"""),-6.0)</f>
        <v>-6</v>
      </c>
      <c r="D105" s="84">
        <f t="shared" si="77"/>
        <v>28</v>
      </c>
      <c r="E105" s="84">
        <f t="shared" si="78"/>
        <v>34</v>
      </c>
      <c r="F105" s="84">
        <f t="shared" si="79"/>
        <v>9</v>
      </c>
      <c r="G105" s="84">
        <f t="shared" si="80"/>
        <v>4</v>
      </c>
      <c r="L105" s="84" t="str">
        <f t="shared" si="81"/>
        <v>ok</v>
      </c>
    </row>
    <row r="106">
      <c r="A106" s="1"/>
      <c r="B106" s="43" t="str">
        <f>IFERROR(__xludf.DUMMYFUNCTION("""COMPUTED_VALUE"""),"Alejandro Mejia")</f>
        <v>Alejandro Mejia</v>
      </c>
      <c r="C106" s="84">
        <f>IFERROR(__xludf.DUMMYFUNCTION("""COMPUTED_VALUE"""),-5.0)</f>
        <v>-5</v>
      </c>
      <c r="D106" s="84">
        <f t="shared" si="77"/>
        <v>4</v>
      </c>
      <c r="E106" s="84">
        <f t="shared" si="78"/>
        <v>9</v>
      </c>
      <c r="F106" s="84">
        <f t="shared" si="79"/>
        <v>11</v>
      </c>
      <c r="G106" s="84">
        <f t="shared" si="80"/>
        <v>9</v>
      </c>
      <c r="L106" s="84" t="str">
        <f t="shared" si="81"/>
        <v>ok</v>
      </c>
    </row>
    <row r="107">
      <c r="A107" s="1"/>
      <c r="B107" s="43" t="str">
        <f>IFERROR(__xludf.DUMMYFUNCTION("""COMPUTED_VALUE"""),"David Shin")</f>
        <v>David Shin</v>
      </c>
      <c r="C107" s="84">
        <f>IFERROR(__xludf.DUMMYFUNCTION("""COMPUTED_VALUE"""),-5.0)</f>
        <v>-5</v>
      </c>
      <c r="D107" s="84">
        <f t="shared" si="77"/>
        <v>5</v>
      </c>
      <c r="E107" s="84">
        <f t="shared" si="78"/>
        <v>10</v>
      </c>
      <c r="F107" s="84">
        <f t="shared" si="79"/>
        <v>11</v>
      </c>
      <c r="G107" s="84">
        <f t="shared" si="80"/>
        <v>9</v>
      </c>
      <c r="L107" s="84" t="str">
        <f t="shared" si="81"/>
        <v>ok</v>
      </c>
    </row>
    <row r="108">
      <c r="A108" s="1"/>
      <c r="B108" s="43" t="str">
        <f>IFERROR(__xludf.DUMMYFUNCTION("""COMPUTED_VALUE"""),"Basudev Thoppai Vidyasankar")</f>
        <v>Basudev Thoppai Vidyasankar</v>
      </c>
      <c r="C108" s="84">
        <f>IFERROR(__xludf.DUMMYFUNCTION("""COMPUTED_VALUE"""),-5.0)</f>
        <v>-5</v>
      </c>
      <c r="D108" s="84">
        <f t="shared" si="77"/>
        <v>9</v>
      </c>
      <c r="E108" s="84">
        <f t="shared" si="78"/>
        <v>14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IFERROR(__xludf.DUMMYFUNCTION("""COMPUTED_VALUE"""),"Mauricio Palacios")</f>
        <v>Mauricio Palacios</v>
      </c>
      <c r="C109" s="84">
        <f>IFERROR(__xludf.DUMMYFUNCTION("""COMPUTED_VALUE"""),-5.0)</f>
        <v>-5</v>
      </c>
      <c r="D109" s="84">
        <f t="shared" si="77"/>
        <v>26</v>
      </c>
      <c r="E109" s="84">
        <f t="shared" si="78"/>
        <v>31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IFERROR(__xludf.DUMMYFUNCTION("""COMPUTED_VALUE"""),"Elayaraja Thangaraj ")</f>
        <v>Elayaraja Thangaraj </v>
      </c>
      <c r="C110" s="84">
        <f>IFERROR(__xludf.DUMMYFUNCTION("""COMPUTED_VALUE"""),-5.0)</f>
        <v>-5</v>
      </c>
      <c r="D110" s="84">
        <f t="shared" si="77"/>
        <v>34</v>
      </c>
      <c r="E110" s="84">
        <f t="shared" si="78"/>
        <v>39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IFERROR(__xludf.DUMMYFUNCTION("""COMPUTED_VALUE"""),"Tom Le")</f>
        <v>Tom Le</v>
      </c>
      <c r="C111" s="84">
        <f>IFERROR(__xludf.DUMMYFUNCTION("""COMPUTED_VALUE"""),-4.0)</f>
        <v>-4</v>
      </c>
      <c r="D111" s="84">
        <f t="shared" si="77"/>
        <v>2</v>
      </c>
      <c r="E111" s="84">
        <f t="shared" si="78"/>
        <v>6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IFERROR(__xludf.DUMMYFUNCTION("""COMPUTED_VALUE"""),"Manuel Rivera")</f>
        <v>Manuel Rivera</v>
      </c>
      <c r="C112" s="84">
        <f>IFERROR(__xludf.DUMMYFUNCTION("""COMPUTED_VALUE"""),-4.0)</f>
        <v>-4</v>
      </c>
      <c r="D112" s="84">
        <f t="shared" si="77"/>
        <v>37</v>
      </c>
      <c r="E112" s="84">
        <f t="shared" si="78"/>
        <v>41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45745.0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13.0</v>
      </c>
      <c r="E2" s="1"/>
      <c r="F2" s="1"/>
      <c r="R2" s="19"/>
      <c r="AB2" s="20" t="str">
        <f>text(C1-7,"mm/dd/yy")</f>
        <v>03/22/25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182.0</v>
      </c>
      <c r="D5" s="31">
        <v>21.0</v>
      </c>
      <c r="E5" s="36">
        <f t="shared" ref="E5:E69" si="2">if(($D$2-U5-S5)&lt;&gt;0,(C5-(U5*9)-(S5*13))/($D$2-U5-S5),0)</f>
        <v>14.08333333</v>
      </c>
      <c r="F5" s="73">
        <v>2.0</v>
      </c>
      <c r="G5" s="74">
        <v>9.0</v>
      </c>
      <c r="H5" s="75">
        <v>0.0</v>
      </c>
      <c r="I5" s="74">
        <v>4.0</v>
      </c>
      <c r="J5" s="74">
        <v>4.0</v>
      </c>
      <c r="K5" s="74">
        <v>6.0</v>
      </c>
      <c r="L5" s="76">
        <v>14.0</v>
      </c>
      <c r="M5" s="74">
        <v>1.0</v>
      </c>
      <c r="N5" s="31">
        <f t="shared" ref="N5:O5" si="1">C5+L5</f>
        <v>196</v>
      </c>
      <c r="O5" s="31">
        <f t="shared" si="1"/>
        <v>22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120</v>
      </c>
      <c r="C6" s="31">
        <v>171.0</v>
      </c>
      <c r="D6" s="31">
        <v>20.0</v>
      </c>
      <c r="E6" s="36">
        <f t="shared" si="2"/>
        <v>14.55555556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180</v>
      </c>
      <c r="O6" s="31">
        <f t="shared" si="3"/>
        <v>20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3</v>
      </c>
      <c r="V6" s="46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28" t="s">
        <v>117</v>
      </c>
      <c r="C7" s="31">
        <v>171.0</v>
      </c>
      <c r="D7" s="31">
        <v>19.0</v>
      </c>
      <c r="E7" s="36">
        <f t="shared" si="2"/>
        <v>14.55555556</v>
      </c>
      <c r="F7" s="73">
        <v>2.0</v>
      </c>
      <c r="G7" s="74">
        <v>9.0</v>
      </c>
      <c r="H7" s="75">
        <v>0.0</v>
      </c>
      <c r="I7" s="74">
        <v>6.0</v>
      </c>
      <c r="J7" s="74">
        <v>6.0</v>
      </c>
      <c r="K7" s="74">
        <v>6.0</v>
      </c>
      <c r="L7" s="76">
        <v>18.0</v>
      </c>
      <c r="M7" s="74">
        <v>3.0</v>
      </c>
      <c r="N7" s="31">
        <f t="shared" ref="N7:O7" si="8">C7+L7</f>
        <v>189</v>
      </c>
      <c r="O7" s="31">
        <f t="shared" si="8"/>
        <v>22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3</v>
      </c>
      <c r="V7" s="46">
        <f t="shared" si="6"/>
        <v>-1</v>
      </c>
      <c r="W7" s="30">
        <f t="shared" si="9"/>
        <v>3</v>
      </c>
    </row>
    <row r="8">
      <c r="A8" s="30">
        <f t="shared" si="7"/>
        <v>4</v>
      </c>
      <c r="B8" s="28" t="s">
        <v>44</v>
      </c>
      <c r="C8" s="31">
        <v>167.0</v>
      </c>
      <c r="D8" s="31">
        <v>18.0</v>
      </c>
      <c r="E8" s="36">
        <f t="shared" si="2"/>
        <v>14</v>
      </c>
      <c r="F8" s="73">
        <v>1.0</v>
      </c>
      <c r="G8" s="74">
        <v>9.0</v>
      </c>
      <c r="H8" s="75">
        <v>0.0</v>
      </c>
      <c r="I8" s="74">
        <v>6.0</v>
      </c>
      <c r="J8" s="74">
        <v>4.0</v>
      </c>
      <c r="K8" s="74">
        <v>1.0</v>
      </c>
      <c r="L8" s="76">
        <v>11.0</v>
      </c>
      <c r="M8" s="74">
        <v>1.0</v>
      </c>
      <c r="N8" s="31">
        <f t="shared" ref="N8:O8" si="10">C8+L8</f>
        <v>178</v>
      </c>
      <c r="O8" s="31">
        <f t="shared" si="10"/>
        <v>19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3</v>
      </c>
      <c r="V8" s="46">
        <f t="shared" si="6"/>
        <v>1</v>
      </c>
      <c r="W8" s="30">
        <f t="shared" si="9"/>
        <v>4</v>
      </c>
    </row>
    <row r="9">
      <c r="A9" s="30">
        <f t="shared" si="7"/>
        <v>5</v>
      </c>
      <c r="B9" s="28" t="s">
        <v>97</v>
      </c>
      <c r="C9" s="31">
        <v>167.0</v>
      </c>
      <c r="D9" s="31">
        <v>14.0</v>
      </c>
      <c r="E9" s="36">
        <f t="shared" si="2"/>
        <v>13.2</v>
      </c>
      <c r="F9" s="73">
        <v>2.0</v>
      </c>
      <c r="G9" s="74">
        <v>9.0</v>
      </c>
      <c r="H9" s="75">
        <v>0.0</v>
      </c>
      <c r="I9" s="74">
        <v>4.0</v>
      </c>
      <c r="J9" s="74">
        <v>6.0</v>
      </c>
      <c r="K9" s="74">
        <v>1.0</v>
      </c>
      <c r="L9" s="76">
        <v>11.0</v>
      </c>
      <c r="M9" s="74">
        <v>1.0</v>
      </c>
      <c r="N9" s="31">
        <f t="shared" ref="N9:O9" si="11">C9+L9</f>
        <v>178</v>
      </c>
      <c r="O9" s="31">
        <f t="shared" si="11"/>
        <v>15</v>
      </c>
      <c r="P9" s="45" t="s">
        <v>58</v>
      </c>
      <c r="Q9" s="45" t="s">
        <v>58</v>
      </c>
      <c r="R9" s="45"/>
      <c r="S9" s="46">
        <f t="shared" si="4"/>
        <v>2</v>
      </c>
      <c r="T9" s="46"/>
      <c r="U9" s="46">
        <f t="shared" si="5"/>
        <v>1</v>
      </c>
      <c r="V9" s="46">
        <f t="shared" si="6"/>
        <v>1</v>
      </c>
      <c r="W9" s="30">
        <f t="shared" si="9"/>
        <v>5</v>
      </c>
    </row>
    <row r="10">
      <c r="A10" s="30">
        <f t="shared" si="7"/>
        <v>6</v>
      </c>
      <c r="B10" s="43" t="s">
        <v>130</v>
      </c>
      <c r="C10" s="31">
        <v>164.0</v>
      </c>
      <c r="D10" s="31">
        <v>16.0</v>
      </c>
      <c r="E10" s="36">
        <f t="shared" si="2"/>
        <v>14.22222222</v>
      </c>
      <c r="F10" s="73">
        <v>2.0</v>
      </c>
      <c r="G10" s="74">
        <v>1.0</v>
      </c>
      <c r="H10" s="75">
        <v>0.0</v>
      </c>
      <c r="I10" s="74">
        <v>6.0</v>
      </c>
      <c r="J10" s="74">
        <v>7.0</v>
      </c>
      <c r="K10" s="74">
        <v>5.0</v>
      </c>
      <c r="L10" s="76">
        <v>18.0</v>
      </c>
      <c r="M10" s="74">
        <v>1.0</v>
      </c>
      <c r="N10" s="31">
        <f t="shared" ref="N10:O10" si="12">C10+L10</f>
        <v>182</v>
      </c>
      <c r="O10" s="31">
        <f t="shared" si="12"/>
        <v>17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4</v>
      </c>
      <c r="V10" s="46">
        <f t="shared" si="6"/>
        <v>3</v>
      </c>
      <c r="W10" s="30">
        <f t="shared" si="9"/>
        <v>6</v>
      </c>
    </row>
    <row r="11">
      <c r="A11" s="30">
        <f t="shared" si="7"/>
        <v>7</v>
      </c>
      <c r="B11" s="43" t="s">
        <v>121</v>
      </c>
      <c r="C11" s="31">
        <v>163.0</v>
      </c>
      <c r="D11" s="31">
        <v>16.0</v>
      </c>
      <c r="E11" s="36">
        <f t="shared" si="2"/>
        <v>14.25</v>
      </c>
      <c r="F11" s="73">
        <v>2.0</v>
      </c>
      <c r="G11" s="74">
        <v>1.0</v>
      </c>
      <c r="H11" s="75">
        <v>0.0</v>
      </c>
      <c r="I11" s="74">
        <v>7.0</v>
      </c>
      <c r="J11" s="74">
        <v>6.0</v>
      </c>
      <c r="K11" s="74">
        <v>5.0</v>
      </c>
      <c r="L11" s="76">
        <v>18.0</v>
      </c>
      <c r="M11" s="74">
        <v>1.0</v>
      </c>
      <c r="N11" s="31">
        <f t="shared" ref="N11:O11" si="13">C11+L11</f>
        <v>181</v>
      </c>
      <c r="O11" s="31">
        <f t="shared" si="13"/>
        <v>17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4</v>
      </c>
      <c r="V11" s="46">
        <f t="shared" si="6"/>
        <v>1</v>
      </c>
      <c r="W11" s="30">
        <f t="shared" si="9"/>
        <v>7</v>
      </c>
    </row>
    <row r="12">
      <c r="A12" s="30">
        <f t="shared" si="7"/>
        <v>8</v>
      </c>
      <c r="B12" s="43" t="s">
        <v>94</v>
      </c>
      <c r="C12" s="31">
        <v>163.0</v>
      </c>
      <c r="D12" s="31">
        <v>14.0</v>
      </c>
      <c r="E12" s="36">
        <f t="shared" si="2"/>
        <v>14.25</v>
      </c>
      <c r="F12" s="73">
        <v>1.0</v>
      </c>
      <c r="G12" s="74">
        <v>1.0</v>
      </c>
      <c r="H12" s="75">
        <v>0.0</v>
      </c>
      <c r="I12" s="74">
        <v>7.0</v>
      </c>
      <c r="J12" s="74">
        <v>7.0</v>
      </c>
      <c r="K12" s="74">
        <v>7.0</v>
      </c>
      <c r="L12" s="76">
        <v>21.0</v>
      </c>
      <c r="M12" s="74">
        <v>3.0</v>
      </c>
      <c r="N12" s="31">
        <f t="shared" ref="N12:O12" si="14">C12+L12</f>
        <v>184</v>
      </c>
      <c r="O12" s="31">
        <f t="shared" si="14"/>
        <v>17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4</v>
      </c>
      <c r="V12" s="46">
        <f t="shared" si="6"/>
        <v>2</v>
      </c>
      <c r="W12" s="30">
        <f t="shared" si="9"/>
        <v>8</v>
      </c>
    </row>
    <row r="13">
      <c r="A13" s="30">
        <f t="shared" si="7"/>
        <v>9</v>
      </c>
      <c r="B13" s="43" t="s">
        <v>87</v>
      </c>
      <c r="C13" s="47">
        <v>163.0</v>
      </c>
      <c r="D13" s="31">
        <v>13.0</v>
      </c>
      <c r="E13" s="36">
        <f t="shared" si="2"/>
        <v>13.6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47">
        <f t="shared" ref="N13:O13" si="15">C13+L13</f>
        <v>172</v>
      </c>
      <c r="O13" s="31">
        <f t="shared" si="15"/>
        <v>13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3</v>
      </c>
      <c r="V13" s="46">
        <f t="shared" si="6"/>
        <v>-5</v>
      </c>
      <c r="W13" s="30">
        <f t="shared" si="9"/>
        <v>9</v>
      </c>
    </row>
    <row r="14">
      <c r="A14" s="30">
        <f t="shared" si="7"/>
        <v>10</v>
      </c>
      <c r="B14" s="43" t="s">
        <v>64</v>
      </c>
      <c r="C14" s="47">
        <v>160.0</v>
      </c>
      <c r="D14" s="31">
        <v>17.0</v>
      </c>
      <c r="E14" s="36">
        <f t="shared" si="2"/>
        <v>12.90909091</v>
      </c>
      <c r="F14" s="73">
        <v>1.0</v>
      </c>
      <c r="G14" s="74">
        <v>1.0</v>
      </c>
      <c r="H14" s="75">
        <v>0.0</v>
      </c>
      <c r="I14" s="74">
        <v>6.0</v>
      </c>
      <c r="J14" s="74">
        <v>6.0</v>
      </c>
      <c r="K14" s="74">
        <v>7.0</v>
      </c>
      <c r="L14" s="76">
        <v>19.0</v>
      </c>
      <c r="M14" s="74">
        <v>1.0</v>
      </c>
      <c r="N14" s="47">
        <f t="shared" ref="N14:O14" si="16">C14+L14</f>
        <v>179</v>
      </c>
      <c r="O14" s="31">
        <f t="shared" si="16"/>
        <v>18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2</v>
      </c>
      <c r="V14" s="46">
        <f t="shared" si="6"/>
        <v>1</v>
      </c>
      <c r="W14" s="30">
        <f t="shared" si="9"/>
        <v>10</v>
      </c>
    </row>
    <row r="15">
      <c r="A15" s="30">
        <f t="shared" si="7"/>
        <v>11</v>
      </c>
      <c r="B15" s="43" t="s">
        <v>88</v>
      </c>
      <c r="C15" s="47">
        <v>160.0</v>
      </c>
      <c r="D15" s="31">
        <v>15.0</v>
      </c>
      <c r="E15" s="36">
        <f t="shared" si="2"/>
        <v>12.25</v>
      </c>
      <c r="F15" s="73">
        <v>1.0</v>
      </c>
      <c r="G15" s="74">
        <v>2.0</v>
      </c>
      <c r="H15" s="75">
        <v>0.0</v>
      </c>
      <c r="I15" s="74">
        <v>6.0</v>
      </c>
      <c r="J15" s="74">
        <v>7.0</v>
      </c>
      <c r="K15" s="74">
        <v>6.0</v>
      </c>
      <c r="L15" s="76">
        <v>19.0</v>
      </c>
      <c r="M15" s="74">
        <v>3.0</v>
      </c>
      <c r="N15" s="47">
        <f t="shared" ref="N15:O15" si="17">C15+L15</f>
        <v>179</v>
      </c>
      <c r="O15" s="31">
        <f t="shared" si="17"/>
        <v>18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0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28" t="s">
        <v>104</v>
      </c>
      <c r="C16" s="31">
        <v>160.0</v>
      </c>
      <c r="D16" s="31">
        <v>14.0</v>
      </c>
      <c r="E16" s="36">
        <f t="shared" si="2"/>
        <v>12.9</v>
      </c>
      <c r="F16" s="73">
        <v>2.0</v>
      </c>
      <c r="G16" s="74">
        <v>2.0</v>
      </c>
      <c r="H16" s="75">
        <v>0.0</v>
      </c>
      <c r="I16" s="74">
        <v>6.0</v>
      </c>
      <c r="J16" s="74">
        <v>6.0</v>
      </c>
      <c r="K16" s="74">
        <v>3.0</v>
      </c>
      <c r="L16" s="76">
        <v>15.0</v>
      </c>
      <c r="M16" s="74">
        <v>1.0</v>
      </c>
      <c r="N16" s="31">
        <f t="shared" ref="N16:O16" si="18">C16+L16</f>
        <v>175</v>
      </c>
      <c r="O16" s="31">
        <f t="shared" si="18"/>
        <v>15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2</v>
      </c>
      <c r="V16" s="46">
        <f t="shared" si="6"/>
        <v>2</v>
      </c>
      <c r="W16" s="30">
        <f t="shared" si="9"/>
        <v>12</v>
      </c>
    </row>
    <row r="17">
      <c r="A17" s="30">
        <f t="shared" si="7"/>
        <v>13</v>
      </c>
      <c r="B17" s="43" t="s">
        <v>56</v>
      </c>
      <c r="C17" s="31">
        <v>159.0</v>
      </c>
      <c r="D17" s="31">
        <v>15.0</v>
      </c>
      <c r="E17" s="36">
        <f t="shared" si="2"/>
        <v>12.23076923</v>
      </c>
      <c r="F17" s="73">
        <v>1.0</v>
      </c>
      <c r="G17" s="74">
        <v>2.0</v>
      </c>
      <c r="H17" s="75">
        <v>0.0</v>
      </c>
      <c r="I17" s="74">
        <v>4.0</v>
      </c>
      <c r="J17" s="74">
        <v>7.0</v>
      </c>
      <c r="K17" s="74">
        <v>3.0</v>
      </c>
      <c r="L17" s="76">
        <v>14.0</v>
      </c>
      <c r="M17" s="74">
        <v>1.0</v>
      </c>
      <c r="N17" s="31">
        <f t="shared" ref="N17:O17" si="19">C17+L17</f>
        <v>173</v>
      </c>
      <c r="O17" s="31">
        <f t="shared" si="19"/>
        <v>16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0</v>
      </c>
      <c r="W17" s="30">
        <f t="shared" si="9"/>
        <v>13</v>
      </c>
    </row>
    <row r="18">
      <c r="A18" s="30">
        <f t="shared" si="7"/>
        <v>14</v>
      </c>
      <c r="B18" s="28" t="s">
        <v>67</v>
      </c>
      <c r="C18" s="31">
        <v>158.0</v>
      </c>
      <c r="D18" s="31">
        <v>15.0</v>
      </c>
      <c r="E18" s="36">
        <f t="shared" si="2"/>
        <v>14.28571429</v>
      </c>
      <c r="F18" s="73">
        <v>1.0</v>
      </c>
      <c r="G18" s="74">
        <v>2.0</v>
      </c>
      <c r="H18" s="75">
        <v>0.0</v>
      </c>
      <c r="I18" s="74">
        <v>4.0</v>
      </c>
      <c r="J18" s="74">
        <v>6.0</v>
      </c>
      <c r="K18" s="74">
        <v>6.0</v>
      </c>
      <c r="L18" s="76">
        <v>16.0</v>
      </c>
      <c r="M18" s="74">
        <v>1.0</v>
      </c>
      <c r="N18" s="31">
        <f t="shared" ref="N18:O18" si="20">C18+L18</f>
        <v>174</v>
      </c>
      <c r="O18" s="31">
        <f t="shared" si="20"/>
        <v>16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5</v>
      </c>
      <c r="V18" s="46">
        <f t="shared" si="6"/>
        <v>5</v>
      </c>
      <c r="W18" s="30">
        <f t="shared" si="9"/>
        <v>14</v>
      </c>
    </row>
    <row r="19">
      <c r="A19" s="30">
        <f t="shared" si="7"/>
        <v>15</v>
      </c>
      <c r="B19" s="28" t="s">
        <v>101</v>
      </c>
      <c r="C19" s="31">
        <v>157.0</v>
      </c>
      <c r="D19" s="31">
        <v>10.0</v>
      </c>
      <c r="E19" s="36">
        <f t="shared" si="2"/>
        <v>13</v>
      </c>
      <c r="F19" s="73">
        <v>1.0</v>
      </c>
      <c r="G19" s="74">
        <v>3.0</v>
      </c>
      <c r="H19" s="75">
        <v>0.0</v>
      </c>
      <c r="I19" s="74">
        <v>6.0</v>
      </c>
      <c r="J19" s="74">
        <v>6.0</v>
      </c>
      <c r="K19" s="74">
        <v>2.0</v>
      </c>
      <c r="L19" s="76">
        <v>14.0</v>
      </c>
      <c r="M19" s="74">
        <v>2.0</v>
      </c>
      <c r="N19" s="31">
        <f t="shared" ref="N19:O19" si="21">C19+L19</f>
        <v>171</v>
      </c>
      <c r="O19" s="31">
        <f t="shared" si="21"/>
        <v>12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3</v>
      </c>
      <c r="V19" s="46">
        <f t="shared" si="6"/>
        <v>5</v>
      </c>
      <c r="W19" s="30">
        <f t="shared" si="9"/>
        <v>15</v>
      </c>
    </row>
    <row r="20">
      <c r="A20" s="30">
        <f t="shared" si="7"/>
        <v>16</v>
      </c>
      <c r="B20" s="43" t="s">
        <v>107</v>
      </c>
      <c r="C20" s="31">
        <v>156.0</v>
      </c>
      <c r="D20" s="31">
        <v>10.0</v>
      </c>
      <c r="E20" s="36">
        <f t="shared" si="2"/>
        <v>12.88888889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165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3</v>
      </c>
      <c r="V20" s="46">
        <f t="shared" si="6"/>
        <v>1</v>
      </c>
      <c r="W20" s="30">
        <f t="shared" si="9"/>
        <v>16</v>
      </c>
    </row>
    <row r="21">
      <c r="A21" s="30">
        <f t="shared" si="7"/>
        <v>17</v>
      </c>
      <c r="B21" s="28" t="s">
        <v>74</v>
      </c>
      <c r="C21" s="31">
        <v>155.0</v>
      </c>
      <c r="D21" s="31">
        <v>14.0</v>
      </c>
      <c r="E21" s="36">
        <f t="shared" si="2"/>
        <v>13.75</v>
      </c>
      <c r="F21" s="73">
        <v>1.0</v>
      </c>
      <c r="G21" s="74">
        <v>3.0</v>
      </c>
      <c r="H21" s="75">
        <v>0.0</v>
      </c>
      <c r="I21" s="74">
        <v>1.0</v>
      </c>
      <c r="J21" s="74">
        <v>6.0</v>
      </c>
      <c r="K21" s="74">
        <v>6.0</v>
      </c>
      <c r="L21" s="76">
        <v>13.0</v>
      </c>
      <c r="M21" s="74">
        <v>2.0</v>
      </c>
      <c r="N21" s="31">
        <f t="shared" ref="N21:O21" si="23">C21+L21</f>
        <v>168</v>
      </c>
      <c r="O21" s="31">
        <f t="shared" si="23"/>
        <v>16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5</v>
      </c>
      <c r="V21" s="46">
        <f t="shared" si="6"/>
        <v>1</v>
      </c>
      <c r="W21" s="30">
        <f t="shared" si="9"/>
        <v>17</v>
      </c>
    </row>
    <row r="22">
      <c r="A22" s="30">
        <f t="shared" si="7"/>
        <v>18</v>
      </c>
      <c r="B22" s="48" t="s">
        <v>82</v>
      </c>
      <c r="C22" s="31">
        <v>155.0</v>
      </c>
      <c r="D22" s="31">
        <v>13.0</v>
      </c>
      <c r="E22" s="36">
        <f t="shared" si="2"/>
        <v>12.8</v>
      </c>
      <c r="F22" s="73">
        <v>1.0</v>
      </c>
      <c r="G22" s="74">
        <v>3.0</v>
      </c>
      <c r="H22" s="75">
        <v>0.0</v>
      </c>
      <c r="I22" s="74">
        <v>1.0</v>
      </c>
      <c r="J22" s="74">
        <v>0.0</v>
      </c>
      <c r="K22" s="74">
        <v>2.0</v>
      </c>
      <c r="L22" s="76">
        <v>3.0</v>
      </c>
      <c r="M22" s="74">
        <v>0.0</v>
      </c>
      <c r="N22" s="31">
        <f t="shared" ref="N22:O22" si="24">C22+L22</f>
        <v>158</v>
      </c>
      <c r="O22" s="31">
        <f t="shared" si="24"/>
        <v>13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3</v>
      </c>
      <c r="V22" s="46">
        <f t="shared" si="6"/>
        <v>-6</v>
      </c>
      <c r="W22" s="30">
        <f t="shared" si="9"/>
        <v>18</v>
      </c>
    </row>
    <row r="23">
      <c r="A23" s="30">
        <f t="shared" si="7"/>
        <v>19</v>
      </c>
      <c r="B23" s="28" t="s">
        <v>119</v>
      </c>
      <c r="C23" s="31">
        <v>154.0</v>
      </c>
      <c r="D23" s="31">
        <v>16.0</v>
      </c>
      <c r="E23" s="36">
        <f t="shared" si="2"/>
        <v>12.66666667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163</v>
      </c>
      <c r="O23" s="31">
        <f t="shared" si="25"/>
        <v>16</v>
      </c>
      <c r="P23" s="45" t="s">
        <v>58</v>
      </c>
      <c r="Q23" s="45" t="s">
        <v>58</v>
      </c>
      <c r="R23" s="45" t="s">
        <v>58</v>
      </c>
      <c r="S23" s="46">
        <f t="shared" si="4"/>
        <v>1</v>
      </c>
      <c r="T23" s="46"/>
      <c r="U23" s="46">
        <f t="shared" si="5"/>
        <v>3</v>
      </c>
      <c r="V23" s="46">
        <f t="shared" si="6"/>
        <v>2</v>
      </c>
      <c r="W23" s="30">
        <f t="shared" si="9"/>
        <v>19</v>
      </c>
    </row>
    <row r="24">
      <c r="A24" s="30">
        <f t="shared" si="7"/>
        <v>20</v>
      </c>
      <c r="B24" s="28" t="s">
        <v>92</v>
      </c>
      <c r="C24" s="31">
        <v>153.0</v>
      </c>
      <c r="D24" s="31">
        <v>12.0</v>
      </c>
      <c r="E24" s="36">
        <f t="shared" si="2"/>
        <v>13.5</v>
      </c>
      <c r="F24" s="73">
        <v>1.0</v>
      </c>
      <c r="G24" s="74">
        <v>3.0</v>
      </c>
      <c r="H24" s="75">
        <v>0.0</v>
      </c>
      <c r="I24" s="74">
        <v>6.0</v>
      </c>
      <c r="J24" s="74">
        <v>0.0</v>
      </c>
      <c r="K24" s="74">
        <v>6.0</v>
      </c>
      <c r="L24" s="76">
        <v>12.0</v>
      </c>
      <c r="M24" s="74">
        <v>2.0</v>
      </c>
      <c r="N24" s="31">
        <f t="shared" ref="N24:O24" si="26">C24+L24</f>
        <v>165</v>
      </c>
      <c r="O24" s="31">
        <f t="shared" si="26"/>
        <v>14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5</v>
      </c>
      <c r="V24" s="46">
        <f t="shared" si="6"/>
        <v>3</v>
      </c>
      <c r="W24" s="30">
        <f t="shared" si="9"/>
        <v>20</v>
      </c>
    </row>
    <row r="25">
      <c r="A25" s="30">
        <f t="shared" si="7"/>
        <v>21</v>
      </c>
      <c r="B25" s="28" t="s">
        <v>116</v>
      </c>
      <c r="C25" s="31">
        <v>151.0</v>
      </c>
      <c r="D25" s="31">
        <v>12.0</v>
      </c>
      <c r="E25" s="36">
        <f t="shared" si="2"/>
        <v>14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160</v>
      </c>
      <c r="O25" s="31">
        <f t="shared" si="27"/>
        <v>12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6</v>
      </c>
      <c r="V25" s="46">
        <f t="shared" si="6"/>
        <v>-6</v>
      </c>
      <c r="W25" s="30">
        <f t="shared" si="9"/>
        <v>21</v>
      </c>
    </row>
    <row r="26">
      <c r="A26" s="30">
        <f t="shared" si="7"/>
        <v>22</v>
      </c>
      <c r="B26" s="28" t="s">
        <v>137</v>
      </c>
      <c r="C26" s="31">
        <v>151.0</v>
      </c>
      <c r="D26" s="31">
        <v>10.0</v>
      </c>
      <c r="E26" s="36">
        <f t="shared" si="2"/>
        <v>13.33333333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160</v>
      </c>
      <c r="O26" s="31">
        <f t="shared" si="28"/>
        <v>10</v>
      </c>
      <c r="P26" s="45" t="s">
        <v>58</v>
      </c>
      <c r="Q26" s="45" t="s">
        <v>58</v>
      </c>
      <c r="R26" s="45"/>
      <c r="S26" s="46">
        <f t="shared" si="4"/>
        <v>2</v>
      </c>
      <c r="T26" s="46"/>
      <c r="U26" s="46">
        <f t="shared" si="5"/>
        <v>5</v>
      </c>
      <c r="V26" s="46">
        <f t="shared" si="6"/>
        <v>-6</v>
      </c>
      <c r="W26" s="30">
        <f t="shared" si="9"/>
        <v>22</v>
      </c>
    </row>
    <row r="27">
      <c r="A27" s="30">
        <f t="shared" si="7"/>
        <v>23</v>
      </c>
      <c r="B27" s="28" t="s">
        <v>95</v>
      </c>
      <c r="C27" s="31">
        <v>149.0</v>
      </c>
      <c r="D27" s="31">
        <v>15.0</v>
      </c>
      <c r="E27" s="36">
        <f t="shared" si="2"/>
        <v>12.2</v>
      </c>
      <c r="F27" s="73">
        <v>1.0</v>
      </c>
      <c r="G27" s="74">
        <v>4.0</v>
      </c>
      <c r="H27" s="75">
        <v>0.0</v>
      </c>
      <c r="I27" s="74">
        <v>6.0</v>
      </c>
      <c r="J27" s="74">
        <v>6.0</v>
      </c>
      <c r="K27" s="74">
        <v>6.0</v>
      </c>
      <c r="L27" s="76">
        <v>18.0</v>
      </c>
      <c r="M27" s="74">
        <v>3.0</v>
      </c>
      <c r="N27" s="31">
        <f t="shared" ref="N27:O27" si="29">C27+L27</f>
        <v>167</v>
      </c>
      <c r="O27" s="31">
        <f t="shared" si="29"/>
        <v>18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3</v>
      </c>
      <c r="V27" s="46">
        <f t="shared" si="6"/>
        <v>5</v>
      </c>
      <c r="W27" s="30">
        <f t="shared" si="9"/>
        <v>23</v>
      </c>
    </row>
    <row r="28">
      <c r="A28" s="30">
        <f t="shared" si="7"/>
        <v>24</v>
      </c>
      <c r="B28" s="43" t="s">
        <v>111</v>
      </c>
      <c r="C28" s="47">
        <v>148.0</v>
      </c>
      <c r="D28" s="31">
        <v>14.0</v>
      </c>
      <c r="E28" s="36">
        <f t="shared" si="2"/>
        <v>11.58333333</v>
      </c>
      <c r="F28" s="73">
        <v>1.0</v>
      </c>
      <c r="G28" s="74">
        <v>4.0</v>
      </c>
      <c r="H28" s="75">
        <v>0.0</v>
      </c>
      <c r="I28" s="74">
        <v>6.0</v>
      </c>
      <c r="J28" s="74">
        <v>4.0</v>
      </c>
      <c r="K28" s="74">
        <v>2.0</v>
      </c>
      <c r="L28" s="76">
        <v>12.0</v>
      </c>
      <c r="M28" s="74">
        <v>1.0</v>
      </c>
      <c r="N28" s="47">
        <f t="shared" ref="N28:O28" si="30">C28+L28</f>
        <v>160</v>
      </c>
      <c r="O28" s="31">
        <f t="shared" si="30"/>
        <v>15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1</v>
      </c>
      <c r="V28" s="46">
        <f t="shared" si="6"/>
        <v>0</v>
      </c>
      <c r="W28" s="30">
        <f t="shared" si="9"/>
        <v>24</v>
      </c>
    </row>
    <row r="29">
      <c r="A29" s="30">
        <f t="shared" si="7"/>
        <v>25</v>
      </c>
      <c r="B29" s="43" t="s">
        <v>106</v>
      </c>
      <c r="C29" s="31">
        <v>147.0</v>
      </c>
      <c r="D29" s="31">
        <v>15.0</v>
      </c>
      <c r="E29" s="36">
        <f t="shared" si="2"/>
        <v>12</v>
      </c>
      <c r="F29" s="73">
        <v>1.0</v>
      </c>
      <c r="G29" s="74">
        <v>4.0</v>
      </c>
      <c r="H29" s="75">
        <v>0.0</v>
      </c>
      <c r="I29" s="74">
        <v>1.0</v>
      </c>
      <c r="J29" s="74">
        <v>4.0</v>
      </c>
      <c r="K29" s="74">
        <v>6.0</v>
      </c>
      <c r="L29" s="76">
        <v>11.0</v>
      </c>
      <c r="M29" s="74">
        <v>1.0</v>
      </c>
      <c r="N29" s="31">
        <f t="shared" ref="N29:O29" si="31">C29+L29</f>
        <v>158</v>
      </c>
      <c r="O29" s="31">
        <f t="shared" si="31"/>
        <v>16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3</v>
      </c>
      <c r="V29" s="46">
        <f t="shared" si="6"/>
        <v>10</v>
      </c>
      <c r="W29" s="30">
        <f t="shared" si="9"/>
        <v>25</v>
      </c>
    </row>
    <row r="30">
      <c r="A30" s="30">
        <f t="shared" si="7"/>
        <v>26</v>
      </c>
      <c r="B30" s="28" t="s">
        <v>98</v>
      </c>
      <c r="C30" s="31">
        <v>145.0</v>
      </c>
      <c r="D30" s="31">
        <v>12.0</v>
      </c>
      <c r="E30" s="36">
        <f t="shared" si="2"/>
        <v>12.5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154</v>
      </c>
      <c r="O30" s="31">
        <f t="shared" si="32"/>
        <v>12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5</v>
      </c>
      <c r="V30" s="46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28" t="s">
        <v>34</v>
      </c>
      <c r="C31" s="31">
        <v>144.0</v>
      </c>
      <c r="D31" s="31">
        <v>12.0</v>
      </c>
      <c r="E31" s="36">
        <f t="shared" si="2"/>
        <v>15.75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153</v>
      </c>
      <c r="O31" s="31">
        <f t="shared" si="33"/>
        <v>12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9</v>
      </c>
      <c r="V31" s="46">
        <f t="shared" si="6"/>
        <v>-5</v>
      </c>
      <c r="W31" s="30">
        <f t="shared" si="9"/>
        <v>27</v>
      </c>
    </row>
    <row r="32">
      <c r="A32" s="30">
        <f t="shared" si="7"/>
        <v>28</v>
      </c>
      <c r="B32" s="28" t="s">
        <v>49</v>
      </c>
      <c r="C32" s="31">
        <v>144.0</v>
      </c>
      <c r="D32" s="31">
        <v>12.0</v>
      </c>
      <c r="E32" s="36">
        <f t="shared" si="2"/>
        <v>11.09090909</v>
      </c>
      <c r="F32" s="73">
        <v>1.0</v>
      </c>
      <c r="G32" s="74">
        <v>4.0</v>
      </c>
      <c r="H32" s="75">
        <v>0.0</v>
      </c>
      <c r="I32" s="74">
        <v>1.0</v>
      </c>
      <c r="J32" s="74">
        <v>6.0</v>
      </c>
      <c r="K32" s="74">
        <v>2.0</v>
      </c>
      <c r="L32" s="76">
        <v>9.0</v>
      </c>
      <c r="M32" s="74">
        <v>1.0</v>
      </c>
      <c r="N32" s="31">
        <f t="shared" ref="N32:O32" si="34">C32+L32</f>
        <v>153</v>
      </c>
      <c r="O32" s="31">
        <f t="shared" si="34"/>
        <v>13</v>
      </c>
      <c r="P32" s="45" t="s">
        <v>58</v>
      </c>
      <c r="Q32" s="45" t="s">
        <v>58</v>
      </c>
      <c r="R32" s="45" t="s">
        <v>58</v>
      </c>
      <c r="S32" s="46">
        <f t="shared" si="4"/>
        <v>1</v>
      </c>
      <c r="T32" s="46"/>
      <c r="U32" s="46">
        <f t="shared" si="5"/>
        <v>1</v>
      </c>
      <c r="V32" s="46">
        <f t="shared" si="6"/>
        <v>-2</v>
      </c>
      <c r="W32" s="30">
        <f t="shared" si="9"/>
        <v>28</v>
      </c>
    </row>
    <row r="33">
      <c r="A33" s="30">
        <f t="shared" si="7"/>
        <v>29</v>
      </c>
      <c r="B33" s="28" t="s">
        <v>84</v>
      </c>
      <c r="C33" s="31">
        <v>143.0</v>
      </c>
      <c r="D33" s="31">
        <v>15.0</v>
      </c>
      <c r="E33" s="36">
        <f t="shared" si="2"/>
        <v>11.36363636</v>
      </c>
      <c r="F33" s="73">
        <v>1.0</v>
      </c>
      <c r="G33" s="74">
        <v>5.0</v>
      </c>
      <c r="H33" s="75">
        <v>0.0</v>
      </c>
      <c r="I33" s="74">
        <v>2.0</v>
      </c>
      <c r="J33" s="74">
        <v>6.0</v>
      </c>
      <c r="K33" s="74">
        <v>4.0</v>
      </c>
      <c r="L33" s="76">
        <v>12.0</v>
      </c>
      <c r="M33" s="74">
        <v>1.0</v>
      </c>
      <c r="N33" s="31">
        <f t="shared" ref="N33:O33" si="35">C33+L33</f>
        <v>155</v>
      </c>
      <c r="O33" s="31">
        <f t="shared" si="35"/>
        <v>16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2</v>
      </c>
      <c r="V33" s="46">
        <f t="shared" si="6"/>
        <v>7</v>
      </c>
      <c r="W33" s="30">
        <f t="shared" si="9"/>
        <v>29</v>
      </c>
    </row>
    <row r="34">
      <c r="A34" s="30">
        <f t="shared" si="7"/>
        <v>30</v>
      </c>
      <c r="B34" s="28" t="s">
        <v>89</v>
      </c>
      <c r="C34" s="31">
        <v>143.0</v>
      </c>
      <c r="D34" s="31">
        <v>9.0</v>
      </c>
      <c r="E34" s="36">
        <f t="shared" si="2"/>
        <v>12</v>
      </c>
      <c r="F34" s="73">
        <v>1.0</v>
      </c>
      <c r="G34" s="74">
        <v>5.0</v>
      </c>
      <c r="H34" s="75">
        <v>0.0</v>
      </c>
      <c r="I34" s="74">
        <v>6.0</v>
      </c>
      <c r="J34" s="74">
        <v>3.0</v>
      </c>
      <c r="K34" s="74">
        <v>4.0</v>
      </c>
      <c r="L34" s="76">
        <v>13.0</v>
      </c>
      <c r="M34" s="74">
        <v>1.0</v>
      </c>
      <c r="N34" s="31">
        <f t="shared" ref="N34:O34" si="36">C34+L34</f>
        <v>156</v>
      </c>
      <c r="O34" s="31">
        <f t="shared" si="36"/>
        <v>10</v>
      </c>
      <c r="P34" s="45" t="s">
        <v>58</v>
      </c>
      <c r="Q34" s="45" t="s">
        <v>58</v>
      </c>
      <c r="R34" s="45"/>
      <c r="S34" s="46">
        <f t="shared" si="4"/>
        <v>2</v>
      </c>
      <c r="T34" s="46"/>
      <c r="U34" s="46">
        <f t="shared" si="5"/>
        <v>5</v>
      </c>
      <c r="V34" s="46">
        <f t="shared" si="6"/>
        <v>-3</v>
      </c>
      <c r="W34" s="30">
        <f t="shared" si="9"/>
        <v>30</v>
      </c>
    </row>
    <row r="35">
      <c r="A35" s="30">
        <f t="shared" si="7"/>
        <v>31</v>
      </c>
      <c r="B35" s="43" t="s">
        <v>90</v>
      </c>
      <c r="C35" s="31">
        <v>143.0</v>
      </c>
      <c r="D35" s="31">
        <v>9.0</v>
      </c>
      <c r="E35" s="36">
        <f t="shared" si="2"/>
        <v>11</v>
      </c>
      <c r="F35" s="73">
        <v>2.0</v>
      </c>
      <c r="G35" s="74">
        <v>5.0</v>
      </c>
      <c r="H35" s="75">
        <v>0.0</v>
      </c>
      <c r="I35" s="74">
        <v>6.0</v>
      </c>
      <c r="J35" s="74">
        <v>6.0</v>
      </c>
      <c r="K35" s="74">
        <v>6.0</v>
      </c>
      <c r="L35" s="76">
        <v>18.0</v>
      </c>
      <c r="M35" s="74">
        <v>3.0</v>
      </c>
      <c r="N35" s="31">
        <f t="shared" ref="N35:O35" si="37">C35+L35</f>
        <v>161</v>
      </c>
      <c r="O35" s="31">
        <f t="shared" si="37"/>
        <v>12</v>
      </c>
      <c r="P35" s="45" t="s">
        <v>58</v>
      </c>
      <c r="Q35" s="45" t="s">
        <v>58</v>
      </c>
      <c r="R35" s="45"/>
      <c r="S35" s="46">
        <f t="shared" si="4"/>
        <v>3</v>
      </c>
      <c r="T35" s="46"/>
      <c r="U35" s="46">
        <f t="shared" si="5"/>
        <v>3</v>
      </c>
      <c r="V35" s="46">
        <f t="shared" si="6"/>
        <v>-1</v>
      </c>
      <c r="W35" s="30">
        <f t="shared" si="9"/>
        <v>31</v>
      </c>
    </row>
    <row r="36">
      <c r="A36" s="30">
        <f t="shared" si="7"/>
        <v>32</v>
      </c>
      <c r="B36" s="43" t="s">
        <v>132</v>
      </c>
      <c r="C36" s="31">
        <v>142.0</v>
      </c>
      <c r="D36" s="31">
        <v>15.0</v>
      </c>
      <c r="E36" s="36">
        <f t="shared" si="2"/>
        <v>10.92307692</v>
      </c>
      <c r="F36" s="73">
        <v>1.0</v>
      </c>
      <c r="G36" s="74">
        <v>5.0</v>
      </c>
      <c r="H36" s="75">
        <v>0.0</v>
      </c>
      <c r="I36" s="74">
        <v>2.0</v>
      </c>
      <c r="J36" s="74">
        <v>3.0</v>
      </c>
      <c r="K36" s="74">
        <v>6.0</v>
      </c>
      <c r="L36" s="76">
        <v>11.0</v>
      </c>
      <c r="M36" s="74">
        <v>1.0</v>
      </c>
      <c r="N36" s="31">
        <f t="shared" ref="N36:O36" si="38">C36+L36</f>
        <v>153</v>
      </c>
      <c r="O36" s="31">
        <f t="shared" si="38"/>
        <v>16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9</v>
      </c>
      <c r="W36" s="30">
        <f t="shared" si="9"/>
        <v>32</v>
      </c>
    </row>
    <row r="37">
      <c r="A37" s="30">
        <f t="shared" si="7"/>
        <v>33</v>
      </c>
      <c r="B37" s="28" t="s">
        <v>105</v>
      </c>
      <c r="C37" s="31">
        <v>142.0</v>
      </c>
      <c r="D37" s="31">
        <v>10.0</v>
      </c>
      <c r="E37" s="36">
        <f t="shared" si="2"/>
        <v>11.625</v>
      </c>
      <c r="F37" s="73">
        <v>2.0</v>
      </c>
      <c r="G37" s="74">
        <v>6.0</v>
      </c>
      <c r="H37" s="75">
        <v>0.0</v>
      </c>
      <c r="I37" s="74">
        <v>4.0</v>
      </c>
      <c r="J37" s="74">
        <v>6.0</v>
      </c>
      <c r="K37" s="74">
        <v>7.0</v>
      </c>
      <c r="L37" s="76">
        <v>17.0</v>
      </c>
      <c r="M37" s="74">
        <v>2.0</v>
      </c>
      <c r="N37" s="31">
        <f t="shared" ref="N37:O37" si="39">C37+L37</f>
        <v>159</v>
      </c>
      <c r="O37" s="31">
        <f t="shared" si="39"/>
        <v>12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4</v>
      </c>
      <c r="V37" s="46">
        <f t="shared" si="6"/>
        <v>5</v>
      </c>
      <c r="W37" s="30">
        <f t="shared" si="9"/>
        <v>33</v>
      </c>
    </row>
    <row r="38">
      <c r="A38" s="30">
        <f t="shared" si="7"/>
        <v>34</v>
      </c>
      <c r="B38" s="43" t="s">
        <v>99</v>
      </c>
      <c r="C38" s="31">
        <v>141.0</v>
      </c>
      <c r="D38" s="31">
        <v>10.0</v>
      </c>
      <c r="E38" s="36">
        <f t="shared" si="2"/>
        <v>13</v>
      </c>
      <c r="F38" s="73">
        <v>3.0</v>
      </c>
      <c r="G38" s="74">
        <v>0.0</v>
      </c>
      <c r="H38" s="75">
        <v>9.0</v>
      </c>
      <c r="I38" s="74">
        <v>0.0</v>
      </c>
      <c r="J38" s="74">
        <v>0.0</v>
      </c>
      <c r="K38" s="74">
        <v>0.0</v>
      </c>
      <c r="L38" s="76">
        <v>9.0</v>
      </c>
      <c r="M38" s="74">
        <v>0.0</v>
      </c>
      <c r="N38" s="31">
        <f t="shared" ref="N38:O38" si="40">C38+L38</f>
        <v>150</v>
      </c>
      <c r="O38" s="31">
        <f t="shared" si="40"/>
        <v>10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7</v>
      </c>
      <c r="V38" s="46">
        <f t="shared" si="6"/>
        <v>-1</v>
      </c>
      <c r="W38" s="30">
        <f t="shared" si="9"/>
        <v>34</v>
      </c>
    </row>
    <row r="39">
      <c r="A39" s="30">
        <f t="shared" si="7"/>
        <v>35</v>
      </c>
      <c r="B39" s="48" t="s">
        <v>134</v>
      </c>
      <c r="C39" s="31">
        <v>141.0</v>
      </c>
      <c r="D39" s="31">
        <v>10.0</v>
      </c>
      <c r="E39" s="36">
        <f t="shared" si="2"/>
        <v>11.5</v>
      </c>
      <c r="F39" s="73">
        <v>1.0</v>
      </c>
      <c r="G39" s="74">
        <v>6.0</v>
      </c>
      <c r="H39" s="75">
        <v>0.0</v>
      </c>
      <c r="I39" s="74">
        <v>6.0</v>
      </c>
      <c r="J39" s="74">
        <v>6.0</v>
      </c>
      <c r="K39" s="74">
        <v>5.0</v>
      </c>
      <c r="L39" s="76">
        <v>17.0</v>
      </c>
      <c r="M39" s="74">
        <v>2.0</v>
      </c>
      <c r="N39" s="31">
        <f t="shared" ref="N39:O39" si="41">C39+L39</f>
        <v>158</v>
      </c>
      <c r="O39" s="31">
        <f t="shared" si="41"/>
        <v>12</v>
      </c>
      <c r="P39" s="45" t="s">
        <v>58</v>
      </c>
      <c r="Q39" s="45" t="s">
        <v>58</v>
      </c>
      <c r="R39" s="45"/>
      <c r="S39" s="46">
        <f t="shared" si="4"/>
        <v>1</v>
      </c>
      <c r="T39" s="46"/>
      <c r="U39" s="46">
        <f t="shared" si="5"/>
        <v>4</v>
      </c>
      <c r="V39" s="46">
        <f t="shared" si="6"/>
        <v>-1</v>
      </c>
      <c r="W39" s="30">
        <f t="shared" si="9"/>
        <v>35</v>
      </c>
    </row>
    <row r="40">
      <c r="A40" s="30">
        <f t="shared" si="7"/>
        <v>36</v>
      </c>
      <c r="B40" s="48" t="s">
        <v>125</v>
      </c>
      <c r="C40" s="31">
        <v>140.0</v>
      </c>
      <c r="D40" s="31">
        <v>11.0</v>
      </c>
      <c r="E40" s="36">
        <f t="shared" si="2"/>
        <v>10.76923077</v>
      </c>
      <c r="F40" s="73">
        <v>1.0</v>
      </c>
      <c r="G40" s="74">
        <v>6.0</v>
      </c>
      <c r="H40" s="75">
        <v>0.0</v>
      </c>
      <c r="I40" s="74">
        <v>4.0</v>
      </c>
      <c r="J40" s="74">
        <v>1.0</v>
      </c>
      <c r="K40" s="74">
        <v>5.0</v>
      </c>
      <c r="L40" s="76">
        <v>10.0</v>
      </c>
      <c r="M40" s="74">
        <v>0.0</v>
      </c>
      <c r="N40" s="31">
        <f t="shared" ref="N40:O40" si="42">C40+L40</f>
        <v>150</v>
      </c>
      <c r="O40" s="31">
        <f t="shared" si="42"/>
        <v>11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-7</v>
      </c>
      <c r="W40" s="30">
        <f t="shared" si="9"/>
        <v>36</v>
      </c>
    </row>
    <row r="41">
      <c r="A41" s="30">
        <f t="shared" si="7"/>
        <v>37</v>
      </c>
      <c r="B41" s="28" t="s">
        <v>93</v>
      </c>
      <c r="C41" s="31">
        <v>140.0</v>
      </c>
      <c r="D41" s="31">
        <v>10.0</v>
      </c>
      <c r="E41" s="36">
        <f t="shared" si="2"/>
        <v>12.83333333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149</v>
      </c>
      <c r="O41" s="31">
        <f t="shared" si="43"/>
        <v>10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7</v>
      </c>
      <c r="V41" s="46">
        <f t="shared" si="6"/>
        <v>9</v>
      </c>
      <c r="W41" s="30">
        <f t="shared" si="9"/>
        <v>37</v>
      </c>
    </row>
    <row r="42">
      <c r="A42" s="30">
        <f t="shared" si="7"/>
        <v>38</v>
      </c>
      <c r="B42" s="43" t="s">
        <v>61</v>
      </c>
      <c r="C42" s="47">
        <v>139.0</v>
      </c>
      <c r="D42" s="31">
        <v>17.0</v>
      </c>
      <c r="E42" s="36">
        <f t="shared" si="2"/>
        <v>10.69230769</v>
      </c>
      <c r="F42" s="73">
        <v>1.0</v>
      </c>
      <c r="G42" s="74">
        <v>6.0</v>
      </c>
      <c r="H42" s="75">
        <v>0.0</v>
      </c>
      <c r="I42" s="74">
        <v>6.0</v>
      </c>
      <c r="J42" s="74">
        <v>1.0</v>
      </c>
      <c r="K42" s="74">
        <v>7.0</v>
      </c>
      <c r="L42" s="76">
        <v>14.0</v>
      </c>
      <c r="M42" s="74">
        <v>2.0</v>
      </c>
      <c r="N42" s="47">
        <f t="shared" ref="N42:O42" si="44">C42+L42</f>
        <v>153</v>
      </c>
      <c r="O42" s="31">
        <f t="shared" si="44"/>
        <v>19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0</v>
      </c>
      <c r="V42" s="46">
        <f t="shared" si="6"/>
        <v>2</v>
      </c>
      <c r="W42" s="30">
        <f t="shared" si="9"/>
        <v>38</v>
      </c>
    </row>
    <row r="43">
      <c r="A43" s="30">
        <f t="shared" si="7"/>
        <v>39</v>
      </c>
      <c r="B43" s="28" t="s">
        <v>128</v>
      </c>
      <c r="C43" s="31">
        <v>139.0</v>
      </c>
      <c r="D43" s="31">
        <v>10.0</v>
      </c>
      <c r="E43" s="36">
        <f t="shared" si="2"/>
        <v>13.4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5">C43+L43</f>
        <v>148</v>
      </c>
      <c r="O43" s="31">
        <f t="shared" si="45"/>
        <v>10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8</v>
      </c>
      <c r="V43" s="46">
        <f t="shared" si="6"/>
        <v>-8</v>
      </c>
      <c r="W43" s="30">
        <f t="shared" si="9"/>
        <v>39</v>
      </c>
    </row>
    <row r="44">
      <c r="A44" s="30">
        <f t="shared" si="7"/>
        <v>40</v>
      </c>
      <c r="B44" s="28" t="s">
        <v>102</v>
      </c>
      <c r="C44" s="31">
        <v>139.0</v>
      </c>
      <c r="D44" s="31">
        <v>9.0</v>
      </c>
      <c r="E44" s="36">
        <f t="shared" si="2"/>
        <v>15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6">C44+L44</f>
        <v>148</v>
      </c>
      <c r="O44" s="31">
        <f t="shared" si="46"/>
        <v>9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9</v>
      </c>
      <c r="V44" s="46">
        <f t="shared" si="6"/>
        <v>-8</v>
      </c>
      <c r="W44" s="30">
        <f t="shared" si="9"/>
        <v>40</v>
      </c>
    </row>
    <row r="45">
      <c r="A45" s="30">
        <f t="shared" si="7"/>
        <v>41</v>
      </c>
      <c r="B45" s="43" t="s">
        <v>133</v>
      </c>
      <c r="C45" s="31">
        <v>137.0</v>
      </c>
      <c r="D45" s="31">
        <v>10.0</v>
      </c>
      <c r="E45" s="36">
        <f t="shared" si="2"/>
        <v>10.66666667</v>
      </c>
      <c r="F45" s="73">
        <v>1.0</v>
      </c>
      <c r="G45" s="74">
        <v>7.0</v>
      </c>
      <c r="H45" s="75">
        <v>0.0</v>
      </c>
      <c r="I45" s="74">
        <v>6.0</v>
      </c>
      <c r="J45" s="74">
        <v>2.0</v>
      </c>
      <c r="K45" s="74">
        <v>4.0</v>
      </c>
      <c r="L45" s="76">
        <v>12.0</v>
      </c>
      <c r="M45" s="74">
        <v>1.0</v>
      </c>
      <c r="N45" s="31">
        <f t="shared" ref="N45:O45" si="47">C45+L45</f>
        <v>149</v>
      </c>
      <c r="O45" s="31">
        <f t="shared" si="47"/>
        <v>11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1</v>
      </c>
      <c r="V45" s="46">
        <f t="shared" si="6"/>
        <v>2</v>
      </c>
      <c r="W45" s="30">
        <f t="shared" si="9"/>
        <v>41</v>
      </c>
    </row>
    <row r="46">
      <c r="A46" s="30">
        <f t="shared" si="7"/>
        <v>42</v>
      </c>
      <c r="B46" s="43" t="s">
        <v>122</v>
      </c>
      <c r="C46" s="31">
        <v>136.0</v>
      </c>
      <c r="D46" s="31">
        <v>9.0</v>
      </c>
      <c r="E46" s="36">
        <f t="shared" si="2"/>
        <v>12.16666667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48">C46+L46</f>
        <v>145</v>
      </c>
      <c r="O46" s="31">
        <f t="shared" si="48"/>
        <v>9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7</v>
      </c>
      <c r="V46" s="46">
        <f t="shared" si="6"/>
        <v>-5</v>
      </c>
      <c r="W46" s="30">
        <f t="shared" si="9"/>
        <v>42</v>
      </c>
    </row>
    <row r="47">
      <c r="A47" s="30">
        <f t="shared" si="7"/>
        <v>43</v>
      </c>
      <c r="B47" s="43" t="s">
        <v>140</v>
      </c>
      <c r="C47" s="31">
        <v>135.0</v>
      </c>
      <c r="D47" s="31">
        <v>9.0</v>
      </c>
      <c r="E47" s="36">
        <f t="shared" si="2"/>
        <v>11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49">C47+L47</f>
        <v>144</v>
      </c>
      <c r="O47" s="31">
        <f t="shared" si="49"/>
        <v>9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5</v>
      </c>
      <c r="V47" s="46">
        <f t="shared" si="6"/>
        <v>-4</v>
      </c>
      <c r="W47" s="30">
        <f t="shared" si="9"/>
        <v>43</v>
      </c>
    </row>
    <row r="48">
      <c r="A48" s="30">
        <f t="shared" si="7"/>
        <v>44</v>
      </c>
      <c r="B48" s="43" t="s">
        <v>129</v>
      </c>
      <c r="C48" s="47">
        <v>133.0</v>
      </c>
      <c r="D48" s="31">
        <v>12.0</v>
      </c>
      <c r="E48" s="36">
        <f t="shared" si="2"/>
        <v>10.33333333</v>
      </c>
      <c r="F48" s="73">
        <v>1.0</v>
      </c>
      <c r="G48" s="74">
        <v>7.0</v>
      </c>
      <c r="H48" s="75">
        <v>0.0</v>
      </c>
      <c r="I48" s="74">
        <v>6.0</v>
      </c>
      <c r="J48" s="74">
        <v>6.0</v>
      </c>
      <c r="K48" s="74">
        <v>6.0</v>
      </c>
      <c r="L48" s="76">
        <v>18.0</v>
      </c>
      <c r="M48" s="74">
        <v>3.0</v>
      </c>
      <c r="N48" s="47">
        <f t="shared" ref="N48:O48" si="50">C48+L48</f>
        <v>151</v>
      </c>
      <c r="O48" s="31">
        <f t="shared" si="50"/>
        <v>15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1</v>
      </c>
      <c r="V48" s="46">
        <f t="shared" si="6"/>
        <v>-2</v>
      </c>
      <c r="W48" s="30">
        <f t="shared" si="9"/>
        <v>44</v>
      </c>
    </row>
    <row r="49">
      <c r="A49" s="30">
        <f t="shared" si="7"/>
        <v>45</v>
      </c>
      <c r="B49" s="43" t="s">
        <v>136</v>
      </c>
      <c r="C49" s="31">
        <v>133.0</v>
      </c>
      <c r="D49" s="31">
        <v>12.0</v>
      </c>
      <c r="E49" s="36">
        <f t="shared" si="2"/>
        <v>10.45454545</v>
      </c>
      <c r="F49" s="73">
        <v>1.0</v>
      </c>
      <c r="G49" s="74">
        <v>7.0</v>
      </c>
      <c r="H49" s="75">
        <v>0.0</v>
      </c>
      <c r="I49" s="74">
        <v>1.0</v>
      </c>
      <c r="J49" s="74">
        <v>6.0</v>
      </c>
      <c r="K49" s="74">
        <v>4.0</v>
      </c>
      <c r="L49" s="76">
        <v>11.0</v>
      </c>
      <c r="M49" s="74">
        <v>1.0</v>
      </c>
      <c r="N49" s="31">
        <f t="shared" ref="N49:O49" si="51">C49+L49</f>
        <v>144</v>
      </c>
      <c r="O49" s="31">
        <f t="shared" si="51"/>
        <v>13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2</v>
      </c>
      <c r="V49" s="46">
        <f t="shared" si="6"/>
        <v>-1</v>
      </c>
      <c r="W49" s="30">
        <f t="shared" si="9"/>
        <v>45</v>
      </c>
    </row>
    <row r="50">
      <c r="A50" s="30">
        <f t="shared" si="7"/>
        <v>46</v>
      </c>
      <c r="B50" s="48" t="s">
        <v>103</v>
      </c>
      <c r="C50" s="31">
        <v>133.0</v>
      </c>
      <c r="D50" s="31">
        <v>11.0</v>
      </c>
      <c r="E50" s="36">
        <f t="shared" si="2"/>
        <v>10.77777778</v>
      </c>
      <c r="F50" s="73">
        <v>1.0</v>
      </c>
      <c r="G50" s="74">
        <v>7.0</v>
      </c>
      <c r="H50" s="75">
        <v>0.0</v>
      </c>
      <c r="I50" s="74">
        <v>1.0</v>
      </c>
      <c r="J50" s="74">
        <v>2.0</v>
      </c>
      <c r="K50" s="74">
        <v>6.0</v>
      </c>
      <c r="L50" s="76">
        <v>9.0</v>
      </c>
      <c r="M50" s="74">
        <v>1.0</v>
      </c>
      <c r="N50" s="31">
        <f t="shared" ref="N50:O50" si="52">C50+L50</f>
        <v>142</v>
      </c>
      <c r="O50" s="31">
        <f t="shared" si="52"/>
        <v>12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4</v>
      </c>
      <c r="V50" s="46">
        <f t="shared" si="6"/>
        <v>3</v>
      </c>
      <c r="W50" s="30">
        <f t="shared" si="9"/>
        <v>46</v>
      </c>
    </row>
    <row r="51">
      <c r="A51" s="30">
        <f t="shared" si="7"/>
        <v>47</v>
      </c>
      <c r="B51" s="43" t="s">
        <v>138</v>
      </c>
      <c r="C51" s="47">
        <v>132.0</v>
      </c>
      <c r="D51" s="31">
        <v>12.0</v>
      </c>
      <c r="E51" s="36">
        <f t="shared" si="2"/>
        <v>10.66666667</v>
      </c>
      <c r="F51" s="73">
        <v>1.0</v>
      </c>
      <c r="G51" s="74">
        <v>8.0</v>
      </c>
      <c r="H51" s="75">
        <v>0.0</v>
      </c>
      <c r="I51" s="74">
        <v>3.0</v>
      </c>
      <c r="J51" s="74">
        <v>6.0</v>
      </c>
      <c r="K51" s="74">
        <v>1.0</v>
      </c>
      <c r="L51" s="76">
        <v>10.0</v>
      </c>
      <c r="M51" s="74">
        <v>1.0</v>
      </c>
      <c r="N51" s="47">
        <f t="shared" ref="N51:O51" si="53">C51+L51</f>
        <v>142</v>
      </c>
      <c r="O51" s="31">
        <f t="shared" si="53"/>
        <v>13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4</v>
      </c>
      <c r="V51" s="46">
        <f t="shared" si="6"/>
        <v>4</v>
      </c>
      <c r="W51" s="30">
        <f t="shared" si="9"/>
        <v>47</v>
      </c>
    </row>
    <row r="52">
      <c r="A52" s="30">
        <f t="shared" si="7"/>
        <v>48</v>
      </c>
      <c r="B52" s="43" t="s">
        <v>62</v>
      </c>
      <c r="C52" s="31">
        <v>132.0</v>
      </c>
      <c r="D52" s="31">
        <v>8.0</v>
      </c>
      <c r="E52" s="36">
        <f t="shared" si="2"/>
        <v>11.5</v>
      </c>
      <c r="F52" s="73">
        <v>2.0</v>
      </c>
      <c r="G52" s="74">
        <v>8.0</v>
      </c>
      <c r="H52" s="75">
        <v>0.0</v>
      </c>
      <c r="I52" s="74">
        <v>6.0</v>
      </c>
      <c r="J52" s="74">
        <v>6.0</v>
      </c>
      <c r="K52" s="74">
        <v>6.0</v>
      </c>
      <c r="L52" s="76">
        <v>18.0</v>
      </c>
      <c r="M52" s="74">
        <v>3.0</v>
      </c>
      <c r="N52" s="31">
        <f t="shared" ref="N52:O52" si="54">C52+L52</f>
        <v>150</v>
      </c>
      <c r="O52" s="31">
        <f t="shared" si="54"/>
        <v>11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7</v>
      </c>
      <c r="V52" s="46">
        <f t="shared" si="6"/>
        <v>-3</v>
      </c>
      <c r="W52" s="30">
        <f t="shared" si="9"/>
        <v>48</v>
      </c>
    </row>
    <row r="53">
      <c r="A53" s="30">
        <f t="shared" si="7"/>
        <v>49</v>
      </c>
      <c r="B53" s="43" t="s">
        <v>96</v>
      </c>
      <c r="C53" s="31">
        <v>131.0</v>
      </c>
      <c r="D53" s="31">
        <v>5.0</v>
      </c>
      <c r="E53" s="36">
        <f t="shared" si="2"/>
        <v>9.857142857</v>
      </c>
      <c r="F53" s="73">
        <v>2.0</v>
      </c>
      <c r="G53" s="74">
        <v>8.0</v>
      </c>
      <c r="H53" s="75">
        <v>0.0</v>
      </c>
      <c r="I53" s="74">
        <v>3.0</v>
      </c>
      <c r="J53" s="74">
        <v>2.0</v>
      </c>
      <c r="K53" s="74">
        <v>6.0</v>
      </c>
      <c r="L53" s="76">
        <v>11.0</v>
      </c>
      <c r="M53" s="74">
        <v>1.0</v>
      </c>
      <c r="N53" s="31">
        <f t="shared" ref="N53:O53" si="55">C53+L53</f>
        <v>142</v>
      </c>
      <c r="O53" s="31">
        <f t="shared" si="55"/>
        <v>6</v>
      </c>
      <c r="P53" s="45" t="s">
        <v>58</v>
      </c>
      <c r="Q53" s="45" t="s">
        <v>58</v>
      </c>
      <c r="R53" s="45"/>
      <c r="S53" s="46">
        <f t="shared" si="4"/>
        <v>2</v>
      </c>
      <c r="T53" s="46"/>
      <c r="U53" s="46">
        <f t="shared" si="5"/>
        <v>4</v>
      </c>
      <c r="V53" s="46">
        <f t="shared" si="6"/>
        <v>-2</v>
      </c>
      <c r="W53" s="30">
        <f t="shared" si="9"/>
        <v>49</v>
      </c>
    </row>
    <row r="54">
      <c r="A54" s="30">
        <f t="shared" si="7"/>
        <v>50</v>
      </c>
      <c r="B54" s="28" t="s">
        <v>127</v>
      </c>
      <c r="C54" s="31">
        <v>131.0</v>
      </c>
      <c r="D54" s="31">
        <v>4.0</v>
      </c>
      <c r="E54" s="36">
        <f t="shared" si="2"/>
        <v>14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140</v>
      </c>
      <c r="O54" s="31">
        <f t="shared" si="56"/>
        <v>4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10</v>
      </c>
      <c r="V54" s="46">
        <f t="shared" si="6"/>
        <v>-2</v>
      </c>
      <c r="W54" s="30">
        <f t="shared" si="9"/>
        <v>50</v>
      </c>
    </row>
    <row r="55">
      <c r="A55" s="30">
        <f t="shared" si="7"/>
        <v>51</v>
      </c>
      <c r="B55" s="48" t="s">
        <v>139</v>
      </c>
      <c r="C55" s="31">
        <v>126.0</v>
      </c>
      <c r="D55" s="31">
        <v>4.0</v>
      </c>
      <c r="E55" s="36">
        <f t="shared" si="2"/>
        <v>10.66666667</v>
      </c>
      <c r="F55" s="73">
        <v>1.0</v>
      </c>
      <c r="G55" s="74">
        <v>8.0</v>
      </c>
      <c r="H55" s="75">
        <v>0.0</v>
      </c>
      <c r="I55" s="74">
        <v>6.0</v>
      </c>
      <c r="J55" s="74">
        <v>2.0</v>
      </c>
      <c r="K55" s="74">
        <v>1.0</v>
      </c>
      <c r="L55" s="76">
        <v>9.0</v>
      </c>
      <c r="M55" s="74">
        <v>1.0</v>
      </c>
      <c r="N55" s="31">
        <f t="shared" ref="N55:O55" si="57">C55+L55</f>
        <v>135</v>
      </c>
      <c r="O55" s="31">
        <f t="shared" si="57"/>
        <v>5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9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8" t="s">
        <v>54</v>
      </c>
      <c r="C56" s="31">
        <v>125.0</v>
      </c>
      <c r="D56" s="31">
        <v>7.0</v>
      </c>
      <c r="E56" s="36">
        <f t="shared" si="2"/>
        <v>9.5</v>
      </c>
      <c r="F56" s="73">
        <v>1.0</v>
      </c>
      <c r="G56" s="74">
        <v>10.0</v>
      </c>
      <c r="H56" s="75">
        <v>0.0</v>
      </c>
      <c r="I56" s="74">
        <v>6.0</v>
      </c>
      <c r="J56" s="74">
        <v>1.0</v>
      </c>
      <c r="K56" s="74">
        <v>6.0</v>
      </c>
      <c r="L56" s="76">
        <v>13.0</v>
      </c>
      <c r="M56" s="74">
        <v>2.0</v>
      </c>
      <c r="N56" s="31">
        <f t="shared" ref="N56:O56" si="58">C56+L56</f>
        <v>138</v>
      </c>
      <c r="O56" s="31">
        <f t="shared" si="58"/>
        <v>9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4</v>
      </c>
      <c r="V56" s="46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43" t="s">
        <v>79</v>
      </c>
      <c r="C57" s="31">
        <v>124.0</v>
      </c>
      <c r="D57" s="31">
        <v>4.0</v>
      </c>
      <c r="E57" s="36">
        <f t="shared" si="2"/>
        <v>10.16666667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133</v>
      </c>
      <c r="O57" s="31">
        <f t="shared" si="59"/>
        <v>4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7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123.0</v>
      </c>
      <c r="D58" s="31">
        <v>5.0</v>
      </c>
      <c r="E58" s="36">
        <f t="shared" si="2"/>
        <v>9.285714286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132</v>
      </c>
      <c r="O58" s="31">
        <f t="shared" si="60"/>
        <v>5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5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117.0</v>
      </c>
      <c r="D59" s="31">
        <v>3.0</v>
      </c>
      <c r="E59" s="36">
        <f t="shared" si="2"/>
        <v>7.666666667</v>
      </c>
      <c r="F59" s="73">
        <v>1.0</v>
      </c>
      <c r="G59" s="74">
        <v>10.0</v>
      </c>
      <c r="H59" s="75">
        <v>0.0</v>
      </c>
      <c r="I59" s="74">
        <v>1.0</v>
      </c>
      <c r="J59" s="74">
        <v>6.0</v>
      </c>
      <c r="K59" s="74">
        <v>6.0</v>
      </c>
      <c r="L59" s="76">
        <v>13.0</v>
      </c>
      <c r="M59" s="74">
        <v>2.0</v>
      </c>
      <c r="N59" s="31">
        <f t="shared" ref="N59:O59" si="61">C59+L59</f>
        <v>130</v>
      </c>
      <c r="O59" s="31">
        <f t="shared" si="61"/>
        <v>5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9</v>
      </c>
      <c r="V59" s="46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43" t="s">
        <v>131</v>
      </c>
      <c r="C60" s="31">
        <v>116.0</v>
      </c>
      <c r="D60" s="31">
        <v>1.0</v>
      </c>
      <c r="E60" s="36">
        <f t="shared" si="2"/>
        <v>8.5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125</v>
      </c>
      <c r="O60" s="31">
        <f t="shared" si="62"/>
        <v>1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11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43" t="s">
        <v>100</v>
      </c>
      <c r="C61" s="31">
        <v>114.0</v>
      </c>
      <c r="D61" s="31">
        <v>10.0</v>
      </c>
      <c r="E61" s="36">
        <f t="shared" si="2"/>
        <v>8.7</v>
      </c>
      <c r="F61" s="73">
        <v>1.0</v>
      </c>
      <c r="G61" s="74">
        <v>10.0</v>
      </c>
      <c r="H61" s="75">
        <v>0.0</v>
      </c>
      <c r="I61" s="74">
        <v>6.0</v>
      </c>
      <c r="J61" s="74">
        <v>6.0</v>
      </c>
      <c r="K61" s="74">
        <v>1.0</v>
      </c>
      <c r="L61" s="76">
        <v>13.0</v>
      </c>
      <c r="M61" s="74">
        <v>2.0</v>
      </c>
      <c r="N61" s="31">
        <f t="shared" ref="N61:O61" si="63">C61+L61</f>
        <v>127</v>
      </c>
      <c r="O61" s="31">
        <f t="shared" si="63"/>
        <v>12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3</v>
      </c>
      <c r="V61" s="46">
        <f t="shared" si="6"/>
        <v>4</v>
      </c>
      <c r="W61" s="30">
        <f t="shared" si="9"/>
        <v>57</v>
      </c>
    </row>
    <row r="62">
      <c r="A62" s="30">
        <f t="shared" si="7"/>
        <v>58</v>
      </c>
      <c r="B62" s="43" t="s">
        <v>142</v>
      </c>
      <c r="C62" s="47">
        <v>114.0</v>
      </c>
      <c r="D62" s="31">
        <v>4.0</v>
      </c>
      <c r="E62" s="36">
        <f t="shared" si="2"/>
        <v>8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47">
        <f t="shared" ref="N62:O62" si="64">C62+L62</f>
        <v>123</v>
      </c>
      <c r="O62" s="31">
        <f t="shared" si="64"/>
        <v>4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10</v>
      </c>
      <c r="V62" s="46">
        <f t="shared" si="6"/>
        <v>-1</v>
      </c>
      <c r="W62" s="30">
        <f t="shared" si="9"/>
        <v>58</v>
      </c>
    </row>
    <row r="63">
      <c r="A63" s="30">
        <f t="shared" si="7"/>
        <v>59</v>
      </c>
      <c r="B63" s="28" t="s">
        <v>80</v>
      </c>
      <c r="C63" s="31">
        <v>112.0</v>
      </c>
      <c r="D63" s="31">
        <v>0.0</v>
      </c>
      <c r="E63" s="36">
        <f t="shared" si="2"/>
        <v>0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5">C63+L63</f>
        <v>121</v>
      </c>
      <c r="O63" s="31">
        <f t="shared" si="65"/>
        <v>0</v>
      </c>
      <c r="P63" s="45" t="s">
        <v>58</v>
      </c>
      <c r="Q63" s="45" t="s">
        <v>58</v>
      </c>
      <c r="R63" s="45" t="s">
        <v>143</v>
      </c>
      <c r="S63" s="46">
        <f t="shared" si="4"/>
        <v>1</v>
      </c>
      <c r="T63" s="46"/>
      <c r="U63" s="46">
        <f t="shared" si="5"/>
        <v>12</v>
      </c>
      <c r="V63" s="46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28" t="s">
        <v>72</v>
      </c>
      <c r="C64" s="31">
        <v>112.0</v>
      </c>
      <c r="D64" s="31">
        <v>0.0</v>
      </c>
      <c r="E64" s="36">
        <f t="shared" si="2"/>
        <v>0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6">C64+L64</f>
        <v>121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1</v>
      </c>
      <c r="T64" s="46"/>
      <c r="U64" s="46">
        <f t="shared" si="5"/>
        <v>12</v>
      </c>
      <c r="V64" s="46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43" t="s">
        <v>118</v>
      </c>
      <c r="C65" s="47">
        <v>111.0</v>
      </c>
      <c r="D65" s="31">
        <v>5.0</v>
      </c>
      <c r="E65" s="36">
        <f t="shared" si="2"/>
        <v>7.8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47">
        <f t="shared" ref="N65:O65" si="67">C65+L65</f>
        <v>120</v>
      </c>
      <c r="O65" s="31">
        <f t="shared" si="67"/>
        <v>5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8</v>
      </c>
      <c r="V65" s="46">
        <f t="shared" si="6"/>
        <v>-1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108.0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117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13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108.0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117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13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103.0</v>
      </c>
      <c r="D68" s="31">
        <v>1.0</v>
      </c>
      <c r="E68" s="36">
        <f t="shared" si="2"/>
        <v>5.5</v>
      </c>
      <c r="F68" s="73">
        <v>1.0</v>
      </c>
      <c r="G68" s="74">
        <v>10.0</v>
      </c>
      <c r="H68" s="75">
        <v>0.0</v>
      </c>
      <c r="I68" s="74">
        <v>1.0</v>
      </c>
      <c r="J68" s="74">
        <v>1.0</v>
      </c>
      <c r="K68" s="74">
        <v>1.0</v>
      </c>
      <c r="L68" s="76">
        <v>3.0</v>
      </c>
      <c r="M68" s="74">
        <v>0.0</v>
      </c>
      <c r="N68" s="31">
        <f t="shared" ref="N68:O68" si="70">C68+L68</f>
        <v>106</v>
      </c>
      <c r="O68" s="31">
        <f t="shared" si="70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9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101.0</v>
      </c>
      <c r="D69" s="31">
        <v>3.0</v>
      </c>
      <c r="E69" s="36">
        <f t="shared" si="2"/>
        <v>6.714285714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1">C69+L69</f>
        <v>110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6</v>
      </c>
      <c r="V69" s="46">
        <f t="shared" si="6"/>
        <v>0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desc"",0)"),"Cid Macaraeg")</f>
        <v>Cid Macaraeg</v>
      </c>
      <c r="C76" s="84">
        <f>IFERROR(__xludf.DUMMYFUNCTION("""COMPUTED_VALUE"""),21.0)</f>
        <v>21</v>
      </c>
      <c r="D76" s="84">
        <f>IFERROR(__xludf.DUMMYFUNCTION("""COMPUTED_VALUE"""),3.0)</f>
        <v>3</v>
      </c>
      <c r="E76" s="84">
        <f>IFERROR(__xludf.DUMMYFUNCTION("""COMPUTED_VALUE"""),1.0)</f>
        <v>1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IFERROR(__xludf.DUMMYFUNCTION("""COMPUTED_VALUE"""),"Sandeep Kamalon")</f>
        <v>Sandeep Kamalon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IFERROR(__xludf.DUMMYFUNCTION("""COMPUTED_VALUE"""),2.0)</f>
        <v>2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IFERROR(__xludf.DUMMYFUNCTION("""COMPUTED_VALUE"""),"Ethan Gu")</f>
        <v>Ethan Gu</v>
      </c>
      <c r="C78" s="84">
        <f>IFERROR(__xludf.DUMMYFUNCTION("""COMPUTED_VALUE"""),19.0)</f>
        <v>19</v>
      </c>
      <c r="D78" s="84">
        <f>IFERROR(__xludf.DUMMYFUNCTION("""COMPUTED_VALUE"""),1.0)</f>
        <v>1</v>
      </c>
      <c r="E78" s="84">
        <f>IFERROR(__xludf.DUMMYFUNCTION("""COMPUTED_VALUE"""),1.0)</f>
        <v>1</v>
      </c>
      <c r="F78" s="1"/>
    </row>
    <row r="79">
      <c r="A79" s="1"/>
      <c r="B79" s="43" t="str">
        <f>IFERROR(__xludf.DUMMYFUNCTION("""COMPUTED_VALUE"""),"Robert Chang")</f>
        <v>Robert Chang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IFERROR(__xludf.DUMMYFUNCTION("""COMPUTED_VALUE"""),9.0)</f>
        <v>9</v>
      </c>
      <c r="F79" s="1"/>
      <c r="P79" s="33" t="s">
        <v>172</v>
      </c>
    </row>
    <row r="80">
      <c r="A80" s="1"/>
      <c r="B80" s="43" t="str">
        <f>IFERROR(__xludf.DUMMYFUNCTION("""COMPUTED_VALUE"""),"Ted Shen")</f>
        <v>Ted Shen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IFERROR(__xludf.DUMMYFUNCTION("""COMPUTED_VALUE"""),4.0)</f>
        <v>4</v>
      </c>
      <c r="F80" s="1"/>
      <c r="L80" s="33"/>
    </row>
    <row r="81">
      <c r="A81" s="1"/>
      <c r="B81" s="43" t="str">
        <f>IFERROR(__xludf.DUMMYFUNCTION("""COMPUTED_VALUE"""),"Chinna Ponnaganti")</f>
        <v>Chinna Ponnaganti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IFERROR(__xludf.DUMMYFUNCTION("""COMPUTED_VALUE"""),"Tina Hanson")</f>
        <v>Tina Hanson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IFERROR(__xludf.DUMMYFUNCTION("""COMPUTED_VALUE"""),7.0)</f>
        <v>7</v>
      </c>
      <c r="F82" s="1"/>
      <c r="L82" s="33"/>
    </row>
    <row r="83">
      <c r="A83" s="1"/>
      <c r="B83" s="43" t="str">
        <f>IFERROR(__xludf.DUMMYFUNCTION("""COMPUTED_VALUE"""),"Suleman Alidina")</f>
        <v>Suleman Alidina</v>
      </c>
      <c r="C83" s="84">
        <f>IFERROR(__xludf.DUMMYFUNCTION("""COMPUTED_VALUE"""),18.0)</f>
        <v>18</v>
      </c>
      <c r="D83" s="84">
        <f>IFERROR(__xludf.DUMMYFUNCTION("""COMPUTED_VALUE"""),3.0)</f>
        <v>3</v>
      </c>
      <c r="E83" s="84">
        <f>IFERROR(__xludf.DUMMYFUNCTION("""COMPUTED_VALUE"""),8.0)</f>
        <v>8</v>
      </c>
      <c r="F83" s="1"/>
      <c r="L83" s="33"/>
    </row>
    <row r="84">
      <c r="A84" s="1"/>
      <c r="B84" s="43" t="str">
        <f>IFERROR(__xludf.DUMMYFUNCTION("""COMPUTED_VALUE"""),"Troy Wong")</f>
        <v>Troy Wong</v>
      </c>
      <c r="C84" s="84">
        <f>IFERROR(__xludf.DUMMYFUNCTION("""COMPUTED_VALUE"""),18.0)</f>
        <v>18</v>
      </c>
      <c r="D84" s="84">
        <f>IFERROR(__xludf.DUMMYFUNCTION("""COMPUTED_VALUE"""),1.0)</f>
        <v>1</v>
      </c>
      <c r="E84" s="84">
        <f>IFERROR(__xludf.DUMMYFUNCTION("""COMPUTED_VALUE"""),1.0)</f>
        <v>1</v>
      </c>
      <c r="F84" s="1"/>
    </row>
    <row r="85">
      <c r="A85" s="1"/>
      <c r="B85" s="43" t="str">
        <f>IFERROR(__xludf.DUMMYFUNCTION("""COMPUTED_VALUE"""),"James Phan")</f>
        <v>James Phan</v>
      </c>
      <c r="C85" s="84">
        <f>IFERROR(__xludf.DUMMYFUNCTION("""COMPUTED_VALUE"""),18.0)</f>
        <v>18</v>
      </c>
      <c r="D85" s="84">
        <f>IFERROR(__xludf.DUMMYFUNCTION("""COMPUTED_VALUE"""),1.0)</f>
        <v>1</v>
      </c>
      <c r="E85" s="84">
        <f>IFERROR(__xludf.DUMMYFUNCTION("""COMPUTED_VALUE"""),1.0)</f>
        <v>1</v>
      </c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10"")"),"Lloyd Sagar")</f>
        <v>Lloyd Sagar</v>
      </c>
      <c r="C90" s="84">
        <f>IFERROR(__xludf.DUMMYFUNCTION("""COMPUTED_VALUE"""),10.0)</f>
        <v>10</v>
      </c>
      <c r="D90" s="84">
        <f t="shared" ref="D90:D99" si="72">VLOOKUP(B90,indirect($AB$2&amp;"!B$5:w$70"),22, false)</f>
        <v>35</v>
      </c>
      <c r="E90" s="84">
        <f t="shared" ref="E90:E99" si="73">VLOOKUP(B90,B$5:W$69,22, false)</f>
        <v>25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6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IFERROR(__xludf.DUMMYFUNCTION("""COMPUTED_VALUE"""),"Wayne Liu")</f>
        <v>Wayne Liu</v>
      </c>
      <c r="C91" s="84">
        <f>IFERROR(__xludf.DUMMYFUNCTION("""COMPUTED_VALUE"""),9.0)</f>
        <v>9</v>
      </c>
      <c r="D91" s="84">
        <f t="shared" si="72"/>
        <v>41</v>
      </c>
      <c r="E91" s="84">
        <f t="shared" si="73"/>
        <v>32</v>
      </c>
      <c r="F91" s="84">
        <f t="shared" si="74"/>
        <v>18</v>
      </c>
      <c r="G91" s="84">
        <f t="shared" si="75"/>
        <v>8</v>
      </c>
      <c r="L91" s="84" t="str">
        <f t="shared" si="76"/>
        <v>ok</v>
      </c>
    </row>
    <row r="92">
      <c r="A92" s="1"/>
      <c r="B92" s="43" t="str">
        <f>IFERROR(__xludf.DUMMYFUNCTION("""COMPUTED_VALUE"""),"Manuel Rivera")</f>
        <v>Manuel Rivera</v>
      </c>
      <c r="C92" s="84">
        <f>IFERROR(__xludf.DUMMYFUNCTION("""COMPUTED_VALUE"""),9.0)</f>
        <v>9</v>
      </c>
      <c r="D92" s="84">
        <f t="shared" si="72"/>
        <v>46</v>
      </c>
      <c r="E92" s="84">
        <f t="shared" si="73"/>
        <v>37</v>
      </c>
      <c r="F92" s="84">
        <f t="shared" si="74"/>
        <v>17</v>
      </c>
      <c r="G92" s="84">
        <f t="shared" si="75"/>
        <v>8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IFERROR(__xludf.DUMMYFUNCTION("""COMPUTED_VALUE"""),"Naveen Raj")</f>
        <v>Naveen Raj</v>
      </c>
      <c r="C93" s="84">
        <f>IFERROR(__xludf.DUMMYFUNCTION("""COMPUTED_VALUE"""),7.0)</f>
        <v>7</v>
      </c>
      <c r="D93" s="84">
        <f t="shared" si="72"/>
        <v>36</v>
      </c>
      <c r="E93" s="84">
        <f t="shared" si="73"/>
        <v>29</v>
      </c>
      <c r="F93" s="84">
        <f t="shared" si="74"/>
        <v>15</v>
      </c>
      <c r="G93" s="84">
        <f t="shared" si="75"/>
        <v>7</v>
      </c>
      <c r="L93" s="84" t="str">
        <f t="shared" si="76"/>
        <v>ok</v>
      </c>
    </row>
    <row r="94">
      <c r="A94" s="1"/>
      <c r="B94" s="43" t="str">
        <f>IFERROR(__xludf.DUMMYFUNCTION("""COMPUTED_VALUE"""),"Susanta Mishra")</f>
        <v>Susanta Mishra</v>
      </c>
      <c r="C94" s="84">
        <f>IFERROR(__xludf.DUMMYFUNCTION("""COMPUTED_VALUE"""),5.0)</f>
        <v>5</v>
      </c>
      <c r="D94" s="84">
        <f t="shared" si="72"/>
        <v>19</v>
      </c>
      <c r="E94" s="84">
        <f t="shared" si="73"/>
        <v>14</v>
      </c>
      <c r="F94" s="84">
        <f t="shared" si="74"/>
        <v>20</v>
      </c>
      <c r="G94" s="84">
        <f t="shared" si="75"/>
        <v>3</v>
      </c>
      <c r="L94" s="84" t="str">
        <f t="shared" si="76"/>
        <v>ok</v>
      </c>
    </row>
    <row r="95">
      <c r="A95" s="1"/>
      <c r="B95" s="43" t="str">
        <f>IFERROR(__xludf.DUMMYFUNCTION("""COMPUTED_VALUE"""),"Manish Anand")</f>
        <v>Manish Anand</v>
      </c>
      <c r="C95" s="84">
        <f>IFERROR(__xludf.DUMMYFUNCTION("""COMPUTED_VALUE"""),5.0)</f>
        <v>5</v>
      </c>
      <c r="D95" s="84">
        <f t="shared" si="72"/>
        <v>20</v>
      </c>
      <c r="E95" s="84">
        <f t="shared" si="73"/>
        <v>15</v>
      </c>
      <c r="F95" s="84">
        <f t="shared" si="74"/>
        <v>19</v>
      </c>
      <c r="G95" s="84">
        <f t="shared" si="75"/>
        <v>4</v>
      </c>
      <c r="L95" s="84" t="str">
        <f t="shared" si="76"/>
        <v>ok</v>
      </c>
    </row>
    <row r="96">
      <c r="A96" s="1"/>
      <c r="B96" s="43" t="str">
        <f>IFERROR(__xludf.DUMMYFUNCTION("""COMPUTED_VALUE"""),"Ted Shen")</f>
        <v>Ted Shen</v>
      </c>
      <c r="C96" s="84">
        <f>IFERROR(__xludf.DUMMYFUNCTION("""COMPUTED_VALUE"""),5.0)</f>
        <v>5</v>
      </c>
      <c r="D96" s="84">
        <f t="shared" si="72"/>
        <v>28</v>
      </c>
      <c r="E96" s="84">
        <f t="shared" si="73"/>
        <v>23</v>
      </c>
      <c r="F96" s="84">
        <f t="shared" si="74"/>
        <v>18</v>
      </c>
      <c r="G96" s="84">
        <f t="shared" si="75"/>
        <v>5</v>
      </c>
      <c r="L96" s="84" t="str">
        <f t="shared" si="76"/>
        <v>ok</v>
      </c>
    </row>
    <row r="97">
      <c r="A97" s="1"/>
      <c r="B97" s="43" t="str">
        <f>IFERROR(__xludf.DUMMYFUNCTION("""COMPUTED_VALUE"""),"Erik Hoeckmann")</f>
        <v>Erik Hoeckmann</v>
      </c>
      <c r="C97" s="84">
        <f>IFERROR(__xludf.DUMMYFUNCTION("""COMPUTED_VALUE"""),5.0)</f>
        <v>5</v>
      </c>
      <c r="D97" s="84">
        <f t="shared" si="72"/>
        <v>38</v>
      </c>
      <c r="E97" s="84">
        <f t="shared" si="73"/>
        <v>33</v>
      </c>
      <c r="F97" s="84">
        <f t="shared" si="74"/>
        <v>16</v>
      </c>
      <c r="G97" s="84">
        <f t="shared" si="75"/>
        <v>7</v>
      </c>
      <c r="L97" s="84" t="str">
        <f t="shared" si="76"/>
        <v>ok</v>
      </c>
    </row>
    <row r="98">
      <c r="A98" s="1"/>
      <c r="B98" s="43" t="str">
        <f>IFERROR(__xludf.DUMMYFUNCTION("""COMPUTED_VALUE"""),"Tyler Leong")</f>
        <v>Tyler Leong</v>
      </c>
      <c r="C98" s="84">
        <f>IFERROR(__xludf.DUMMYFUNCTION("""COMPUTED_VALUE"""),4.0)</f>
        <v>4</v>
      </c>
      <c r="D98" s="84">
        <f t="shared" si="72"/>
        <v>51</v>
      </c>
      <c r="E98" s="84">
        <f t="shared" si="73"/>
        <v>47</v>
      </c>
      <c r="F98" s="84">
        <f t="shared" si="74"/>
        <v>16</v>
      </c>
      <c r="G98" s="84">
        <f t="shared" si="75"/>
        <v>10</v>
      </c>
      <c r="L98" s="84" t="str">
        <f t="shared" si="76"/>
        <v>ok</v>
      </c>
    </row>
    <row r="99">
      <c r="A99" s="1"/>
      <c r="B99" s="43" t="str">
        <f>IFERROR(__xludf.DUMMYFUNCTION("""COMPUTED_VALUE"""),"Joyce Zhu")</f>
        <v>Joyce Zhu</v>
      </c>
      <c r="C99" s="84">
        <f>IFERROR(__xludf.DUMMYFUNCTION("""COMPUTED_VALUE"""),4.0)</f>
        <v>4</v>
      </c>
      <c r="D99" s="84">
        <f t="shared" si="72"/>
        <v>61</v>
      </c>
      <c r="E99" s="84">
        <f t="shared" si="73"/>
        <v>57</v>
      </c>
      <c r="F99" s="84">
        <f t="shared" si="74"/>
        <v>14</v>
      </c>
      <c r="G99" s="84">
        <f t="shared" si="75"/>
        <v>10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10"")"),"Oscar Bonilla")</f>
        <v>Oscar Bonilla</v>
      </c>
      <c r="C103" s="84">
        <f>IFERROR(__xludf.DUMMYFUNCTION("""COMPUTED_VALUE"""),-8.0)</f>
        <v>-8</v>
      </c>
      <c r="D103" s="84">
        <f t="shared" ref="D103:D112" si="77">VLOOKUP(B103,indirect($AB$2&amp;"!B$5:w$70"),22, false)</f>
        <v>31</v>
      </c>
      <c r="E103" s="84">
        <f t="shared" ref="E103:E112" si="78">VLOOKUP(B103,B$5:W$69,22, false)</f>
        <v>39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0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IFERROR(__xludf.DUMMYFUNCTION("""COMPUTED_VALUE"""),"Eric Pan")</f>
        <v>Eric Pan</v>
      </c>
      <c r="C104" s="84">
        <f>IFERROR(__xludf.DUMMYFUNCTION("""COMPUTED_VALUE"""),-8.0)</f>
        <v>-8</v>
      </c>
      <c r="D104" s="84">
        <f t="shared" si="77"/>
        <v>32</v>
      </c>
      <c r="E104" s="84">
        <f t="shared" si="78"/>
        <v>40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IFERROR(__xludf.DUMMYFUNCTION("""COMPUTED_VALUE"""),"Kumar Palakeel")</f>
        <v>Kumar Palakeel</v>
      </c>
      <c r="C105" s="84">
        <f>IFERROR(__xludf.DUMMYFUNCTION("""COMPUTED_VALUE"""),-7.0)</f>
        <v>-7</v>
      </c>
      <c r="D105" s="84">
        <f t="shared" si="77"/>
        <v>29</v>
      </c>
      <c r="E105" s="84">
        <f t="shared" si="78"/>
        <v>36</v>
      </c>
      <c r="F105" s="84">
        <f t="shared" si="79"/>
        <v>9</v>
      </c>
      <c r="G105" s="84">
        <f t="shared" si="80"/>
        <v>5</v>
      </c>
      <c r="L105" s="84" t="str">
        <f t="shared" si="81"/>
        <v>ok</v>
      </c>
    </row>
    <row r="106">
      <c r="A106" s="1"/>
      <c r="B106" s="43" t="str">
        <f>IFERROR(__xludf.DUMMYFUNCTION("""COMPUTED_VALUE"""),"Scott Li")</f>
        <v>Scott Li</v>
      </c>
      <c r="C106" s="84">
        <f>IFERROR(__xludf.DUMMYFUNCTION("""COMPUTED_VALUE"""),-6.0)</f>
        <v>-6</v>
      </c>
      <c r="D106" s="84">
        <f t="shared" si="77"/>
        <v>12</v>
      </c>
      <c r="E106" s="84">
        <f t="shared" si="78"/>
        <v>18</v>
      </c>
      <c r="F106" s="84">
        <f t="shared" si="79"/>
        <v>13</v>
      </c>
      <c r="G106" s="84">
        <f t="shared" si="80"/>
        <v>2</v>
      </c>
      <c r="L106" s="84" t="str">
        <f t="shared" si="81"/>
        <v>ok</v>
      </c>
    </row>
    <row r="107">
      <c r="A107" s="1"/>
      <c r="B107" s="43" t="str">
        <f>IFERROR(__xludf.DUMMYFUNCTION("""COMPUTED_VALUE"""),"Lam Bui")</f>
        <v>Lam Bui</v>
      </c>
      <c r="C107" s="84">
        <f>IFERROR(__xludf.DUMMYFUNCTION("""COMPUTED_VALUE"""),-6.0)</f>
        <v>-6</v>
      </c>
      <c r="D107" s="84">
        <f t="shared" si="77"/>
        <v>15</v>
      </c>
      <c r="E107" s="84">
        <f t="shared" si="78"/>
        <v>21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IFERROR(__xludf.DUMMYFUNCTION("""COMPUTED_VALUE"""),"Sanjaye Elayattu")</f>
        <v>Sanjaye Elayattu</v>
      </c>
      <c r="C108" s="84">
        <f>IFERROR(__xludf.DUMMYFUNCTION("""COMPUTED_VALUE"""),-6.0)</f>
        <v>-6</v>
      </c>
      <c r="D108" s="84">
        <f t="shared" si="77"/>
        <v>16</v>
      </c>
      <c r="E108" s="84">
        <f t="shared" si="78"/>
        <v>22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IFERROR(__xludf.DUMMYFUNCTION("""COMPUTED_VALUE"""),"Basudev Thoppai Vidyasankar")</f>
        <v>Basudev Thoppai Vidyasankar</v>
      </c>
      <c r="C109" s="84">
        <f>IFERROR(__xludf.DUMMYFUNCTION("""COMPUTED_VALUE"""),-5.0)</f>
        <v>-5</v>
      </c>
      <c r="D109" s="84">
        <f t="shared" si="77"/>
        <v>4</v>
      </c>
      <c r="E109" s="84">
        <f t="shared" si="78"/>
        <v>9</v>
      </c>
      <c r="F109" s="84">
        <f t="shared" si="79"/>
        <v>10</v>
      </c>
      <c r="G109" s="84">
        <f t="shared" si="80"/>
        <v>9</v>
      </c>
      <c r="L109" s="84" t="str">
        <f t="shared" si="81"/>
        <v>ok</v>
      </c>
    </row>
    <row r="110">
      <c r="A110" s="1"/>
      <c r="B110" s="43" t="str">
        <f>IFERROR(__xludf.DUMMYFUNCTION("""COMPUTED_VALUE"""),"Adrian Tay")</f>
        <v>Adrian Tay</v>
      </c>
      <c r="C110" s="84">
        <f>IFERROR(__xludf.DUMMYFUNCTION("""COMPUTED_VALUE"""),-5.0)</f>
        <v>-5</v>
      </c>
      <c r="D110" s="84">
        <f t="shared" si="77"/>
        <v>22</v>
      </c>
      <c r="E110" s="84">
        <f t="shared" si="78"/>
        <v>27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IFERROR(__xludf.DUMMYFUNCTION("""COMPUTED_VALUE"""),"Jim Miao")</f>
        <v>Jim Miao</v>
      </c>
      <c r="C111" s="84">
        <f>IFERROR(__xludf.DUMMYFUNCTION("""COMPUTED_VALUE"""),-5.0)</f>
        <v>-5</v>
      </c>
      <c r="D111" s="84">
        <f t="shared" si="77"/>
        <v>37</v>
      </c>
      <c r="E111" s="84">
        <f t="shared" si="78"/>
        <v>42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IFERROR(__xludf.DUMMYFUNCTION("""COMPUTED_VALUE"""),"Sandeep Kamalon")</f>
        <v>Sandeep Kamalon</v>
      </c>
      <c r="C112" s="84">
        <f>IFERROR(__xludf.DUMMYFUNCTION("""COMPUTED_VALUE"""),-4.0)</f>
        <v>-4</v>
      </c>
      <c r="D112" s="84">
        <f t="shared" si="77"/>
        <v>7</v>
      </c>
      <c r="E112" s="84">
        <f t="shared" si="78"/>
        <v>11</v>
      </c>
      <c r="F112" s="84">
        <f t="shared" si="79"/>
        <v>10</v>
      </c>
      <c r="G112" s="84">
        <f t="shared" si="80"/>
        <v>1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45738.0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12.0</v>
      </c>
      <c r="E2" s="1"/>
      <c r="F2" s="1"/>
      <c r="R2" s="19"/>
      <c r="AB2" s="20" t="str">
        <f>text(C1-7,"mm/dd/yy")</f>
        <v>03/15/25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164.0</v>
      </c>
      <c r="D5" s="31">
        <v>19.0</v>
      </c>
      <c r="E5" s="36">
        <f t="shared" ref="E5:E69" si="2">if(($D$2-U5-S5)&lt;&gt;0,(C5-(U5*9)-(S5*13))/($D$2-U5-S5),0)</f>
        <v>13.72727273</v>
      </c>
      <c r="F5" s="73">
        <v>1.0</v>
      </c>
      <c r="G5" s="74">
        <v>9.0</v>
      </c>
      <c r="H5" s="75">
        <v>0.0</v>
      </c>
      <c r="I5" s="74">
        <v>6.0</v>
      </c>
      <c r="J5" s="74">
        <v>6.0</v>
      </c>
      <c r="K5" s="74">
        <v>6.0</v>
      </c>
      <c r="L5" s="76">
        <v>18.0</v>
      </c>
      <c r="M5" s="74">
        <v>2.0</v>
      </c>
      <c r="N5" s="31">
        <f t="shared" ref="N5:O5" si="1">C5+L5</f>
        <v>182</v>
      </c>
      <c r="O5" s="31">
        <f t="shared" si="1"/>
        <v>21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162.0</v>
      </c>
      <c r="D6" s="31">
        <v>19.0</v>
      </c>
      <c r="E6" s="36">
        <f t="shared" si="2"/>
        <v>15.25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171</v>
      </c>
      <c r="O6" s="31">
        <f t="shared" si="3"/>
        <v>19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3</v>
      </c>
      <c r="V6" s="46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28" t="s">
        <v>120</v>
      </c>
      <c r="C7" s="31">
        <v>156.0</v>
      </c>
      <c r="D7" s="31">
        <v>18.0</v>
      </c>
      <c r="E7" s="36">
        <f t="shared" si="2"/>
        <v>13.88888889</v>
      </c>
      <c r="F7" s="73">
        <v>2.0</v>
      </c>
      <c r="G7" s="74">
        <v>9.0</v>
      </c>
      <c r="H7" s="75">
        <v>0.0</v>
      </c>
      <c r="I7" s="74">
        <v>7.0</v>
      </c>
      <c r="J7" s="74">
        <v>6.0</v>
      </c>
      <c r="K7" s="74">
        <v>2.0</v>
      </c>
      <c r="L7" s="76">
        <v>15.0</v>
      </c>
      <c r="M7" s="74">
        <v>2.0</v>
      </c>
      <c r="N7" s="31">
        <f t="shared" ref="N7:O7" si="8">C7+L7</f>
        <v>171</v>
      </c>
      <c r="O7" s="31">
        <f t="shared" si="8"/>
        <v>20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2</v>
      </c>
      <c r="V7" s="46">
        <f t="shared" si="6"/>
        <v>4</v>
      </c>
      <c r="W7" s="30">
        <f t="shared" si="9"/>
        <v>3</v>
      </c>
    </row>
    <row r="8">
      <c r="A8" s="30">
        <f t="shared" si="7"/>
        <v>4</v>
      </c>
      <c r="B8" s="43" t="s">
        <v>87</v>
      </c>
      <c r="C8" s="47">
        <v>153.0</v>
      </c>
      <c r="D8" s="31">
        <v>13.0</v>
      </c>
      <c r="E8" s="36">
        <f t="shared" si="2"/>
        <v>13.5</v>
      </c>
      <c r="F8" s="73">
        <v>1.0</v>
      </c>
      <c r="G8" s="74">
        <v>9.0</v>
      </c>
      <c r="H8" s="75">
        <v>0.0</v>
      </c>
      <c r="I8" s="74">
        <v>6.0</v>
      </c>
      <c r="J8" s="74">
        <v>2.0</v>
      </c>
      <c r="K8" s="74">
        <v>2.0</v>
      </c>
      <c r="L8" s="76">
        <v>10.0</v>
      </c>
      <c r="M8" s="74">
        <v>0.0</v>
      </c>
      <c r="N8" s="47">
        <f t="shared" ref="N8:O8" si="10">C8+L8</f>
        <v>163</v>
      </c>
      <c r="O8" s="31">
        <f t="shared" si="10"/>
        <v>13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2</v>
      </c>
      <c r="V8" s="46">
        <f t="shared" si="6"/>
        <v>1</v>
      </c>
      <c r="W8" s="30">
        <f t="shared" si="9"/>
        <v>4</v>
      </c>
    </row>
    <row r="9">
      <c r="A9" s="30">
        <f t="shared" si="7"/>
        <v>5</v>
      </c>
      <c r="B9" s="28" t="s">
        <v>44</v>
      </c>
      <c r="C9" s="31">
        <v>152.0</v>
      </c>
      <c r="D9" s="31">
        <v>16.0</v>
      </c>
      <c r="E9" s="36">
        <f t="shared" si="2"/>
        <v>13.88888889</v>
      </c>
      <c r="F9" s="73">
        <v>1.0</v>
      </c>
      <c r="G9" s="74">
        <v>9.0</v>
      </c>
      <c r="H9" s="75">
        <v>0.0</v>
      </c>
      <c r="I9" s="74">
        <v>7.0</v>
      </c>
      <c r="J9" s="74">
        <v>2.0</v>
      </c>
      <c r="K9" s="74">
        <v>6.0</v>
      </c>
      <c r="L9" s="76">
        <v>15.0</v>
      </c>
      <c r="M9" s="74">
        <v>2.0</v>
      </c>
      <c r="N9" s="31">
        <f t="shared" ref="N9:O9" si="11">C9+L9</f>
        <v>167</v>
      </c>
      <c r="O9" s="31">
        <f t="shared" si="11"/>
        <v>18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3</v>
      </c>
      <c r="V9" s="46">
        <f t="shared" si="6"/>
        <v>-1</v>
      </c>
      <c r="W9" s="30">
        <f t="shared" si="9"/>
        <v>5</v>
      </c>
    </row>
    <row r="10">
      <c r="A10" s="30">
        <f t="shared" si="7"/>
        <v>6</v>
      </c>
      <c r="B10" s="28" t="s">
        <v>97</v>
      </c>
      <c r="C10" s="31">
        <v>151.0</v>
      </c>
      <c r="D10" s="31">
        <v>12.0</v>
      </c>
      <c r="E10" s="36">
        <f t="shared" si="2"/>
        <v>12.88888889</v>
      </c>
      <c r="F10" s="73">
        <v>2.0</v>
      </c>
      <c r="G10" s="74">
        <v>1.0</v>
      </c>
      <c r="H10" s="75">
        <v>0.0</v>
      </c>
      <c r="I10" s="74">
        <v>3.0</v>
      </c>
      <c r="J10" s="74">
        <v>7.0</v>
      </c>
      <c r="K10" s="74">
        <v>6.0</v>
      </c>
      <c r="L10" s="76">
        <v>16.0</v>
      </c>
      <c r="M10" s="74">
        <v>2.0</v>
      </c>
      <c r="N10" s="31">
        <f t="shared" ref="N10:O10" si="12">C10+L10</f>
        <v>167</v>
      </c>
      <c r="O10" s="31">
        <f t="shared" si="12"/>
        <v>14</v>
      </c>
      <c r="P10" s="45" t="s">
        <v>58</v>
      </c>
      <c r="Q10" s="45" t="s">
        <v>58</v>
      </c>
      <c r="R10" s="45"/>
      <c r="S10" s="46">
        <f t="shared" si="4"/>
        <v>2</v>
      </c>
      <c r="T10" s="46"/>
      <c r="U10" s="46">
        <f t="shared" si="5"/>
        <v>1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43" t="s">
        <v>88</v>
      </c>
      <c r="C11" s="47">
        <v>150.0</v>
      </c>
      <c r="D11" s="31">
        <v>15.0</v>
      </c>
      <c r="E11" s="36">
        <f t="shared" si="2"/>
        <v>12.45454545</v>
      </c>
      <c r="F11" s="73">
        <v>1.0</v>
      </c>
      <c r="G11" s="74">
        <v>1.0</v>
      </c>
      <c r="H11" s="75">
        <v>0.0</v>
      </c>
      <c r="I11" s="74">
        <v>3.0</v>
      </c>
      <c r="J11" s="74">
        <v>5.0</v>
      </c>
      <c r="K11" s="74">
        <v>2.0</v>
      </c>
      <c r="L11" s="76">
        <v>10.0</v>
      </c>
      <c r="M11" s="74">
        <v>0.0</v>
      </c>
      <c r="N11" s="47">
        <f t="shared" ref="N11:O11" si="13">C11+L11</f>
        <v>160</v>
      </c>
      <c r="O11" s="31">
        <f t="shared" si="13"/>
        <v>15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0</v>
      </c>
      <c r="V11" s="46">
        <f t="shared" si="6"/>
        <v>1</v>
      </c>
      <c r="W11" s="30">
        <f t="shared" si="9"/>
        <v>7</v>
      </c>
    </row>
    <row r="12">
      <c r="A12" s="30">
        <f t="shared" si="7"/>
        <v>8</v>
      </c>
      <c r="B12" s="43" t="s">
        <v>121</v>
      </c>
      <c r="C12" s="31">
        <v>148.0</v>
      </c>
      <c r="D12" s="31">
        <v>14.0</v>
      </c>
      <c r="E12" s="36">
        <f t="shared" si="2"/>
        <v>14.14285714</v>
      </c>
      <c r="F12" s="73">
        <v>2.0</v>
      </c>
      <c r="G12" s="74">
        <v>1.0</v>
      </c>
      <c r="H12" s="75">
        <v>0.0</v>
      </c>
      <c r="I12" s="74">
        <v>6.0</v>
      </c>
      <c r="J12" s="74">
        <v>7.0</v>
      </c>
      <c r="K12" s="74">
        <v>2.0</v>
      </c>
      <c r="L12" s="76">
        <v>15.0</v>
      </c>
      <c r="M12" s="74">
        <v>2.0</v>
      </c>
      <c r="N12" s="31">
        <f t="shared" ref="N12:O12" si="14">C12+L12</f>
        <v>163</v>
      </c>
      <c r="O12" s="31">
        <f t="shared" si="14"/>
        <v>16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4</v>
      </c>
      <c r="V12" s="46">
        <f t="shared" si="6"/>
        <v>-2</v>
      </c>
      <c r="W12" s="30">
        <f t="shared" si="9"/>
        <v>8</v>
      </c>
    </row>
    <row r="13">
      <c r="A13" s="30">
        <f t="shared" si="7"/>
        <v>9</v>
      </c>
      <c r="B13" s="43" t="s">
        <v>130</v>
      </c>
      <c r="C13" s="31">
        <v>147.0</v>
      </c>
      <c r="D13" s="31">
        <v>14.0</v>
      </c>
      <c r="E13" s="36">
        <f t="shared" si="2"/>
        <v>13.875</v>
      </c>
      <c r="F13" s="73">
        <v>1.0</v>
      </c>
      <c r="G13" s="74">
        <v>1.0</v>
      </c>
      <c r="H13" s="75">
        <v>0.0</v>
      </c>
      <c r="I13" s="74">
        <v>6.0</v>
      </c>
      <c r="J13" s="74">
        <v>5.0</v>
      </c>
      <c r="K13" s="74">
        <v>6.0</v>
      </c>
      <c r="L13" s="76">
        <v>17.0</v>
      </c>
      <c r="M13" s="74">
        <v>2.0</v>
      </c>
      <c r="N13" s="31">
        <f t="shared" ref="N13:O13" si="15">C13+L13</f>
        <v>164</v>
      </c>
      <c r="O13" s="31">
        <f t="shared" si="15"/>
        <v>16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4</v>
      </c>
      <c r="V13" s="46">
        <f t="shared" si="6"/>
        <v>5</v>
      </c>
      <c r="W13" s="30">
        <f t="shared" si="9"/>
        <v>9</v>
      </c>
    </row>
    <row r="14">
      <c r="A14" s="30">
        <f t="shared" si="7"/>
        <v>10</v>
      </c>
      <c r="B14" s="43" t="s">
        <v>94</v>
      </c>
      <c r="C14" s="31">
        <v>146.0</v>
      </c>
      <c r="D14" s="31">
        <v>12.0</v>
      </c>
      <c r="E14" s="36">
        <f t="shared" si="2"/>
        <v>13.85714286</v>
      </c>
      <c r="F14" s="73">
        <v>1.0</v>
      </c>
      <c r="G14" s="74">
        <v>2.0</v>
      </c>
      <c r="H14" s="75">
        <v>0.0</v>
      </c>
      <c r="I14" s="74">
        <v>6.0</v>
      </c>
      <c r="J14" s="74">
        <v>7.0</v>
      </c>
      <c r="K14" s="74">
        <v>4.0</v>
      </c>
      <c r="L14" s="76">
        <v>17.0</v>
      </c>
      <c r="M14" s="74">
        <v>2.0</v>
      </c>
      <c r="N14" s="31">
        <f t="shared" ref="N14:O14" si="16">C14+L14</f>
        <v>163</v>
      </c>
      <c r="O14" s="31">
        <f t="shared" si="16"/>
        <v>14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4</v>
      </c>
      <c r="V14" s="46">
        <f t="shared" si="6"/>
        <v>5</v>
      </c>
      <c r="W14" s="30">
        <f t="shared" si="9"/>
        <v>10</v>
      </c>
    </row>
    <row r="15">
      <c r="A15" s="30">
        <f t="shared" si="7"/>
        <v>11</v>
      </c>
      <c r="B15" s="43" t="s">
        <v>64</v>
      </c>
      <c r="C15" s="47">
        <v>143.0</v>
      </c>
      <c r="D15" s="31">
        <v>15.0</v>
      </c>
      <c r="E15" s="36">
        <f t="shared" si="2"/>
        <v>12.5</v>
      </c>
      <c r="F15" s="73">
        <v>1.0</v>
      </c>
      <c r="G15" s="74">
        <v>2.0</v>
      </c>
      <c r="H15" s="75">
        <v>0.0</v>
      </c>
      <c r="I15" s="74">
        <v>4.0</v>
      </c>
      <c r="J15" s="74">
        <v>7.0</v>
      </c>
      <c r="K15" s="74">
        <v>6.0</v>
      </c>
      <c r="L15" s="76">
        <v>17.0</v>
      </c>
      <c r="M15" s="74">
        <v>2.0</v>
      </c>
      <c r="N15" s="47">
        <f t="shared" ref="N15:O15" si="17">C15+L15</f>
        <v>160</v>
      </c>
      <c r="O15" s="31">
        <f t="shared" si="17"/>
        <v>17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2</v>
      </c>
      <c r="V15" s="46">
        <f t="shared" si="6"/>
        <v>-2</v>
      </c>
      <c r="W15" s="30">
        <f t="shared" si="9"/>
        <v>11</v>
      </c>
    </row>
    <row r="16">
      <c r="A16" s="30">
        <f t="shared" si="7"/>
        <v>12</v>
      </c>
      <c r="B16" s="48" t="s">
        <v>82</v>
      </c>
      <c r="C16" s="31">
        <v>142.0</v>
      </c>
      <c r="D16" s="31">
        <v>13.0</v>
      </c>
      <c r="E16" s="36">
        <f t="shared" si="2"/>
        <v>12.77777778</v>
      </c>
      <c r="F16" s="73">
        <v>1.0</v>
      </c>
      <c r="G16" s="74">
        <v>2.0</v>
      </c>
      <c r="H16" s="75">
        <v>0.0</v>
      </c>
      <c r="I16" s="74">
        <v>4.0</v>
      </c>
      <c r="J16" s="74">
        <v>5.0</v>
      </c>
      <c r="K16" s="74">
        <v>4.0</v>
      </c>
      <c r="L16" s="76">
        <v>13.0</v>
      </c>
      <c r="M16" s="74">
        <v>0.0</v>
      </c>
      <c r="N16" s="31">
        <f t="shared" ref="N16:O16" si="18">C16+L16</f>
        <v>155</v>
      </c>
      <c r="O16" s="31">
        <f t="shared" si="18"/>
        <v>13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3</v>
      </c>
      <c r="V16" s="46">
        <f t="shared" si="6"/>
        <v>-1</v>
      </c>
      <c r="W16" s="30">
        <f t="shared" si="9"/>
        <v>12</v>
      </c>
    </row>
    <row r="17">
      <c r="A17" s="30">
        <f t="shared" si="7"/>
        <v>13</v>
      </c>
      <c r="B17" s="43" t="s">
        <v>56</v>
      </c>
      <c r="C17" s="31">
        <v>142.0</v>
      </c>
      <c r="D17" s="31">
        <v>13.0</v>
      </c>
      <c r="E17" s="36">
        <f t="shared" si="2"/>
        <v>11.83333333</v>
      </c>
      <c r="F17" s="73">
        <v>1.0</v>
      </c>
      <c r="G17" s="74">
        <v>2.0</v>
      </c>
      <c r="H17" s="75">
        <v>0.0</v>
      </c>
      <c r="I17" s="74">
        <v>6.0</v>
      </c>
      <c r="J17" s="74">
        <v>5.0</v>
      </c>
      <c r="K17" s="74">
        <v>6.0</v>
      </c>
      <c r="L17" s="76">
        <v>17.0</v>
      </c>
      <c r="M17" s="74">
        <v>2.0</v>
      </c>
      <c r="N17" s="31">
        <f t="shared" ref="N17:O17" si="19">C17+L17</f>
        <v>159</v>
      </c>
      <c r="O17" s="31">
        <f t="shared" si="19"/>
        <v>15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-1</v>
      </c>
      <c r="W17" s="30">
        <f t="shared" si="9"/>
        <v>13</v>
      </c>
    </row>
    <row r="18">
      <c r="A18" s="30">
        <f t="shared" si="7"/>
        <v>14</v>
      </c>
      <c r="B18" s="28" t="s">
        <v>104</v>
      </c>
      <c r="C18" s="31">
        <v>142.0</v>
      </c>
      <c r="D18" s="31">
        <v>13.0</v>
      </c>
      <c r="E18" s="36">
        <f t="shared" si="2"/>
        <v>12.33333333</v>
      </c>
      <c r="F18" s="73">
        <v>2.0</v>
      </c>
      <c r="G18" s="74">
        <v>3.0</v>
      </c>
      <c r="H18" s="75">
        <v>0.0</v>
      </c>
      <c r="I18" s="74">
        <v>6.0</v>
      </c>
      <c r="J18" s="74">
        <v>6.0</v>
      </c>
      <c r="K18" s="74">
        <v>6.0</v>
      </c>
      <c r="L18" s="76">
        <v>18.0</v>
      </c>
      <c r="M18" s="74">
        <v>1.0</v>
      </c>
      <c r="N18" s="31">
        <f t="shared" ref="N18:O18" si="20">C18+L18</f>
        <v>160</v>
      </c>
      <c r="O18" s="31">
        <f t="shared" si="20"/>
        <v>14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2</v>
      </c>
      <c r="V18" s="46">
        <f t="shared" si="6"/>
        <v>4</v>
      </c>
      <c r="W18" s="30">
        <f t="shared" si="9"/>
        <v>14</v>
      </c>
    </row>
    <row r="19">
      <c r="A19" s="30">
        <f t="shared" si="7"/>
        <v>15</v>
      </c>
      <c r="B19" s="28" t="s">
        <v>116</v>
      </c>
      <c r="C19" s="31">
        <v>142.0</v>
      </c>
      <c r="D19" s="31">
        <v>12.0</v>
      </c>
      <c r="E19" s="36">
        <f t="shared" si="2"/>
        <v>14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151</v>
      </c>
      <c r="O19" s="31">
        <f t="shared" si="21"/>
        <v>12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5</v>
      </c>
      <c r="V19" s="46">
        <f t="shared" si="6"/>
        <v>-5</v>
      </c>
      <c r="W19" s="30">
        <f t="shared" si="9"/>
        <v>15</v>
      </c>
    </row>
    <row r="20">
      <c r="A20" s="30">
        <f t="shared" si="7"/>
        <v>16</v>
      </c>
      <c r="B20" s="28" t="s">
        <v>137</v>
      </c>
      <c r="C20" s="31">
        <v>142.0</v>
      </c>
      <c r="D20" s="31">
        <v>10.0</v>
      </c>
      <c r="E20" s="36">
        <f t="shared" si="2"/>
        <v>13.33333333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151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2</v>
      </c>
      <c r="T20" s="46"/>
      <c r="U20" s="46">
        <f t="shared" si="5"/>
        <v>4</v>
      </c>
      <c r="V20" s="46">
        <f t="shared" si="6"/>
        <v>0</v>
      </c>
      <c r="W20" s="30">
        <f t="shared" si="9"/>
        <v>16</v>
      </c>
    </row>
    <row r="21">
      <c r="A21" s="30">
        <f t="shared" si="7"/>
        <v>17</v>
      </c>
      <c r="B21" s="43" t="s">
        <v>107</v>
      </c>
      <c r="C21" s="31">
        <v>139.0</v>
      </c>
      <c r="D21" s="31">
        <v>9.0</v>
      </c>
      <c r="E21" s="36">
        <f t="shared" si="2"/>
        <v>12</v>
      </c>
      <c r="F21" s="73">
        <v>2.0</v>
      </c>
      <c r="G21" s="74">
        <v>3.0</v>
      </c>
      <c r="H21" s="75">
        <v>0.0</v>
      </c>
      <c r="I21" s="74">
        <v>4.0</v>
      </c>
      <c r="J21" s="74">
        <v>7.0</v>
      </c>
      <c r="K21" s="74">
        <v>6.0</v>
      </c>
      <c r="L21" s="76">
        <v>17.0</v>
      </c>
      <c r="M21" s="74">
        <v>1.0</v>
      </c>
      <c r="N21" s="31">
        <f t="shared" ref="N21:O21" si="23">C21+L21</f>
        <v>156</v>
      </c>
      <c r="O21" s="31">
        <f t="shared" si="23"/>
        <v>10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2</v>
      </c>
      <c r="V21" s="46">
        <f t="shared" si="6"/>
        <v>5</v>
      </c>
      <c r="W21" s="30">
        <f t="shared" si="9"/>
        <v>17</v>
      </c>
    </row>
    <row r="22">
      <c r="A22" s="30">
        <f t="shared" si="7"/>
        <v>18</v>
      </c>
      <c r="B22" s="28" t="s">
        <v>74</v>
      </c>
      <c r="C22" s="31">
        <v>138.0</v>
      </c>
      <c r="D22" s="31">
        <v>13.0</v>
      </c>
      <c r="E22" s="36">
        <f t="shared" si="2"/>
        <v>13.28571429</v>
      </c>
      <c r="F22" s="73">
        <v>1.0</v>
      </c>
      <c r="G22" s="74">
        <v>3.0</v>
      </c>
      <c r="H22" s="75">
        <v>0.0</v>
      </c>
      <c r="I22" s="74">
        <v>4.0</v>
      </c>
      <c r="J22" s="74">
        <v>6.0</v>
      </c>
      <c r="K22" s="74">
        <v>7.0</v>
      </c>
      <c r="L22" s="76">
        <v>17.0</v>
      </c>
      <c r="M22" s="74">
        <v>1.0</v>
      </c>
      <c r="N22" s="31">
        <f t="shared" ref="N22:O22" si="24">C22+L22</f>
        <v>155</v>
      </c>
      <c r="O22" s="31">
        <f t="shared" si="24"/>
        <v>14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5</v>
      </c>
      <c r="V22" s="46">
        <f t="shared" si="6"/>
        <v>-5</v>
      </c>
      <c r="W22" s="30">
        <f t="shared" si="9"/>
        <v>18</v>
      </c>
    </row>
    <row r="23">
      <c r="A23" s="30">
        <f t="shared" si="7"/>
        <v>19</v>
      </c>
      <c r="B23" s="28" t="s">
        <v>67</v>
      </c>
      <c r="C23" s="31">
        <v>138.0</v>
      </c>
      <c r="D23" s="31">
        <v>12.0</v>
      </c>
      <c r="E23" s="36">
        <f t="shared" si="2"/>
        <v>13.33333333</v>
      </c>
      <c r="F23" s="73">
        <v>1.0</v>
      </c>
      <c r="G23" s="74">
        <v>3.0</v>
      </c>
      <c r="H23" s="75">
        <v>0.0</v>
      </c>
      <c r="I23" s="74">
        <v>6.0</v>
      </c>
      <c r="J23" s="74">
        <v>7.0</v>
      </c>
      <c r="K23" s="74">
        <v>7.0</v>
      </c>
      <c r="L23" s="76">
        <v>20.0</v>
      </c>
      <c r="M23" s="74">
        <v>3.0</v>
      </c>
      <c r="N23" s="31">
        <f t="shared" ref="N23:O23" si="25">C23+L23</f>
        <v>158</v>
      </c>
      <c r="O23" s="31">
        <f t="shared" si="25"/>
        <v>15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5</v>
      </c>
      <c r="V23" s="46">
        <f t="shared" si="6"/>
        <v>1</v>
      </c>
      <c r="W23" s="30">
        <f t="shared" si="9"/>
        <v>19</v>
      </c>
    </row>
    <row r="24">
      <c r="A24" s="30">
        <f t="shared" si="7"/>
        <v>20</v>
      </c>
      <c r="B24" s="28" t="s">
        <v>101</v>
      </c>
      <c r="C24" s="31">
        <v>138.0</v>
      </c>
      <c r="D24" s="31">
        <v>8.0</v>
      </c>
      <c r="E24" s="36">
        <f t="shared" si="2"/>
        <v>12.25</v>
      </c>
      <c r="F24" s="73">
        <v>1.0</v>
      </c>
      <c r="G24" s="74">
        <v>4.0</v>
      </c>
      <c r="H24" s="75">
        <v>0.0</v>
      </c>
      <c r="I24" s="74">
        <v>7.0</v>
      </c>
      <c r="J24" s="74">
        <v>6.0</v>
      </c>
      <c r="K24" s="74">
        <v>6.0</v>
      </c>
      <c r="L24" s="76">
        <v>19.0</v>
      </c>
      <c r="M24" s="74">
        <v>2.0</v>
      </c>
      <c r="N24" s="31">
        <f t="shared" ref="N24:O24" si="26">C24+L24</f>
        <v>157</v>
      </c>
      <c r="O24" s="31">
        <f t="shared" si="26"/>
        <v>10</v>
      </c>
      <c r="P24" s="45" t="s">
        <v>58</v>
      </c>
      <c r="Q24" s="45" t="s">
        <v>58</v>
      </c>
      <c r="R24" s="45"/>
      <c r="S24" s="46">
        <f t="shared" si="4"/>
        <v>1</v>
      </c>
      <c r="T24" s="46"/>
      <c r="U24" s="46">
        <f t="shared" si="5"/>
        <v>3</v>
      </c>
      <c r="V24" s="46">
        <f t="shared" si="6"/>
        <v>-3</v>
      </c>
      <c r="W24" s="30">
        <f t="shared" si="9"/>
        <v>20</v>
      </c>
    </row>
    <row r="25">
      <c r="A25" s="30">
        <f t="shared" si="7"/>
        <v>21</v>
      </c>
      <c r="B25" s="28" t="s">
        <v>119</v>
      </c>
      <c r="C25" s="31">
        <v>137.0</v>
      </c>
      <c r="D25" s="31">
        <v>14.0</v>
      </c>
      <c r="E25" s="36">
        <f t="shared" si="2"/>
        <v>11.77777778</v>
      </c>
      <c r="F25" s="73">
        <v>2.0</v>
      </c>
      <c r="G25" s="74">
        <v>4.0</v>
      </c>
      <c r="H25" s="75">
        <v>0.0</v>
      </c>
      <c r="I25" s="74">
        <v>7.0</v>
      </c>
      <c r="J25" s="74">
        <v>7.0</v>
      </c>
      <c r="K25" s="74">
        <v>3.0</v>
      </c>
      <c r="L25" s="76">
        <v>17.0</v>
      </c>
      <c r="M25" s="74">
        <v>2.0</v>
      </c>
      <c r="N25" s="31">
        <f t="shared" ref="N25:O25" si="27">C25+L25</f>
        <v>154</v>
      </c>
      <c r="O25" s="31">
        <f t="shared" si="27"/>
        <v>16</v>
      </c>
      <c r="P25" s="45" t="s">
        <v>58</v>
      </c>
      <c r="Q25" s="45" t="s">
        <v>58</v>
      </c>
      <c r="R25" s="45" t="s">
        <v>58</v>
      </c>
      <c r="S25" s="46">
        <f t="shared" si="4"/>
        <v>1</v>
      </c>
      <c r="T25" s="46"/>
      <c r="U25" s="46">
        <f t="shared" si="5"/>
        <v>2</v>
      </c>
      <c r="V25" s="46">
        <f t="shared" si="6"/>
        <v>9</v>
      </c>
      <c r="W25" s="30">
        <f t="shared" si="9"/>
        <v>21</v>
      </c>
    </row>
    <row r="26">
      <c r="A26" s="30">
        <f t="shared" si="7"/>
        <v>22</v>
      </c>
      <c r="B26" s="28" t="s">
        <v>34</v>
      </c>
      <c r="C26" s="31">
        <v>135.0</v>
      </c>
      <c r="D26" s="31">
        <v>12.0</v>
      </c>
      <c r="E26" s="36">
        <f t="shared" si="2"/>
        <v>15.75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144</v>
      </c>
      <c r="O26" s="31">
        <f t="shared" si="28"/>
        <v>12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8</v>
      </c>
      <c r="V26" s="46">
        <f t="shared" si="6"/>
        <v>10</v>
      </c>
      <c r="W26" s="30">
        <f t="shared" si="9"/>
        <v>22</v>
      </c>
    </row>
    <row r="27">
      <c r="A27" s="30">
        <f t="shared" si="7"/>
        <v>23</v>
      </c>
      <c r="B27" s="28" t="s">
        <v>92</v>
      </c>
      <c r="C27" s="31">
        <v>135.0</v>
      </c>
      <c r="D27" s="31">
        <v>10.0</v>
      </c>
      <c r="E27" s="36">
        <f t="shared" si="2"/>
        <v>12.85714286</v>
      </c>
      <c r="F27" s="73">
        <v>1.0</v>
      </c>
      <c r="G27" s="74">
        <v>4.0</v>
      </c>
      <c r="H27" s="75">
        <v>0.0</v>
      </c>
      <c r="I27" s="74">
        <v>5.0</v>
      </c>
      <c r="J27" s="74">
        <v>7.0</v>
      </c>
      <c r="K27" s="74">
        <v>6.0</v>
      </c>
      <c r="L27" s="76">
        <v>18.0</v>
      </c>
      <c r="M27" s="74">
        <v>2.0</v>
      </c>
      <c r="N27" s="31">
        <f t="shared" ref="N27:O27" si="29">C27+L27</f>
        <v>153</v>
      </c>
      <c r="O27" s="31">
        <f t="shared" si="29"/>
        <v>12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5</v>
      </c>
      <c r="V27" s="46">
        <f t="shared" si="6"/>
        <v>-4</v>
      </c>
      <c r="W27" s="30">
        <f t="shared" si="9"/>
        <v>23</v>
      </c>
    </row>
    <row r="28">
      <c r="A28" s="30">
        <f t="shared" si="7"/>
        <v>24</v>
      </c>
      <c r="B28" s="43" t="s">
        <v>111</v>
      </c>
      <c r="C28" s="47">
        <v>134.0</v>
      </c>
      <c r="D28" s="31">
        <v>14.0</v>
      </c>
      <c r="E28" s="36">
        <f t="shared" si="2"/>
        <v>11.36363636</v>
      </c>
      <c r="F28" s="73">
        <v>1.0</v>
      </c>
      <c r="G28" s="74">
        <v>4.0</v>
      </c>
      <c r="H28" s="75">
        <v>0.0</v>
      </c>
      <c r="I28" s="74">
        <v>5.0</v>
      </c>
      <c r="J28" s="74">
        <v>6.0</v>
      </c>
      <c r="K28" s="74">
        <v>3.0</v>
      </c>
      <c r="L28" s="76">
        <v>14.0</v>
      </c>
      <c r="M28" s="74">
        <v>0.0</v>
      </c>
      <c r="N28" s="47">
        <f t="shared" ref="N28:O28" si="30">C28+L28</f>
        <v>148</v>
      </c>
      <c r="O28" s="31">
        <f t="shared" si="30"/>
        <v>14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1</v>
      </c>
      <c r="V28" s="46">
        <f t="shared" si="6"/>
        <v>1</v>
      </c>
      <c r="W28" s="30">
        <f t="shared" si="9"/>
        <v>24</v>
      </c>
    </row>
    <row r="29">
      <c r="A29" s="30">
        <f t="shared" si="7"/>
        <v>25</v>
      </c>
      <c r="B29" s="28" t="s">
        <v>98</v>
      </c>
      <c r="C29" s="31">
        <v>134.0</v>
      </c>
      <c r="D29" s="31">
        <v>11.0</v>
      </c>
      <c r="E29" s="36">
        <f t="shared" si="2"/>
        <v>12.25</v>
      </c>
      <c r="F29" s="73">
        <v>2.0</v>
      </c>
      <c r="G29" s="74">
        <v>5.0</v>
      </c>
      <c r="H29" s="75">
        <v>0.0</v>
      </c>
      <c r="I29" s="74">
        <v>6.0</v>
      </c>
      <c r="J29" s="74">
        <v>3.0</v>
      </c>
      <c r="K29" s="74">
        <v>2.0</v>
      </c>
      <c r="L29" s="76">
        <v>11.0</v>
      </c>
      <c r="M29" s="74">
        <v>1.0</v>
      </c>
      <c r="N29" s="31">
        <f t="shared" ref="N29:O29" si="31">C29+L29</f>
        <v>145</v>
      </c>
      <c r="O29" s="31">
        <f t="shared" si="31"/>
        <v>12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4</v>
      </c>
      <c r="V29" s="46">
        <f t="shared" si="6"/>
        <v>2</v>
      </c>
      <c r="W29" s="30">
        <f t="shared" si="9"/>
        <v>25</v>
      </c>
    </row>
    <row r="30">
      <c r="A30" s="30">
        <f t="shared" si="7"/>
        <v>26</v>
      </c>
      <c r="B30" s="28" t="s">
        <v>49</v>
      </c>
      <c r="C30" s="31">
        <v>134.0</v>
      </c>
      <c r="D30" s="31">
        <v>11.0</v>
      </c>
      <c r="E30" s="36">
        <f t="shared" si="2"/>
        <v>11.2</v>
      </c>
      <c r="F30" s="73">
        <v>1.0</v>
      </c>
      <c r="G30" s="74">
        <v>5.0</v>
      </c>
      <c r="H30" s="75">
        <v>0.0</v>
      </c>
      <c r="I30" s="74">
        <v>1.0</v>
      </c>
      <c r="J30" s="74">
        <v>3.0</v>
      </c>
      <c r="K30" s="74">
        <v>6.0</v>
      </c>
      <c r="L30" s="76">
        <v>10.0</v>
      </c>
      <c r="M30" s="74">
        <v>1.0</v>
      </c>
      <c r="N30" s="31">
        <f t="shared" ref="N30:O30" si="32">C30+L30</f>
        <v>144</v>
      </c>
      <c r="O30" s="31">
        <f t="shared" si="32"/>
        <v>12</v>
      </c>
      <c r="P30" s="45" t="s">
        <v>58</v>
      </c>
      <c r="Q30" s="45" t="s">
        <v>58</v>
      </c>
      <c r="R30" s="45" t="s">
        <v>58</v>
      </c>
      <c r="S30" s="46">
        <f t="shared" si="4"/>
        <v>1</v>
      </c>
      <c r="T30" s="46"/>
      <c r="U30" s="46">
        <f t="shared" si="5"/>
        <v>1</v>
      </c>
      <c r="V30" s="46">
        <f t="shared" si="6"/>
        <v>3</v>
      </c>
      <c r="W30" s="30">
        <f t="shared" si="9"/>
        <v>26</v>
      </c>
    </row>
    <row r="31">
      <c r="A31" s="30">
        <f t="shared" si="7"/>
        <v>27</v>
      </c>
      <c r="B31" s="28" t="s">
        <v>89</v>
      </c>
      <c r="C31" s="31">
        <v>134.0</v>
      </c>
      <c r="D31" s="31">
        <v>9.0</v>
      </c>
      <c r="E31" s="36">
        <f t="shared" si="2"/>
        <v>12.6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143</v>
      </c>
      <c r="O31" s="31">
        <f t="shared" si="33"/>
        <v>9</v>
      </c>
      <c r="P31" s="45" t="s">
        <v>58</v>
      </c>
      <c r="Q31" s="45" t="s">
        <v>58</v>
      </c>
      <c r="R31" s="45"/>
      <c r="S31" s="46">
        <f t="shared" si="4"/>
        <v>2</v>
      </c>
      <c r="T31" s="46"/>
      <c r="U31" s="46">
        <f t="shared" si="5"/>
        <v>5</v>
      </c>
      <c r="V31" s="46">
        <f t="shared" si="6"/>
        <v>-6</v>
      </c>
      <c r="W31" s="30">
        <f t="shared" si="9"/>
        <v>27</v>
      </c>
    </row>
    <row r="32">
      <c r="A32" s="30">
        <f t="shared" si="7"/>
        <v>28</v>
      </c>
      <c r="B32" s="28" t="s">
        <v>95</v>
      </c>
      <c r="C32" s="31">
        <v>131.0</v>
      </c>
      <c r="D32" s="31">
        <v>12.0</v>
      </c>
      <c r="E32" s="36">
        <f t="shared" si="2"/>
        <v>11.55555556</v>
      </c>
      <c r="F32" s="73">
        <v>1.0</v>
      </c>
      <c r="G32" s="74">
        <v>5.0</v>
      </c>
      <c r="H32" s="75">
        <v>0.0</v>
      </c>
      <c r="I32" s="74">
        <v>6.0</v>
      </c>
      <c r="J32" s="74">
        <v>6.0</v>
      </c>
      <c r="K32" s="74">
        <v>6.0</v>
      </c>
      <c r="L32" s="76">
        <v>18.0</v>
      </c>
      <c r="M32" s="74">
        <v>3.0</v>
      </c>
      <c r="N32" s="31">
        <f t="shared" ref="N32:O32" si="34">C32+L32</f>
        <v>149</v>
      </c>
      <c r="O32" s="31">
        <f t="shared" si="34"/>
        <v>15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3</v>
      </c>
      <c r="V32" s="46">
        <f t="shared" si="6"/>
        <v>-5</v>
      </c>
      <c r="W32" s="30">
        <f t="shared" si="9"/>
        <v>28</v>
      </c>
    </row>
    <row r="33">
      <c r="A33" s="30">
        <f t="shared" si="7"/>
        <v>29</v>
      </c>
      <c r="B33" s="48" t="s">
        <v>125</v>
      </c>
      <c r="C33" s="31">
        <v>131.0</v>
      </c>
      <c r="D33" s="31">
        <v>10.0</v>
      </c>
      <c r="E33" s="36">
        <f t="shared" si="2"/>
        <v>10.91666667</v>
      </c>
      <c r="F33" s="73">
        <v>1.0</v>
      </c>
      <c r="G33" s="74">
        <v>5.0</v>
      </c>
      <c r="H33" s="75">
        <v>0.0</v>
      </c>
      <c r="I33" s="74">
        <v>1.0</v>
      </c>
      <c r="J33" s="74">
        <v>6.0</v>
      </c>
      <c r="K33" s="74">
        <v>2.0</v>
      </c>
      <c r="L33" s="76">
        <v>9.0</v>
      </c>
      <c r="M33" s="74">
        <v>1.0</v>
      </c>
      <c r="N33" s="31">
        <f t="shared" ref="N33:O33" si="35">C33+L33</f>
        <v>140</v>
      </c>
      <c r="O33" s="31">
        <f t="shared" si="35"/>
        <v>11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0</v>
      </c>
      <c r="V33" s="46">
        <f t="shared" si="6"/>
        <v>4</v>
      </c>
      <c r="W33" s="30">
        <f t="shared" si="9"/>
        <v>29</v>
      </c>
    </row>
    <row r="34">
      <c r="A34" s="30">
        <f t="shared" si="7"/>
        <v>30</v>
      </c>
      <c r="B34" s="43" t="s">
        <v>90</v>
      </c>
      <c r="C34" s="31">
        <v>131.0</v>
      </c>
      <c r="D34" s="31">
        <v>8.0</v>
      </c>
      <c r="E34" s="36">
        <f t="shared" si="2"/>
        <v>10.83333333</v>
      </c>
      <c r="F34" s="73">
        <v>2.0</v>
      </c>
      <c r="G34" s="74">
        <v>6.0</v>
      </c>
      <c r="H34" s="75">
        <v>0.0</v>
      </c>
      <c r="I34" s="74">
        <v>6.0</v>
      </c>
      <c r="J34" s="74">
        <v>3.0</v>
      </c>
      <c r="K34" s="74">
        <v>3.0</v>
      </c>
      <c r="L34" s="76">
        <v>12.0</v>
      </c>
      <c r="M34" s="74">
        <v>1.0</v>
      </c>
      <c r="N34" s="31">
        <f t="shared" ref="N34:O34" si="36">C34+L34</f>
        <v>143</v>
      </c>
      <c r="O34" s="31">
        <f t="shared" si="36"/>
        <v>9</v>
      </c>
      <c r="P34" s="45" t="s">
        <v>58</v>
      </c>
      <c r="Q34" s="45" t="s">
        <v>58</v>
      </c>
      <c r="R34" s="45"/>
      <c r="S34" s="46">
        <f t="shared" si="4"/>
        <v>3</v>
      </c>
      <c r="T34" s="46"/>
      <c r="U34" s="46">
        <f t="shared" si="5"/>
        <v>3</v>
      </c>
      <c r="V34" s="46">
        <f t="shared" si="6"/>
        <v>16</v>
      </c>
      <c r="W34" s="30">
        <f t="shared" si="9"/>
        <v>30</v>
      </c>
    </row>
    <row r="35">
      <c r="A35" s="30">
        <f t="shared" si="7"/>
        <v>31</v>
      </c>
      <c r="B35" s="28" t="s">
        <v>128</v>
      </c>
      <c r="C35" s="31">
        <v>130.0</v>
      </c>
      <c r="D35" s="31">
        <v>10.0</v>
      </c>
      <c r="E35" s="36">
        <f t="shared" si="2"/>
        <v>13.4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139</v>
      </c>
      <c r="O35" s="31">
        <f t="shared" si="37"/>
        <v>10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7</v>
      </c>
      <c r="V35" s="46">
        <f t="shared" si="6"/>
        <v>-5</v>
      </c>
      <c r="W35" s="30">
        <f t="shared" si="9"/>
        <v>31</v>
      </c>
    </row>
    <row r="36">
      <c r="A36" s="30">
        <f t="shared" si="7"/>
        <v>32</v>
      </c>
      <c r="B36" s="28" t="s">
        <v>102</v>
      </c>
      <c r="C36" s="31">
        <v>130.0</v>
      </c>
      <c r="D36" s="31">
        <v>9.0</v>
      </c>
      <c r="E36" s="36">
        <f t="shared" si="2"/>
        <v>15</v>
      </c>
      <c r="F36" s="73">
        <v>3.0</v>
      </c>
      <c r="G36" s="74">
        <v>0.0</v>
      </c>
      <c r="H36" s="75">
        <v>9.0</v>
      </c>
      <c r="I36" s="74">
        <v>0.0</v>
      </c>
      <c r="J36" s="74">
        <v>0.0</v>
      </c>
      <c r="K36" s="74">
        <v>0.0</v>
      </c>
      <c r="L36" s="76">
        <v>9.0</v>
      </c>
      <c r="M36" s="74">
        <v>0.0</v>
      </c>
      <c r="N36" s="31">
        <f t="shared" ref="N36:O36" si="38">C36+L36</f>
        <v>139</v>
      </c>
      <c r="O36" s="31">
        <f t="shared" si="38"/>
        <v>9</v>
      </c>
      <c r="P36" s="45" t="s">
        <v>58</v>
      </c>
      <c r="Q36" s="45" t="s">
        <v>58</v>
      </c>
      <c r="R36" s="45"/>
      <c r="S36" s="46">
        <f t="shared" si="4"/>
        <v>1</v>
      </c>
      <c r="T36" s="46"/>
      <c r="U36" s="46">
        <f t="shared" si="5"/>
        <v>8</v>
      </c>
      <c r="V36" s="46">
        <f t="shared" si="6"/>
        <v>-4</v>
      </c>
      <c r="W36" s="30">
        <f t="shared" si="9"/>
        <v>32</v>
      </c>
    </row>
    <row r="37">
      <c r="A37" s="30">
        <f t="shared" si="7"/>
        <v>33</v>
      </c>
      <c r="B37" s="43" t="s">
        <v>99</v>
      </c>
      <c r="C37" s="31">
        <v>130.0</v>
      </c>
      <c r="D37" s="31">
        <v>9.0</v>
      </c>
      <c r="E37" s="36">
        <f t="shared" si="2"/>
        <v>12.66666667</v>
      </c>
      <c r="F37" s="73">
        <v>1.0</v>
      </c>
      <c r="G37" s="74">
        <v>6.0</v>
      </c>
      <c r="H37" s="75">
        <v>0.0</v>
      </c>
      <c r="I37" s="74">
        <v>2.0</v>
      </c>
      <c r="J37" s="74">
        <v>6.0</v>
      </c>
      <c r="K37" s="74">
        <v>3.0</v>
      </c>
      <c r="L37" s="76">
        <v>11.0</v>
      </c>
      <c r="M37" s="74">
        <v>1.0</v>
      </c>
      <c r="N37" s="31">
        <f t="shared" ref="N37:O37" si="39">C37+L37</f>
        <v>141</v>
      </c>
      <c r="O37" s="31">
        <f t="shared" si="39"/>
        <v>10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6</v>
      </c>
      <c r="V37" s="46">
        <f t="shared" si="6"/>
        <v>9</v>
      </c>
      <c r="W37" s="30">
        <f t="shared" si="9"/>
        <v>33</v>
      </c>
    </row>
    <row r="38">
      <c r="A38" s="30">
        <f t="shared" si="7"/>
        <v>34</v>
      </c>
      <c r="B38" s="48" t="s">
        <v>134</v>
      </c>
      <c r="C38" s="31">
        <v>130.0</v>
      </c>
      <c r="D38" s="31">
        <v>9.0</v>
      </c>
      <c r="E38" s="36">
        <f t="shared" si="2"/>
        <v>11.57142857</v>
      </c>
      <c r="F38" s="73">
        <v>1.0</v>
      </c>
      <c r="G38" s="74">
        <v>6.0</v>
      </c>
      <c r="H38" s="75">
        <v>0.0</v>
      </c>
      <c r="I38" s="74">
        <v>2.0</v>
      </c>
      <c r="J38" s="74">
        <v>3.0</v>
      </c>
      <c r="K38" s="74">
        <v>6.0</v>
      </c>
      <c r="L38" s="76">
        <v>11.0</v>
      </c>
      <c r="M38" s="74">
        <v>1.0</v>
      </c>
      <c r="N38" s="31">
        <f t="shared" ref="N38:O38" si="40">C38+L38</f>
        <v>141</v>
      </c>
      <c r="O38" s="31">
        <f t="shared" si="40"/>
        <v>10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4</v>
      </c>
      <c r="V38" s="46">
        <f t="shared" si="6"/>
        <v>11</v>
      </c>
      <c r="W38" s="30">
        <f t="shared" si="9"/>
        <v>34</v>
      </c>
    </row>
    <row r="39">
      <c r="A39" s="30">
        <f t="shared" si="7"/>
        <v>35</v>
      </c>
      <c r="B39" s="43" t="s">
        <v>106</v>
      </c>
      <c r="C39" s="31">
        <v>129.0</v>
      </c>
      <c r="D39" s="31">
        <v>12.0</v>
      </c>
      <c r="E39" s="36">
        <f t="shared" si="2"/>
        <v>11.33333333</v>
      </c>
      <c r="F39" s="73">
        <v>1.0</v>
      </c>
      <c r="G39" s="74">
        <v>6.0</v>
      </c>
      <c r="H39" s="75">
        <v>0.0</v>
      </c>
      <c r="I39" s="74">
        <v>6.0</v>
      </c>
      <c r="J39" s="74">
        <v>6.0</v>
      </c>
      <c r="K39" s="74">
        <v>6.0</v>
      </c>
      <c r="L39" s="76">
        <v>18.0</v>
      </c>
      <c r="M39" s="74">
        <v>3.0</v>
      </c>
      <c r="N39" s="31">
        <f t="shared" ref="N39:O39" si="41">C39+L39</f>
        <v>147</v>
      </c>
      <c r="O39" s="31">
        <f t="shared" si="41"/>
        <v>15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3</v>
      </c>
      <c r="V39" s="46">
        <f t="shared" si="6"/>
        <v>4</v>
      </c>
      <c r="W39" s="30">
        <f t="shared" si="9"/>
        <v>35</v>
      </c>
    </row>
    <row r="40">
      <c r="A40" s="30">
        <f t="shared" si="7"/>
        <v>36</v>
      </c>
      <c r="B40" s="28" t="s">
        <v>84</v>
      </c>
      <c r="C40" s="31">
        <v>128.0</v>
      </c>
      <c r="D40" s="31">
        <v>13.0</v>
      </c>
      <c r="E40" s="36">
        <f t="shared" si="2"/>
        <v>11</v>
      </c>
      <c r="F40" s="73">
        <v>1.0</v>
      </c>
      <c r="G40" s="74">
        <v>7.0</v>
      </c>
      <c r="H40" s="75">
        <v>0.0</v>
      </c>
      <c r="I40" s="74">
        <v>6.0</v>
      </c>
      <c r="J40" s="74">
        <v>3.0</v>
      </c>
      <c r="K40" s="74">
        <v>6.0</v>
      </c>
      <c r="L40" s="76">
        <v>15.0</v>
      </c>
      <c r="M40" s="74">
        <v>2.0</v>
      </c>
      <c r="N40" s="31">
        <f t="shared" ref="N40:O40" si="42">C40+L40</f>
        <v>143</v>
      </c>
      <c r="O40" s="31">
        <f t="shared" si="42"/>
        <v>15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2</v>
      </c>
      <c r="V40" s="46">
        <f t="shared" si="6"/>
        <v>7</v>
      </c>
      <c r="W40" s="30">
        <f t="shared" si="9"/>
        <v>36</v>
      </c>
    </row>
    <row r="41">
      <c r="A41" s="30">
        <f t="shared" si="7"/>
        <v>37</v>
      </c>
      <c r="B41" s="43" t="s">
        <v>122</v>
      </c>
      <c r="C41" s="31">
        <v>127.0</v>
      </c>
      <c r="D41" s="31">
        <v>9.0</v>
      </c>
      <c r="E41" s="36">
        <f t="shared" si="2"/>
        <v>12.16666667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3">C41+L41</f>
        <v>136</v>
      </c>
      <c r="O41" s="31">
        <f t="shared" si="43"/>
        <v>9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6</v>
      </c>
      <c r="V41" s="46">
        <f t="shared" si="6"/>
        <v>-6</v>
      </c>
      <c r="W41" s="30">
        <f t="shared" si="9"/>
        <v>37</v>
      </c>
    </row>
    <row r="42">
      <c r="A42" s="30">
        <f t="shared" si="7"/>
        <v>38</v>
      </c>
      <c r="B42" s="28" t="s">
        <v>105</v>
      </c>
      <c r="C42" s="31">
        <v>126.0</v>
      </c>
      <c r="D42" s="31">
        <v>8.0</v>
      </c>
      <c r="E42" s="36">
        <f t="shared" si="2"/>
        <v>11</v>
      </c>
      <c r="F42" s="73">
        <v>2.0</v>
      </c>
      <c r="G42" s="74">
        <v>7.0</v>
      </c>
      <c r="H42" s="75">
        <v>0.0</v>
      </c>
      <c r="I42" s="74">
        <v>6.0</v>
      </c>
      <c r="J42" s="74">
        <v>6.0</v>
      </c>
      <c r="K42" s="74">
        <v>4.0</v>
      </c>
      <c r="L42" s="76">
        <v>16.0</v>
      </c>
      <c r="M42" s="74">
        <v>2.0</v>
      </c>
      <c r="N42" s="31">
        <f t="shared" ref="N42:O42" si="44">C42+L42</f>
        <v>142</v>
      </c>
      <c r="O42" s="31">
        <f t="shared" si="44"/>
        <v>10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4</v>
      </c>
      <c r="V42" s="46">
        <f t="shared" si="6"/>
        <v>-4</v>
      </c>
      <c r="W42" s="30">
        <f t="shared" si="9"/>
        <v>38</v>
      </c>
    </row>
    <row r="43">
      <c r="A43" s="30">
        <f t="shared" si="7"/>
        <v>39</v>
      </c>
      <c r="B43" s="43" t="s">
        <v>140</v>
      </c>
      <c r="C43" s="31">
        <v>125.0</v>
      </c>
      <c r="D43" s="31">
        <v>9.0</v>
      </c>
      <c r="E43" s="36">
        <f t="shared" si="2"/>
        <v>10.85714286</v>
      </c>
      <c r="F43" s="73">
        <v>1.0</v>
      </c>
      <c r="G43" s="74">
        <v>7.0</v>
      </c>
      <c r="H43" s="75">
        <v>0.0</v>
      </c>
      <c r="I43" s="74">
        <v>3.0</v>
      </c>
      <c r="J43" s="74">
        <v>3.0</v>
      </c>
      <c r="K43" s="74">
        <v>4.0</v>
      </c>
      <c r="L43" s="76">
        <v>10.0</v>
      </c>
      <c r="M43" s="74">
        <v>0.0</v>
      </c>
      <c r="N43" s="31">
        <f t="shared" ref="N43:O43" si="45">C43+L43</f>
        <v>135</v>
      </c>
      <c r="O43" s="31">
        <f t="shared" si="45"/>
        <v>9</v>
      </c>
      <c r="P43" s="45" t="s">
        <v>58</v>
      </c>
      <c r="Q43" s="45" t="s">
        <v>58</v>
      </c>
      <c r="R43" s="45"/>
      <c r="S43" s="46">
        <f t="shared" si="4"/>
        <v>1</v>
      </c>
      <c r="T43" s="46"/>
      <c r="U43" s="46">
        <f t="shared" si="5"/>
        <v>4</v>
      </c>
      <c r="V43" s="46">
        <f t="shared" si="6"/>
        <v>-2</v>
      </c>
      <c r="W43" s="30">
        <f t="shared" si="9"/>
        <v>39</v>
      </c>
    </row>
    <row r="44">
      <c r="A44" s="30">
        <f t="shared" si="7"/>
        <v>40</v>
      </c>
      <c r="B44" s="43" t="s">
        <v>61</v>
      </c>
      <c r="C44" s="47">
        <v>124.0</v>
      </c>
      <c r="D44" s="31">
        <v>15.0</v>
      </c>
      <c r="E44" s="36">
        <f t="shared" si="2"/>
        <v>10.33333333</v>
      </c>
      <c r="F44" s="73">
        <v>1.0</v>
      </c>
      <c r="G44" s="74">
        <v>7.0</v>
      </c>
      <c r="H44" s="75">
        <v>0.0</v>
      </c>
      <c r="I44" s="74">
        <v>3.0</v>
      </c>
      <c r="J44" s="74">
        <v>6.0</v>
      </c>
      <c r="K44" s="74">
        <v>6.0</v>
      </c>
      <c r="L44" s="76">
        <v>15.0</v>
      </c>
      <c r="M44" s="74">
        <v>2.0</v>
      </c>
      <c r="N44" s="47">
        <f t="shared" ref="N44:O44" si="46">C44+L44</f>
        <v>139</v>
      </c>
      <c r="O44" s="31">
        <f t="shared" si="46"/>
        <v>17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0</v>
      </c>
      <c r="V44" s="46">
        <f t="shared" si="6"/>
        <v>-5</v>
      </c>
      <c r="W44" s="30">
        <f t="shared" si="9"/>
        <v>40</v>
      </c>
    </row>
    <row r="45">
      <c r="A45" s="30">
        <f t="shared" si="7"/>
        <v>41</v>
      </c>
      <c r="B45" s="43" t="s">
        <v>132</v>
      </c>
      <c r="C45" s="31">
        <v>124.0</v>
      </c>
      <c r="D45" s="31">
        <v>13.0</v>
      </c>
      <c r="E45" s="36">
        <f t="shared" si="2"/>
        <v>10.33333333</v>
      </c>
      <c r="F45" s="73">
        <v>1.0</v>
      </c>
      <c r="G45" s="74">
        <v>8.0</v>
      </c>
      <c r="H45" s="75">
        <v>0.0</v>
      </c>
      <c r="I45" s="74">
        <v>6.0</v>
      </c>
      <c r="J45" s="74">
        <v>6.0</v>
      </c>
      <c r="K45" s="74">
        <v>6.0</v>
      </c>
      <c r="L45" s="76">
        <v>18.0</v>
      </c>
      <c r="M45" s="74">
        <v>2.0</v>
      </c>
      <c r="N45" s="31">
        <f t="shared" ref="N45:O45" si="47">C45+L45</f>
        <v>142</v>
      </c>
      <c r="O45" s="31">
        <f t="shared" si="47"/>
        <v>15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0</v>
      </c>
      <c r="V45" s="46">
        <f t="shared" si="6"/>
        <v>-5</v>
      </c>
      <c r="W45" s="30">
        <f t="shared" si="9"/>
        <v>41</v>
      </c>
    </row>
    <row r="46">
      <c r="A46" s="30">
        <f t="shared" si="7"/>
        <v>42</v>
      </c>
      <c r="B46" s="43" t="s">
        <v>129</v>
      </c>
      <c r="C46" s="47">
        <v>124.0</v>
      </c>
      <c r="D46" s="31">
        <v>12.0</v>
      </c>
      <c r="E46" s="36">
        <f t="shared" si="2"/>
        <v>10.45454545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47">
        <f t="shared" ref="N46:O46" si="48">C46+L46</f>
        <v>133</v>
      </c>
      <c r="O46" s="31">
        <f t="shared" si="48"/>
        <v>12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1</v>
      </c>
      <c r="V46" s="46">
        <f t="shared" si="6"/>
        <v>-18</v>
      </c>
      <c r="W46" s="30">
        <f t="shared" si="9"/>
        <v>42</v>
      </c>
    </row>
    <row r="47">
      <c r="A47" s="30">
        <f t="shared" si="7"/>
        <v>43</v>
      </c>
      <c r="B47" s="43" t="s">
        <v>133</v>
      </c>
      <c r="C47" s="31">
        <v>124.0</v>
      </c>
      <c r="D47" s="31">
        <v>8.0</v>
      </c>
      <c r="E47" s="36">
        <f t="shared" si="2"/>
        <v>10.45454545</v>
      </c>
      <c r="F47" s="73">
        <v>1.0</v>
      </c>
      <c r="G47" s="74">
        <v>8.0</v>
      </c>
      <c r="H47" s="75">
        <v>0.0</v>
      </c>
      <c r="I47" s="74">
        <v>7.0</v>
      </c>
      <c r="J47" s="74">
        <v>6.0</v>
      </c>
      <c r="K47" s="74">
        <v>0.0</v>
      </c>
      <c r="L47" s="76">
        <v>13.0</v>
      </c>
      <c r="M47" s="74">
        <v>2.0</v>
      </c>
      <c r="N47" s="31">
        <f t="shared" ref="N47:O47" si="49">C47+L47</f>
        <v>137</v>
      </c>
      <c r="O47" s="31">
        <f t="shared" si="49"/>
        <v>10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1</v>
      </c>
      <c r="V47" s="46">
        <f t="shared" si="6"/>
        <v>-3</v>
      </c>
      <c r="W47" s="30">
        <f t="shared" si="9"/>
        <v>43</v>
      </c>
    </row>
    <row r="48">
      <c r="A48" s="30">
        <f t="shared" si="7"/>
        <v>44</v>
      </c>
      <c r="B48" s="43" t="s">
        <v>136</v>
      </c>
      <c r="C48" s="31">
        <v>123.0</v>
      </c>
      <c r="D48" s="31">
        <v>12.0</v>
      </c>
      <c r="E48" s="36">
        <f t="shared" si="2"/>
        <v>10.5</v>
      </c>
      <c r="F48" s="73">
        <v>1.0</v>
      </c>
      <c r="G48" s="74">
        <v>8.0</v>
      </c>
      <c r="H48" s="75">
        <v>0.0</v>
      </c>
      <c r="I48" s="74">
        <v>6.0</v>
      </c>
      <c r="J48" s="74">
        <v>4.0</v>
      </c>
      <c r="K48" s="74">
        <v>0.0</v>
      </c>
      <c r="L48" s="76">
        <v>10.0</v>
      </c>
      <c r="M48" s="74">
        <v>0.0</v>
      </c>
      <c r="N48" s="31">
        <f t="shared" ref="N48:O48" si="50">C48+L48</f>
        <v>133</v>
      </c>
      <c r="O48" s="31">
        <f t="shared" si="50"/>
        <v>12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2</v>
      </c>
      <c r="V48" s="46">
        <f t="shared" si="6"/>
        <v>-6</v>
      </c>
      <c r="W48" s="30">
        <f t="shared" si="9"/>
        <v>44</v>
      </c>
    </row>
    <row r="49">
      <c r="A49" s="30">
        <f t="shared" si="7"/>
        <v>45</v>
      </c>
      <c r="B49" s="43" t="s">
        <v>62</v>
      </c>
      <c r="C49" s="31">
        <v>123.0</v>
      </c>
      <c r="D49" s="31">
        <v>8.0</v>
      </c>
      <c r="E49" s="36">
        <f t="shared" si="2"/>
        <v>12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1">C49+L49</f>
        <v>132</v>
      </c>
      <c r="O49" s="31">
        <f t="shared" si="51"/>
        <v>8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7</v>
      </c>
      <c r="V49" s="46">
        <f t="shared" si="6"/>
        <v>-4</v>
      </c>
      <c r="W49" s="30">
        <f t="shared" si="9"/>
        <v>45</v>
      </c>
    </row>
    <row r="50">
      <c r="A50" s="30">
        <f t="shared" si="7"/>
        <v>46</v>
      </c>
      <c r="B50" s="28" t="s">
        <v>93</v>
      </c>
      <c r="C50" s="31">
        <v>123.0</v>
      </c>
      <c r="D50" s="31">
        <v>8.0</v>
      </c>
      <c r="E50" s="36">
        <f t="shared" si="2"/>
        <v>11.5</v>
      </c>
      <c r="F50" s="73">
        <v>2.0</v>
      </c>
      <c r="G50" s="74">
        <v>8.0</v>
      </c>
      <c r="H50" s="75">
        <v>0.0</v>
      </c>
      <c r="I50" s="74">
        <v>7.0</v>
      </c>
      <c r="J50" s="74">
        <v>4.0</v>
      </c>
      <c r="K50" s="74">
        <v>6.0</v>
      </c>
      <c r="L50" s="76">
        <v>17.0</v>
      </c>
      <c r="M50" s="74">
        <v>2.0</v>
      </c>
      <c r="N50" s="31">
        <f t="shared" ref="N50:O50" si="52">C50+L50</f>
        <v>140</v>
      </c>
      <c r="O50" s="31">
        <f t="shared" si="52"/>
        <v>10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6</v>
      </c>
      <c r="V50" s="46">
        <f t="shared" si="6"/>
        <v>2</v>
      </c>
      <c r="W50" s="30">
        <f t="shared" si="9"/>
        <v>46</v>
      </c>
    </row>
    <row r="51">
      <c r="A51" s="30">
        <f t="shared" si="7"/>
        <v>47</v>
      </c>
      <c r="B51" s="43" t="s">
        <v>96</v>
      </c>
      <c r="C51" s="31">
        <v>122.0</v>
      </c>
      <c r="D51" s="31">
        <v>5.0</v>
      </c>
      <c r="E51" s="36">
        <f t="shared" si="2"/>
        <v>10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3">C51+L51</f>
        <v>131</v>
      </c>
      <c r="O51" s="31">
        <f t="shared" si="53"/>
        <v>5</v>
      </c>
      <c r="P51" s="45" t="s">
        <v>58</v>
      </c>
      <c r="Q51" s="45" t="s">
        <v>58</v>
      </c>
      <c r="R51" s="45"/>
      <c r="S51" s="46">
        <f t="shared" si="4"/>
        <v>2</v>
      </c>
      <c r="T51" s="46"/>
      <c r="U51" s="46">
        <f t="shared" si="5"/>
        <v>4</v>
      </c>
      <c r="V51" s="46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28" t="s">
        <v>127</v>
      </c>
      <c r="C52" s="31">
        <v>122.0</v>
      </c>
      <c r="D52" s="31">
        <v>4.0</v>
      </c>
      <c r="E52" s="36">
        <f t="shared" si="2"/>
        <v>14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4">C52+L52</f>
        <v>131</v>
      </c>
      <c r="O52" s="31">
        <f t="shared" si="54"/>
        <v>4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9</v>
      </c>
      <c r="V52" s="46">
        <f t="shared" si="6"/>
        <v>-4</v>
      </c>
      <c r="W52" s="30">
        <f t="shared" si="9"/>
        <v>48</v>
      </c>
    </row>
    <row r="53">
      <c r="A53" s="30">
        <f t="shared" si="7"/>
        <v>49</v>
      </c>
      <c r="B53" s="48" t="s">
        <v>103</v>
      </c>
      <c r="C53" s="31">
        <v>119.0</v>
      </c>
      <c r="D53" s="31">
        <v>9.0</v>
      </c>
      <c r="E53" s="36">
        <f t="shared" si="2"/>
        <v>10.375</v>
      </c>
      <c r="F53" s="73">
        <v>1.0</v>
      </c>
      <c r="G53" s="74">
        <v>10.0</v>
      </c>
      <c r="H53" s="75">
        <v>0.0</v>
      </c>
      <c r="I53" s="74">
        <v>6.0</v>
      </c>
      <c r="J53" s="74">
        <v>6.0</v>
      </c>
      <c r="K53" s="74">
        <v>2.0</v>
      </c>
      <c r="L53" s="76">
        <v>14.0</v>
      </c>
      <c r="M53" s="74">
        <v>2.0</v>
      </c>
      <c r="N53" s="31">
        <f t="shared" ref="N53:O53" si="55">C53+L53</f>
        <v>133</v>
      </c>
      <c r="O53" s="31">
        <f t="shared" si="55"/>
        <v>11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4</v>
      </c>
      <c r="V53" s="46">
        <f t="shared" si="6"/>
        <v>1</v>
      </c>
      <c r="W53" s="30">
        <f t="shared" si="9"/>
        <v>49</v>
      </c>
    </row>
    <row r="54">
      <c r="A54" s="30">
        <f t="shared" si="7"/>
        <v>50</v>
      </c>
      <c r="B54" s="48" t="s">
        <v>139</v>
      </c>
      <c r="C54" s="31">
        <v>117.0</v>
      </c>
      <c r="D54" s="31">
        <v>4.0</v>
      </c>
      <c r="E54" s="36">
        <f t="shared" si="2"/>
        <v>11.5</v>
      </c>
      <c r="F54" s="73">
        <v>4.0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6">C54+L54</f>
        <v>126</v>
      </c>
      <c r="O54" s="31">
        <f t="shared" si="56"/>
        <v>4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9</v>
      </c>
      <c r="V54" s="46">
        <f t="shared" si="6"/>
        <v>5</v>
      </c>
      <c r="W54" s="30">
        <f t="shared" si="9"/>
        <v>50</v>
      </c>
    </row>
    <row r="55">
      <c r="A55" s="30">
        <f t="shared" si="7"/>
        <v>51</v>
      </c>
      <c r="B55" s="43" t="s">
        <v>138</v>
      </c>
      <c r="C55" s="47">
        <v>116.0</v>
      </c>
      <c r="D55" s="31">
        <v>10.0</v>
      </c>
      <c r="E55" s="36">
        <f t="shared" si="2"/>
        <v>10</v>
      </c>
      <c r="F55" s="73">
        <v>1.0</v>
      </c>
      <c r="G55" s="74">
        <v>10.0</v>
      </c>
      <c r="H55" s="75">
        <v>0.0</v>
      </c>
      <c r="I55" s="74">
        <v>4.0</v>
      </c>
      <c r="J55" s="74">
        <v>6.0</v>
      </c>
      <c r="K55" s="74">
        <v>6.0</v>
      </c>
      <c r="L55" s="76">
        <v>16.0</v>
      </c>
      <c r="M55" s="74">
        <v>2.0</v>
      </c>
      <c r="N55" s="47">
        <f t="shared" ref="N55:O55" si="57">C55+L55</f>
        <v>132</v>
      </c>
      <c r="O55" s="31">
        <f t="shared" si="57"/>
        <v>12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4</v>
      </c>
      <c r="V55" s="46">
        <f t="shared" si="6"/>
        <v>-2</v>
      </c>
      <c r="W55" s="30">
        <f t="shared" si="9"/>
        <v>51</v>
      </c>
    </row>
    <row r="56">
      <c r="A56" s="30">
        <f t="shared" si="7"/>
        <v>52</v>
      </c>
      <c r="B56" s="48" t="s">
        <v>54</v>
      </c>
      <c r="C56" s="31">
        <v>116.0</v>
      </c>
      <c r="D56" s="31">
        <v>7.0</v>
      </c>
      <c r="E56" s="36">
        <f t="shared" si="2"/>
        <v>9.571428571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58">C56+L56</f>
        <v>125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4</v>
      </c>
      <c r="V56" s="46">
        <f t="shared" si="6"/>
        <v>1</v>
      </c>
      <c r="W56" s="30">
        <f t="shared" si="9"/>
        <v>52</v>
      </c>
    </row>
    <row r="57">
      <c r="A57" s="30">
        <f t="shared" si="7"/>
        <v>53</v>
      </c>
      <c r="B57" s="43" t="s">
        <v>79</v>
      </c>
      <c r="C57" s="31">
        <v>115.0</v>
      </c>
      <c r="D57" s="31">
        <v>4.0</v>
      </c>
      <c r="E57" s="36">
        <f t="shared" si="2"/>
        <v>10.16666667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59">C57+L57</f>
        <v>124</v>
      </c>
      <c r="O57" s="31">
        <f t="shared" si="59"/>
        <v>4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6</v>
      </c>
      <c r="V57" s="46">
        <f t="shared" si="6"/>
        <v>-2</v>
      </c>
      <c r="W57" s="30">
        <f t="shared" si="9"/>
        <v>53</v>
      </c>
    </row>
    <row r="58">
      <c r="A58" s="30">
        <f t="shared" si="7"/>
        <v>54</v>
      </c>
      <c r="B58" s="48" t="s">
        <v>70</v>
      </c>
      <c r="C58" s="31">
        <v>114.0</v>
      </c>
      <c r="D58" s="31">
        <v>5.0</v>
      </c>
      <c r="E58" s="36">
        <f t="shared" si="2"/>
        <v>9.285714286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0">C58+L58</f>
        <v>123</v>
      </c>
      <c r="O58" s="31">
        <f t="shared" si="60"/>
        <v>5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4</v>
      </c>
      <c r="V58" s="46">
        <f t="shared" si="6"/>
        <v>-2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108.0</v>
      </c>
      <c r="D59" s="31">
        <v>3.0</v>
      </c>
      <c r="E59" s="36">
        <f t="shared" si="2"/>
        <v>7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1">C59+L59</f>
        <v>117</v>
      </c>
      <c r="O59" s="31">
        <f t="shared" si="61"/>
        <v>3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9</v>
      </c>
      <c r="V59" s="46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43" t="s">
        <v>131</v>
      </c>
      <c r="C60" s="31">
        <v>107.0</v>
      </c>
      <c r="D60" s="31">
        <v>1.0</v>
      </c>
      <c r="E60" s="36">
        <f t="shared" si="2"/>
        <v>8.5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2">C60+L60</f>
        <v>116</v>
      </c>
      <c r="O60" s="31">
        <f t="shared" si="62"/>
        <v>1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10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43" t="s">
        <v>142</v>
      </c>
      <c r="C61" s="47">
        <v>105.0</v>
      </c>
      <c r="D61" s="31">
        <v>4.0</v>
      </c>
      <c r="E61" s="36">
        <f t="shared" si="2"/>
        <v>8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47">
        <f t="shared" ref="N61:O61" si="63">C61+L61</f>
        <v>114</v>
      </c>
      <c r="O61" s="31">
        <f t="shared" si="63"/>
        <v>4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9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28" t="s">
        <v>80</v>
      </c>
      <c r="C62" s="31">
        <v>103.0</v>
      </c>
      <c r="D62" s="31">
        <v>0.0</v>
      </c>
      <c r="E62" s="36">
        <f t="shared" si="2"/>
        <v>0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31">
        <f t="shared" ref="N62:O62" si="64">C62+L62</f>
        <v>112</v>
      </c>
      <c r="O62" s="31">
        <f t="shared" si="64"/>
        <v>0</v>
      </c>
      <c r="P62" s="45" t="s">
        <v>58</v>
      </c>
      <c r="Q62" s="45" t="s">
        <v>58</v>
      </c>
      <c r="R62" s="45" t="s">
        <v>143</v>
      </c>
      <c r="S62" s="46">
        <f t="shared" si="4"/>
        <v>1</v>
      </c>
      <c r="T62" s="46"/>
      <c r="U62" s="46">
        <f t="shared" si="5"/>
        <v>11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28" t="s">
        <v>72</v>
      </c>
      <c r="C63" s="31">
        <v>103.0</v>
      </c>
      <c r="D63" s="31">
        <v>0.0</v>
      </c>
      <c r="E63" s="36">
        <f t="shared" si="2"/>
        <v>0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5">C63+L63</f>
        <v>112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1</v>
      </c>
      <c r="T63" s="46"/>
      <c r="U63" s="46">
        <f t="shared" si="5"/>
        <v>11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43" t="s">
        <v>118</v>
      </c>
      <c r="C64" s="47">
        <v>102.0</v>
      </c>
      <c r="D64" s="31">
        <v>5.0</v>
      </c>
      <c r="E64" s="36">
        <f t="shared" si="2"/>
        <v>7.8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47">
        <f t="shared" ref="N64:O64" si="66">C64+L64</f>
        <v>111</v>
      </c>
      <c r="O64" s="31">
        <f t="shared" si="66"/>
        <v>5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7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3" t="s">
        <v>100</v>
      </c>
      <c r="C65" s="31">
        <v>100.0</v>
      </c>
      <c r="D65" s="31">
        <v>8.0</v>
      </c>
      <c r="E65" s="36">
        <f t="shared" si="2"/>
        <v>8.111111111</v>
      </c>
      <c r="F65" s="73">
        <v>1.0</v>
      </c>
      <c r="G65" s="74">
        <v>10.0</v>
      </c>
      <c r="H65" s="75">
        <v>0.0</v>
      </c>
      <c r="I65" s="74">
        <v>6.0</v>
      </c>
      <c r="J65" s="74">
        <v>2.0</v>
      </c>
      <c r="K65" s="74">
        <v>6.0</v>
      </c>
      <c r="L65" s="76">
        <v>14.0</v>
      </c>
      <c r="M65" s="74">
        <v>2.0</v>
      </c>
      <c r="N65" s="31">
        <f t="shared" ref="N65:O65" si="67">C65+L65</f>
        <v>114</v>
      </c>
      <c r="O65" s="31">
        <f t="shared" si="67"/>
        <v>10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3</v>
      </c>
      <c r="V65" s="46">
        <f t="shared" si="6"/>
        <v>2</v>
      </c>
      <c r="W65" s="30">
        <f t="shared" si="9"/>
        <v>61</v>
      </c>
    </row>
    <row r="66">
      <c r="A66" s="30">
        <f t="shared" si="7"/>
        <v>62</v>
      </c>
      <c r="B66" s="43" t="s">
        <v>76</v>
      </c>
      <c r="C66" s="31">
        <v>99.0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68">C66+L66</f>
        <v>108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12</v>
      </c>
      <c r="V66" s="46">
        <f t="shared" si="6"/>
        <v>-1</v>
      </c>
      <c r="W66" s="30">
        <f t="shared" si="9"/>
        <v>62</v>
      </c>
    </row>
    <row r="67">
      <c r="A67" s="30">
        <f t="shared" si="7"/>
        <v>63</v>
      </c>
      <c r="B67" s="43" t="s">
        <v>126</v>
      </c>
      <c r="C67" s="31">
        <v>99.0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69">C67+L67</f>
        <v>108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12</v>
      </c>
      <c r="V67" s="46">
        <f t="shared" si="6"/>
        <v>-1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94.0</v>
      </c>
      <c r="D68" s="31">
        <v>1.0</v>
      </c>
      <c r="E68" s="36">
        <f t="shared" si="2"/>
        <v>4.333333333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0">C68+L68</f>
        <v>103</v>
      </c>
      <c r="O68" s="31">
        <f t="shared" si="70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9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93.0</v>
      </c>
      <c r="D69" s="31">
        <v>3.0</v>
      </c>
      <c r="E69" s="36">
        <f t="shared" si="2"/>
        <v>6.857142857</v>
      </c>
      <c r="F69" s="73">
        <v>1.0</v>
      </c>
      <c r="G69" s="74">
        <v>10.0</v>
      </c>
      <c r="H69" s="75">
        <v>0.0</v>
      </c>
      <c r="I69" s="74">
        <v>4.0</v>
      </c>
      <c r="J69" s="74">
        <v>2.0</v>
      </c>
      <c r="K69" s="74">
        <v>2.0</v>
      </c>
      <c r="L69" s="76">
        <v>8.0</v>
      </c>
      <c r="M69" s="74">
        <v>0.0</v>
      </c>
      <c r="N69" s="47">
        <f t="shared" ref="N69:O69" si="71">C69+L69</f>
        <v>101</v>
      </c>
      <c r="O69" s="31">
        <f t="shared" si="71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5</v>
      </c>
      <c r="V69" s="46">
        <f t="shared" si="6"/>
        <v>-1</v>
      </c>
      <c r="W69" s="30">
        <f t="shared" si="9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1</v>
      </c>
    </row>
    <row r="76">
      <c r="A76" s="1"/>
      <c r="B76" s="43" t="str">
        <f>IFERROR(__xludf.DUMMYFUNCTION("QUERY(B5:M69,""Select B, L, M, G where L &gt;= 18 order by L desc,M desc"",0)"),"Susanta Mishra")</f>
        <v>Susanta Mishra</v>
      </c>
      <c r="C76" s="84">
        <f>IFERROR(__xludf.DUMMYFUNCTION("""COMPUTED_VALUE"""),20.0)</f>
        <v>20</v>
      </c>
      <c r="D76" s="84">
        <f>IFERROR(__xludf.DUMMYFUNCTION("""COMPUTED_VALUE"""),3.0)</f>
        <v>3</v>
      </c>
      <c r="E76" s="84">
        <f>IFERROR(__xludf.DUMMYFUNCTION("""COMPUTED_VALUE"""),3.0)</f>
        <v>3</v>
      </c>
      <c r="F76" s="1"/>
      <c r="L76" s="77"/>
      <c r="M76" s="78"/>
      <c r="P76" s="79" t="s">
        <v>151</v>
      </c>
      <c r="Q76" s="24"/>
      <c r="R76" s="18">
        <f>countif(R5:R69,"")</f>
        <v>62</v>
      </c>
    </row>
    <row r="77">
      <c r="A77" s="1"/>
      <c r="B77" s="43" t="str">
        <f>IFERROR(__xludf.DUMMYFUNCTION("""COMPUTED_VALUE"""),"Manish Anand")</f>
        <v>Manish Anand</v>
      </c>
      <c r="C77" s="84">
        <f>IFERROR(__xludf.DUMMYFUNCTION("""COMPUTED_VALUE"""),19.0)</f>
        <v>19</v>
      </c>
      <c r="D77" s="84">
        <f>IFERROR(__xludf.DUMMYFUNCTION("""COMPUTED_VALUE"""),2.0)</f>
        <v>2</v>
      </c>
      <c r="E77" s="84">
        <f>IFERROR(__xludf.DUMMYFUNCTION("""COMPUTED_VALUE"""),4.0)</f>
        <v>4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IFERROR(__xludf.DUMMYFUNCTION("""COMPUTED_VALUE"""),"Ted Shen")</f>
        <v>Ted Shen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IFERROR(__xludf.DUMMYFUNCTION("""COMPUTED_VALUE"""),5.0)</f>
        <v>5</v>
      </c>
      <c r="F78" s="1"/>
    </row>
    <row r="79">
      <c r="A79" s="1"/>
      <c r="B79" s="43" t="str">
        <f>IFERROR(__xludf.DUMMYFUNCTION("""COMPUTED_VALUE"""),"Lloyd Sagar")</f>
        <v>Lloyd Sagar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IFERROR(__xludf.DUMMYFUNCTION("""COMPUTED_VALUE"""),6.0)</f>
        <v>6</v>
      </c>
      <c r="F79" s="1"/>
      <c r="P79" s="33" t="s">
        <v>172</v>
      </c>
    </row>
    <row r="80">
      <c r="A80" s="1"/>
      <c r="B80" s="43" t="str">
        <f>IFERROR(__xludf.DUMMYFUNCTION("""COMPUTED_VALUE"""),"Pulkit Mathur")</f>
        <v>Pulkit Mathur</v>
      </c>
      <c r="C80" s="84">
        <f>IFERROR(__xludf.DUMMYFUNCTION("""COMPUTED_VALUE"""),18.0)</f>
        <v>18</v>
      </c>
      <c r="D80" s="84">
        <f>IFERROR(__xludf.DUMMYFUNCTION("""COMPUTED_VALUE"""),2.0)</f>
        <v>2</v>
      </c>
      <c r="E80" s="84">
        <f>IFERROR(__xludf.DUMMYFUNCTION("""COMPUTED_VALUE"""),9.0)</f>
        <v>9</v>
      </c>
      <c r="F80" s="1"/>
      <c r="L80" s="33"/>
    </row>
    <row r="81">
      <c r="A81" s="1"/>
      <c r="B81" s="43" t="str">
        <f>IFERROR(__xludf.DUMMYFUNCTION("""COMPUTED_VALUE"""),"Jonathan Phan")</f>
        <v>Jonathan Phan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IFERROR(__xludf.DUMMYFUNCTION("""COMPUTED_VALUE"""),4.0)</f>
        <v>4</v>
      </c>
      <c r="F81" s="1"/>
      <c r="L81" s="33"/>
    </row>
    <row r="82">
      <c r="A82" s="1"/>
      <c r="B82" s="43" t="str">
        <f>IFERROR(__xludf.DUMMYFUNCTION("""COMPUTED_VALUE"""),"Wayne Liu")</f>
        <v>Wayne Liu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IFERROR(__xludf.DUMMYFUNCTION("""COMPUTED_VALUE"""),8.0)</f>
        <v>8</v>
      </c>
      <c r="F82" s="1"/>
      <c r="L82" s="33"/>
    </row>
    <row r="83">
      <c r="A83" s="1"/>
      <c r="B83" s="43" t="str">
        <f>IFERROR(__xludf.DUMMYFUNCTION("""COMPUTED_VALUE"""),"Joe Luzzi")</f>
        <v>Joe Luzzi</v>
      </c>
      <c r="C83" s="84">
        <f>IFERROR(__xludf.DUMMYFUNCTION("""COMPUTED_VALUE"""),18.0)</f>
        <v>18</v>
      </c>
      <c r="D83" s="84">
        <f>IFERROR(__xludf.DUMMYFUNCTION("""COMPUTED_VALUE"""),1.0)</f>
        <v>1</v>
      </c>
      <c r="E83" s="84">
        <f>IFERROR(__xludf.DUMMYFUNCTION("""COMPUTED_VALUE"""),3.0)</f>
        <v>3</v>
      </c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10"")"),"Chinna Ponnaganti")</f>
        <v>Chinna Ponnaganti</v>
      </c>
      <c r="C90" s="84">
        <f>IFERROR(__xludf.DUMMYFUNCTION("""COMPUTED_VALUE"""),16.0)</f>
        <v>16</v>
      </c>
      <c r="D90" s="84">
        <f t="shared" ref="D90:D99" si="72">VLOOKUP(B90,indirect($AB$2&amp;"!B$5:w$70"),22, false)</f>
        <v>46</v>
      </c>
      <c r="E90" s="84">
        <f t="shared" ref="E90:E99" si="73">VLOOKUP(B90,B$5:W$69,22, false)</f>
        <v>30</v>
      </c>
      <c r="F90" s="84">
        <f t="shared" ref="F90:F99" si="74">VLOOKUP(B90,indirect($AB$2&amp;"!B$5:U$70"),11, false)</f>
        <v>19</v>
      </c>
      <c r="G90" s="84">
        <f t="shared" ref="G90:G99" si="75">VLOOKUP(B90,indirect($AB$2&amp;"!B$5:U$70"),6, false)</f>
        <v>7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IFERROR(__xludf.DUMMYFUNCTION("""COMPUTED_VALUE"""),"Ramesh Bandaru")</f>
        <v>Ramesh Bandaru</v>
      </c>
      <c r="C91" s="84">
        <f>IFERROR(__xludf.DUMMYFUNCTION("""COMPUTED_VALUE"""),11.0)</f>
        <v>11</v>
      </c>
      <c r="D91" s="84">
        <f t="shared" si="72"/>
        <v>45</v>
      </c>
      <c r="E91" s="84">
        <f t="shared" si="73"/>
        <v>34</v>
      </c>
      <c r="F91" s="84">
        <f t="shared" si="74"/>
        <v>18</v>
      </c>
      <c r="G91" s="84">
        <f t="shared" si="75"/>
        <v>7</v>
      </c>
      <c r="L91" s="84" t="str">
        <f t="shared" si="76"/>
        <v>ok</v>
      </c>
    </row>
    <row r="92">
      <c r="A92" s="1"/>
      <c r="B92" s="43" t="str">
        <f>IFERROR(__xludf.DUMMYFUNCTION("""COMPUTED_VALUE"""),"Adrian Tay")</f>
        <v>Adrian Tay</v>
      </c>
      <c r="C92" s="84">
        <f>IFERROR(__xludf.DUMMYFUNCTION("""COMPUTED_VALUE"""),10.0)</f>
        <v>10</v>
      </c>
      <c r="D92" s="84">
        <f t="shared" si="72"/>
        <v>32</v>
      </c>
      <c r="E92" s="84">
        <f t="shared" si="73"/>
        <v>22</v>
      </c>
      <c r="F92" s="84">
        <f t="shared" si="74"/>
        <v>18</v>
      </c>
      <c r="G92" s="84">
        <f t="shared" si="75"/>
        <v>5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IFERROR(__xludf.DUMMYFUNCTION("""COMPUTED_VALUE"""),"Sean Chang")</f>
        <v>Sean Chang</v>
      </c>
      <c r="C93" s="84">
        <f>IFERROR(__xludf.DUMMYFUNCTION("""COMPUTED_VALUE"""),9.0)</f>
        <v>9</v>
      </c>
      <c r="D93" s="84">
        <f t="shared" si="72"/>
        <v>30</v>
      </c>
      <c r="E93" s="84">
        <f t="shared" si="73"/>
        <v>21</v>
      </c>
      <c r="F93" s="84">
        <f t="shared" si="74"/>
        <v>18</v>
      </c>
      <c r="G93" s="84">
        <f t="shared" si="75"/>
        <v>4</v>
      </c>
      <c r="L93" s="84" t="str">
        <f t="shared" si="76"/>
        <v>ok</v>
      </c>
    </row>
    <row r="94">
      <c r="A94" s="1"/>
      <c r="B94" s="43" t="str">
        <f>IFERROR(__xludf.DUMMYFUNCTION("""COMPUTED_VALUE"""),"Elayaraja Thangaraj ")</f>
        <v>Elayaraja Thangaraj </v>
      </c>
      <c r="C94" s="84">
        <f>IFERROR(__xludf.DUMMYFUNCTION("""COMPUTED_VALUE"""),9.0)</f>
        <v>9</v>
      </c>
      <c r="D94" s="84">
        <f t="shared" si="72"/>
        <v>42</v>
      </c>
      <c r="E94" s="84">
        <f t="shared" si="73"/>
        <v>33</v>
      </c>
      <c r="F94" s="84">
        <f t="shared" si="74"/>
        <v>16</v>
      </c>
      <c r="G94" s="84">
        <f t="shared" si="75"/>
        <v>6</v>
      </c>
      <c r="L94" s="84" t="str">
        <f t="shared" si="76"/>
        <v>ok</v>
      </c>
    </row>
    <row r="95">
      <c r="A95" s="1"/>
      <c r="B95" s="43" t="str">
        <f>IFERROR(__xludf.DUMMYFUNCTION("""COMPUTED_VALUE"""),"Naveen Raj")</f>
        <v>Naveen Raj</v>
      </c>
      <c r="C95" s="84">
        <f>IFERROR(__xludf.DUMMYFUNCTION("""COMPUTED_VALUE"""),7.0)</f>
        <v>7</v>
      </c>
      <c r="D95" s="84">
        <f t="shared" si="72"/>
        <v>43</v>
      </c>
      <c r="E95" s="84">
        <f t="shared" si="73"/>
        <v>36</v>
      </c>
      <c r="F95" s="84">
        <f t="shared" si="74"/>
        <v>15</v>
      </c>
      <c r="G95" s="84">
        <f t="shared" si="75"/>
        <v>6</v>
      </c>
      <c r="L95" s="84" t="str">
        <f t="shared" si="76"/>
        <v>ok</v>
      </c>
    </row>
    <row r="96">
      <c r="A96" s="1"/>
      <c r="B96" s="43" t="str">
        <f>IFERROR(__xludf.DUMMYFUNCTION("""COMPUTED_VALUE"""),"Troy Wong")</f>
        <v>Troy Wong</v>
      </c>
      <c r="C96" s="84">
        <f>IFERROR(__xludf.DUMMYFUNCTION("""COMPUTED_VALUE"""),5.0)</f>
        <v>5</v>
      </c>
      <c r="D96" s="84">
        <f t="shared" si="72"/>
        <v>14</v>
      </c>
      <c r="E96" s="84">
        <f t="shared" si="73"/>
        <v>9</v>
      </c>
      <c r="F96" s="84">
        <f t="shared" si="74"/>
        <v>18</v>
      </c>
      <c r="G96" s="84">
        <f t="shared" si="75"/>
        <v>2</v>
      </c>
      <c r="L96" s="84" t="str">
        <f t="shared" si="76"/>
        <v>ok</v>
      </c>
    </row>
    <row r="97">
      <c r="A97" s="1"/>
      <c r="B97" s="43" t="str">
        <f>IFERROR(__xludf.DUMMYFUNCTION("""COMPUTED_VALUE"""),"Cid Macaraeg")</f>
        <v>Cid Macaraeg</v>
      </c>
      <c r="C97" s="84">
        <f>IFERROR(__xludf.DUMMYFUNCTION("""COMPUTED_VALUE"""),5.0)</f>
        <v>5</v>
      </c>
      <c r="D97" s="84">
        <f t="shared" si="72"/>
        <v>15</v>
      </c>
      <c r="E97" s="84">
        <f t="shared" si="73"/>
        <v>10</v>
      </c>
      <c r="F97" s="84">
        <f t="shared" si="74"/>
        <v>17</v>
      </c>
      <c r="G97" s="84">
        <f t="shared" si="75"/>
        <v>2</v>
      </c>
      <c r="L97" s="84" t="str">
        <f t="shared" si="76"/>
        <v>ok</v>
      </c>
    </row>
    <row r="98">
      <c r="A98" s="1"/>
      <c r="B98" s="43" t="str">
        <f>IFERROR(__xludf.DUMMYFUNCTION("""COMPUTED_VALUE"""),"Herman Au")</f>
        <v>Herman Au</v>
      </c>
      <c r="C98" s="84">
        <f>IFERROR(__xludf.DUMMYFUNCTION("""COMPUTED_VALUE"""),5.0)</f>
        <v>5</v>
      </c>
      <c r="D98" s="84">
        <f t="shared" si="72"/>
        <v>22</v>
      </c>
      <c r="E98" s="84">
        <f t="shared" si="73"/>
        <v>17</v>
      </c>
      <c r="F98" s="84">
        <f t="shared" si="74"/>
        <v>14</v>
      </c>
      <c r="G98" s="84">
        <f t="shared" si="75"/>
        <v>3</v>
      </c>
      <c r="L98" s="84" t="str">
        <f t="shared" si="76"/>
        <v>ok</v>
      </c>
    </row>
    <row r="99">
      <c r="A99" s="1"/>
      <c r="B99" s="43" t="str">
        <f>IFERROR(__xludf.DUMMYFUNCTION("""COMPUTED_VALUE"""),"Vishnu Amarnath")</f>
        <v>Vishnu Amarnath</v>
      </c>
      <c r="C99" s="84">
        <f>IFERROR(__xludf.DUMMYFUNCTION("""COMPUTED_VALUE"""),5.0)</f>
        <v>5</v>
      </c>
      <c r="D99" s="84">
        <f t="shared" si="72"/>
        <v>55</v>
      </c>
      <c r="E99" s="84">
        <f t="shared" si="73"/>
        <v>50</v>
      </c>
      <c r="F99" s="84">
        <f t="shared" si="74"/>
        <v>18</v>
      </c>
      <c r="G99" s="84">
        <f t="shared" si="75"/>
        <v>8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10"")"),"Tina Hanson")</f>
        <v>Tina Hanson</v>
      </c>
      <c r="C103" s="84">
        <f>IFERROR(__xludf.DUMMYFUNCTION("""COMPUTED_VALUE"""),-18.0)</f>
        <v>-18</v>
      </c>
      <c r="D103" s="84">
        <f t="shared" ref="D103:D112" si="77">VLOOKUP(B103,indirect($AB$2&amp;"!B$5:w$70"),22, false)</f>
        <v>24</v>
      </c>
      <c r="E103" s="84">
        <f t="shared" ref="E103:E112" si="78">VLOOKUP(B103,B$5:W$69,22, false)</f>
        <v>42</v>
      </c>
      <c r="F103" s="84">
        <f t="shared" ref="F103:F112" si="79">VLOOKUP(B103,indirect($AB$2&amp;"!B$5:U$70"),11, false)</f>
        <v>3</v>
      </c>
      <c r="G103" s="84">
        <f t="shared" ref="G103:G112" si="80">VLOOKUP(B103,indirect($AB$2&amp;"!B$5:U$70"),6, false)</f>
        <v>3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IFERROR(__xludf.DUMMYFUNCTION("""COMPUTED_VALUE"""),"Rajasekar Ramasamy")</f>
        <v>Rajasekar Ramasamy</v>
      </c>
      <c r="C104" s="84">
        <f>IFERROR(__xludf.DUMMYFUNCTION("""COMPUTED_VALUE"""),-6.0)</f>
        <v>-6</v>
      </c>
      <c r="D104" s="84">
        <f t="shared" si="77"/>
        <v>21</v>
      </c>
      <c r="E104" s="84">
        <f t="shared" si="78"/>
        <v>27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IFERROR(__xludf.DUMMYFUNCTION("""COMPUTED_VALUE"""),"Jim Miao")</f>
        <v>Jim Miao</v>
      </c>
      <c r="C105" s="84">
        <f>IFERROR(__xludf.DUMMYFUNCTION("""COMPUTED_VALUE"""),-6.0)</f>
        <v>-6</v>
      </c>
      <c r="D105" s="84">
        <f t="shared" si="77"/>
        <v>31</v>
      </c>
      <c r="E105" s="84">
        <f t="shared" si="78"/>
        <v>37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IFERROR(__xludf.DUMMYFUNCTION("""COMPUTED_VALUE"""),"Sandy Weyant")</f>
        <v>Sandy Weyant</v>
      </c>
      <c r="C106" s="84">
        <f>IFERROR(__xludf.DUMMYFUNCTION("""COMPUTED_VALUE"""),-6.0)</f>
        <v>-6</v>
      </c>
      <c r="D106" s="84">
        <f t="shared" si="77"/>
        <v>38</v>
      </c>
      <c r="E106" s="84">
        <f t="shared" si="78"/>
        <v>44</v>
      </c>
      <c r="F106" s="84">
        <f t="shared" si="79"/>
        <v>8</v>
      </c>
      <c r="G106" s="84">
        <f t="shared" si="80"/>
        <v>5</v>
      </c>
      <c r="L106" s="84" t="str">
        <f t="shared" si="81"/>
        <v>ok</v>
      </c>
    </row>
    <row r="107">
      <c r="A107" s="1"/>
      <c r="B107" s="43" t="str">
        <f>IFERROR(__xludf.DUMMYFUNCTION("""COMPUTED_VALUE"""),"Lam Bui")</f>
        <v>Lam Bui</v>
      </c>
      <c r="C107" s="84">
        <f>IFERROR(__xludf.DUMMYFUNCTION("""COMPUTED_VALUE"""),-5.0)</f>
        <v>-5</v>
      </c>
      <c r="D107" s="84">
        <f t="shared" si="77"/>
        <v>10</v>
      </c>
      <c r="E107" s="84">
        <f t="shared" si="78"/>
        <v>15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IFERROR(__xludf.DUMMYFUNCTION("""COMPUTED_VALUE"""),"Pavan Akkimsetty")</f>
        <v>Pavan Akkimsetty</v>
      </c>
      <c r="C108" s="84">
        <f>IFERROR(__xludf.DUMMYFUNCTION("""COMPUTED_VALUE"""),-5.0)</f>
        <v>-5</v>
      </c>
      <c r="D108" s="84">
        <f t="shared" si="77"/>
        <v>13</v>
      </c>
      <c r="E108" s="84">
        <f t="shared" si="78"/>
        <v>18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IFERROR(__xludf.DUMMYFUNCTION("""COMPUTED_VALUE"""),"Ted Shen")</f>
        <v>Ted Shen</v>
      </c>
      <c r="C109" s="84">
        <f>IFERROR(__xludf.DUMMYFUNCTION("""COMPUTED_VALUE"""),-5.0)</f>
        <v>-5</v>
      </c>
      <c r="D109" s="84">
        <f t="shared" si="77"/>
        <v>23</v>
      </c>
      <c r="E109" s="84">
        <f t="shared" si="78"/>
        <v>28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IFERROR(__xludf.DUMMYFUNCTION("""COMPUTED_VALUE"""),"Oscar Bonilla")</f>
        <v>Oscar Bonilla</v>
      </c>
      <c r="C110" s="84">
        <f>IFERROR(__xludf.DUMMYFUNCTION("""COMPUTED_VALUE"""),-5.0)</f>
        <v>-5</v>
      </c>
      <c r="D110" s="84">
        <f t="shared" si="77"/>
        <v>26</v>
      </c>
      <c r="E110" s="84">
        <f t="shared" si="78"/>
        <v>31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IFERROR(__xludf.DUMMYFUNCTION("""COMPUTED_VALUE"""),"Allen Zhang")</f>
        <v>Allen Zhang</v>
      </c>
      <c r="C111" s="84">
        <f>IFERROR(__xludf.DUMMYFUNCTION("""COMPUTED_VALUE"""),-5.0)</f>
        <v>-5</v>
      </c>
      <c r="D111" s="84">
        <f t="shared" si="77"/>
        <v>35</v>
      </c>
      <c r="E111" s="84">
        <f t="shared" si="78"/>
        <v>40</v>
      </c>
      <c r="F111" s="84">
        <f t="shared" si="79"/>
        <v>8</v>
      </c>
      <c r="G111" s="84">
        <f t="shared" si="80"/>
        <v>5</v>
      </c>
      <c r="L111" s="84" t="str">
        <f t="shared" si="81"/>
        <v>ok</v>
      </c>
    </row>
    <row r="112">
      <c r="A112" s="1"/>
      <c r="B112" s="43" t="str">
        <f>IFERROR(__xludf.DUMMYFUNCTION("""COMPUTED_VALUE"""),"Wayne Liu")</f>
        <v>Wayne Liu</v>
      </c>
      <c r="C112" s="84">
        <f>IFERROR(__xludf.DUMMYFUNCTION("""COMPUTED_VALUE"""),-5.0)</f>
        <v>-5</v>
      </c>
      <c r="D112" s="84">
        <f t="shared" si="77"/>
        <v>36</v>
      </c>
      <c r="E112" s="84">
        <f t="shared" si="78"/>
        <v>41</v>
      </c>
      <c r="F112" s="84">
        <f t="shared" si="79"/>
        <v>8</v>
      </c>
      <c r="G112" s="84">
        <f t="shared" si="80"/>
        <v>5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 t="str">
        <f>IFERROR(__xludf.DUMMYFUNCTION("query(B5:V69,""select B where R = 'N' order by B asc"")"),"Trinath Goteti")</f>
        <v>Trinath Goteti</v>
      </c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IFERROR(__xludf.DUMMYFUNCTION("""COMPUTED_VALUE"""),"Trish Newlin")</f>
        <v>Trish Newlin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IFERROR(__xludf.DUMMYFUNCTION("""COMPUTED_VALUE"""),"Troy Wong")</f>
        <v>Troy Wong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IFERROR(__xludf.DUMMYFUNCTION("""COMPUTED_VALUE"""),"Tyler Leong")</f>
        <v>Tyler Leong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IFERROR(__xludf.DUMMYFUNCTION("""COMPUTED_VALUE"""),"Vicki Martinet")</f>
        <v>Vicki Martinet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IFERROR(__xludf.DUMMYFUNCTION("""COMPUTED_VALUE"""),"Vinaya Kajla")</f>
        <v>Vinaya Kajla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IFERROR(__xludf.DUMMYFUNCTION("""COMPUTED_VALUE"""),"Vishnu Amarnath")</f>
        <v>Vishnu Amarnath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IFERROR(__xludf.DUMMYFUNCTION("""COMPUTED_VALUE"""),"Wayne Liu")</f>
        <v>Wayne Liu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/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45731.0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11.0</v>
      </c>
      <c r="E2" s="1"/>
      <c r="F2" s="1"/>
      <c r="R2" s="19"/>
      <c r="AB2" s="20" t="str">
        <f>text(C1-7,"mm/dd/yy")</f>
        <v>03/08/25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45</v>
      </c>
      <c r="C5" s="31">
        <v>151.0</v>
      </c>
      <c r="D5" s="31">
        <v>18.0</v>
      </c>
      <c r="E5" s="36">
        <f t="shared" ref="E5:E69" si="2">if(($D$2-U5-S5)&lt;&gt;0,(C5-(U5*9)-(S5*13))/($D$2-U5-S5),0)</f>
        <v>13.8</v>
      </c>
      <c r="F5" s="73">
        <v>1.0</v>
      </c>
      <c r="G5" s="74">
        <v>1.0</v>
      </c>
      <c r="H5" s="75">
        <v>0.0</v>
      </c>
      <c r="I5" s="74">
        <v>4.0</v>
      </c>
      <c r="J5" s="74">
        <v>3.0</v>
      </c>
      <c r="K5" s="74">
        <v>6.0</v>
      </c>
      <c r="L5" s="76">
        <v>13.0</v>
      </c>
      <c r="M5" s="74">
        <v>1.0</v>
      </c>
      <c r="N5" s="31">
        <f t="shared" ref="N5:O5" si="1">C5+L5</f>
        <v>164</v>
      </c>
      <c r="O5" s="31">
        <f t="shared" si="1"/>
        <v>19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1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144.0</v>
      </c>
      <c r="D6" s="31">
        <v>16.0</v>
      </c>
      <c r="E6" s="36">
        <f t="shared" si="2"/>
        <v>14.125</v>
      </c>
      <c r="F6" s="73">
        <v>2.0</v>
      </c>
      <c r="G6" s="74">
        <v>1.0</v>
      </c>
      <c r="H6" s="75">
        <v>0.0</v>
      </c>
      <c r="I6" s="74">
        <v>6.0</v>
      </c>
      <c r="J6" s="74">
        <v>6.0</v>
      </c>
      <c r="K6" s="74">
        <v>6.0</v>
      </c>
      <c r="L6" s="76">
        <v>18.0</v>
      </c>
      <c r="M6" s="74">
        <v>3.0</v>
      </c>
      <c r="N6" s="31">
        <f t="shared" ref="N6:O6" si="3">C6+L6</f>
        <v>162</v>
      </c>
      <c r="O6" s="31">
        <f t="shared" si="3"/>
        <v>19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2</v>
      </c>
      <c r="V6" s="46">
        <f t="shared" si="6"/>
        <v>-1</v>
      </c>
      <c r="W6" s="30">
        <f t="shared" ref="W6:W35" si="9">W5+1</f>
        <v>2</v>
      </c>
    </row>
    <row r="7">
      <c r="A7" s="30">
        <f t="shared" si="7"/>
        <v>3</v>
      </c>
      <c r="B7" s="28" t="s">
        <v>97</v>
      </c>
      <c r="C7" s="31">
        <v>142.0</v>
      </c>
      <c r="D7" s="31">
        <v>12.0</v>
      </c>
      <c r="E7" s="36">
        <f t="shared" si="2"/>
        <v>13.375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151</v>
      </c>
      <c r="O7" s="31">
        <f t="shared" si="8"/>
        <v>12</v>
      </c>
      <c r="P7" s="45" t="s">
        <v>58</v>
      </c>
      <c r="Q7" s="45" t="s">
        <v>58</v>
      </c>
      <c r="R7" s="45"/>
      <c r="S7" s="46">
        <f t="shared" si="4"/>
        <v>2</v>
      </c>
      <c r="T7" s="46"/>
      <c r="U7" s="46">
        <f t="shared" si="5"/>
        <v>1</v>
      </c>
      <c r="V7" s="46">
        <f t="shared" si="6"/>
        <v>1</v>
      </c>
      <c r="W7" s="30">
        <f t="shared" si="9"/>
        <v>3</v>
      </c>
    </row>
    <row r="8">
      <c r="A8" s="30">
        <f t="shared" si="7"/>
        <v>4</v>
      </c>
      <c r="B8" s="28" t="s">
        <v>44</v>
      </c>
      <c r="C8" s="31">
        <v>141.0</v>
      </c>
      <c r="D8" s="31">
        <v>15.0</v>
      </c>
      <c r="E8" s="36">
        <f t="shared" si="2"/>
        <v>14.25</v>
      </c>
      <c r="F8" s="73">
        <v>1.0</v>
      </c>
      <c r="G8" s="74">
        <v>1.0</v>
      </c>
      <c r="H8" s="75">
        <v>0.0</v>
      </c>
      <c r="I8" s="74">
        <v>6.0</v>
      </c>
      <c r="J8" s="74">
        <v>3.0</v>
      </c>
      <c r="K8" s="74">
        <v>2.0</v>
      </c>
      <c r="L8" s="76">
        <v>11.0</v>
      </c>
      <c r="M8" s="74">
        <v>1.0</v>
      </c>
      <c r="N8" s="31">
        <f t="shared" ref="N8:O8" si="10">C8+L8</f>
        <v>152</v>
      </c>
      <c r="O8" s="31">
        <f t="shared" si="10"/>
        <v>16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3</v>
      </c>
      <c r="V8" s="46">
        <f t="shared" si="6"/>
        <v>1</v>
      </c>
      <c r="W8" s="30">
        <f t="shared" si="9"/>
        <v>4</v>
      </c>
    </row>
    <row r="9">
      <c r="A9" s="30">
        <f t="shared" si="7"/>
        <v>5</v>
      </c>
      <c r="B9" s="43" t="s">
        <v>87</v>
      </c>
      <c r="C9" s="47">
        <v>141.0</v>
      </c>
      <c r="D9" s="31">
        <v>12.0</v>
      </c>
      <c r="E9" s="36">
        <f t="shared" si="2"/>
        <v>13.66666667</v>
      </c>
      <c r="F9" s="73">
        <v>1.0</v>
      </c>
      <c r="G9" s="74">
        <v>1.0</v>
      </c>
      <c r="H9" s="75">
        <v>0.0</v>
      </c>
      <c r="I9" s="74">
        <v>4.0</v>
      </c>
      <c r="J9" s="74">
        <v>6.0</v>
      </c>
      <c r="K9" s="74">
        <v>2.0</v>
      </c>
      <c r="L9" s="76">
        <v>12.0</v>
      </c>
      <c r="M9" s="74">
        <v>1.0</v>
      </c>
      <c r="N9" s="47">
        <f t="shared" ref="N9:O9" si="11">C9+L9</f>
        <v>153</v>
      </c>
      <c r="O9" s="31">
        <f t="shared" si="11"/>
        <v>13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2</v>
      </c>
      <c r="V9" s="46">
        <f t="shared" si="6"/>
        <v>1</v>
      </c>
      <c r="W9" s="30">
        <f t="shared" si="9"/>
        <v>5</v>
      </c>
    </row>
    <row r="10">
      <c r="A10" s="30">
        <f t="shared" si="7"/>
        <v>6</v>
      </c>
      <c r="B10" s="43" t="s">
        <v>121</v>
      </c>
      <c r="C10" s="31">
        <v>139.0</v>
      </c>
      <c r="D10" s="31">
        <v>14.0</v>
      </c>
      <c r="E10" s="36">
        <f t="shared" si="2"/>
        <v>15</v>
      </c>
      <c r="F10" s="73">
        <v>3.0</v>
      </c>
      <c r="G10" s="74">
        <v>0.0</v>
      </c>
      <c r="H10" s="75">
        <v>9.0</v>
      </c>
      <c r="I10" s="74">
        <v>0.0</v>
      </c>
      <c r="J10" s="74">
        <v>0.0</v>
      </c>
      <c r="K10" s="74">
        <v>0.0</v>
      </c>
      <c r="L10" s="76">
        <v>9.0</v>
      </c>
      <c r="M10" s="74">
        <v>0.0</v>
      </c>
      <c r="N10" s="31">
        <f t="shared" ref="N10:O10" si="12">C10+L10</f>
        <v>148</v>
      </c>
      <c r="O10" s="31">
        <f t="shared" si="12"/>
        <v>14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4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28" t="s">
        <v>120</v>
      </c>
      <c r="C11" s="31">
        <v>138.0</v>
      </c>
      <c r="D11" s="31">
        <v>15.0</v>
      </c>
      <c r="E11" s="36">
        <f t="shared" si="2"/>
        <v>13.375</v>
      </c>
      <c r="F11" s="73">
        <v>2.0</v>
      </c>
      <c r="G11" s="74">
        <v>9.0</v>
      </c>
      <c r="H11" s="75">
        <v>0.0</v>
      </c>
      <c r="I11" s="74">
        <v>6.0</v>
      </c>
      <c r="J11" s="74">
        <v>6.0</v>
      </c>
      <c r="K11" s="74">
        <v>6.0</v>
      </c>
      <c r="L11" s="76">
        <v>18.0</v>
      </c>
      <c r="M11" s="74">
        <v>3.0</v>
      </c>
      <c r="N11" s="31">
        <f t="shared" ref="N11:O11" si="13">C11+L11</f>
        <v>156</v>
      </c>
      <c r="O11" s="31">
        <f t="shared" si="13"/>
        <v>18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2</v>
      </c>
      <c r="V11" s="46">
        <f t="shared" si="6"/>
        <v>3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47">
        <v>138.0</v>
      </c>
      <c r="D12" s="31">
        <v>14.0</v>
      </c>
      <c r="E12" s="36">
        <f t="shared" si="2"/>
        <v>12.5</v>
      </c>
      <c r="F12" s="73">
        <v>1.0</v>
      </c>
      <c r="G12" s="74">
        <v>9.0</v>
      </c>
      <c r="H12" s="75">
        <v>0.0</v>
      </c>
      <c r="I12" s="74">
        <v>3.0</v>
      </c>
      <c r="J12" s="74">
        <v>3.0</v>
      </c>
      <c r="K12" s="74">
        <v>6.0</v>
      </c>
      <c r="L12" s="76">
        <v>12.0</v>
      </c>
      <c r="M12" s="74">
        <v>1.0</v>
      </c>
      <c r="N12" s="47">
        <f t="shared" ref="N12:O12" si="14">C12+L12</f>
        <v>150</v>
      </c>
      <c r="O12" s="31">
        <f t="shared" si="14"/>
        <v>15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0</v>
      </c>
      <c r="V12" s="46">
        <f t="shared" si="6"/>
        <v>1</v>
      </c>
      <c r="W12" s="30">
        <f t="shared" si="9"/>
        <v>8</v>
      </c>
    </row>
    <row r="13">
      <c r="A13" s="30">
        <f t="shared" si="7"/>
        <v>9</v>
      </c>
      <c r="B13" s="43" t="s">
        <v>64</v>
      </c>
      <c r="C13" s="47">
        <v>133.0</v>
      </c>
      <c r="D13" s="31">
        <v>14.0</v>
      </c>
      <c r="E13" s="36">
        <f t="shared" si="2"/>
        <v>12.77777778</v>
      </c>
      <c r="F13" s="73">
        <v>1.0</v>
      </c>
      <c r="G13" s="74">
        <v>9.0</v>
      </c>
      <c r="H13" s="75">
        <v>0.0</v>
      </c>
      <c r="I13" s="74">
        <v>6.0</v>
      </c>
      <c r="J13" s="74">
        <v>3.0</v>
      </c>
      <c r="K13" s="74">
        <v>1.0</v>
      </c>
      <c r="L13" s="76">
        <v>10.0</v>
      </c>
      <c r="M13" s="74">
        <v>1.0</v>
      </c>
      <c r="N13" s="47">
        <f t="shared" ref="N13:O13" si="15">C13+L13</f>
        <v>143</v>
      </c>
      <c r="O13" s="31">
        <f t="shared" si="15"/>
        <v>15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2</v>
      </c>
      <c r="V13" s="46">
        <f t="shared" si="6"/>
        <v>8</v>
      </c>
      <c r="W13" s="30">
        <f t="shared" si="9"/>
        <v>9</v>
      </c>
    </row>
    <row r="14">
      <c r="A14" s="30">
        <f t="shared" si="7"/>
        <v>10</v>
      </c>
      <c r="B14" s="28" t="s">
        <v>116</v>
      </c>
      <c r="C14" s="31">
        <v>133.0</v>
      </c>
      <c r="D14" s="31">
        <v>12.0</v>
      </c>
      <c r="E14" s="36">
        <f t="shared" si="2"/>
        <v>14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142</v>
      </c>
      <c r="O14" s="31">
        <f t="shared" si="16"/>
        <v>12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4</v>
      </c>
      <c r="V14" s="46">
        <f t="shared" si="6"/>
        <v>-3</v>
      </c>
      <c r="W14" s="30">
        <f t="shared" si="9"/>
        <v>10</v>
      </c>
    </row>
    <row r="15">
      <c r="A15" s="30">
        <f t="shared" si="7"/>
        <v>11</v>
      </c>
      <c r="B15" s="48" t="s">
        <v>82</v>
      </c>
      <c r="C15" s="31">
        <v>132.0</v>
      </c>
      <c r="D15" s="31">
        <v>12.0</v>
      </c>
      <c r="E15" s="36">
        <f t="shared" si="2"/>
        <v>13.125</v>
      </c>
      <c r="F15" s="73">
        <v>1.0</v>
      </c>
      <c r="G15" s="74">
        <v>9.0</v>
      </c>
      <c r="H15" s="75">
        <v>0.0</v>
      </c>
      <c r="I15" s="74">
        <v>3.0</v>
      </c>
      <c r="J15" s="74">
        <v>6.0</v>
      </c>
      <c r="K15" s="74">
        <v>1.0</v>
      </c>
      <c r="L15" s="76">
        <v>10.0</v>
      </c>
      <c r="M15" s="74">
        <v>1.0</v>
      </c>
      <c r="N15" s="31">
        <f t="shared" ref="N15:O15" si="17">C15+L15</f>
        <v>142</v>
      </c>
      <c r="O15" s="31">
        <f t="shared" si="17"/>
        <v>13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3</v>
      </c>
      <c r="V15" s="46">
        <f t="shared" si="6"/>
        <v>3</v>
      </c>
      <c r="W15" s="30">
        <f t="shared" si="9"/>
        <v>11</v>
      </c>
    </row>
    <row r="16">
      <c r="A16" s="30">
        <f t="shared" si="7"/>
        <v>12</v>
      </c>
      <c r="B16" s="43" t="s">
        <v>56</v>
      </c>
      <c r="C16" s="31">
        <v>131.0</v>
      </c>
      <c r="D16" s="31">
        <v>13.0</v>
      </c>
      <c r="E16" s="36">
        <f t="shared" si="2"/>
        <v>11.90909091</v>
      </c>
      <c r="F16" s="73">
        <v>1.0</v>
      </c>
      <c r="G16" s="74">
        <v>2.0</v>
      </c>
      <c r="H16" s="75">
        <v>0.0</v>
      </c>
      <c r="I16" s="74">
        <v>6.0</v>
      </c>
      <c r="J16" s="74">
        <v>4.0</v>
      </c>
      <c r="K16" s="74">
        <v>1.0</v>
      </c>
      <c r="L16" s="76">
        <v>11.0</v>
      </c>
      <c r="M16" s="74">
        <v>0.0</v>
      </c>
      <c r="N16" s="31">
        <f t="shared" ref="N16:O16" si="18">C16+L16</f>
        <v>142</v>
      </c>
      <c r="O16" s="31">
        <f t="shared" si="18"/>
        <v>13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0</v>
      </c>
      <c r="V16" s="46">
        <f t="shared" si="6"/>
        <v>-4</v>
      </c>
      <c r="W16" s="30">
        <f t="shared" si="9"/>
        <v>12</v>
      </c>
    </row>
    <row r="17">
      <c r="A17" s="30">
        <f t="shared" si="7"/>
        <v>13</v>
      </c>
      <c r="B17" s="28" t="s">
        <v>74</v>
      </c>
      <c r="C17" s="31">
        <v>129.0</v>
      </c>
      <c r="D17" s="31">
        <v>13.0</v>
      </c>
      <c r="E17" s="36">
        <f t="shared" si="2"/>
        <v>14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138</v>
      </c>
      <c r="O17" s="31">
        <f t="shared" si="19"/>
        <v>13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5</v>
      </c>
      <c r="V17" s="46">
        <f t="shared" si="6"/>
        <v>11</v>
      </c>
      <c r="W17" s="30">
        <f t="shared" si="9"/>
        <v>13</v>
      </c>
    </row>
    <row r="18">
      <c r="A18" s="30">
        <f t="shared" si="7"/>
        <v>14</v>
      </c>
      <c r="B18" s="43" t="s">
        <v>130</v>
      </c>
      <c r="C18" s="31">
        <v>129.0</v>
      </c>
      <c r="D18" s="31">
        <v>12.0</v>
      </c>
      <c r="E18" s="36">
        <f t="shared" si="2"/>
        <v>13.28571429</v>
      </c>
      <c r="F18" s="73">
        <v>1.0</v>
      </c>
      <c r="G18" s="74">
        <v>2.0</v>
      </c>
      <c r="H18" s="75">
        <v>0.0</v>
      </c>
      <c r="I18" s="74">
        <v>6.0</v>
      </c>
      <c r="J18" s="74">
        <v>6.0</v>
      </c>
      <c r="K18" s="74">
        <v>6.0</v>
      </c>
      <c r="L18" s="76">
        <v>18.0</v>
      </c>
      <c r="M18" s="74">
        <v>2.0</v>
      </c>
      <c r="N18" s="31">
        <f t="shared" ref="N18:O18" si="20">C18+L18</f>
        <v>147</v>
      </c>
      <c r="O18" s="31">
        <f t="shared" si="20"/>
        <v>14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4</v>
      </c>
      <c r="V18" s="46">
        <f t="shared" si="6"/>
        <v>-3</v>
      </c>
      <c r="W18" s="30">
        <f t="shared" si="9"/>
        <v>14</v>
      </c>
    </row>
    <row r="19">
      <c r="A19" s="30">
        <f t="shared" si="7"/>
        <v>15</v>
      </c>
      <c r="B19" s="43" t="s">
        <v>94</v>
      </c>
      <c r="C19" s="31">
        <v>129.0</v>
      </c>
      <c r="D19" s="31">
        <v>10.0</v>
      </c>
      <c r="E19" s="36">
        <f t="shared" si="2"/>
        <v>13.33333333</v>
      </c>
      <c r="F19" s="73">
        <v>1.0</v>
      </c>
      <c r="G19" s="74">
        <v>2.0</v>
      </c>
      <c r="H19" s="75">
        <v>0.0</v>
      </c>
      <c r="I19" s="74">
        <v>7.0</v>
      </c>
      <c r="J19" s="74">
        <v>4.0</v>
      </c>
      <c r="K19" s="74">
        <v>6.0</v>
      </c>
      <c r="L19" s="76">
        <v>17.0</v>
      </c>
      <c r="M19" s="74">
        <v>2.0</v>
      </c>
      <c r="N19" s="31">
        <f t="shared" ref="N19:O19" si="21">C19+L19</f>
        <v>146</v>
      </c>
      <c r="O19" s="31">
        <f t="shared" si="21"/>
        <v>12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4</v>
      </c>
      <c r="V19" s="46">
        <f t="shared" si="6"/>
        <v>-3</v>
      </c>
      <c r="W19" s="30">
        <f t="shared" si="9"/>
        <v>15</v>
      </c>
    </row>
    <row r="20">
      <c r="A20" s="30">
        <f t="shared" si="7"/>
        <v>16</v>
      </c>
      <c r="B20" s="28" t="s">
        <v>137</v>
      </c>
      <c r="C20" s="31">
        <v>129.0</v>
      </c>
      <c r="D20" s="31">
        <v>10.0</v>
      </c>
      <c r="E20" s="36">
        <f t="shared" si="2"/>
        <v>12.66666667</v>
      </c>
      <c r="F20" s="73">
        <v>5.0</v>
      </c>
      <c r="G20" s="74">
        <v>0.0</v>
      </c>
      <c r="H20" s="75">
        <v>13.0</v>
      </c>
      <c r="I20" s="74">
        <v>0.0</v>
      </c>
      <c r="J20" s="74">
        <v>0.0</v>
      </c>
      <c r="K20" s="74">
        <v>0.0</v>
      </c>
      <c r="L20" s="76">
        <v>13.0</v>
      </c>
      <c r="M20" s="74">
        <v>0.0</v>
      </c>
      <c r="N20" s="31">
        <f t="shared" ref="N20:O20" si="22">C20+L20</f>
        <v>142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2</v>
      </c>
      <c r="T20" s="46"/>
      <c r="U20" s="46">
        <f t="shared" si="5"/>
        <v>3</v>
      </c>
      <c r="V20" s="46">
        <f t="shared" si="6"/>
        <v>0</v>
      </c>
      <c r="W20" s="30">
        <f t="shared" si="9"/>
        <v>16</v>
      </c>
    </row>
    <row r="21">
      <c r="A21" s="30">
        <f t="shared" si="7"/>
        <v>17</v>
      </c>
      <c r="B21" s="28" t="s">
        <v>101</v>
      </c>
      <c r="C21" s="31">
        <v>129.0</v>
      </c>
      <c r="D21" s="31">
        <v>8.0</v>
      </c>
      <c r="E21" s="36">
        <f t="shared" si="2"/>
        <v>12.71428571</v>
      </c>
      <c r="F21" s="73">
        <v>3.0</v>
      </c>
      <c r="G21" s="74">
        <v>0.0</v>
      </c>
      <c r="H21" s="75">
        <v>9.0</v>
      </c>
      <c r="I21" s="74">
        <v>0.0</v>
      </c>
      <c r="J21" s="74">
        <v>0.0</v>
      </c>
      <c r="K21" s="74">
        <v>0.0</v>
      </c>
      <c r="L21" s="76">
        <v>9.0</v>
      </c>
      <c r="M21" s="74">
        <v>0.0</v>
      </c>
      <c r="N21" s="31">
        <f t="shared" ref="N21:O21" si="23">C21+L21</f>
        <v>138</v>
      </c>
      <c r="O21" s="31">
        <f t="shared" si="23"/>
        <v>8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3</v>
      </c>
      <c r="V21" s="46">
        <f t="shared" si="6"/>
        <v>-4</v>
      </c>
      <c r="W21" s="30">
        <f t="shared" si="9"/>
        <v>17</v>
      </c>
    </row>
    <row r="22">
      <c r="A22" s="30">
        <f t="shared" si="7"/>
        <v>18</v>
      </c>
      <c r="B22" s="28" t="s">
        <v>104</v>
      </c>
      <c r="C22" s="31">
        <v>128.0</v>
      </c>
      <c r="D22" s="31">
        <v>11.0</v>
      </c>
      <c r="E22" s="36">
        <f t="shared" si="2"/>
        <v>12.125</v>
      </c>
      <c r="F22" s="73">
        <v>2.0</v>
      </c>
      <c r="G22" s="74">
        <v>2.0</v>
      </c>
      <c r="H22" s="75">
        <v>0.0</v>
      </c>
      <c r="I22" s="74">
        <v>7.0</v>
      </c>
      <c r="J22" s="74">
        <v>6.0</v>
      </c>
      <c r="K22" s="74">
        <v>1.0</v>
      </c>
      <c r="L22" s="76">
        <v>14.0</v>
      </c>
      <c r="M22" s="74">
        <v>2.0</v>
      </c>
      <c r="N22" s="31">
        <f t="shared" ref="N22:O22" si="24">C22+L22</f>
        <v>142</v>
      </c>
      <c r="O22" s="31">
        <f t="shared" si="24"/>
        <v>13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2</v>
      </c>
      <c r="V22" s="46">
        <f t="shared" si="6"/>
        <v>0</v>
      </c>
      <c r="W22" s="30">
        <f t="shared" si="9"/>
        <v>18</v>
      </c>
    </row>
    <row r="23">
      <c r="A23" s="30">
        <f t="shared" si="7"/>
        <v>19</v>
      </c>
      <c r="B23" s="28" t="s">
        <v>92</v>
      </c>
      <c r="C23" s="31">
        <v>126.0</v>
      </c>
      <c r="D23" s="31">
        <v>10.0</v>
      </c>
      <c r="E23" s="36">
        <f t="shared" si="2"/>
        <v>13.5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135</v>
      </c>
      <c r="O23" s="31">
        <f t="shared" si="25"/>
        <v>10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5</v>
      </c>
      <c r="V23" s="46">
        <f t="shared" si="6"/>
        <v>-4</v>
      </c>
      <c r="W23" s="30">
        <f t="shared" si="9"/>
        <v>19</v>
      </c>
    </row>
    <row r="24">
      <c r="A24" s="30">
        <f t="shared" si="7"/>
        <v>20</v>
      </c>
      <c r="B24" s="28" t="s">
        <v>67</v>
      </c>
      <c r="C24" s="31">
        <v>126.0</v>
      </c>
      <c r="D24" s="31">
        <v>10.0</v>
      </c>
      <c r="E24" s="36">
        <f t="shared" si="2"/>
        <v>13.6</v>
      </c>
      <c r="F24" s="73">
        <v>1.0</v>
      </c>
      <c r="G24" s="74">
        <v>3.0</v>
      </c>
      <c r="H24" s="75">
        <v>0.0</v>
      </c>
      <c r="I24" s="74">
        <v>6.0</v>
      </c>
      <c r="J24" s="74">
        <v>6.0</v>
      </c>
      <c r="K24" s="74">
        <v>0.0</v>
      </c>
      <c r="L24" s="76">
        <v>12.0</v>
      </c>
      <c r="M24" s="74">
        <v>2.0</v>
      </c>
      <c r="N24" s="31">
        <f t="shared" ref="N24:O24" si="26">C24+L24</f>
        <v>138</v>
      </c>
      <c r="O24" s="31">
        <f t="shared" si="26"/>
        <v>12</v>
      </c>
      <c r="P24" s="45" t="s">
        <v>58</v>
      </c>
      <c r="Q24" s="45" t="s">
        <v>58</v>
      </c>
      <c r="R24" s="45"/>
      <c r="S24" s="46">
        <f t="shared" si="4"/>
        <v>1</v>
      </c>
      <c r="T24" s="46"/>
      <c r="U24" s="46">
        <f t="shared" si="5"/>
        <v>5</v>
      </c>
      <c r="V24" s="46">
        <f t="shared" si="6"/>
        <v>11</v>
      </c>
      <c r="W24" s="30">
        <f t="shared" si="9"/>
        <v>20</v>
      </c>
    </row>
    <row r="25">
      <c r="A25" s="30">
        <f t="shared" si="7"/>
        <v>21</v>
      </c>
      <c r="B25" s="28" t="s">
        <v>89</v>
      </c>
      <c r="C25" s="31">
        <v>125.0</v>
      </c>
      <c r="D25" s="31">
        <v>9.0</v>
      </c>
      <c r="E25" s="36">
        <f t="shared" si="2"/>
        <v>12.6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134</v>
      </c>
      <c r="O25" s="31">
        <f t="shared" si="27"/>
        <v>9</v>
      </c>
      <c r="P25" s="45" t="s">
        <v>58</v>
      </c>
      <c r="Q25" s="45" t="s">
        <v>58</v>
      </c>
      <c r="R25" s="45"/>
      <c r="S25" s="46">
        <f t="shared" si="4"/>
        <v>2</v>
      </c>
      <c r="T25" s="46"/>
      <c r="U25" s="46">
        <f t="shared" si="5"/>
        <v>4</v>
      </c>
      <c r="V25" s="46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43" t="s">
        <v>107</v>
      </c>
      <c r="C26" s="31">
        <v>125.0</v>
      </c>
      <c r="D26" s="31">
        <v>7.0</v>
      </c>
      <c r="E26" s="36">
        <f t="shared" si="2"/>
        <v>11.75</v>
      </c>
      <c r="F26" s="73">
        <v>2.0</v>
      </c>
      <c r="G26" s="74">
        <v>3.0</v>
      </c>
      <c r="H26" s="75">
        <v>0.0</v>
      </c>
      <c r="I26" s="74">
        <v>6.0</v>
      </c>
      <c r="J26" s="74">
        <v>2.0</v>
      </c>
      <c r="K26" s="74">
        <v>6.0</v>
      </c>
      <c r="L26" s="76">
        <v>14.0</v>
      </c>
      <c r="M26" s="74">
        <v>2.0</v>
      </c>
      <c r="N26" s="31">
        <f t="shared" ref="N26:O26" si="28">C26+L26</f>
        <v>139</v>
      </c>
      <c r="O26" s="31">
        <f t="shared" si="28"/>
        <v>9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2</v>
      </c>
      <c r="V26" s="46">
        <f t="shared" si="6"/>
        <v>14</v>
      </c>
      <c r="W26" s="30">
        <f t="shared" si="9"/>
        <v>22</v>
      </c>
    </row>
    <row r="27">
      <c r="A27" s="30">
        <f t="shared" si="7"/>
        <v>23</v>
      </c>
      <c r="B27" s="28" t="s">
        <v>95</v>
      </c>
      <c r="C27" s="31">
        <v>122.0</v>
      </c>
      <c r="D27" s="31">
        <v>12.0</v>
      </c>
      <c r="E27" s="36">
        <f t="shared" si="2"/>
        <v>11.875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31">
        <f t="shared" ref="N27:O27" si="29">C27+L27</f>
        <v>131</v>
      </c>
      <c r="O27" s="31">
        <f t="shared" si="29"/>
        <v>12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3</v>
      </c>
      <c r="V27" s="46">
        <f t="shared" si="6"/>
        <v>16</v>
      </c>
      <c r="W27" s="30">
        <f t="shared" si="9"/>
        <v>23</v>
      </c>
    </row>
    <row r="28">
      <c r="A28" s="30">
        <f t="shared" si="7"/>
        <v>24</v>
      </c>
      <c r="B28" s="43" t="s">
        <v>129</v>
      </c>
      <c r="C28" s="47">
        <v>121.0</v>
      </c>
      <c r="D28" s="31">
        <v>12.0</v>
      </c>
      <c r="E28" s="36">
        <f t="shared" si="2"/>
        <v>11</v>
      </c>
      <c r="F28" s="73">
        <v>1.0</v>
      </c>
      <c r="G28" s="74">
        <v>3.0</v>
      </c>
      <c r="H28" s="75">
        <v>0.0</v>
      </c>
      <c r="I28" s="74">
        <v>1.0</v>
      </c>
      <c r="J28" s="74">
        <v>2.0</v>
      </c>
      <c r="K28" s="74">
        <v>0.0</v>
      </c>
      <c r="L28" s="76">
        <v>3.0</v>
      </c>
      <c r="M28" s="74">
        <v>0.0</v>
      </c>
      <c r="N28" s="47">
        <f t="shared" ref="N28:O28" si="30">C28+L28</f>
        <v>124</v>
      </c>
      <c r="O28" s="31">
        <f t="shared" si="30"/>
        <v>12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0</v>
      </c>
      <c r="V28" s="46">
        <f t="shared" si="6"/>
        <v>-4</v>
      </c>
      <c r="W28" s="30">
        <f t="shared" si="9"/>
        <v>24</v>
      </c>
    </row>
    <row r="29">
      <c r="A29" s="30">
        <f t="shared" si="7"/>
        <v>25</v>
      </c>
      <c r="B29" s="43" t="s">
        <v>111</v>
      </c>
      <c r="C29" s="47">
        <v>121.0</v>
      </c>
      <c r="D29" s="31">
        <v>12.0</v>
      </c>
      <c r="E29" s="36">
        <f t="shared" si="2"/>
        <v>11.2</v>
      </c>
      <c r="F29" s="73">
        <v>1.0</v>
      </c>
      <c r="G29" s="74">
        <v>3.0</v>
      </c>
      <c r="H29" s="75">
        <v>0.0</v>
      </c>
      <c r="I29" s="74">
        <v>1.0</v>
      </c>
      <c r="J29" s="74">
        <v>6.0</v>
      </c>
      <c r="K29" s="74">
        <v>6.0</v>
      </c>
      <c r="L29" s="76">
        <v>13.0</v>
      </c>
      <c r="M29" s="74">
        <v>2.0</v>
      </c>
      <c r="N29" s="47">
        <f t="shared" ref="N29:O29" si="31">C29+L29</f>
        <v>134</v>
      </c>
      <c r="O29" s="31">
        <f t="shared" si="31"/>
        <v>14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1</v>
      </c>
      <c r="V29" s="46">
        <f t="shared" si="6"/>
        <v>7</v>
      </c>
      <c r="W29" s="30">
        <f t="shared" si="9"/>
        <v>25</v>
      </c>
    </row>
    <row r="30">
      <c r="A30" s="30">
        <f t="shared" si="7"/>
        <v>26</v>
      </c>
      <c r="B30" s="28" t="s">
        <v>128</v>
      </c>
      <c r="C30" s="31">
        <v>121.0</v>
      </c>
      <c r="D30" s="31">
        <v>10.0</v>
      </c>
      <c r="E30" s="36">
        <f t="shared" si="2"/>
        <v>13.4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130</v>
      </c>
      <c r="O30" s="31">
        <f t="shared" si="32"/>
        <v>10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6</v>
      </c>
      <c r="V30" s="46">
        <f t="shared" si="6"/>
        <v>-5</v>
      </c>
      <c r="W30" s="30">
        <f t="shared" si="9"/>
        <v>26</v>
      </c>
    </row>
    <row r="31">
      <c r="A31" s="30">
        <f t="shared" si="7"/>
        <v>27</v>
      </c>
      <c r="B31" s="28" t="s">
        <v>98</v>
      </c>
      <c r="C31" s="31">
        <v>121.0</v>
      </c>
      <c r="D31" s="31">
        <v>10.0</v>
      </c>
      <c r="E31" s="36">
        <f t="shared" si="2"/>
        <v>12.14285714</v>
      </c>
      <c r="F31" s="73">
        <v>1.0</v>
      </c>
      <c r="G31" s="74">
        <v>4.0</v>
      </c>
      <c r="H31" s="75">
        <v>0.0</v>
      </c>
      <c r="I31" s="74">
        <v>3.0</v>
      </c>
      <c r="J31" s="74">
        <v>4.0</v>
      </c>
      <c r="K31" s="74">
        <v>6.0</v>
      </c>
      <c r="L31" s="76">
        <v>13.0</v>
      </c>
      <c r="M31" s="74">
        <v>1.0</v>
      </c>
      <c r="N31" s="31">
        <f t="shared" ref="N31:O31" si="33">C31+L31</f>
        <v>134</v>
      </c>
      <c r="O31" s="31">
        <f t="shared" si="33"/>
        <v>11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4</v>
      </c>
      <c r="V31" s="46">
        <f t="shared" si="6"/>
        <v>-4</v>
      </c>
      <c r="W31" s="30">
        <f t="shared" si="9"/>
        <v>27</v>
      </c>
    </row>
    <row r="32">
      <c r="A32" s="30">
        <f t="shared" si="7"/>
        <v>28</v>
      </c>
      <c r="B32" s="28" t="s">
        <v>102</v>
      </c>
      <c r="C32" s="31">
        <v>121.0</v>
      </c>
      <c r="D32" s="31">
        <v>9.0</v>
      </c>
      <c r="E32" s="36">
        <f t="shared" si="2"/>
        <v>15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130</v>
      </c>
      <c r="O32" s="31">
        <f t="shared" si="34"/>
        <v>9</v>
      </c>
      <c r="P32" s="45" t="s">
        <v>58</v>
      </c>
      <c r="Q32" s="45" t="s">
        <v>58</v>
      </c>
      <c r="R32" s="45"/>
      <c r="S32" s="46">
        <f t="shared" si="4"/>
        <v>1</v>
      </c>
      <c r="T32" s="46"/>
      <c r="U32" s="46">
        <f t="shared" si="5"/>
        <v>7</v>
      </c>
      <c r="V32" s="46">
        <f t="shared" si="6"/>
        <v>-6</v>
      </c>
      <c r="W32" s="30">
        <f t="shared" si="9"/>
        <v>28</v>
      </c>
    </row>
    <row r="33">
      <c r="A33" s="30">
        <f t="shared" si="7"/>
        <v>29</v>
      </c>
      <c r="B33" s="28" t="s">
        <v>49</v>
      </c>
      <c r="C33" s="31">
        <v>120.0</v>
      </c>
      <c r="D33" s="31">
        <v>10.0</v>
      </c>
      <c r="E33" s="36">
        <f t="shared" si="2"/>
        <v>10.88888889</v>
      </c>
      <c r="F33" s="73">
        <v>2.0</v>
      </c>
      <c r="G33" s="74">
        <v>4.0</v>
      </c>
      <c r="H33" s="75">
        <v>0.0</v>
      </c>
      <c r="I33" s="74">
        <v>6.0</v>
      </c>
      <c r="J33" s="74">
        <v>4.0</v>
      </c>
      <c r="K33" s="74">
        <v>4.0</v>
      </c>
      <c r="L33" s="76">
        <v>14.0</v>
      </c>
      <c r="M33" s="74">
        <v>1.0</v>
      </c>
      <c r="N33" s="31">
        <f t="shared" ref="N33:O33" si="35">C33+L33</f>
        <v>134</v>
      </c>
      <c r="O33" s="31">
        <f t="shared" si="35"/>
        <v>11</v>
      </c>
      <c r="P33" s="45" t="s">
        <v>58</v>
      </c>
      <c r="Q33" s="45" t="s">
        <v>58</v>
      </c>
      <c r="R33" s="45" t="s">
        <v>58</v>
      </c>
      <c r="S33" s="46">
        <f t="shared" si="4"/>
        <v>1</v>
      </c>
      <c r="T33" s="46"/>
      <c r="U33" s="46">
        <f t="shared" si="5"/>
        <v>1</v>
      </c>
      <c r="V33" s="46">
        <f t="shared" si="6"/>
        <v>-3</v>
      </c>
      <c r="W33" s="30">
        <f t="shared" si="9"/>
        <v>29</v>
      </c>
    </row>
    <row r="34">
      <c r="A34" s="30">
        <f t="shared" si="7"/>
        <v>30</v>
      </c>
      <c r="B34" s="28" t="s">
        <v>119</v>
      </c>
      <c r="C34" s="31">
        <v>119.0</v>
      </c>
      <c r="D34" s="31">
        <v>11.0</v>
      </c>
      <c r="E34" s="36">
        <f t="shared" si="2"/>
        <v>11</v>
      </c>
      <c r="F34" s="73">
        <v>2.0</v>
      </c>
      <c r="G34" s="74">
        <v>4.0</v>
      </c>
      <c r="H34" s="75">
        <v>0.0</v>
      </c>
      <c r="I34" s="74">
        <v>6.0</v>
      </c>
      <c r="J34" s="74">
        <v>6.0</v>
      </c>
      <c r="K34" s="74">
        <v>6.0</v>
      </c>
      <c r="L34" s="76">
        <v>18.0</v>
      </c>
      <c r="M34" s="74">
        <v>3.0</v>
      </c>
      <c r="N34" s="31">
        <f t="shared" ref="N34:O34" si="36">C34+L34</f>
        <v>137</v>
      </c>
      <c r="O34" s="31">
        <f t="shared" si="36"/>
        <v>14</v>
      </c>
      <c r="P34" s="45" t="s">
        <v>58</v>
      </c>
      <c r="Q34" s="45" t="s">
        <v>58</v>
      </c>
      <c r="R34" s="45" t="s">
        <v>58</v>
      </c>
      <c r="S34" s="46">
        <f t="shared" si="4"/>
        <v>1</v>
      </c>
      <c r="T34" s="46"/>
      <c r="U34" s="46">
        <f t="shared" si="5"/>
        <v>2</v>
      </c>
      <c r="V34" s="46">
        <f t="shared" si="6"/>
        <v>-5</v>
      </c>
      <c r="W34" s="30">
        <f t="shared" si="9"/>
        <v>30</v>
      </c>
    </row>
    <row r="35">
      <c r="A35" s="30">
        <f t="shared" si="7"/>
        <v>31</v>
      </c>
      <c r="B35" s="43" t="s">
        <v>122</v>
      </c>
      <c r="C35" s="31">
        <v>118.0</v>
      </c>
      <c r="D35" s="31">
        <v>9.0</v>
      </c>
      <c r="E35" s="36">
        <f t="shared" si="2"/>
        <v>12.16666667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127</v>
      </c>
      <c r="O35" s="31">
        <f t="shared" si="37"/>
        <v>9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5</v>
      </c>
      <c r="V35" s="46">
        <f t="shared" si="6"/>
        <v>3</v>
      </c>
      <c r="W35" s="30">
        <f t="shared" si="9"/>
        <v>31</v>
      </c>
    </row>
    <row r="36">
      <c r="A36" s="30">
        <f t="shared" si="7"/>
        <v>32</v>
      </c>
      <c r="B36" s="48" t="s">
        <v>125</v>
      </c>
      <c r="C36" s="31">
        <v>118.0</v>
      </c>
      <c r="D36" s="31">
        <v>9.0</v>
      </c>
      <c r="E36" s="36">
        <f t="shared" si="2"/>
        <v>10.72727273</v>
      </c>
      <c r="F36" s="73">
        <v>1.0</v>
      </c>
      <c r="G36" s="74">
        <v>4.0</v>
      </c>
      <c r="H36" s="75">
        <v>0.0</v>
      </c>
      <c r="I36" s="74">
        <v>3.0</v>
      </c>
      <c r="J36" s="74">
        <v>6.0</v>
      </c>
      <c r="K36" s="74">
        <v>4.0</v>
      </c>
      <c r="L36" s="76">
        <v>13.0</v>
      </c>
      <c r="M36" s="74">
        <v>1.0</v>
      </c>
      <c r="N36" s="31">
        <f t="shared" ref="N36:O36" si="38">C36+L36</f>
        <v>131</v>
      </c>
      <c r="O36" s="31">
        <f t="shared" si="38"/>
        <v>10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3</v>
      </c>
      <c r="W36" s="30">
        <f>W37+1</f>
        <v>33</v>
      </c>
    </row>
    <row r="37">
      <c r="A37" s="30">
        <f t="shared" si="7"/>
        <v>33</v>
      </c>
      <c r="B37" s="28" t="s">
        <v>34</v>
      </c>
      <c r="C37" s="31">
        <v>117.0</v>
      </c>
      <c r="D37" s="31">
        <v>9.0</v>
      </c>
      <c r="E37" s="36">
        <f t="shared" si="2"/>
        <v>13.5</v>
      </c>
      <c r="F37" s="73">
        <v>1.0</v>
      </c>
      <c r="G37" s="74">
        <v>5.0</v>
      </c>
      <c r="H37" s="75">
        <v>0.0</v>
      </c>
      <c r="I37" s="74">
        <v>6.0</v>
      </c>
      <c r="J37" s="74">
        <v>6.0</v>
      </c>
      <c r="K37" s="74">
        <v>6.0</v>
      </c>
      <c r="L37" s="76">
        <v>18.0</v>
      </c>
      <c r="M37" s="74">
        <v>3.0</v>
      </c>
      <c r="N37" s="31">
        <f t="shared" ref="N37:O37" si="39">C37+L37</f>
        <v>135</v>
      </c>
      <c r="O37" s="31">
        <f t="shared" si="39"/>
        <v>12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7</v>
      </c>
      <c r="V37" s="46">
        <f t="shared" si="6"/>
        <v>-4</v>
      </c>
      <c r="W37" s="30">
        <f t="shared" ref="W37:W38" si="41">W35+1</f>
        <v>32</v>
      </c>
    </row>
    <row r="38">
      <c r="A38" s="30">
        <f t="shared" si="7"/>
        <v>34</v>
      </c>
      <c r="B38" s="28" t="s">
        <v>105</v>
      </c>
      <c r="C38" s="31">
        <v>117.0</v>
      </c>
      <c r="D38" s="31">
        <v>8.0</v>
      </c>
      <c r="E38" s="36">
        <f t="shared" si="2"/>
        <v>11.33333333</v>
      </c>
      <c r="F38" s="73">
        <v>3.0</v>
      </c>
      <c r="G38" s="74">
        <v>0.0</v>
      </c>
      <c r="H38" s="75">
        <v>9.0</v>
      </c>
      <c r="I38" s="74">
        <v>0.0</v>
      </c>
      <c r="J38" s="74">
        <v>0.0</v>
      </c>
      <c r="K38" s="74">
        <v>0.0</v>
      </c>
      <c r="L38" s="76">
        <v>9.0</v>
      </c>
      <c r="M38" s="74">
        <v>0.0</v>
      </c>
      <c r="N38" s="31">
        <f t="shared" ref="N38:O38" si="40">C38+L38</f>
        <v>126</v>
      </c>
      <c r="O38" s="31">
        <f t="shared" si="40"/>
        <v>8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4</v>
      </c>
      <c r="V38" s="46">
        <f t="shared" si="6"/>
        <v>-4</v>
      </c>
      <c r="W38" s="30">
        <f t="shared" si="41"/>
        <v>34</v>
      </c>
    </row>
    <row r="39">
      <c r="A39" s="30">
        <f t="shared" si="7"/>
        <v>35</v>
      </c>
      <c r="B39" s="43" t="s">
        <v>61</v>
      </c>
      <c r="C39" s="47">
        <v>116.0</v>
      </c>
      <c r="D39" s="31">
        <v>14.0</v>
      </c>
      <c r="E39" s="36">
        <f t="shared" si="2"/>
        <v>10.54545455</v>
      </c>
      <c r="F39" s="73">
        <v>1.0</v>
      </c>
      <c r="G39" s="74">
        <v>5.0</v>
      </c>
      <c r="H39" s="75">
        <v>0.0</v>
      </c>
      <c r="I39" s="74">
        <v>1.0</v>
      </c>
      <c r="J39" s="74">
        <v>1.0</v>
      </c>
      <c r="K39" s="74">
        <v>6.0</v>
      </c>
      <c r="L39" s="76">
        <v>8.0</v>
      </c>
      <c r="M39" s="74">
        <v>1.0</v>
      </c>
      <c r="N39" s="47">
        <f t="shared" ref="N39:O39" si="42">C39+L39</f>
        <v>124</v>
      </c>
      <c r="O39" s="31">
        <f t="shared" si="42"/>
        <v>15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0</v>
      </c>
      <c r="V39" s="46">
        <f t="shared" si="6"/>
        <v>-8</v>
      </c>
      <c r="W39" s="30">
        <f t="shared" ref="W39:W68" si="44">W38+1</f>
        <v>35</v>
      </c>
    </row>
    <row r="40">
      <c r="A40" s="30">
        <f t="shared" si="7"/>
        <v>36</v>
      </c>
      <c r="B40" s="43" t="s">
        <v>132</v>
      </c>
      <c r="C40" s="31">
        <v>116.0</v>
      </c>
      <c r="D40" s="31">
        <v>12.0</v>
      </c>
      <c r="E40" s="36">
        <f t="shared" si="2"/>
        <v>10.54545455</v>
      </c>
      <c r="F40" s="73">
        <v>1.0</v>
      </c>
      <c r="G40" s="74">
        <v>5.0</v>
      </c>
      <c r="H40" s="75">
        <v>0.0</v>
      </c>
      <c r="I40" s="74">
        <v>6.0</v>
      </c>
      <c r="J40" s="74">
        <v>1.0</v>
      </c>
      <c r="K40" s="74">
        <v>1.0</v>
      </c>
      <c r="L40" s="76">
        <v>8.0</v>
      </c>
      <c r="M40" s="74">
        <v>1.0</v>
      </c>
      <c r="N40" s="31">
        <f t="shared" ref="N40:O40" si="43">C40+L40</f>
        <v>124</v>
      </c>
      <c r="O40" s="31">
        <f t="shared" si="43"/>
        <v>13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-8</v>
      </c>
      <c r="W40" s="30">
        <f t="shared" si="44"/>
        <v>36</v>
      </c>
    </row>
    <row r="41">
      <c r="A41" s="30">
        <f t="shared" si="7"/>
        <v>37</v>
      </c>
      <c r="B41" s="43" t="s">
        <v>140</v>
      </c>
      <c r="C41" s="31">
        <v>116.0</v>
      </c>
      <c r="D41" s="31">
        <v>9.0</v>
      </c>
      <c r="E41" s="36">
        <f t="shared" si="2"/>
        <v>11.16666667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5">C41+L41</f>
        <v>125</v>
      </c>
      <c r="O41" s="31">
        <f t="shared" si="45"/>
        <v>9</v>
      </c>
      <c r="P41" s="45" t="s">
        <v>58</v>
      </c>
      <c r="Q41" s="45" t="s">
        <v>58</v>
      </c>
      <c r="R41" s="45"/>
      <c r="S41" s="46">
        <f t="shared" si="4"/>
        <v>1</v>
      </c>
      <c r="T41" s="46"/>
      <c r="U41" s="46">
        <f t="shared" si="5"/>
        <v>4</v>
      </c>
      <c r="V41" s="46">
        <f t="shared" si="6"/>
        <v>8</v>
      </c>
      <c r="W41" s="30">
        <f t="shared" si="44"/>
        <v>37</v>
      </c>
    </row>
    <row r="42">
      <c r="A42" s="30">
        <f t="shared" si="7"/>
        <v>38</v>
      </c>
      <c r="B42" s="43" t="s">
        <v>136</v>
      </c>
      <c r="C42" s="31">
        <v>115.0</v>
      </c>
      <c r="D42" s="31">
        <v>11.0</v>
      </c>
      <c r="E42" s="36">
        <f t="shared" si="2"/>
        <v>10.77777778</v>
      </c>
      <c r="F42" s="73">
        <v>1.0</v>
      </c>
      <c r="G42" s="74">
        <v>5.0</v>
      </c>
      <c r="H42" s="75">
        <v>0.0</v>
      </c>
      <c r="I42" s="74">
        <v>1.0</v>
      </c>
      <c r="J42" s="74">
        <v>6.0</v>
      </c>
      <c r="K42" s="74">
        <v>1.0</v>
      </c>
      <c r="L42" s="76">
        <v>8.0</v>
      </c>
      <c r="M42" s="74">
        <v>1.0</v>
      </c>
      <c r="N42" s="31">
        <f t="shared" ref="N42:O42" si="46">C42+L42</f>
        <v>123</v>
      </c>
      <c r="O42" s="31">
        <f t="shared" si="46"/>
        <v>12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2</v>
      </c>
      <c r="V42" s="46">
        <f t="shared" si="6"/>
        <v>6</v>
      </c>
      <c r="W42" s="30">
        <f t="shared" si="44"/>
        <v>38</v>
      </c>
    </row>
    <row r="43">
      <c r="A43" s="30">
        <f t="shared" si="7"/>
        <v>39</v>
      </c>
      <c r="B43" s="43" t="s">
        <v>106</v>
      </c>
      <c r="C43" s="31">
        <v>115.0</v>
      </c>
      <c r="D43" s="31">
        <v>10.0</v>
      </c>
      <c r="E43" s="36">
        <f t="shared" si="2"/>
        <v>11</v>
      </c>
      <c r="F43" s="73">
        <v>1.0</v>
      </c>
      <c r="G43" s="74">
        <v>6.0</v>
      </c>
      <c r="H43" s="75">
        <v>0.0</v>
      </c>
      <c r="I43" s="74">
        <v>2.0</v>
      </c>
      <c r="J43" s="74">
        <v>6.0</v>
      </c>
      <c r="K43" s="74">
        <v>6.0</v>
      </c>
      <c r="L43" s="76">
        <v>14.0</v>
      </c>
      <c r="M43" s="74">
        <v>2.0</v>
      </c>
      <c r="N43" s="31">
        <f t="shared" ref="N43:O43" si="47">C43+L43</f>
        <v>129</v>
      </c>
      <c r="O43" s="31">
        <f t="shared" si="47"/>
        <v>12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3</v>
      </c>
      <c r="V43" s="46">
        <f t="shared" si="6"/>
        <v>-2</v>
      </c>
      <c r="W43" s="30">
        <f t="shared" si="44"/>
        <v>39</v>
      </c>
    </row>
    <row r="44">
      <c r="A44" s="30">
        <f t="shared" si="7"/>
        <v>40</v>
      </c>
      <c r="B44" s="43" t="s">
        <v>133</v>
      </c>
      <c r="C44" s="31">
        <v>115.0</v>
      </c>
      <c r="D44" s="31">
        <v>8.0</v>
      </c>
      <c r="E44" s="36">
        <f t="shared" si="2"/>
        <v>10.6</v>
      </c>
      <c r="F44" s="73">
        <v>1.0</v>
      </c>
      <c r="G44" s="74">
        <v>6.0</v>
      </c>
      <c r="H44" s="75">
        <v>0.0</v>
      </c>
      <c r="I44" s="74">
        <v>2.0</v>
      </c>
      <c r="J44" s="74">
        <v>3.0</v>
      </c>
      <c r="K44" s="74">
        <v>4.0</v>
      </c>
      <c r="L44" s="76">
        <v>9.0</v>
      </c>
      <c r="M44" s="74">
        <v>0.0</v>
      </c>
      <c r="N44" s="31">
        <f t="shared" ref="N44:O44" si="48">C44+L44</f>
        <v>124</v>
      </c>
      <c r="O44" s="31">
        <f t="shared" si="48"/>
        <v>8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</v>
      </c>
      <c r="V44" s="46">
        <f t="shared" si="6"/>
        <v>-7</v>
      </c>
      <c r="W44" s="30">
        <f t="shared" si="44"/>
        <v>40</v>
      </c>
    </row>
    <row r="45">
      <c r="A45" s="30">
        <f t="shared" si="7"/>
        <v>41</v>
      </c>
      <c r="B45" s="43" t="s">
        <v>62</v>
      </c>
      <c r="C45" s="31">
        <v>114.0</v>
      </c>
      <c r="D45" s="31">
        <v>8.0</v>
      </c>
      <c r="E45" s="36">
        <f t="shared" si="2"/>
        <v>12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9">C45+L45</f>
        <v>123</v>
      </c>
      <c r="O45" s="31">
        <f t="shared" si="49"/>
        <v>8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6</v>
      </c>
      <c r="V45" s="46">
        <f t="shared" si="6"/>
        <v>-3</v>
      </c>
      <c r="W45" s="30">
        <f t="shared" si="44"/>
        <v>41</v>
      </c>
    </row>
    <row r="46">
      <c r="A46" s="30">
        <f t="shared" si="7"/>
        <v>42</v>
      </c>
      <c r="B46" s="43" t="s">
        <v>99</v>
      </c>
      <c r="C46" s="31">
        <v>114.0</v>
      </c>
      <c r="D46" s="31">
        <v>7.0</v>
      </c>
      <c r="E46" s="36">
        <f t="shared" si="2"/>
        <v>12</v>
      </c>
      <c r="F46" s="73">
        <v>1.0</v>
      </c>
      <c r="G46" s="74">
        <v>6.0</v>
      </c>
      <c r="H46" s="75">
        <v>0.0</v>
      </c>
      <c r="I46" s="74">
        <v>6.0</v>
      </c>
      <c r="J46" s="74">
        <v>6.0</v>
      </c>
      <c r="K46" s="74">
        <v>4.0</v>
      </c>
      <c r="L46" s="76">
        <v>16.0</v>
      </c>
      <c r="M46" s="74">
        <v>2.0</v>
      </c>
      <c r="N46" s="31">
        <f t="shared" ref="N46:O46" si="50">C46+L46</f>
        <v>130</v>
      </c>
      <c r="O46" s="31">
        <f t="shared" si="50"/>
        <v>9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6</v>
      </c>
      <c r="V46" s="46">
        <f t="shared" si="6"/>
        <v>9</v>
      </c>
      <c r="W46" s="30">
        <f t="shared" si="44"/>
        <v>42</v>
      </c>
    </row>
    <row r="47">
      <c r="A47" s="30">
        <f t="shared" si="7"/>
        <v>43</v>
      </c>
      <c r="B47" s="28" t="s">
        <v>84</v>
      </c>
      <c r="C47" s="31">
        <v>113.0</v>
      </c>
      <c r="D47" s="31">
        <v>11.0</v>
      </c>
      <c r="E47" s="36">
        <f t="shared" si="2"/>
        <v>10.55555556</v>
      </c>
      <c r="F47" s="73">
        <v>1.0</v>
      </c>
      <c r="G47" s="74">
        <v>6.0</v>
      </c>
      <c r="H47" s="75">
        <v>0.0</v>
      </c>
      <c r="I47" s="74">
        <v>6.0</v>
      </c>
      <c r="J47" s="74">
        <v>3.0</v>
      </c>
      <c r="K47" s="74">
        <v>6.0</v>
      </c>
      <c r="L47" s="76">
        <v>15.0</v>
      </c>
      <c r="M47" s="74">
        <v>2.0</v>
      </c>
      <c r="N47" s="31">
        <f t="shared" ref="N47:O47" si="51">C47+L47</f>
        <v>128</v>
      </c>
      <c r="O47" s="31">
        <f t="shared" si="51"/>
        <v>13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2</v>
      </c>
      <c r="V47" s="46">
        <f t="shared" si="6"/>
        <v>-2</v>
      </c>
      <c r="W47" s="30">
        <f t="shared" si="44"/>
        <v>43</v>
      </c>
    </row>
    <row r="48">
      <c r="A48" s="30">
        <f t="shared" si="7"/>
        <v>44</v>
      </c>
      <c r="B48" s="28" t="s">
        <v>127</v>
      </c>
      <c r="C48" s="31">
        <v>113.0</v>
      </c>
      <c r="D48" s="31">
        <v>4.0</v>
      </c>
      <c r="E48" s="36">
        <f t="shared" si="2"/>
        <v>14</v>
      </c>
      <c r="F48" s="73">
        <v>3.0</v>
      </c>
      <c r="G48" s="74">
        <v>0.0</v>
      </c>
      <c r="H48" s="75">
        <v>9.0</v>
      </c>
      <c r="I48" s="74">
        <v>0.0</v>
      </c>
      <c r="J48" s="74">
        <v>0.0</v>
      </c>
      <c r="K48" s="74">
        <v>0.0</v>
      </c>
      <c r="L48" s="76">
        <v>9.0</v>
      </c>
      <c r="M48" s="74">
        <v>0.0</v>
      </c>
      <c r="N48" s="31">
        <f t="shared" ref="N48:O48" si="52">C48+L48</f>
        <v>122</v>
      </c>
      <c r="O48" s="31">
        <f t="shared" si="52"/>
        <v>4</v>
      </c>
      <c r="P48" s="45" t="s">
        <v>58</v>
      </c>
      <c r="Q48" s="45" t="s">
        <v>58</v>
      </c>
      <c r="R48" s="45"/>
      <c r="S48" s="46">
        <f t="shared" si="4"/>
        <v>1</v>
      </c>
      <c r="T48" s="46"/>
      <c r="U48" s="46">
        <f t="shared" si="5"/>
        <v>8</v>
      </c>
      <c r="V48" s="46">
        <f t="shared" si="6"/>
        <v>-4</v>
      </c>
      <c r="W48" s="30">
        <f t="shared" si="44"/>
        <v>44</v>
      </c>
    </row>
    <row r="49">
      <c r="A49" s="30">
        <f t="shared" si="7"/>
        <v>45</v>
      </c>
      <c r="B49" s="48" t="s">
        <v>134</v>
      </c>
      <c r="C49" s="31">
        <v>112.0</v>
      </c>
      <c r="D49" s="31">
        <v>7.0</v>
      </c>
      <c r="E49" s="36">
        <f t="shared" si="2"/>
        <v>10.5</v>
      </c>
      <c r="F49" s="73">
        <v>1.0</v>
      </c>
      <c r="G49" s="74">
        <v>7.0</v>
      </c>
      <c r="H49" s="75">
        <v>0.0</v>
      </c>
      <c r="I49" s="74">
        <v>7.0</v>
      </c>
      <c r="J49" s="74">
        <v>5.0</v>
      </c>
      <c r="K49" s="74">
        <v>6.0</v>
      </c>
      <c r="L49" s="76">
        <v>18.0</v>
      </c>
      <c r="M49" s="74">
        <v>2.0</v>
      </c>
      <c r="N49" s="31">
        <f t="shared" ref="N49:O49" si="53">C49+L49</f>
        <v>130</v>
      </c>
      <c r="O49" s="31">
        <f t="shared" si="53"/>
        <v>9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4</v>
      </c>
      <c r="V49" s="46">
        <f t="shared" si="6"/>
        <v>-3</v>
      </c>
      <c r="W49" s="30">
        <f t="shared" si="44"/>
        <v>45</v>
      </c>
    </row>
    <row r="50">
      <c r="A50" s="30">
        <f t="shared" si="7"/>
        <v>46</v>
      </c>
      <c r="B50" s="43" t="s">
        <v>90</v>
      </c>
      <c r="C50" s="31">
        <v>112.0</v>
      </c>
      <c r="D50" s="31">
        <v>6.0</v>
      </c>
      <c r="E50" s="36">
        <f t="shared" si="2"/>
        <v>9.2</v>
      </c>
      <c r="F50" s="73">
        <v>2.0</v>
      </c>
      <c r="G50" s="74">
        <v>7.0</v>
      </c>
      <c r="H50" s="75">
        <v>0.0</v>
      </c>
      <c r="I50" s="74">
        <v>6.0</v>
      </c>
      <c r="J50" s="74">
        <v>7.0</v>
      </c>
      <c r="K50" s="74">
        <v>6.0</v>
      </c>
      <c r="L50" s="76">
        <v>19.0</v>
      </c>
      <c r="M50" s="74">
        <v>2.0</v>
      </c>
      <c r="N50" s="31">
        <f t="shared" ref="N50:O50" si="54">C50+L50</f>
        <v>131</v>
      </c>
      <c r="O50" s="31">
        <f t="shared" si="54"/>
        <v>8</v>
      </c>
      <c r="P50" s="45" t="s">
        <v>58</v>
      </c>
      <c r="Q50" s="45" t="s">
        <v>58</v>
      </c>
      <c r="R50" s="45"/>
      <c r="S50" s="46">
        <f t="shared" si="4"/>
        <v>3</v>
      </c>
      <c r="T50" s="46"/>
      <c r="U50" s="46">
        <f t="shared" si="5"/>
        <v>3</v>
      </c>
      <c r="V50" s="46">
        <f t="shared" si="6"/>
        <v>-3</v>
      </c>
      <c r="W50" s="30">
        <f t="shared" si="44"/>
        <v>46</v>
      </c>
    </row>
    <row r="51">
      <c r="A51" s="30">
        <f t="shared" si="7"/>
        <v>47</v>
      </c>
      <c r="B51" s="43" t="s">
        <v>96</v>
      </c>
      <c r="C51" s="31">
        <v>109.0</v>
      </c>
      <c r="D51" s="31">
        <v>5.0</v>
      </c>
      <c r="E51" s="36">
        <f t="shared" si="2"/>
        <v>9.333333333</v>
      </c>
      <c r="F51" s="73">
        <v>5.0</v>
      </c>
      <c r="G51" s="74">
        <v>0.0</v>
      </c>
      <c r="H51" s="75">
        <v>13.0</v>
      </c>
      <c r="I51" s="74">
        <v>0.0</v>
      </c>
      <c r="J51" s="74">
        <v>0.0</v>
      </c>
      <c r="K51" s="74">
        <v>0.0</v>
      </c>
      <c r="L51" s="76">
        <v>13.0</v>
      </c>
      <c r="M51" s="74">
        <v>0.0</v>
      </c>
      <c r="N51" s="31">
        <f t="shared" ref="N51:O51" si="55">C51+L51</f>
        <v>122</v>
      </c>
      <c r="O51" s="31">
        <f t="shared" si="55"/>
        <v>5</v>
      </c>
      <c r="P51" s="45" t="s">
        <v>58</v>
      </c>
      <c r="Q51" s="45" t="s">
        <v>58</v>
      </c>
      <c r="R51" s="45"/>
      <c r="S51" s="46">
        <f t="shared" si="4"/>
        <v>2</v>
      </c>
      <c r="T51" s="46"/>
      <c r="U51" s="46">
        <f t="shared" si="5"/>
        <v>3</v>
      </c>
      <c r="V51" s="46">
        <f t="shared" si="6"/>
        <v>-1</v>
      </c>
      <c r="W51" s="30">
        <f t="shared" si="44"/>
        <v>47</v>
      </c>
    </row>
    <row r="52">
      <c r="A52" s="30">
        <f t="shared" si="7"/>
        <v>48</v>
      </c>
      <c r="B52" s="28" t="s">
        <v>93</v>
      </c>
      <c r="C52" s="31">
        <v>108.0</v>
      </c>
      <c r="D52" s="31">
        <v>6.0</v>
      </c>
      <c r="E52" s="36">
        <f t="shared" si="2"/>
        <v>10.8</v>
      </c>
      <c r="F52" s="73">
        <v>1.0</v>
      </c>
      <c r="G52" s="74">
        <v>7.0</v>
      </c>
      <c r="H52" s="75">
        <v>0.0</v>
      </c>
      <c r="I52" s="74">
        <v>7.0</v>
      </c>
      <c r="J52" s="74">
        <v>7.0</v>
      </c>
      <c r="K52" s="74">
        <v>1.0</v>
      </c>
      <c r="L52" s="76">
        <v>15.0</v>
      </c>
      <c r="M52" s="74">
        <v>2.0</v>
      </c>
      <c r="N52" s="31">
        <f t="shared" ref="N52:O52" si="56">C52+L52</f>
        <v>123</v>
      </c>
      <c r="O52" s="31">
        <f t="shared" si="56"/>
        <v>8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6</v>
      </c>
      <c r="V52" s="46">
        <f t="shared" si="6"/>
        <v>-1</v>
      </c>
      <c r="W52" s="30">
        <f t="shared" si="44"/>
        <v>48</v>
      </c>
    </row>
    <row r="53">
      <c r="A53" s="30">
        <f t="shared" si="7"/>
        <v>49</v>
      </c>
      <c r="B53" s="43" t="s">
        <v>138</v>
      </c>
      <c r="C53" s="47">
        <v>107.0</v>
      </c>
      <c r="D53" s="31">
        <v>10.0</v>
      </c>
      <c r="E53" s="36">
        <f t="shared" si="2"/>
        <v>10.14285714</v>
      </c>
      <c r="F53" s="73">
        <v>4.0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47">
        <f t="shared" ref="N53:O53" si="57">C53+L53</f>
        <v>116</v>
      </c>
      <c r="O53" s="31">
        <f t="shared" si="57"/>
        <v>10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4</v>
      </c>
      <c r="V53" s="46">
        <f t="shared" si="6"/>
        <v>3</v>
      </c>
      <c r="W53" s="30">
        <f t="shared" si="44"/>
        <v>49</v>
      </c>
    </row>
    <row r="54">
      <c r="A54" s="30">
        <f t="shared" si="7"/>
        <v>50</v>
      </c>
      <c r="B54" s="48" t="s">
        <v>103</v>
      </c>
      <c r="C54" s="31">
        <v>107.0</v>
      </c>
      <c r="D54" s="31">
        <v>9.0</v>
      </c>
      <c r="E54" s="36">
        <f t="shared" si="2"/>
        <v>10.14285714</v>
      </c>
      <c r="F54" s="73">
        <v>1.0</v>
      </c>
      <c r="G54" s="74">
        <v>7.0</v>
      </c>
      <c r="H54" s="75">
        <v>0.0</v>
      </c>
      <c r="I54" s="74">
        <v>6.0</v>
      </c>
      <c r="J54" s="74">
        <v>5.0</v>
      </c>
      <c r="K54" s="74">
        <v>1.0</v>
      </c>
      <c r="L54" s="76">
        <v>12.0</v>
      </c>
      <c r="M54" s="74">
        <v>0.0</v>
      </c>
      <c r="N54" s="31">
        <f t="shared" ref="N54:O54" si="58">C54+L54</f>
        <v>119</v>
      </c>
      <c r="O54" s="31">
        <f t="shared" si="58"/>
        <v>9</v>
      </c>
      <c r="P54" s="45" t="s">
        <v>58</v>
      </c>
      <c r="Q54" s="45" t="s">
        <v>58</v>
      </c>
      <c r="R54" s="45"/>
      <c r="S54" s="46">
        <f t="shared" si="4"/>
        <v>0</v>
      </c>
      <c r="T54" s="46"/>
      <c r="U54" s="46">
        <f t="shared" si="5"/>
        <v>4</v>
      </c>
      <c r="V54" s="46">
        <f t="shared" si="6"/>
        <v>3</v>
      </c>
      <c r="W54" s="30">
        <f t="shared" si="44"/>
        <v>50</v>
      </c>
    </row>
    <row r="55">
      <c r="A55" s="30">
        <f t="shared" si="7"/>
        <v>51</v>
      </c>
      <c r="B55" s="43" t="s">
        <v>79</v>
      </c>
      <c r="C55" s="31">
        <v>106.0</v>
      </c>
      <c r="D55" s="31">
        <v>4.0</v>
      </c>
      <c r="E55" s="36">
        <f t="shared" si="2"/>
        <v>10.16666667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9">C55+L55</f>
        <v>115</v>
      </c>
      <c r="O55" s="31">
        <f t="shared" si="59"/>
        <v>4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5</v>
      </c>
      <c r="V55" s="46">
        <f t="shared" si="6"/>
        <v>-3</v>
      </c>
      <c r="W55" s="30">
        <f t="shared" si="44"/>
        <v>51</v>
      </c>
    </row>
    <row r="56">
      <c r="A56" s="30">
        <f t="shared" si="7"/>
        <v>52</v>
      </c>
      <c r="B56" s="48" t="s">
        <v>70</v>
      </c>
      <c r="C56" s="31">
        <v>105.0</v>
      </c>
      <c r="D56" s="31">
        <v>5.0</v>
      </c>
      <c r="E56" s="36">
        <f t="shared" si="2"/>
        <v>9.285714286</v>
      </c>
      <c r="F56" s="73">
        <v>3.0</v>
      </c>
      <c r="G56" s="74">
        <v>0.0</v>
      </c>
      <c r="H56" s="75">
        <v>9.0</v>
      </c>
      <c r="I56" s="74">
        <v>0.0</v>
      </c>
      <c r="J56" s="74">
        <v>0.0</v>
      </c>
      <c r="K56" s="74">
        <v>0.0</v>
      </c>
      <c r="L56" s="76">
        <v>9.0</v>
      </c>
      <c r="M56" s="74">
        <v>0.0</v>
      </c>
      <c r="N56" s="31">
        <f t="shared" ref="N56:O56" si="60">C56+L56</f>
        <v>114</v>
      </c>
      <c r="O56" s="31">
        <f t="shared" si="60"/>
        <v>5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3</v>
      </c>
      <c r="V56" s="46">
        <f t="shared" si="6"/>
        <v>-3</v>
      </c>
      <c r="W56" s="30">
        <f t="shared" si="44"/>
        <v>52</v>
      </c>
    </row>
    <row r="57">
      <c r="A57" s="30">
        <f t="shared" si="7"/>
        <v>53</v>
      </c>
      <c r="B57" s="48" t="s">
        <v>54</v>
      </c>
      <c r="C57" s="31">
        <v>104.0</v>
      </c>
      <c r="D57" s="31">
        <v>6.0</v>
      </c>
      <c r="E57" s="36">
        <f t="shared" si="2"/>
        <v>9.142857143</v>
      </c>
      <c r="F57" s="73">
        <v>1.0</v>
      </c>
      <c r="G57" s="74">
        <v>8.0</v>
      </c>
      <c r="H57" s="75">
        <v>0.0</v>
      </c>
      <c r="I57" s="74">
        <v>4.0</v>
      </c>
      <c r="J57" s="74">
        <v>2.0</v>
      </c>
      <c r="K57" s="74">
        <v>6.0</v>
      </c>
      <c r="L57" s="76">
        <v>12.0</v>
      </c>
      <c r="M57" s="74">
        <v>1.0</v>
      </c>
      <c r="N57" s="31">
        <f t="shared" ref="N57:O57" si="61">C57+L57</f>
        <v>116</v>
      </c>
      <c r="O57" s="31">
        <f t="shared" si="61"/>
        <v>7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3</v>
      </c>
      <c r="V57" s="46">
        <f t="shared" si="6"/>
        <v>-3</v>
      </c>
      <c r="W57" s="30">
        <f t="shared" si="44"/>
        <v>53</v>
      </c>
    </row>
    <row r="58">
      <c r="A58" s="30">
        <f t="shared" si="7"/>
        <v>54</v>
      </c>
      <c r="B58" s="28" t="s">
        <v>141</v>
      </c>
      <c r="C58" s="31">
        <v>99.0</v>
      </c>
      <c r="D58" s="31">
        <v>3.0</v>
      </c>
      <c r="E58" s="36">
        <f t="shared" si="2"/>
        <v>7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2">C58+L58</f>
        <v>108</v>
      </c>
      <c r="O58" s="31">
        <f t="shared" si="62"/>
        <v>3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8</v>
      </c>
      <c r="V58" s="46">
        <f t="shared" si="6"/>
        <v>5</v>
      </c>
      <c r="W58" s="30">
        <f t="shared" si="44"/>
        <v>54</v>
      </c>
    </row>
    <row r="59">
      <c r="A59" s="30">
        <f t="shared" si="7"/>
        <v>55</v>
      </c>
      <c r="B59" s="48" t="s">
        <v>139</v>
      </c>
      <c r="C59" s="31">
        <v>99.0</v>
      </c>
      <c r="D59" s="31">
        <v>1.0</v>
      </c>
      <c r="E59" s="36">
        <f t="shared" si="2"/>
        <v>7</v>
      </c>
      <c r="F59" s="73">
        <v>1.0</v>
      </c>
      <c r="G59" s="74">
        <v>8.0</v>
      </c>
      <c r="H59" s="75">
        <v>0.0</v>
      </c>
      <c r="I59" s="74">
        <v>6.0</v>
      </c>
      <c r="J59" s="74">
        <v>6.0</v>
      </c>
      <c r="K59" s="74">
        <v>6.0</v>
      </c>
      <c r="L59" s="76">
        <v>18.0</v>
      </c>
      <c r="M59" s="74">
        <v>3.0</v>
      </c>
      <c r="N59" s="31">
        <f t="shared" ref="N59:O59" si="63">C59+L59</f>
        <v>117</v>
      </c>
      <c r="O59" s="31">
        <f t="shared" si="63"/>
        <v>4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8</v>
      </c>
      <c r="V59" s="46">
        <f t="shared" si="6"/>
        <v>1</v>
      </c>
      <c r="W59" s="30">
        <f t="shared" si="44"/>
        <v>55</v>
      </c>
    </row>
    <row r="60">
      <c r="A60" s="30">
        <f t="shared" si="7"/>
        <v>56</v>
      </c>
      <c r="B60" s="43" t="s">
        <v>131</v>
      </c>
      <c r="C60" s="31">
        <v>98.0</v>
      </c>
      <c r="D60" s="31">
        <v>1.0</v>
      </c>
      <c r="E60" s="36">
        <f t="shared" si="2"/>
        <v>8.5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4">C60+L60</f>
        <v>107</v>
      </c>
      <c r="O60" s="31">
        <f t="shared" si="64"/>
        <v>1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9</v>
      </c>
      <c r="V60" s="46">
        <f t="shared" si="6"/>
        <v>-2</v>
      </c>
      <c r="W60" s="30">
        <f t="shared" si="44"/>
        <v>56</v>
      </c>
    </row>
    <row r="61">
      <c r="A61" s="30">
        <f t="shared" si="7"/>
        <v>57</v>
      </c>
      <c r="B61" s="43" t="s">
        <v>142</v>
      </c>
      <c r="C61" s="47">
        <v>96.0</v>
      </c>
      <c r="D61" s="31">
        <v>4.0</v>
      </c>
      <c r="E61" s="36">
        <f t="shared" si="2"/>
        <v>8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47">
        <f t="shared" ref="N61:O61" si="65">C61+L61</f>
        <v>105</v>
      </c>
      <c r="O61" s="31">
        <f t="shared" si="65"/>
        <v>4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8</v>
      </c>
      <c r="V61" s="46">
        <f t="shared" si="6"/>
        <v>-2</v>
      </c>
      <c r="W61" s="30">
        <f t="shared" si="44"/>
        <v>57</v>
      </c>
    </row>
    <row r="62">
      <c r="A62" s="30">
        <f t="shared" si="7"/>
        <v>58</v>
      </c>
      <c r="B62" s="28" t="s">
        <v>80</v>
      </c>
      <c r="C62" s="31">
        <v>94.0</v>
      </c>
      <c r="D62" s="31">
        <v>0.0</v>
      </c>
      <c r="E62" s="36">
        <f t="shared" si="2"/>
        <v>0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31">
        <f t="shared" ref="N62:O62" si="66">C62+L62</f>
        <v>103</v>
      </c>
      <c r="O62" s="31">
        <f t="shared" si="66"/>
        <v>0</v>
      </c>
      <c r="P62" s="45" t="s">
        <v>58</v>
      </c>
      <c r="Q62" s="45" t="s">
        <v>58</v>
      </c>
      <c r="R62" s="45"/>
      <c r="S62" s="46">
        <f t="shared" si="4"/>
        <v>1</v>
      </c>
      <c r="T62" s="46"/>
      <c r="U62" s="46">
        <f t="shared" si="5"/>
        <v>10</v>
      </c>
      <c r="V62" s="46">
        <f t="shared" si="6"/>
        <v>-1</v>
      </c>
      <c r="W62" s="30">
        <f t="shared" si="44"/>
        <v>58</v>
      </c>
    </row>
    <row r="63">
      <c r="A63" s="30">
        <f t="shared" si="7"/>
        <v>59</v>
      </c>
      <c r="B63" s="28" t="s">
        <v>72</v>
      </c>
      <c r="C63" s="31">
        <v>94.0</v>
      </c>
      <c r="D63" s="31">
        <v>0.0</v>
      </c>
      <c r="E63" s="36">
        <f t="shared" si="2"/>
        <v>0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7">C63+L63</f>
        <v>103</v>
      </c>
      <c r="O63" s="31">
        <f t="shared" si="67"/>
        <v>0</v>
      </c>
      <c r="P63" s="45" t="s">
        <v>58</v>
      </c>
      <c r="Q63" s="45" t="s">
        <v>58</v>
      </c>
      <c r="R63" s="45"/>
      <c r="S63" s="46">
        <f t="shared" si="4"/>
        <v>1</v>
      </c>
      <c r="T63" s="46"/>
      <c r="U63" s="46">
        <f t="shared" si="5"/>
        <v>10</v>
      </c>
      <c r="V63" s="46">
        <f t="shared" si="6"/>
        <v>-1</v>
      </c>
      <c r="W63" s="30">
        <f t="shared" si="44"/>
        <v>59</v>
      </c>
    </row>
    <row r="64">
      <c r="A64" s="30">
        <f t="shared" si="7"/>
        <v>60</v>
      </c>
      <c r="B64" s="43" t="s">
        <v>118</v>
      </c>
      <c r="C64" s="47">
        <v>93.0</v>
      </c>
      <c r="D64" s="31">
        <v>5.0</v>
      </c>
      <c r="E64" s="36">
        <f t="shared" si="2"/>
        <v>7.8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47">
        <f t="shared" ref="N64:O64" si="68">C64+L64</f>
        <v>102</v>
      </c>
      <c r="O64" s="31">
        <f t="shared" si="68"/>
        <v>5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6</v>
      </c>
      <c r="V64" s="46">
        <f t="shared" si="6"/>
        <v>3</v>
      </c>
      <c r="W64" s="30">
        <f t="shared" si="44"/>
        <v>60</v>
      </c>
    </row>
    <row r="65">
      <c r="A65" s="30">
        <f t="shared" si="7"/>
        <v>61</v>
      </c>
      <c r="B65" s="43" t="s">
        <v>76</v>
      </c>
      <c r="C65" s="31">
        <v>90.0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9">C65+L65</f>
        <v>99</v>
      </c>
      <c r="O65" s="31">
        <f t="shared" si="69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11</v>
      </c>
      <c r="V65" s="46">
        <f t="shared" si="6"/>
        <v>0</v>
      </c>
      <c r="W65" s="30">
        <f t="shared" si="44"/>
        <v>61</v>
      </c>
    </row>
    <row r="66">
      <c r="A66" s="30">
        <f t="shared" si="7"/>
        <v>62</v>
      </c>
      <c r="B66" s="43" t="s">
        <v>126</v>
      </c>
      <c r="C66" s="31">
        <v>90.0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70">C66+L66</f>
        <v>99</v>
      </c>
      <c r="O66" s="31">
        <f t="shared" si="70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11</v>
      </c>
      <c r="V66" s="46">
        <f t="shared" si="6"/>
        <v>0</v>
      </c>
      <c r="W66" s="30">
        <f t="shared" si="44"/>
        <v>62</v>
      </c>
    </row>
    <row r="67">
      <c r="A67" s="30">
        <f t="shared" si="7"/>
        <v>63</v>
      </c>
      <c r="B67" s="43" t="s">
        <v>100</v>
      </c>
      <c r="C67" s="31">
        <v>89.0</v>
      </c>
      <c r="D67" s="31">
        <v>7.0</v>
      </c>
      <c r="E67" s="36">
        <f t="shared" si="2"/>
        <v>7.75</v>
      </c>
      <c r="F67" s="73">
        <v>1.0</v>
      </c>
      <c r="G67" s="74">
        <v>8.0</v>
      </c>
      <c r="H67" s="75">
        <v>0.0</v>
      </c>
      <c r="I67" s="74">
        <v>4.0</v>
      </c>
      <c r="J67" s="74">
        <v>6.0</v>
      </c>
      <c r="K67" s="74">
        <v>1.0</v>
      </c>
      <c r="L67" s="76">
        <v>11.0</v>
      </c>
      <c r="M67" s="74">
        <v>1.0</v>
      </c>
      <c r="N67" s="31">
        <f t="shared" ref="N67:O67" si="71">C67+L67</f>
        <v>100</v>
      </c>
      <c r="O67" s="31">
        <f t="shared" si="71"/>
        <v>8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3</v>
      </c>
      <c r="V67" s="46">
        <f t="shared" si="6"/>
        <v>-3</v>
      </c>
      <c r="W67" s="30">
        <f t="shared" si="44"/>
        <v>63</v>
      </c>
    </row>
    <row r="68">
      <c r="A68" s="30">
        <f t="shared" si="7"/>
        <v>64</v>
      </c>
      <c r="B68" s="43" t="s">
        <v>135</v>
      </c>
      <c r="C68" s="31">
        <v>85.0</v>
      </c>
      <c r="D68" s="31">
        <v>1.0</v>
      </c>
      <c r="E68" s="36">
        <f t="shared" si="2"/>
        <v>4.333333333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2">C68+L68</f>
        <v>94</v>
      </c>
      <c r="O68" s="31">
        <f t="shared" si="72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8</v>
      </c>
      <c r="V68" s="46">
        <f t="shared" si="6"/>
        <v>0</v>
      </c>
      <c r="W68" s="30">
        <f t="shared" si="44"/>
        <v>64</v>
      </c>
    </row>
    <row r="69">
      <c r="A69" s="30">
        <f t="shared" si="7"/>
        <v>65</v>
      </c>
      <c r="B69" s="43" t="s">
        <v>78</v>
      </c>
      <c r="C69" s="47">
        <v>84.0</v>
      </c>
      <c r="D69" s="31">
        <v>2.0</v>
      </c>
      <c r="E69" s="36">
        <f t="shared" si="2"/>
        <v>6.5</v>
      </c>
      <c r="F69" s="73">
        <v>1.0</v>
      </c>
      <c r="G69" s="74">
        <v>8.0</v>
      </c>
      <c r="H69" s="75">
        <v>0.0</v>
      </c>
      <c r="I69" s="74">
        <v>6.0</v>
      </c>
      <c r="J69" s="74">
        <v>2.0</v>
      </c>
      <c r="K69" s="74">
        <v>1.0</v>
      </c>
      <c r="L69" s="76">
        <v>9.0</v>
      </c>
      <c r="M69" s="74">
        <v>1.0</v>
      </c>
      <c r="N69" s="47">
        <f t="shared" ref="N69:O69" si="73">C69+L69</f>
        <v>93</v>
      </c>
      <c r="O69" s="31">
        <f t="shared" si="73"/>
        <v>3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5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desc"",0)"),"Chinna Ponnaganti")</f>
        <v>Chinna Ponnaganti</v>
      </c>
      <c r="C76" s="84">
        <f>IFERROR(__xludf.DUMMYFUNCTION("""COMPUTED_VALUE"""),19.0)</f>
        <v>19</v>
      </c>
      <c r="D76" s="84">
        <f>IFERROR(__xludf.DUMMYFUNCTION("""COMPUTED_VALUE"""),2.0)</f>
        <v>2</v>
      </c>
      <c r="E76" s="84">
        <f>IFERROR(__xludf.DUMMYFUNCTION("""COMPUTED_VALUE"""),7.0)</f>
        <v>7</v>
      </c>
      <c r="F76" s="1"/>
      <c r="L76" s="77"/>
      <c r="M76" s="78"/>
      <c r="P76" s="79" t="s">
        <v>151</v>
      </c>
      <c r="Q76" s="24"/>
      <c r="R76" s="18">
        <f>countif(R5:R69,"")</f>
        <v>63</v>
      </c>
    </row>
    <row r="77">
      <c r="A77" s="1"/>
      <c r="B77" s="43" t="str">
        <f>IFERROR(__xludf.DUMMYFUNCTION("""COMPUTED_VALUE"""),"Robert Chang")</f>
        <v>Robert Chang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IFERROR(__xludf.DUMMYFUNCTION("""COMPUTED_VALUE"""),"Tom Le")</f>
        <v>Tom Le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IFERROR(__xludf.DUMMYFUNCTION("""COMPUTED_VALUE"""),9.0)</f>
        <v>9</v>
      </c>
      <c r="F78" s="1"/>
    </row>
    <row r="79">
      <c r="A79" s="1"/>
      <c r="B79" s="43" t="str">
        <f>IFERROR(__xludf.DUMMYFUNCTION("""COMPUTED_VALUE"""),"Sean Chang")</f>
        <v>Sean Chang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IFERROR(__xludf.DUMMYFUNCTION("""COMPUTED_VALUE"""),4.0)</f>
        <v>4</v>
      </c>
      <c r="F79" s="1"/>
      <c r="P79" s="33" t="s">
        <v>172</v>
      </c>
    </row>
    <row r="80">
      <c r="A80" s="1"/>
      <c r="B80" s="43" t="str">
        <f>IFERROR(__xludf.DUMMYFUNCTION("""COMPUTED_VALUE"""),"Adrian Tay")</f>
        <v>Adrian Tay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IFERROR(__xludf.DUMMYFUNCTION("""COMPUTED_VALUE"""),"Vishnu Amarnath")</f>
        <v>Vishnu Amarnath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IFERROR(__xludf.DUMMYFUNCTION("""COMPUTED_VALUE"""),8.0)</f>
        <v>8</v>
      </c>
      <c r="F81" s="1"/>
      <c r="L81" s="33"/>
    </row>
    <row r="82">
      <c r="A82" s="1"/>
      <c r="B82" s="43" t="str">
        <f>IFERROR(__xludf.DUMMYFUNCTION("""COMPUTED_VALUE"""),"Troy Wong")</f>
        <v>Troy Wong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IFERROR(__xludf.DUMMYFUNCTION("""COMPUTED_VALUE"""),2.0)</f>
        <v>2</v>
      </c>
      <c r="F82" s="1"/>
      <c r="L82" s="33"/>
    </row>
    <row r="83">
      <c r="A83" s="1"/>
      <c r="B83" s="43" t="str">
        <f>IFERROR(__xludf.DUMMYFUNCTION("""COMPUTED_VALUE"""),"Ramesh Bandaru")</f>
        <v>Ramesh Bandaru</v>
      </c>
      <c r="C83" s="84">
        <f>IFERROR(__xludf.DUMMYFUNCTION("""COMPUTED_VALUE"""),18.0)</f>
        <v>18</v>
      </c>
      <c r="D83" s="84">
        <f>IFERROR(__xludf.DUMMYFUNCTION("""COMPUTED_VALUE"""),2.0)</f>
        <v>2</v>
      </c>
      <c r="E83" s="84">
        <f>IFERROR(__xludf.DUMMYFUNCTION("""COMPUTED_VALUE"""),7.0)</f>
        <v>7</v>
      </c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10"")"),"Ted Shen")</f>
        <v>Ted Shen</v>
      </c>
      <c r="C90" s="84">
        <f>IFERROR(__xludf.DUMMYFUNCTION("""COMPUTED_VALUE"""),16.0)</f>
        <v>16</v>
      </c>
      <c r="D90" s="84">
        <f t="shared" ref="D90:D99" si="74">VLOOKUP(B90,indirect($AB$2&amp;"!B$5:w$70"),22, false)</f>
        <v>39</v>
      </c>
      <c r="E90" s="84">
        <f t="shared" ref="E90:E99" si="75">VLOOKUP(B90,B$5:W$69,22, false)</f>
        <v>23</v>
      </c>
      <c r="F90" s="84">
        <f t="shared" ref="F90:F99" si="76">VLOOKUP(B90,indirect($AB$2&amp;"!B$5:U$70"),11, false)</f>
        <v>18</v>
      </c>
      <c r="G90" s="84">
        <f t="shared" ref="G90:G99" si="77">VLOOKUP(B90,indirect($AB$2&amp;"!B$5:U$70"),6, false)</f>
        <v>6</v>
      </c>
      <c r="L90" s="84" t="str">
        <f t="shared" ref="L90:L99" si="78">if(D90-E90=C90,"ok","Error")</f>
        <v>ok</v>
      </c>
    </row>
    <row r="91">
      <c r="A91" s="1"/>
      <c r="B91" s="43" t="str">
        <f>IFERROR(__xludf.DUMMYFUNCTION("""COMPUTED_VALUE"""),"Herman Au")</f>
        <v>Herman Au</v>
      </c>
      <c r="C91" s="84">
        <f>IFERROR(__xludf.DUMMYFUNCTION("""COMPUTED_VALUE"""),14.0)</f>
        <v>14</v>
      </c>
      <c r="D91" s="84">
        <f t="shared" si="74"/>
        <v>36</v>
      </c>
      <c r="E91" s="84">
        <f t="shared" si="75"/>
        <v>22</v>
      </c>
      <c r="F91" s="84">
        <f t="shared" si="76"/>
        <v>18</v>
      </c>
      <c r="G91" s="84">
        <f t="shared" si="77"/>
        <v>5</v>
      </c>
      <c r="L91" s="84" t="str">
        <f t="shared" si="78"/>
        <v>ok</v>
      </c>
    </row>
    <row r="92">
      <c r="A92" s="1"/>
      <c r="B92" s="43" t="str">
        <f>IFERROR(__xludf.DUMMYFUNCTION("""COMPUTED_VALUE"""),"Pavan Akkimsetty")</f>
        <v>Pavan Akkimsetty</v>
      </c>
      <c r="C92" s="84">
        <f>IFERROR(__xludf.DUMMYFUNCTION("""COMPUTED_VALUE"""),11.0)</f>
        <v>11</v>
      </c>
      <c r="D92" s="84">
        <f t="shared" si="74"/>
        <v>24</v>
      </c>
      <c r="E92" s="84">
        <f t="shared" si="75"/>
        <v>13</v>
      </c>
      <c r="F92" s="84">
        <f t="shared" si="76"/>
        <v>18</v>
      </c>
      <c r="G92" s="84">
        <f t="shared" si="77"/>
        <v>3</v>
      </c>
      <c r="L92" s="84" t="str">
        <f t="shared" si="78"/>
        <v>ok</v>
      </c>
      <c r="Q92" s="90"/>
    </row>
    <row r="93">
      <c r="A93" s="1"/>
      <c r="B93" s="43" t="str">
        <f>IFERROR(__xludf.DUMMYFUNCTION("""COMPUTED_VALUE"""),"Susanta Mishra")</f>
        <v>Susanta Mishra</v>
      </c>
      <c r="C93" s="84">
        <f>IFERROR(__xludf.DUMMYFUNCTION("""COMPUTED_VALUE"""),11.0)</f>
        <v>11</v>
      </c>
      <c r="D93" s="84">
        <f t="shared" si="74"/>
        <v>31</v>
      </c>
      <c r="E93" s="84">
        <f t="shared" si="75"/>
        <v>20</v>
      </c>
      <c r="F93" s="84">
        <f t="shared" si="76"/>
        <v>18</v>
      </c>
      <c r="G93" s="84">
        <f t="shared" si="77"/>
        <v>4</v>
      </c>
      <c r="L93" s="84" t="str">
        <f t="shared" si="78"/>
        <v>ok</v>
      </c>
    </row>
    <row r="94">
      <c r="A94" s="1"/>
      <c r="B94" s="43" t="str">
        <f>IFERROR(__xludf.DUMMYFUNCTION("""COMPUTED_VALUE"""),"Elayaraja Thangaraj ")</f>
        <v>Elayaraja Thangaraj </v>
      </c>
      <c r="C94" s="84">
        <f>IFERROR(__xludf.DUMMYFUNCTION("""COMPUTED_VALUE"""),9.0)</f>
        <v>9</v>
      </c>
      <c r="D94" s="84">
        <f t="shared" si="74"/>
        <v>51</v>
      </c>
      <c r="E94" s="84">
        <f t="shared" si="75"/>
        <v>42</v>
      </c>
      <c r="F94" s="84">
        <f t="shared" si="76"/>
        <v>19</v>
      </c>
      <c r="G94" s="84">
        <f t="shared" si="77"/>
        <v>7</v>
      </c>
      <c r="L94" s="84" t="str">
        <f t="shared" si="78"/>
        <v>ok</v>
      </c>
    </row>
    <row r="95">
      <c r="A95" s="1"/>
      <c r="B95" s="43" t="str">
        <f>IFERROR(__xludf.DUMMYFUNCTION("""COMPUTED_VALUE"""),"Ethan Gu")</f>
        <v>Ethan Gu</v>
      </c>
      <c r="C95" s="84">
        <f>IFERROR(__xludf.DUMMYFUNCTION("""COMPUTED_VALUE"""),8.0)</f>
        <v>8</v>
      </c>
      <c r="D95" s="84">
        <f t="shared" si="74"/>
        <v>17</v>
      </c>
      <c r="E95" s="84">
        <f t="shared" si="75"/>
        <v>9</v>
      </c>
      <c r="F95" s="84">
        <f t="shared" si="76"/>
        <v>19</v>
      </c>
      <c r="G95" s="84">
        <f t="shared" si="77"/>
        <v>2</v>
      </c>
      <c r="L95" s="84" t="str">
        <f t="shared" si="78"/>
        <v>ok</v>
      </c>
    </row>
    <row r="96">
      <c r="A96" s="1"/>
      <c r="B96" s="43" t="str">
        <f>IFERROR(__xludf.DUMMYFUNCTION("""COMPUTED_VALUE"""),"Trish Newlin")</f>
        <v>Trish Newlin</v>
      </c>
      <c r="C96" s="84">
        <f>IFERROR(__xludf.DUMMYFUNCTION("""COMPUTED_VALUE"""),8.0)</f>
        <v>8</v>
      </c>
      <c r="D96" s="84">
        <f t="shared" si="74"/>
        <v>45</v>
      </c>
      <c r="E96" s="84">
        <f t="shared" si="75"/>
        <v>37</v>
      </c>
      <c r="F96" s="84">
        <f t="shared" si="76"/>
        <v>16</v>
      </c>
      <c r="G96" s="84">
        <f t="shared" si="77"/>
        <v>7</v>
      </c>
      <c r="L96" s="84" t="str">
        <f t="shared" si="78"/>
        <v>ok</v>
      </c>
    </row>
    <row r="97">
      <c r="A97" s="1"/>
      <c r="B97" s="43" t="str">
        <f>IFERROR(__xludf.DUMMYFUNCTION("""COMPUTED_VALUE"""),"Hongyuan Wen")</f>
        <v>Hongyuan Wen</v>
      </c>
      <c r="C97" s="84">
        <f>IFERROR(__xludf.DUMMYFUNCTION("""COMPUTED_VALUE"""),7.0)</f>
        <v>7</v>
      </c>
      <c r="D97" s="84">
        <f t="shared" si="74"/>
        <v>32</v>
      </c>
      <c r="E97" s="84">
        <f t="shared" si="75"/>
        <v>25</v>
      </c>
      <c r="F97" s="84">
        <f t="shared" si="76"/>
        <v>14</v>
      </c>
      <c r="G97" s="84">
        <f t="shared" si="77"/>
        <v>5</v>
      </c>
      <c r="L97" s="84" t="str">
        <f t="shared" si="78"/>
        <v>ok</v>
      </c>
    </row>
    <row r="98">
      <c r="A98" s="1"/>
      <c r="B98" s="43" t="str">
        <f>IFERROR(__xludf.DUMMYFUNCTION("""COMPUTED_VALUE"""),"Sandy Weyant")</f>
        <v>Sandy Weyant</v>
      </c>
      <c r="C98" s="84">
        <f>IFERROR(__xludf.DUMMYFUNCTION("""COMPUTED_VALUE"""),6.0)</f>
        <v>6</v>
      </c>
      <c r="D98" s="84">
        <f t="shared" si="74"/>
        <v>44</v>
      </c>
      <c r="E98" s="84">
        <f t="shared" si="75"/>
        <v>38</v>
      </c>
      <c r="F98" s="84">
        <f t="shared" si="76"/>
        <v>15</v>
      </c>
      <c r="G98" s="84">
        <f t="shared" si="77"/>
        <v>7</v>
      </c>
      <c r="L98" s="84" t="str">
        <f t="shared" si="78"/>
        <v>ok</v>
      </c>
    </row>
    <row r="99">
      <c r="A99" s="1"/>
      <c r="B99" s="43" t="str">
        <f>IFERROR(__xludf.DUMMYFUNCTION("""COMPUTED_VALUE"""),"Santosh Sundaresan ")</f>
        <v>Santosh Sundaresan </v>
      </c>
      <c r="C99" s="84">
        <f>IFERROR(__xludf.DUMMYFUNCTION("""COMPUTED_VALUE"""),5.0)</f>
        <v>5</v>
      </c>
      <c r="D99" s="84">
        <f t="shared" si="74"/>
        <v>59</v>
      </c>
      <c r="E99" s="84">
        <f t="shared" si="75"/>
        <v>54</v>
      </c>
      <c r="F99" s="84">
        <f t="shared" si="76"/>
        <v>15</v>
      </c>
      <c r="G99" s="84">
        <f t="shared" si="77"/>
        <v>8</v>
      </c>
      <c r="L99" s="84" t="str">
        <f t="shared" si="78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10"")"),"Allen Zhang")</f>
        <v>Allen Zhang</v>
      </c>
      <c r="C103" s="84">
        <f>IFERROR(__xludf.DUMMYFUNCTION("""COMPUTED_VALUE"""),-8.0)</f>
        <v>-8</v>
      </c>
      <c r="D103" s="84">
        <f t="shared" ref="D103:D112" si="79">VLOOKUP(B103,indirect($AB$2&amp;"!B$5:w$70"),22, false)</f>
        <v>27</v>
      </c>
      <c r="E103" s="84">
        <f t="shared" ref="E103:E112" si="80">VLOOKUP(B103,B$5:W$69,22, false)</f>
        <v>35</v>
      </c>
      <c r="F103" s="84">
        <f t="shared" ref="F103:F112" si="81">VLOOKUP(B103,indirect($AB$2&amp;"!B$5:U$70"),11, false)</f>
        <v>7</v>
      </c>
      <c r="G103" s="84">
        <f t="shared" ref="G103:G112" si="82">VLOOKUP(B103,indirect($AB$2&amp;"!B$5:U$70"),6, false)</f>
        <v>4</v>
      </c>
      <c r="L103" s="84" t="str">
        <f t="shared" ref="L103:L112" si="83">if(D103-E103=C103,"ok","Error")</f>
        <v>ok</v>
      </c>
    </row>
    <row r="104">
      <c r="A104" s="1"/>
      <c r="B104" s="43" t="str">
        <f>IFERROR(__xludf.DUMMYFUNCTION("""COMPUTED_VALUE"""),"Wayne Liu")</f>
        <v>Wayne Liu</v>
      </c>
      <c r="C104" s="84">
        <f>IFERROR(__xludf.DUMMYFUNCTION("""COMPUTED_VALUE"""),-8.0)</f>
        <v>-8</v>
      </c>
      <c r="D104" s="84">
        <f t="shared" si="79"/>
        <v>28</v>
      </c>
      <c r="E104" s="84">
        <f t="shared" si="80"/>
        <v>36</v>
      </c>
      <c r="F104" s="84">
        <f t="shared" si="81"/>
        <v>8</v>
      </c>
      <c r="G104" s="84">
        <f t="shared" si="82"/>
        <v>4</v>
      </c>
      <c r="L104" s="84" t="str">
        <f t="shared" si="83"/>
        <v>ok</v>
      </c>
    </row>
    <row r="105">
      <c r="A105" s="1"/>
      <c r="B105" s="43" t="str">
        <f>IFERROR(__xludf.DUMMYFUNCTION("""COMPUTED_VALUE"""),"Saravanan Veerapandian")</f>
        <v>Saravanan Veerapandian</v>
      </c>
      <c r="C105" s="84">
        <f>IFERROR(__xludf.DUMMYFUNCTION("""COMPUTED_VALUE"""),-7.0)</f>
        <v>-7</v>
      </c>
      <c r="D105" s="84">
        <f t="shared" si="79"/>
        <v>33</v>
      </c>
      <c r="E105" s="84">
        <f t="shared" si="80"/>
        <v>40</v>
      </c>
      <c r="F105" s="84">
        <f t="shared" si="81"/>
        <v>7</v>
      </c>
      <c r="G105" s="84">
        <f t="shared" si="82"/>
        <v>4</v>
      </c>
      <c r="L105" s="84" t="str">
        <f t="shared" si="83"/>
        <v>ok</v>
      </c>
    </row>
    <row r="106">
      <c r="A106" s="1"/>
      <c r="B106" s="43" t="str">
        <f>IFERROR(__xludf.DUMMYFUNCTION("""COMPUTED_VALUE"""),"Eric Pan")</f>
        <v>Eric Pan</v>
      </c>
      <c r="C106" s="84">
        <f>IFERROR(__xludf.DUMMYFUNCTION("""COMPUTED_VALUE"""),-6.0)</f>
        <v>-6</v>
      </c>
      <c r="D106" s="84">
        <f t="shared" si="79"/>
        <v>22</v>
      </c>
      <c r="E106" s="84">
        <f t="shared" si="80"/>
        <v>28</v>
      </c>
      <c r="F106" s="84">
        <f t="shared" si="81"/>
        <v>9</v>
      </c>
      <c r="G106" s="84">
        <f t="shared" si="82"/>
        <v>0</v>
      </c>
      <c r="L106" s="84" t="str">
        <f t="shared" si="83"/>
        <v>ok</v>
      </c>
    </row>
    <row r="107">
      <c r="A107" s="1"/>
      <c r="B107" s="43" t="str">
        <f>IFERROR(__xludf.DUMMYFUNCTION("""COMPUTED_VALUE"""),"Oscar Bonilla")</f>
        <v>Oscar Bonilla</v>
      </c>
      <c r="C107" s="84">
        <f>IFERROR(__xludf.DUMMYFUNCTION("""COMPUTED_VALUE"""),-5.0)</f>
        <v>-5</v>
      </c>
      <c r="D107" s="84">
        <f t="shared" si="79"/>
        <v>21</v>
      </c>
      <c r="E107" s="84">
        <f t="shared" si="80"/>
        <v>26</v>
      </c>
      <c r="F107" s="84">
        <f t="shared" si="81"/>
        <v>9</v>
      </c>
      <c r="G107" s="84">
        <f t="shared" si="82"/>
        <v>0</v>
      </c>
      <c r="L107" s="84" t="str">
        <f t="shared" si="83"/>
        <v>ok</v>
      </c>
    </row>
    <row r="108">
      <c r="A108" s="1"/>
      <c r="B108" s="43" t="str">
        <f>IFERROR(__xludf.DUMMYFUNCTION("""COMPUTED_VALUE"""),"Sean Chang")</f>
        <v>Sean Chang</v>
      </c>
      <c r="C108" s="84">
        <f>IFERROR(__xludf.DUMMYFUNCTION("""COMPUTED_VALUE"""),-5.0)</f>
        <v>-5</v>
      </c>
      <c r="D108" s="84">
        <f t="shared" si="79"/>
        <v>25</v>
      </c>
      <c r="E108" s="84">
        <f t="shared" si="80"/>
        <v>30</v>
      </c>
      <c r="F108" s="84">
        <f t="shared" si="81"/>
        <v>8</v>
      </c>
      <c r="G108" s="84">
        <f t="shared" si="82"/>
        <v>3</v>
      </c>
      <c r="L108" s="84" t="str">
        <f t="shared" si="83"/>
        <v>ok</v>
      </c>
    </row>
    <row r="109">
      <c r="A109" s="1"/>
      <c r="B109" s="43" t="str">
        <f>IFERROR(__xludf.DUMMYFUNCTION("""COMPUTED_VALUE"""),"Alex Hou")</f>
        <v>Alex Hou</v>
      </c>
      <c r="C109" s="84">
        <f>IFERROR(__xludf.DUMMYFUNCTION("""COMPUTED_VALUE"""),-4.0)</f>
        <v>-4</v>
      </c>
      <c r="D109" s="84">
        <f t="shared" si="79"/>
        <v>8</v>
      </c>
      <c r="E109" s="84">
        <f t="shared" si="80"/>
        <v>12</v>
      </c>
      <c r="F109" s="84">
        <f t="shared" si="81"/>
        <v>8</v>
      </c>
      <c r="G109" s="84">
        <f t="shared" si="82"/>
        <v>9</v>
      </c>
      <c r="L109" s="84" t="str">
        <f t="shared" si="83"/>
        <v>ok</v>
      </c>
    </row>
    <row r="110">
      <c r="A110" s="1"/>
      <c r="B110" s="43" t="str">
        <f>IFERROR(__xludf.DUMMYFUNCTION("""COMPUTED_VALUE"""),"Manish Anand")</f>
        <v>Manish Anand</v>
      </c>
      <c r="C110" s="84">
        <f>IFERROR(__xludf.DUMMYFUNCTION("""COMPUTED_VALUE"""),-4.0)</f>
        <v>-4</v>
      </c>
      <c r="D110" s="84">
        <f t="shared" si="79"/>
        <v>13</v>
      </c>
      <c r="E110" s="84">
        <f t="shared" si="80"/>
        <v>17</v>
      </c>
      <c r="F110" s="84">
        <f t="shared" si="81"/>
        <v>9</v>
      </c>
      <c r="G110" s="84">
        <f t="shared" si="82"/>
        <v>0</v>
      </c>
      <c r="L110" s="84" t="str">
        <f t="shared" si="83"/>
        <v>ok</v>
      </c>
    </row>
    <row r="111">
      <c r="A111" s="1"/>
      <c r="B111" s="43" t="str">
        <f>IFERROR(__xludf.DUMMYFUNCTION("""COMPUTED_VALUE"""),"Jonathan Phan")</f>
        <v>Jonathan Phan</v>
      </c>
      <c r="C111" s="84">
        <f>IFERROR(__xludf.DUMMYFUNCTION("""COMPUTED_VALUE"""),-4.0)</f>
        <v>-4</v>
      </c>
      <c r="D111" s="84">
        <f t="shared" si="79"/>
        <v>15</v>
      </c>
      <c r="E111" s="84">
        <f t="shared" si="80"/>
        <v>19</v>
      </c>
      <c r="F111" s="84">
        <f t="shared" si="81"/>
        <v>9</v>
      </c>
      <c r="G111" s="84">
        <f t="shared" si="82"/>
        <v>0</v>
      </c>
      <c r="L111" s="84" t="str">
        <f t="shared" si="83"/>
        <v>ok</v>
      </c>
    </row>
    <row r="112">
      <c r="A112" s="1"/>
      <c r="B112" s="43" t="str">
        <f>IFERROR(__xludf.DUMMYFUNCTION("""COMPUTED_VALUE"""),"Tina Hanson")</f>
        <v>Tina Hanson</v>
      </c>
      <c r="C112" s="84">
        <f>IFERROR(__xludf.DUMMYFUNCTION("""COMPUTED_VALUE"""),-4.0)</f>
        <v>-4</v>
      </c>
      <c r="D112" s="84">
        <f t="shared" si="79"/>
        <v>20</v>
      </c>
      <c r="E112" s="84">
        <f t="shared" si="80"/>
        <v>24</v>
      </c>
      <c r="F112" s="84">
        <f t="shared" si="81"/>
        <v>9</v>
      </c>
      <c r="G112" s="84">
        <f t="shared" si="82"/>
        <v>3</v>
      </c>
      <c r="L112" s="84" t="str">
        <f t="shared" si="83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4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4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4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4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4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4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4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4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4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4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4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4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4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4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4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4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4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4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4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4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4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4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4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4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4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4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4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4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4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4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4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4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4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4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4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4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4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4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4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4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4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4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4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4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4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4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4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4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4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4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4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4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4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4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4"/>
        <v>56</v>
      </c>
      <c r="B175" s="43"/>
      <c r="C175" s="95" t="str">
        <f>IFERROR(__xludf.DUMMYFUNCTION("""COMPUTED_VALUE"""),"Trinath Goteti")</f>
        <v>Trinath Goteti</v>
      </c>
      <c r="D175" s="23"/>
      <c r="E175" s="24"/>
      <c r="F175" s="95"/>
      <c r="G175" s="23"/>
      <c r="H175" s="24"/>
    </row>
    <row r="176">
      <c r="A176" s="83">
        <f t="shared" si="84"/>
        <v>57</v>
      </c>
      <c r="B176" s="43"/>
      <c r="C176" s="95" t="str">
        <f>IFERROR(__xludf.DUMMYFUNCTION("""COMPUTED_VALUE"""),"Trish Newlin")</f>
        <v>Trish Newlin</v>
      </c>
      <c r="D176" s="23"/>
      <c r="E176" s="24"/>
      <c r="F176" s="95"/>
      <c r="G176" s="23"/>
      <c r="H176" s="24"/>
    </row>
    <row r="177">
      <c r="A177" s="83">
        <f t="shared" si="84"/>
        <v>58</v>
      </c>
      <c r="B177" s="43"/>
      <c r="C177" s="95" t="str">
        <f>IFERROR(__xludf.DUMMYFUNCTION("""COMPUTED_VALUE"""),"Troy Wong")</f>
        <v>Troy Wong</v>
      </c>
      <c r="D177" s="23"/>
      <c r="E177" s="24"/>
      <c r="F177" s="95"/>
      <c r="G177" s="23"/>
      <c r="H177" s="24"/>
    </row>
    <row r="178">
      <c r="A178" s="83">
        <f t="shared" si="84"/>
        <v>59</v>
      </c>
      <c r="B178" s="43"/>
      <c r="C178" s="95" t="str">
        <f>IFERROR(__xludf.DUMMYFUNCTION("""COMPUTED_VALUE"""),"Tyler Leong")</f>
        <v>Tyler Leong</v>
      </c>
      <c r="D178" s="23"/>
      <c r="E178" s="24"/>
      <c r="F178" s="95"/>
      <c r="G178" s="23"/>
      <c r="H178" s="24"/>
    </row>
    <row r="179">
      <c r="A179" s="83">
        <f t="shared" si="84"/>
        <v>60</v>
      </c>
      <c r="B179" s="43"/>
      <c r="C179" s="95" t="str">
        <f>IFERROR(__xludf.DUMMYFUNCTION("""COMPUTED_VALUE"""),"Vicki Martinet")</f>
        <v>Vicki Martinet</v>
      </c>
      <c r="D179" s="23"/>
      <c r="E179" s="24"/>
      <c r="F179" s="95"/>
      <c r="G179" s="23"/>
      <c r="H179" s="24"/>
    </row>
    <row r="180">
      <c r="A180" s="83">
        <f t="shared" si="84"/>
        <v>61</v>
      </c>
      <c r="B180" s="43"/>
      <c r="C180" s="95" t="str">
        <f>IFERROR(__xludf.DUMMYFUNCTION("""COMPUTED_VALUE"""),"Vinaya Kajla")</f>
        <v>Vinaya Kajla</v>
      </c>
      <c r="D180" s="23"/>
      <c r="E180" s="24"/>
      <c r="F180" s="95"/>
      <c r="G180" s="23"/>
      <c r="H180" s="24"/>
    </row>
    <row r="181">
      <c r="A181" s="83">
        <f t="shared" si="84"/>
        <v>62</v>
      </c>
      <c r="B181" s="43"/>
      <c r="C181" s="95" t="str">
        <f>IFERROR(__xludf.DUMMYFUNCTION("""COMPUTED_VALUE"""),"Vishnu Amarnath")</f>
        <v>Vishnu Amarnath</v>
      </c>
      <c r="D181" s="23"/>
      <c r="E181" s="24"/>
      <c r="F181" s="95"/>
      <c r="G181" s="23"/>
      <c r="H181" s="24"/>
    </row>
    <row r="182">
      <c r="A182" s="83">
        <f t="shared" si="84"/>
        <v>63</v>
      </c>
      <c r="B182" s="43"/>
      <c r="C182" s="95" t="str">
        <f>IFERROR(__xludf.DUMMYFUNCTION("""COMPUTED_VALUE"""),"Wayne Liu")</f>
        <v>Wayne Liu</v>
      </c>
      <c r="D182" s="23"/>
      <c r="E182" s="24"/>
      <c r="F182" s="95"/>
      <c r="G182" s="23"/>
      <c r="H182" s="24"/>
    </row>
    <row r="183">
      <c r="A183" s="83">
        <f t="shared" si="84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4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45724.0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10.0</v>
      </c>
      <c r="E2" s="1"/>
      <c r="F2" s="1"/>
      <c r="R2" s="19"/>
      <c r="AB2" s="20" t="str">
        <f>text(C1-7,"mm/dd/yy")</f>
        <v>03/01/25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117</v>
      </c>
      <c r="C5" s="31">
        <v>135.0</v>
      </c>
      <c r="D5" s="31">
        <v>16.0</v>
      </c>
      <c r="E5" s="36">
        <f t="shared" ref="E5:E69" si="2">if(($D$2-U5-S5)&lt;&gt;0,(C5-(U5*9)-(S5*13))/($D$2-U5-S5),0)</f>
        <v>14.85714286</v>
      </c>
      <c r="F5" s="73">
        <v>3.0</v>
      </c>
      <c r="G5" s="74">
        <v>0.0</v>
      </c>
      <c r="H5" s="75">
        <v>9.0</v>
      </c>
      <c r="I5" s="74">
        <v>0.0</v>
      </c>
      <c r="J5" s="74">
        <v>0.0</v>
      </c>
      <c r="K5" s="74">
        <v>0.0</v>
      </c>
      <c r="L5" s="76">
        <v>9.0</v>
      </c>
      <c r="M5" s="74">
        <v>0.0</v>
      </c>
      <c r="N5" s="31">
        <f t="shared" ref="N5:O5" si="1">C5+L5</f>
        <v>144</v>
      </c>
      <c r="O5" s="31">
        <f t="shared" si="1"/>
        <v>16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2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45</v>
      </c>
      <c r="C6" s="31">
        <v>131.0</v>
      </c>
      <c r="D6" s="31">
        <v>15.0</v>
      </c>
      <c r="E6" s="36">
        <f t="shared" si="2"/>
        <v>13.11111111</v>
      </c>
      <c r="F6" s="73">
        <v>1.0</v>
      </c>
      <c r="G6" s="74">
        <v>1.0</v>
      </c>
      <c r="H6" s="75">
        <v>0.0</v>
      </c>
      <c r="I6" s="74">
        <v>7.0</v>
      </c>
      <c r="J6" s="74">
        <v>6.0</v>
      </c>
      <c r="K6" s="74">
        <v>7.0</v>
      </c>
      <c r="L6" s="76">
        <v>20.0</v>
      </c>
      <c r="M6" s="74">
        <v>3.0</v>
      </c>
      <c r="N6" s="31">
        <f t="shared" ref="N6:O6" si="3">C6+L6</f>
        <v>151</v>
      </c>
      <c r="O6" s="31">
        <f t="shared" si="3"/>
        <v>18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0</v>
      </c>
      <c r="V6" s="46">
        <f t="shared" si="6"/>
        <v>2</v>
      </c>
      <c r="W6" s="30">
        <f t="shared" ref="W6:W35" si="9">W5+1</f>
        <v>2</v>
      </c>
    </row>
    <row r="7">
      <c r="A7" s="30">
        <f t="shared" si="7"/>
        <v>3</v>
      </c>
      <c r="B7" s="43" t="s">
        <v>121</v>
      </c>
      <c r="C7" s="31">
        <v>130.0</v>
      </c>
      <c r="D7" s="31">
        <v>14.0</v>
      </c>
      <c r="E7" s="36">
        <f t="shared" si="2"/>
        <v>15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139</v>
      </c>
      <c r="O7" s="31">
        <f t="shared" si="8"/>
        <v>14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3</v>
      </c>
      <c r="V7" s="46">
        <f t="shared" si="6"/>
        <v>5</v>
      </c>
      <c r="W7" s="30">
        <f t="shared" si="9"/>
        <v>3</v>
      </c>
    </row>
    <row r="8">
      <c r="A8" s="30">
        <f t="shared" si="7"/>
        <v>4</v>
      </c>
      <c r="B8" s="28" t="s">
        <v>97</v>
      </c>
      <c r="C8" s="31">
        <v>126.0</v>
      </c>
      <c r="D8" s="31">
        <v>11.0</v>
      </c>
      <c r="E8" s="36">
        <f t="shared" si="2"/>
        <v>12.5</v>
      </c>
      <c r="F8" s="73">
        <v>1.0</v>
      </c>
      <c r="G8" s="74">
        <v>1.0</v>
      </c>
      <c r="H8" s="75">
        <v>0.0</v>
      </c>
      <c r="I8" s="74">
        <v>5.0</v>
      </c>
      <c r="J8" s="74">
        <v>6.0</v>
      </c>
      <c r="K8" s="74">
        <v>5.0</v>
      </c>
      <c r="L8" s="76">
        <v>16.0</v>
      </c>
      <c r="M8" s="74">
        <v>1.0</v>
      </c>
      <c r="N8" s="31">
        <f t="shared" ref="N8:O8" si="10">C8+L8</f>
        <v>142</v>
      </c>
      <c r="O8" s="31">
        <f t="shared" si="10"/>
        <v>12</v>
      </c>
      <c r="P8" s="45" t="s">
        <v>58</v>
      </c>
      <c r="Q8" s="45" t="s">
        <v>58</v>
      </c>
      <c r="R8" s="45"/>
      <c r="S8" s="46">
        <f t="shared" si="4"/>
        <v>2</v>
      </c>
      <c r="T8" s="46"/>
      <c r="U8" s="46">
        <f t="shared" si="5"/>
        <v>0</v>
      </c>
      <c r="V8" s="46">
        <f t="shared" si="6"/>
        <v>2</v>
      </c>
      <c r="W8" s="30">
        <f t="shared" si="9"/>
        <v>4</v>
      </c>
    </row>
    <row r="9">
      <c r="A9" s="30">
        <f t="shared" si="7"/>
        <v>5</v>
      </c>
      <c r="B9" s="28" t="s">
        <v>44</v>
      </c>
      <c r="C9" s="31">
        <v>125.0</v>
      </c>
      <c r="D9" s="31">
        <v>14.0</v>
      </c>
      <c r="E9" s="36">
        <f t="shared" si="2"/>
        <v>14</v>
      </c>
      <c r="F9" s="73">
        <v>1.0</v>
      </c>
      <c r="G9" s="74">
        <v>1.0</v>
      </c>
      <c r="H9" s="75">
        <v>0.0</v>
      </c>
      <c r="I9" s="74">
        <v>7.0</v>
      </c>
      <c r="J9" s="74">
        <v>4.0</v>
      </c>
      <c r="K9" s="74">
        <v>5.0</v>
      </c>
      <c r="L9" s="76">
        <v>16.0</v>
      </c>
      <c r="M9" s="74">
        <v>1.0</v>
      </c>
      <c r="N9" s="31">
        <f t="shared" ref="N9:O9" si="11">C9+L9</f>
        <v>141</v>
      </c>
      <c r="O9" s="31">
        <f t="shared" si="11"/>
        <v>15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3</v>
      </c>
      <c r="V9" s="46">
        <f t="shared" si="6"/>
        <v>-2</v>
      </c>
      <c r="W9" s="30">
        <f t="shared" si="9"/>
        <v>5</v>
      </c>
    </row>
    <row r="10">
      <c r="A10" s="30">
        <f t="shared" si="7"/>
        <v>6</v>
      </c>
      <c r="B10" s="43" t="s">
        <v>87</v>
      </c>
      <c r="C10" s="47">
        <v>125.0</v>
      </c>
      <c r="D10" s="31">
        <v>11.0</v>
      </c>
      <c r="E10" s="36">
        <f t="shared" si="2"/>
        <v>13.375</v>
      </c>
      <c r="F10" s="73">
        <v>1.0</v>
      </c>
      <c r="G10" s="74">
        <v>1.0</v>
      </c>
      <c r="H10" s="75">
        <v>0.0</v>
      </c>
      <c r="I10" s="74">
        <v>5.0</v>
      </c>
      <c r="J10" s="74">
        <v>4.0</v>
      </c>
      <c r="K10" s="74">
        <v>7.0</v>
      </c>
      <c r="L10" s="76">
        <v>16.0</v>
      </c>
      <c r="M10" s="74">
        <v>1.0</v>
      </c>
      <c r="N10" s="47">
        <f t="shared" ref="N10:O10" si="12">C10+L10</f>
        <v>141</v>
      </c>
      <c r="O10" s="31">
        <f t="shared" si="12"/>
        <v>12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2</v>
      </c>
      <c r="V10" s="46">
        <f t="shared" si="6"/>
        <v>5</v>
      </c>
      <c r="W10" s="30">
        <f t="shared" si="9"/>
        <v>6</v>
      </c>
    </row>
    <row r="11">
      <c r="A11" s="30">
        <f t="shared" si="7"/>
        <v>7</v>
      </c>
      <c r="B11" s="28" t="s">
        <v>116</v>
      </c>
      <c r="C11" s="31">
        <v>124.0</v>
      </c>
      <c r="D11" s="31">
        <v>12.0</v>
      </c>
      <c r="E11" s="36">
        <f t="shared" si="2"/>
        <v>14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133</v>
      </c>
      <c r="O11" s="31">
        <f t="shared" si="13"/>
        <v>12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3</v>
      </c>
      <c r="V11" s="46">
        <f t="shared" si="6"/>
        <v>-5</v>
      </c>
      <c r="W11" s="30">
        <f t="shared" si="9"/>
        <v>7</v>
      </c>
    </row>
    <row r="12">
      <c r="A12" s="30">
        <f t="shared" si="7"/>
        <v>8</v>
      </c>
      <c r="B12" s="43" t="s">
        <v>56</v>
      </c>
      <c r="C12" s="31">
        <v>123.0</v>
      </c>
      <c r="D12" s="31">
        <v>13.0</v>
      </c>
      <c r="E12" s="36">
        <f t="shared" si="2"/>
        <v>12.3</v>
      </c>
      <c r="F12" s="73">
        <v>1.0</v>
      </c>
      <c r="G12" s="74">
        <v>9.0</v>
      </c>
      <c r="H12" s="75">
        <v>0.0</v>
      </c>
      <c r="I12" s="74">
        <v>1.0</v>
      </c>
      <c r="J12" s="74">
        <v>3.0</v>
      </c>
      <c r="K12" s="74">
        <v>4.0</v>
      </c>
      <c r="L12" s="76">
        <v>8.0</v>
      </c>
      <c r="M12" s="74">
        <v>0.0</v>
      </c>
      <c r="N12" s="31">
        <f t="shared" ref="N12:O12" si="14">C12+L12</f>
        <v>131</v>
      </c>
      <c r="O12" s="31">
        <f t="shared" si="14"/>
        <v>13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0</v>
      </c>
      <c r="V12" s="46">
        <f t="shared" si="6"/>
        <v>2</v>
      </c>
      <c r="W12" s="30">
        <f t="shared" si="9"/>
        <v>8</v>
      </c>
    </row>
    <row r="13">
      <c r="A13" s="30">
        <f t="shared" si="7"/>
        <v>9</v>
      </c>
      <c r="B13" s="43" t="s">
        <v>88</v>
      </c>
      <c r="C13" s="47">
        <v>123.0</v>
      </c>
      <c r="D13" s="31">
        <v>12.0</v>
      </c>
      <c r="E13" s="36">
        <f t="shared" si="2"/>
        <v>12.22222222</v>
      </c>
      <c r="F13" s="73">
        <v>1.0</v>
      </c>
      <c r="G13" s="74">
        <v>9.0</v>
      </c>
      <c r="H13" s="75">
        <v>0.0</v>
      </c>
      <c r="I13" s="74">
        <v>6.0</v>
      </c>
      <c r="J13" s="74">
        <v>3.0</v>
      </c>
      <c r="K13" s="74">
        <v>6.0</v>
      </c>
      <c r="L13" s="76">
        <v>15.0</v>
      </c>
      <c r="M13" s="74">
        <v>2.0</v>
      </c>
      <c r="N13" s="47">
        <f t="shared" ref="N13:O13" si="15">C13+L13</f>
        <v>138</v>
      </c>
      <c r="O13" s="31">
        <f t="shared" si="15"/>
        <v>14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0</v>
      </c>
      <c r="V13" s="46">
        <f t="shared" si="6"/>
        <v>-4</v>
      </c>
      <c r="W13" s="30">
        <f t="shared" si="9"/>
        <v>9</v>
      </c>
    </row>
    <row r="14">
      <c r="A14" s="30">
        <f t="shared" si="7"/>
        <v>10</v>
      </c>
      <c r="B14" s="28" t="s">
        <v>120</v>
      </c>
      <c r="C14" s="31">
        <v>122.0</v>
      </c>
      <c r="D14" s="31">
        <v>13.0</v>
      </c>
      <c r="E14" s="36">
        <f t="shared" si="2"/>
        <v>13</v>
      </c>
      <c r="F14" s="73">
        <v>1.0</v>
      </c>
      <c r="G14" s="74">
        <v>9.0</v>
      </c>
      <c r="H14" s="75">
        <v>0.0</v>
      </c>
      <c r="I14" s="74">
        <v>6.0</v>
      </c>
      <c r="J14" s="74">
        <v>6.0</v>
      </c>
      <c r="K14" s="74">
        <v>4.0</v>
      </c>
      <c r="L14" s="76">
        <v>16.0</v>
      </c>
      <c r="M14" s="74">
        <v>2.0</v>
      </c>
      <c r="N14" s="31">
        <f t="shared" ref="N14:O14" si="16">C14+L14</f>
        <v>138</v>
      </c>
      <c r="O14" s="31">
        <f t="shared" si="16"/>
        <v>15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2</v>
      </c>
      <c r="V14" s="46">
        <f t="shared" si="6"/>
        <v>9</v>
      </c>
      <c r="W14" s="30">
        <f t="shared" si="9"/>
        <v>10</v>
      </c>
    </row>
    <row r="15">
      <c r="A15" s="30">
        <f t="shared" si="7"/>
        <v>11</v>
      </c>
      <c r="B15" s="43" t="s">
        <v>130</v>
      </c>
      <c r="C15" s="31">
        <v>120.0</v>
      </c>
      <c r="D15" s="31">
        <v>12.0</v>
      </c>
      <c r="E15" s="36">
        <f t="shared" si="2"/>
        <v>14</v>
      </c>
      <c r="F15" s="73">
        <v>3.0</v>
      </c>
      <c r="G15" s="74">
        <v>0.0</v>
      </c>
      <c r="H15" s="75">
        <v>9.0</v>
      </c>
      <c r="I15" s="74">
        <v>0.0</v>
      </c>
      <c r="J15" s="74">
        <v>0.0</v>
      </c>
      <c r="K15" s="74">
        <v>0.0</v>
      </c>
      <c r="L15" s="76">
        <v>9.0</v>
      </c>
      <c r="M15" s="74">
        <v>0.0</v>
      </c>
      <c r="N15" s="31">
        <f t="shared" ref="N15:O15" si="17">C15+L15</f>
        <v>129</v>
      </c>
      <c r="O15" s="31">
        <f t="shared" si="17"/>
        <v>12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4</v>
      </c>
      <c r="V15" s="46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43" t="s">
        <v>94</v>
      </c>
      <c r="C16" s="31">
        <v>120.0</v>
      </c>
      <c r="D16" s="31">
        <v>10.0</v>
      </c>
      <c r="E16" s="36">
        <f t="shared" si="2"/>
        <v>14.2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129</v>
      </c>
      <c r="O16" s="31">
        <f t="shared" si="18"/>
        <v>10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4</v>
      </c>
      <c r="V16" s="46">
        <f t="shared" si="6"/>
        <v>-3</v>
      </c>
      <c r="W16" s="30">
        <f t="shared" si="9"/>
        <v>12</v>
      </c>
    </row>
    <row r="17">
      <c r="A17" s="30">
        <f t="shared" si="7"/>
        <v>13</v>
      </c>
      <c r="B17" s="28" t="s">
        <v>101</v>
      </c>
      <c r="C17" s="31">
        <v>120.0</v>
      </c>
      <c r="D17" s="31">
        <v>8.0</v>
      </c>
      <c r="E17" s="36">
        <f t="shared" si="2"/>
        <v>12.71428571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129</v>
      </c>
      <c r="O17" s="31">
        <f t="shared" si="19"/>
        <v>8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2</v>
      </c>
      <c r="V17" s="46">
        <f t="shared" si="6"/>
        <v>0</v>
      </c>
      <c r="W17" s="30">
        <f t="shared" si="9"/>
        <v>13</v>
      </c>
    </row>
    <row r="18">
      <c r="A18" s="30">
        <f t="shared" si="7"/>
        <v>14</v>
      </c>
      <c r="B18" s="48" t="s">
        <v>82</v>
      </c>
      <c r="C18" s="31">
        <v>119.0</v>
      </c>
      <c r="D18" s="31">
        <v>10.0</v>
      </c>
      <c r="E18" s="36">
        <f t="shared" si="2"/>
        <v>13.14285714</v>
      </c>
      <c r="F18" s="73">
        <v>1.0</v>
      </c>
      <c r="G18" s="74">
        <v>9.0</v>
      </c>
      <c r="H18" s="75">
        <v>0.0</v>
      </c>
      <c r="I18" s="74">
        <v>1.0</v>
      </c>
      <c r="J18" s="74">
        <v>6.0</v>
      </c>
      <c r="K18" s="74">
        <v>6.0</v>
      </c>
      <c r="L18" s="76">
        <v>13.0</v>
      </c>
      <c r="M18" s="74">
        <v>2.0</v>
      </c>
      <c r="N18" s="31">
        <f t="shared" ref="N18:O18" si="20">C18+L18</f>
        <v>132</v>
      </c>
      <c r="O18" s="31">
        <f t="shared" si="20"/>
        <v>12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3</v>
      </c>
      <c r="V18" s="46">
        <f t="shared" si="6"/>
        <v>0</v>
      </c>
      <c r="W18" s="30">
        <f t="shared" si="9"/>
        <v>14</v>
      </c>
    </row>
    <row r="19">
      <c r="A19" s="30">
        <f t="shared" si="7"/>
        <v>15</v>
      </c>
      <c r="B19" s="28" t="s">
        <v>92</v>
      </c>
      <c r="C19" s="31">
        <v>117.0</v>
      </c>
      <c r="D19" s="31">
        <v>10.0</v>
      </c>
      <c r="E19" s="36">
        <f t="shared" si="2"/>
        <v>13.5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126</v>
      </c>
      <c r="O19" s="31">
        <f t="shared" si="21"/>
        <v>10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4</v>
      </c>
      <c r="V19" s="46">
        <f t="shared" si="6"/>
        <v>1</v>
      </c>
      <c r="W19" s="30">
        <f t="shared" si="9"/>
        <v>15</v>
      </c>
    </row>
    <row r="20">
      <c r="A20" s="30">
        <f t="shared" si="7"/>
        <v>16</v>
      </c>
      <c r="B20" s="28" t="s">
        <v>137</v>
      </c>
      <c r="C20" s="31">
        <v>116.0</v>
      </c>
      <c r="D20" s="31">
        <v>9.0</v>
      </c>
      <c r="E20" s="36">
        <f t="shared" si="2"/>
        <v>12.66666667</v>
      </c>
      <c r="F20" s="73">
        <v>1.0</v>
      </c>
      <c r="G20" s="74">
        <v>2.0</v>
      </c>
      <c r="H20" s="75">
        <v>0.0</v>
      </c>
      <c r="I20" s="74">
        <v>2.0</v>
      </c>
      <c r="J20" s="74">
        <v>6.0</v>
      </c>
      <c r="K20" s="74">
        <v>5.0</v>
      </c>
      <c r="L20" s="76">
        <v>13.0</v>
      </c>
      <c r="M20" s="74">
        <v>1.0</v>
      </c>
      <c r="N20" s="31">
        <f t="shared" ref="N20:O20" si="22">C20+L20</f>
        <v>129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3</v>
      </c>
      <c r="V20" s="46">
        <f t="shared" si="6"/>
        <v>-4</v>
      </c>
      <c r="W20" s="30">
        <f t="shared" si="9"/>
        <v>16</v>
      </c>
    </row>
    <row r="21">
      <c r="A21" s="30">
        <f t="shared" si="7"/>
        <v>17</v>
      </c>
      <c r="B21" s="43" t="s">
        <v>64</v>
      </c>
      <c r="C21" s="47">
        <v>114.0</v>
      </c>
      <c r="D21" s="31">
        <v>11.0</v>
      </c>
      <c r="E21" s="36">
        <f t="shared" si="2"/>
        <v>12</v>
      </c>
      <c r="F21" s="73">
        <v>1.0</v>
      </c>
      <c r="G21" s="74">
        <v>2.0</v>
      </c>
      <c r="H21" s="75">
        <v>0.0</v>
      </c>
      <c r="I21" s="74">
        <v>6.0</v>
      </c>
      <c r="J21" s="74">
        <v>6.0</v>
      </c>
      <c r="K21" s="74">
        <v>7.0</v>
      </c>
      <c r="L21" s="76">
        <v>19.0</v>
      </c>
      <c r="M21" s="74">
        <v>3.0</v>
      </c>
      <c r="N21" s="47">
        <f t="shared" ref="N21:O21" si="23">C21+L21</f>
        <v>133</v>
      </c>
      <c r="O21" s="31">
        <f t="shared" si="23"/>
        <v>14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2</v>
      </c>
      <c r="V21" s="46">
        <f t="shared" si="6"/>
        <v>3</v>
      </c>
      <c r="W21" s="30">
        <f t="shared" si="9"/>
        <v>17</v>
      </c>
    </row>
    <row r="22">
      <c r="A22" s="30">
        <f t="shared" si="7"/>
        <v>18</v>
      </c>
      <c r="B22" s="28" t="s">
        <v>104</v>
      </c>
      <c r="C22" s="31">
        <v>114.0</v>
      </c>
      <c r="D22" s="31">
        <v>10.0</v>
      </c>
      <c r="E22" s="36">
        <f t="shared" si="2"/>
        <v>11.85714286</v>
      </c>
      <c r="F22" s="73">
        <v>2.0</v>
      </c>
      <c r="G22" s="74">
        <v>2.0</v>
      </c>
      <c r="H22" s="75">
        <v>0.0</v>
      </c>
      <c r="I22" s="74">
        <v>6.0</v>
      </c>
      <c r="J22" s="74">
        <v>3.0</v>
      </c>
      <c r="K22" s="74">
        <v>5.0</v>
      </c>
      <c r="L22" s="76">
        <v>14.0</v>
      </c>
      <c r="M22" s="74">
        <v>1.0</v>
      </c>
      <c r="N22" s="31">
        <f t="shared" ref="N22:O22" si="24">C22+L22</f>
        <v>128</v>
      </c>
      <c r="O22" s="31">
        <f t="shared" si="24"/>
        <v>11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2</v>
      </c>
      <c r="V22" s="46">
        <f t="shared" si="6"/>
        <v>-3</v>
      </c>
      <c r="W22" s="30">
        <f t="shared" si="9"/>
        <v>18</v>
      </c>
    </row>
    <row r="23">
      <c r="A23" s="30">
        <f t="shared" si="7"/>
        <v>19</v>
      </c>
      <c r="B23" s="28" t="s">
        <v>89</v>
      </c>
      <c r="C23" s="31">
        <v>113.0</v>
      </c>
      <c r="D23" s="31">
        <v>8.0</v>
      </c>
      <c r="E23" s="36">
        <f t="shared" si="2"/>
        <v>12</v>
      </c>
      <c r="F23" s="73">
        <v>1.0</v>
      </c>
      <c r="G23" s="74">
        <v>2.0</v>
      </c>
      <c r="H23" s="75">
        <v>0.0</v>
      </c>
      <c r="I23" s="74">
        <v>2.0</v>
      </c>
      <c r="J23" s="74">
        <v>3.0</v>
      </c>
      <c r="K23" s="74">
        <v>7.0</v>
      </c>
      <c r="L23" s="76">
        <v>12.0</v>
      </c>
      <c r="M23" s="74">
        <v>1.0</v>
      </c>
      <c r="N23" s="31">
        <f t="shared" ref="N23:O23" si="25">C23+L23</f>
        <v>125</v>
      </c>
      <c r="O23" s="31">
        <f t="shared" si="25"/>
        <v>9</v>
      </c>
      <c r="P23" s="45" t="s">
        <v>58</v>
      </c>
      <c r="Q23" s="45" t="s">
        <v>58</v>
      </c>
      <c r="R23" s="45"/>
      <c r="S23" s="46">
        <f t="shared" si="4"/>
        <v>2</v>
      </c>
      <c r="T23" s="46"/>
      <c r="U23" s="46">
        <f t="shared" si="5"/>
        <v>3</v>
      </c>
      <c r="V23" s="46">
        <f t="shared" si="6"/>
        <v>-1</v>
      </c>
      <c r="W23" s="30">
        <f t="shared" si="9"/>
        <v>19</v>
      </c>
    </row>
    <row r="24">
      <c r="A24" s="30">
        <f t="shared" si="7"/>
        <v>20</v>
      </c>
      <c r="B24" s="43" t="s">
        <v>129</v>
      </c>
      <c r="C24" s="47">
        <v>112.0</v>
      </c>
      <c r="D24" s="31">
        <v>11.0</v>
      </c>
      <c r="E24" s="36">
        <f t="shared" si="2"/>
        <v>11.2</v>
      </c>
      <c r="F24" s="73">
        <v>1.0</v>
      </c>
      <c r="G24" s="74">
        <v>3.0</v>
      </c>
      <c r="H24" s="75">
        <v>0.0</v>
      </c>
      <c r="I24" s="74">
        <v>2.0</v>
      </c>
      <c r="J24" s="74">
        <v>6.0</v>
      </c>
      <c r="K24" s="74">
        <v>1.0</v>
      </c>
      <c r="L24" s="76">
        <v>9.0</v>
      </c>
      <c r="M24" s="74">
        <v>1.0</v>
      </c>
      <c r="N24" s="47">
        <f t="shared" ref="N24:O24" si="26">C24+L24</f>
        <v>121</v>
      </c>
      <c r="O24" s="31">
        <f t="shared" si="26"/>
        <v>12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13</v>
      </c>
      <c r="W24" s="30">
        <f t="shared" si="9"/>
        <v>20</v>
      </c>
    </row>
    <row r="25">
      <c r="A25" s="30">
        <f t="shared" si="7"/>
        <v>21</v>
      </c>
      <c r="B25" s="28" t="s">
        <v>128</v>
      </c>
      <c r="C25" s="31">
        <v>112.0</v>
      </c>
      <c r="D25" s="31">
        <v>10.0</v>
      </c>
      <c r="E25" s="36">
        <f t="shared" si="2"/>
        <v>13.4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121</v>
      </c>
      <c r="O25" s="31">
        <f t="shared" si="27"/>
        <v>10</v>
      </c>
      <c r="P25" s="45" t="s">
        <v>58</v>
      </c>
      <c r="Q25" s="45" t="s">
        <v>58</v>
      </c>
      <c r="R25" s="45"/>
      <c r="S25" s="46">
        <f t="shared" si="4"/>
        <v>0</v>
      </c>
      <c r="T25" s="46"/>
      <c r="U25" s="46">
        <f t="shared" si="5"/>
        <v>5</v>
      </c>
      <c r="V25" s="46">
        <f t="shared" si="6"/>
        <v>3</v>
      </c>
      <c r="W25" s="30">
        <f t="shared" si="9"/>
        <v>21</v>
      </c>
    </row>
    <row r="26">
      <c r="A26" s="30">
        <f t="shared" si="7"/>
        <v>22</v>
      </c>
      <c r="B26" s="28" t="s">
        <v>102</v>
      </c>
      <c r="C26" s="31">
        <v>112.0</v>
      </c>
      <c r="D26" s="31">
        <v>9.0</v>
      </c>
      <c r="E26" s="36">
        <f t="shared" si="2"/>
        <v>15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121</v>
      </c>
      <c r="O26" s="31">
        <f t="shared" si="28"/>
        <v>9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6</v>
      </c>
      <c r="V26" s="46">
        <f t="shared" si="6"/>
        <v>0</v>
      </c>
      <c r="W26" s="30">
        <f t="shared" si="9"/>
        <v>22</v>
      </c>
    </row>
    <row r="27">
      <c r="A27" s="30">
        <f t="shared" si="7"/>
        <v>23</v>
      </c>
      <c r="B27" s="28" t="s">
        <v>98</v>
      </c>
      <c r="C27" s="31">
        <v>112.0</v>
      </c>
      <c r="D27" s="31">
        <v>9.0</v>
      </c>
      <c r="E27" s="36">
        <f t="shared" si="2"/>
        <v>12.66666667</v>
      </c>
      <c r="F27" s="73">
        <v>1.0</v>
      </c>
      <c r="G27" s="74">
        <v>3.0</v>
      </c>
      <c r="H27" s="75">
        <v>0.0</v>
      </c>
      <c r="I27" s="74">
        <v>2.0</v>
      </c>
      <c r="J27" s="74">
        <v>1.0</v>
      </c>
      <c r="K27" s="74">
        <v>6.0</v>
      </c>
      <c r="L27" s="76">
        <v>9.0</v>
      </c>
      <c r="M27" s="74">
        <v>1.0</v>
      </c>
      <c r="N27" s="31">
        <f t="shared" ref="N27:O27" si="29">C27+L27</f>
        <v>121</v>
      </c>
      <c r="O27" s="31">
        <f t="shared" si="29"/>
        <v>10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4</v>
      </c>
      <c r="V27" s="46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28" t="s">
        <v>74</v>
      </c>
      <c r="C28" s="31">
        <v>111.0</v>
      </c>
      <c r="D28" s="31">
        <v>10.0</v>
      </c>
      <c r="E28" s="36">
        <f t="shared" si="2"/>
        <v>12.5</v>
      </c>
      <c r="F28" s="73">
        <v>1.0</v>
      </c>
      <c r="G28" s="74">
        <v>3.0</v>
      </c>
      <c r="H28" s="75">
        <v>0.0</v>
      </c>
      <c r="I28" s="74">
        <v>6.0</v>
      </c>
      <c r="J28" s="74">
        <v>6.0</v>
      </c>
      <c r="K28" s="74">
        <v>6.0</v>
      </c>
      <c r="L28" s="76">
        <v>18.0</v>
      </c>
      <c r="M28" s="74">
        <v>3.0</v>
      </c>
      <c r="N28" s="31">
        <f t="shared" ref="N28:O28" si="30">C28+L28</f>
        <v>129</v>
      </c>
      <c r="O28" s="31">
        <f t="shared" si="30"/>
        <v>13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4</v>
      </c>
      <c r="V28" s="46">
        <f t="shared" si="6"/>
        <v>-1</v>
      </c>
      <c r="W28" s="30">
        <f t="shared" si="9"/>
        <v>24</v>
      </c>
    </row>
    <row r="29">
      <c r="A29" s="30">
        <f t="shared" si="7"/>
        <v>25</v>
      </c>
      <c r="B29" s="28" t="s">
        <v>119</v>
      </c>
      <c r="C29" s="31">
        <v>111.0</v>
      </c>
      <c r="D29" s="31">
        <v>10.0</v>
      </c>
      <c r="E29" s="36">
        <f t="shared" si="2"/>
        <v>11.42857143</v>
      </c>
      <c r="F29" s="73">
        <v>1.0</v>
      </c>
      <c r="G29" s="74">
        <v>3.0</v>
      </c>
      <c r="H29" s="75">
        <v>0.0</v>
      </c>
      <c r="I29" s="74">
        <v>6.0</v>
      </c>
      <c r="J29" s="74">
        <v>1.0</v>
      </c>
      <c r="K29" s="74">
        <v>1.0</v>
      </c>
      <c r="L29" s="76">
        <v>8.0</v>
      </c>
      <c r="M29" s="74">
        <v>1.0</v>
      </c>
      <c r="N29" s="31">
        <f t="shared" ref="N29:O29" si="31">C29+L29</f>
        <v>119</v>
      </c>
      <c r="O29" s="31">
        <f t="shared" si="31"/>
        <v>11</v>
      </c>
      <c r="P29" s="45" t="s">
        <v>58</v>
      </c>
      <c r="Q29" s="45" t="s">
        <v>58</v>
      </c>
      <c r="R29" s="45" t="s">
        <v>58</v>
      </c>
      <c r="S29" s="46">
        <f t="shared" si="4"/>
        <v>1</v>
      </c>
      <c r="T29" s="46"/>
      <c r="U29" s="46">
        <f t="shared" si="5"/>
        <v>2</v>
      </c>
      <c r="V29" s="46">
        <f t="shared" si="6"/>
        <v>15</v>
      </c>
      <c r="W29" s="30">
        <f t="shared" si="9"/>
        <v>25</v>
      </c>
    </row>
    <row r="30">
      <c r="A30" s="30">
        <f t="shared" si="7"/>
        <v>26</v>
      </c>
      <c r="B30" s="28" t="s">
        <v>49</v>
      </c>
      <c r="C30" s="31">
        <v>111.0</v>
      </c>
      <c r="D30" s="31">
        <v>10.0</v>
      </c>
      <c r="E30" s="36">
        <f t="shared" si="2"/>
        <v>11.125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120</v>
      </c>
      <c r="O30" s="31">
        <f t="shared" si="32"/>
        <v>10</v>
      </c>
      <c r="P30" s="45" t="s">
        <v>58</v>
      </c>
      <c r="Q30" s="45" t="s">
        <v>58</v>
      </c>
      <c r="R30" s="45" t="s">
        <v>58</v>
      </c>
      <c r="S30" s="46">
        <f t="shared" si="4"/>
        <v>1</v>
      </c>
      <c r="T30" s="46"/>
      <c r="U30" s="46">
        <f t="shared" si="5"/>
        <v>1</v>
      </c>
      <c r="V30" s="46">
        <f t="shared" si="6"/>
        <v>11</v>
      </c>
      <c r="W30" s="30">
        <f t="shared" si="9"/>
        <v>26</v>
      </c>
    </row>
    <row r="31">
      <c r="A31" s="30">
        <f t="shared" si="7"/>
        <v>27</v>
      </c>
      <c r="B31" s="43" t="s">
        <v>61</v>
      </c>
      <c r="C31" s="47">
        <v>109.0</v>
      </c>
      <c r="D31" s="31">
        <v>13.0</v>
      </c>
      <c r="E31" s="36">
        <f t="shared" si="2"/>
        <v>10.9</v>
      </c>
      <c r="F31" s="73">
        <v>1.0</v>
      </c>
      <c r="G31" s="74">
        <v>4.0</v>
      </c>
      <c r="H31" s="75">
        <v>0.0</v>
      </c>
      <c r="I31" s="74">
        <v>0.0</v>
      </c>
      <c r="J31" s="74">
        <v>1.0</v>
      </c>
      <c r="K31" s="74">
        <v>6.0</v>
      </c>
      <c r="L31" s="76">
        <v>7.0</v>
      </c>
      <c r="M31" s="74">
        <v>1.0</v>
      </c>
      <c r="N31" s="47">
        <f t="shared" ref="N31:O31" si="33">C31+L31</f>
        <v>116</v>
      </c>
      <c r="O31" s="31">
        <f t="shared" si="33"/>
        <v>14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0</v>
      </c>
      <c r="V31" s="46">
        <f t="shared" si="6"/>
        <v>9</v>
      </c>
      <c r="W31" s="30">
        <f t="shared" si="9"/>
        <v>27</v>
      </c>
    </row>
    <row r="32">
      <c r="A32" s="30">
        <f t="shared" si="7"/>
        <v>28</v>
      </c>
      <c r="B32" s="43" t="s">
        <v>132</v>
      </c>
      <c r="C32" s="31">
        <v>108.0</v>
      </c>
      <c r="D32" s="31">
        <v>11.0</v>
      </c>
      <c r="E32" s="36">
        <f t="shared" si="2"/>
        <v>10.8</v>
      </c>
      <c r="F32" s="73">
        <v>1.0</v>
      </c>
      <c r="G32" s="74">
        <v>4.0</v>
      </c>
      <c r="H32" s="75">
        <v>0.0</v>
      </c>
      <c r="I32" s="74">
        <v>6.0</v>
      </c>
      <c r="J32" s="74">
        <v>1.0</v>
      </c>
      <c r="K32" s="74">
        <v>1.0</v>
      </c>
      <c r="L32" s="76">
        <v>8.0</v>
      </c>
      <c r="M32" s="74">
        <v>1.0</v>
      </c>
      <c r="N32" s="31">
        <f t="shared" ref="N32:O32" si="34">C32+L32</f>
        <v>116</v>
      </c>
      <c r="O32" s="31">
        <f t="shared" si="34"/>
        <v>12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0</v>
      </c>
      <c r="V32" s="46">
        <f t="shared" si="6"/>
        <v>18</v>
      </c>
      <c r="W32" s="30">
        <f t="shared" si="9"/>
        <v>28</v>
      </c>
    </row>
    <row r="33">
      <c r="A33" s="30">
        <f t="shared" si="7"/>
        <v>29</v>
      </c>
      <c r="B33" s="28" t="s">
        <v>34</v>
      </c>
      <c r="C33" s="31">
        <v>108.0</v>
      </c>
      <c r="D33" s="31">
        <v>9.0</v>
      </c>
      <c r="E33" s="36">
        <f t="shared" si="2"/>
        <v>15</v>
      </c>
      <c r="F33" s="73">
        <v>3.0</v>
      </c>
      <c r="G33" s="74">
        <v>0.0</v>
      </c>
      <c r="H33" s="75">
        <v>9.0</v>
      </c>
      <c r="I33" s="74">
        <v>0.0</v>
      </c>
      <c r="J33" s="74">
        <v>0.0</v>
      </c>
      <c r="K33" s="74">
        <v>0.0</v>
      </c>
      <c r="L33" s="76">
        <v>9.0</v>
      </c>
      <c r="M33" s="74">
        <v>0.0</v>
      </c>
      <c r="N33" s="31">
        <f t="shared" ref="N33:O33" si="35">C33+L33</f>
        <v>117</v>
      </c>
      <c r="O33" s="31">
        <f t="shared" si="35"/>
        <v>9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7</v>
      </c>
      <c r="V33" s="46">
        <f t="shared" si="6"/>
        <v>-3</v>
      </c>
      <c r="W33" s="30">
        <f t="shared" si="9"/>
        <v>29</v>
      </c>
    </row>
    <row r="34">
      <c r="A34" s="30">
        <f t="shared" si="7"/>
        <v>30</v>
      </c>
      <c r="B34" s="28" t="s">
        <v>105</v>
      </c>
      <c r="C34" s="31">
        <v>108.0</v>
      </c>
      <c r="D34" s="31">
        <v>8.0</v>
      </c>
      <c r="E34" s="36">
        <f t="shared" si="2"/>
        <v>11.33333333</v>
      </c>
      <c r="F34" s="73">
        <v>3.0</v>
      </c>
      <c r="G34" s="74">
        <v>0.0</v>
      </c>
      <c r="H34" s="75">
        <v>9.0</v>
      </c>
      <c r="I34" s="74">
        <v>0.0</v>
      </c>
      <c r="J34" s="74">
        <v>0.0</v>
      </c>
      <c r="K34" s="74">
        <v>0.0</v>
      </c>
      <c r="L34" s="76">
        <v>9.0</v>
      </c>
      <c r="M34" s="74">
        <v>0.0</v>
      </c>
      <c r="N34" s="31">
        <f t="shared" ref="N34:O34" si="36">C34+L34</f>
        <v>117</v>
      </c>
      <c r="O34" s="31">
        <f t="shared" si="36"/>
        <v>8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3</v>
      </c>
      <c r="V34" s="46">
        <f t="shared" si="6"/>
        <v>5</v>
      </c>
      <c r="W34" s="30">
        <f t="shared" si="9"/>
        <v>30</v>
      </c>
    </row>
    <row r="35">
      <c r="A35" s="30">
        <f t="shared" si="7"/>
        <v>31</v>
      </c>
      <c r="B35" s="28" t="s">
        <v>67</v>
      </c>
      <c r="C35" s="31">
        <v>108.0</v>
      </c>
      <c r="D35" s="31">
        <v>7.0</v>
      </c>
      <c r="E35" s="36">
        <f t="shared" si="2"/>
        <v>12.5</v>
      </c>
      <c r="F35" s="73">
        <v>1.0</v>
      </c>
      <c r="G35" s="74">
        <v>4.0</v>
      </c>
      <c r="H35" s="75">
        <v>0.0</v>
      </c>
      <c r="I35" s="74">
        <v>6.0</v>
      </c>
      <c r="J35" s="74">
        <v>6.0</v>
      </c>
      <c r="K35" s="74">
        <v>6.0</v>
      </c>
      <c r="L35" s="76">
        <v>18.0</v>
      </c>
      <c r="M35" s="74">
        <v>3.0</v>
      </c>
      <c r="N35" s="31">
        <f t="shared" ref="N35:O35" si="37">C35+L35</f>
        <v>126</v>
      </c>
      <c r="O35" s="31">
        <f t="shared" si="37"/>
        <v>10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5</v>
      </c>
      <c r="V35" s="46">
        <f t="shared" si="6"/>
        <v>-4</v>
      </c>
      <c r="W35" s="30">
        <f t="shared" si="9"/>
        <v>31</v>
      </c>
    </row>
    <row r="36">
      <c r="A36" s="30">
        <f t="shared" si="7"/>
        <v>32</v>
      </c>
      <c r="B36" s="43" t="s">
        <v>133</v>
      </c>
      <c r="C36" s="31">
        <v>108.0</v>
      </c>
      <c r="D36" s="31">
        <v>7.0</v>
      </c>
      <c r="E36" s="36">
        <f t="shared" si="2"/>
        <v>11</v>
      </c>
      <c r="F36" s="73">
        <v>1.0</v>
      </c>
      <c r="G36" s="74">
        <v>4.0</v>
      </c>
      <c r="H36" s="75">
        <v>0.0</v>
      </c>
      <c r="I36" s="74">
        <v>0.0</v>
      </c>
      <c r="J36" s="74">
        <v>6.0</v>
      </c>
      <c r="K36" s="74">
        <v>1.0</v>
      </c>
      <c r="L36" s="76">
        <v>7.0</v>
      </c>
      <c r="M36" s="74">
        <v>1.0</v>
      </c>
      <c r="N36" s="31">
        <f t="shared" ref="N36:O36" si="38">C36+L36</f>
        <v>115</v>
      </c>
      <c r="O36" s="31">
        <f t="shared" si="38"/>
        <v>8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1</v>
      </c>
      <c r="V36" s="46">
        <f t="shared" si="6"/>
        <v>6</v>
      </c>
      <c r="W36" s="30">
        <f>W37+1</f>
        <v>33</v>
      </c>
    </row>
    <row r="37">
      <c r="A37" s="30">
        <f t="shared" si="7"/>
        <v>33</v>
      </c>
      <c r="B37" s="43" t="s">
        <v>111</v>
      </c>
      <c r="C37" s="47">
        <v>107.0</v>
      </c>
      <c r="D37" s="31">
        <v>11.0</v>
      </c>
      <c r="E37" s="36">
        <f t="shared" si="2"/>
        <v>10.88888889</v>
      </c>
      <c r="F37" s="73">
        <v>1.0</v>
      </c>
      <c r="G37" s="74">
        <v>5.0</v>
      </c>
      <c r="H37" s="75">
        <v>0.0</v>
      </c>
      <c r="I37" s="74">
        <v>4.0</v>
      </c>
      <c r="J37" s="74">
        <v>4.0</v>
      </c>
      <c r="K37" s="74">
        <v>6.0</v>
      </c>
      <c r="L37" s="76">
        <v>14.0</v>
      </c>
      <c r="M37" s="74">
        <v>1.0</v>
      </c>
      <c r="N37" s="47">
        <f t="shared" ref="N37:O37" si="39">C37+L37</f>
        <v>121</v>
      </c>
      <c r="O37" s="31">
        <f t="shared" si="39"/>
        <v>12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1</v>
      </c>
      <c r="V37" s="46">
        <f t="shared" si="6"/>
        <v>-8</v>
      </c>
      <c r="W37" s="30">
        <f t="shared" ref="W37:W38" si="41">W35+1</f>
        <v>32</v>
      </c>
    </row>
    <row r="38">
      <c r="A38" s="30">
        <f t="shared" si="7"/>
        <v>34</v>
      </c>
      <c r="B38" s="43" t="s">
        <v>122</v>
      </c>
      <c r="C38" s="31">
        <v>107.0</v>
      </c>
      <c r="D38" s="31">
        <v>8.0</v>
      </c>
      <c r="E38" s="36">
        <f t="shared" si="2"/>
        <v>11.83333333</v>
      </c>
      <c r="F38" s="73">
        <v>1.0</v>
      </c>
      <c r="G38" s="74">
        <v>5.0</v>
      </c>
      <c r="H38" s="75">
        <v>0.0</v>
      </c>
      <c r="I38" s="74">
        <v>4.0</v>
      </c>
      <c r="J38" s="74">
        <v>6.0</v>
      </c>
      <c r="K38" s="74">
        <v>1.0</v>
      </c>
      <c r="L38" s="76">
        <v>11.0</v>
      </c>
      <c r="M38" s="74">
        <v>1.0</v>
      </c>
      <c r="N38" s="31">
        <f t="shared" ref="N38:O38" si="40">C38+L38</f>
        <v>118</v>
      </c>
      <c r="O38" s="31">
        <f t="shared" si="40"/>
        <v>9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4</v>
      </c>
      <c r="V38" s="46">
        <f t="shared" si="6"/>
        <v>-6</v>
      </c>
      <c r="W38" s="30">
        <f t="shared" si="41"/>
        <v>34</v>
      </c>
    </row>
    <row r="39">
      <c r="A39" s="30">
        <f t="shared" si="7"/>
        <v>35</v>
      </c>
      <c r="B39" s="48" t="s">
        <v>125</v>
      </c>
      <c r="C39" s="31">
        <v>107.0</v>
      </c>
      <c r="D39" s="31">
        <v>8.0</v>
      </c>
      <c r="E39" s="36">
        <f t="shared" si="2"/>
        <v>10.7</v>
      </c>
      <c r="F39" s="73">
        <v>1.0</v>
      </c>
      <c r="G39" s="74">
        <v>5.0</v>
      </c>
      <c r="H39" s="75">
        <v>0.0</v>
      </c>
      <c r="I39" s="74">
        <v>6.0</v>
      </c>
      <c r="J39" s="74">
        <v>4.0</v>
      </c>
      <c r="K39" s="74">
        <v>1.0</v>
      </c>
      <c r="L39" s="76">
        <v>11.0</v>
      </c>
      <c r="M39" s="74">
        <v>1.0</v>
      </c>
      <c r="N39" s="31">
        <f t="shared" ref="N39:O39" si="42">C39+L39</f>
        <v>118</v>
      </c>
      <c r="O39" s="31">
        <f t="shared" si="42"/>
        <v>9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0</v>
      </c>
      <c r="V39" s="46">
        <f t="shared" si="6"/>
        <v>-6</v>
      </c>
      <c r="W39" s="30">
        <f t="shared" ref="W39:W68" si="44">W38+1</f>
        <v>35</v>
      </c>
    </row>
    <row r="40">
      <c r="A40" s="30">
        <f t="shared" si="7"/>
        <v>36</v>
      </c>
      <c r="B40" s="43" t="s">
        <v>107</v>
      </c>
      <c r="C40" s="31">
        <v>107.0</v>
      </c>
      <c r="D40" s="31">
        <v>4.0</v>
      </c>
      <c r="E40" s="36">
        <f t="shared" si="2"/>
        <v>10.85714286</v>
      </c>
      <c r="F40" s="73">
        <v>2.0</v>
      </c>
      <c r="G40" s="74">
        <v>5.0</v>
      </c>
      <c r="H40" s="75">
        <v>0.0</v>
      </c>
      <c r="I40" s="74">
        <v>6.0</v>
      </c>
      <c r="J40" s="74">
        <v>6.0</v>
      </c>
      <c r="K40" s="74">
        <v>6.0</v>
      </c>
      <c r="L40" s="76">
        <v>18.0</v>
      </c>
      <c r="M40" s="74">
        <v>3.0</v>
      </c>
      <c r="N40" s="31">
        <f t="shared" ref="N40:O40" si="43">C40+L40</f>
        <v>125</v>
      </c>
      <c r="O40" s="31">
        <f t="shared" si="43"/>
        <v>7</v>
      </c>
      <c r="P40" s="45" t="s">
        <v>58</v>
      </c>
      <c r="Q40" s="45" t="s">
        <v>58</v>
      </c>
      <c r="R40" s="45"/>
      <c r="S40" s="46">
        <f t="shared" si="4"/>
        <v>1</v>
      </c>
      <c r="T40" s="46"/>
      <c r="U40" s="46">
        <f t="shared" si="5"/>
        <v>2</v>
      </c>
      <c r="V40" s="46">
        <f t="shared" si="6"/>
        <v>-6</v>
      </c>
      <c r="W40" s="30">
        <f t="shared" si="44"/>
        <v>36</v>
      </c>
    </row>
    <row r="41">
      <c r="A41" s="30">
        <f t="shared" si="7"/>
        <v>37</v>
      </c>
      <c r="B41" s="43" t="s">
        <v>106</v>
      </c>
      <c r="C41" s="31">
        <v>106.0</v>
      </c>
      <c r="D41" s="31">
        <v>10.0</v>
      </c>
      <c r="E41" s="36">
        <f t="shared" si="2"/>
        <v>11.28571429</v>
      </c>
      <c r="F41" s="73">
        <v>3.0</v>
      </c>
      <c r="G41" s="74">
        <v>0.0</v>
      </c>
      <c r="H41" s="75">
        <v>9.0</v>
      </c>
      <c r="I41" s="74">
        <v>0.0</v>
      </c>
      <c r="J41" s="74">
        <v>0.0</v>
      </c>
      <c r="K41" s="74">
        <v>0.0</v>
      </c>
      <c r="L41" s="76">
        <v>9.0</v>
      </c>
      <c r="M41" s="74">
        <v>0.0</v>
      </c>
      <c r="N41" s="31">
        <f t="shared" ref="N41:O41" si="45">C41+L41</f>
        <v>115</v>
      </c>
      <c r="O41" s="31">
        <f t="shared" si="45"/>
        <v>10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3</v>
      </c>
      <c r="V41" s="46">
        <f t="shared" si="6"/>
        <v>-6</v>
      </c>
      <c r="W41" s="30">
        <f t="shared" si="44"/>
        <v>37</v>
      </c>
    </row>
    <row r="42">
      <c r="A42" s="30">
        <f t="shared" si="7"/>
        <v>38</v>
      </c>
      <c r="B42" s="43" t="s">
        <v>62</v>
      </c>
      <c r="C42" s="31">
        <v>105.0</v>
      </c>
      <c r="D42" s="31">
        <v>8.0</v>
      </c>
      <c r="E42" s="36">
        <f t="shared" si="2"/>
        <v>12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6">C42+L42</f>
        <v>114</v>
      </c>
      <c r="O42" s="31">
        <f t="shared" si="46"/>
        <v>8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5</v>
      </c>
      <c r="V42" s="46">
        <f t="shared" si="6"/>
        <v>-6</v>
      </c>
      <c r="W42" s="30">
        <f t="shared" si="44"/>
        <v>38</v>
      </c>
    </row>
    <row r="43">
      <c r="A43" s="30">
        <f t="shared" si="7"/>
        <v>39</v>
      </c>
      <c r="B43" s="28" t="s">
        <v>95</v>
      </c>
      <c r="C43" s="31">
        <v>104.0</v>
      </c>
      <c r="D43" s="31">
        <v>9.0</v>
      </c>
      <c r="E43" s="36">
        <f t="shared" si="2"/>
        <v>10.75</v>
      </c>
      <c r="F43" s="73">
        <v>1.0</v>
      </c>
      <c r="G43" s="74">
        <v>6.0</v>
      </c>
      <c r="H43" s="75">
        <v>0.0</v>
      </c>
      <c r="I43" s="74">
        <v>6.0</v>
      </c>
      <c r="J43" s="74">
        <v>6.0</v>
      </c>
      <c r="K43" s="74">
        <v>6.0</v>
      </c>
      <c r="L43" s="76">
        <v>18.0</v>
      </c>
      <c r="M43" s="74">
        <v>3.0</v>
      </c>
      <c r="N43" s="31">
        <f t="shared" ref="N43:O43" si="47">C43+L43</f>
        <v>122</v>
      </c>
      <c r="O43" s="31">
        <f t="shared" si="47"/>
        <v>12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2</v>
      </c>
      <c r="V43" s="46">
        <f t="shared" si="6"/>
        <v>-22</v>
      </c>
      <c r="W43" s="30">
        <f t="shared" si="44"/>
        <v>39</v>
      </c>
    </row>
    <row r="44">
      <c r="A44" s="30">
        <f t="shared" si="7"/>
        <v>40</v>
      </c>
      <c r="B44" s="28" t="s">
        <v>127</v>
      </c>
      <c r="C44" s="31">
        <v>104.0</v>
      </c>
      <c r="D44" s="31">
        <v>4.0</v>
      </c>
      <c r="E44" s="36">
        <f t="shared" si="2"/>
        <v>14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8">C44+L44</f>
        <v>113</v>
      </c>
      <c r="O44" s="31">
        <f t="shared" si="48"/>
        <v>4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7</v>
      </c>
      <c r="V44" s="46">
        <f t="shared" si="6"/>
        <v>-6</v>
      </c>
      <c r="W44" s="30">
        <f t="shared" si="44"/>
        <v>40</v>
      </c>
    </row>
    <row r="45">
      <c r="A45" s="30">
        <f t="shared" si="7"/>
        <v>41</v>
      </c>
      <c r="B45" s="28" t="s">
        <v>84</v>
      </c>
      <c r="C45" s="31">
        <v>101.0</v>
      </c>
      <c r="D45" s="31">
        <v>10.0</v>
      </c>
      <c r="E45" s="36">
        <f t="shared" si="2"/>
        <v>10.375</v>
      </c>
      <c r="F45" s="73">
        <v>1.0</v>
      </c>
      <c r="G45" s="74">
        <v>6.0</v>
      </c>
      <c r="H45" s="75">
        <v>0.0</v>
      </c>
      <c r="I45" s="74">
        <v>3.0</v>
      </c>
      <c r="J45" s="74">
        <v>6.0</v>
      </c>
      <c r="K45" s="74">
        <v>3.0</v>
      </c>
      <c r="L45" s="76">
        <v>12.0</v>
      </c>
      <c r="M45" s="74">
        <v>1.0</v>
      </c>
      <c r="N45" s="31">
        <f t="shared" ref="N45:O45" si="49">C45+L45</f>
        <v>113</v>
      </c>
      <c r="O45" s="31">
        <f t="shared" si="49"/>
        <v>11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2</v>
      </c>
      <c r="V45" s="46">
        <f t="shared" si="6"/>
        <v>-2</v>
      </c>
      <c r="W45" s="30">
        <f t="shared" si="44"/>
        <v>41</v>
      </c>
    </row>
    <row r="46">
      <c r="A46" s="30">
        <f t="shared" si="7"/>
        <v>42</v>
      </c>
      <c r="B46" s="48" t="s">
        <v>134</v>
      </c>
      <c r="C46" s="31">
        <v>101.0</v>
      </c>
      <c r="D46" s="31">
        <v>6.0</v>
      </c>
      <c r="E46" s="36">
        <f t="shared" si="2"/>
        <v>10.4</v>
      </c>
      <c r="F46" s="73">
        <v>1.0</v>
      </c>
      <c r="G46" s="74">
        <v>6.0</v>
      </c>
      <c r="H46" s="75">
        <v>0.0</v>
      </c>
      <c r="I46" s="74">
        <v>6.0</v>
      </c>
      <c r="J46" s="74">
        <v>2.0</v>
      </c>
      <c r="K46" s="74">
        <v>3.0</v>
      </c>
      <c r="L46" s="76">
        <v>11.0</v>
      </c>
      <c r="M46" s="74">
        <v>1.0</v>
      </c>
      <c r="N46" s="31">
        <f t="shared" ref="N46:O46" si="50">C46+L46</f>
        <v>112</v>
      </c>
      <c r="O46" s="31">
        <f t="shared" si="50"/>
        <v>7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4</v>
      </c>
      <c r="V46" s="46">
        <f t="shared" si="6"/>
        <v>-1</v>
      </c>
      <c r="W46" s="30">
        <f t="shared" si="44"/>
        <v>42</v>
      </c>
    </row>
    <row r="47">
      <c r="A47" s="30">
        <f t="shared" si="7"/>
        <v>43</v>
      </c>
      <c r="B47" s="43" t="s">
        <v>90</v>
      </c>
      <c r="C47" s="31">
        <v>101.0</v>
      </c>
      <c r="D47" s="31">
        <v>5.0</v>
      </c>
      <c r="E47" s="36">
        <f t="shared" si="2"/>
        <v>8.75</v>
      </c>
      <c r="F47" s="73">
        <v>2.0</v>
      </c>
      <c r="G47" s="74">
        <v>6.0</v>
      </c>
      <c r="H47" s="75">
        <v>0.0</v>
      </c>
      <c r="I47" s="74">
        <v>3.0</v>
      </c>
      <c r="J47" s="74">
        <v>2.0</v>
      </c>
      <c r="K47" s="74">
        <v>6.0</v>
      </c>
      <c r="L47" s="76">
        <v>11.0</v>
      </c>
      <c r="M47" s="74">
        <v>1.0</v>
      </c>
      <c r="N47" s="31">
        <f t="shared" ref="N47:O47" si="51">C47+L47</f>
        <v>112</v>
      </c>
      <c r="O47" s="31">
        <f t="shared" si="51"/>
        <v>6</v>
      </c>
      <c r="P47" s="45" t="s">
        <v>58</v>
      </c>
      <c r="Q47" s="45" t="s">
        <v>58</v>
      </c>
      <c r="R47" s="45"/>
      <c r="S47" s="46">
        <f t="shared" si="4"/>
        <v>3</v>
      </c>
      <c r="T47" s="46"/>
      <c r="U47" s="46">
        <f t="shared" si="5"/>
        <v>3</v>
      </c>
      <c r="V47" s="46">
        <f t="shared" si="6"/>
        <v>-1</v>
      </c>
      <c r="W47" s="30">
        <f t="shared" si="44"/>
        <v>43</v>
      </c>
    </row>
    <row r="48">
      <c r="A48" s="30">
        <f t="shared" si="7"/>
        <v>44</v>
      </c>
      <c r="B48" s="43" t="s">
        <v>136</v>
      </c>
      <c r="C48" s="31">
        <v>100.0</v>
      </c>
      <c r="D48" s="31">
        <v>10.0</v>
      </c>
      <c r="E48" s="36">
        <f t="shared" si="2"/>
        <v>10.25</v>
      </c>
      <c r="F48" s="73">
        <v>1.0</v>
      </c>
      <c r="G48" s="74">
        <v>7.0</v>
      </c>
      <c r="H48" s="75">
        <v>0.0</v>
      </c>
      <c r="I48" s="74">
        <v>3.0</v>
      </c>
      <c r="J48" s="74">
        <v>6.0</v>
      </c>
      <c r="K48" s="74">
        <v>6.0</v>
      </c>
      <c r="L48" s="76">
        <v>15.0</v>
      </c>
      <c r="M48" s="74">
        <v>1.0</v>
      </c>
      <c r="N48" s="31">
        <f t="shared" ref="N48:O48" si="52">C48+L48</f>
        <v>115</v>
      </c>
      <c r="O48" s="31">
        <f t="shared" si="52"/>
        <v>11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2</v>
      </c>
      <c r="V48" s="46">
        <f t="shared" si="6"/>
        <v>-1</v>
      </c>
      <c r="W48" s="30">
        <f t="shared" si="44"/>
        <v>44</v>
      </c>
    </row>
    <row r="49">
      <c r="A49" s="30">
        <f t="shared" si="7"/>
        <v>45</v>
      </c>
      <c r="B49" s="43" t="s">
        <v>140</v>
      </c>
      <c r="C49" s="31">
        <v>100.0</v>
      </c>
      <c r="D49" s="31">
        <v>8.0</v>
      </c>
      <c r="E49" s="36">
        <f t="shared" si="2"/>
        <v>10</v>
      </c>
      <c r="F49" s="73">
        <v>1.0</v>
      </c>
      <c r="G49" s="74">
        <v>7.0</v>
      </c>
      <c r="H49" s="75">
        <v>0.0</v>
      </c>
      <c r="I49" s="74">
        <v>6.0</v>
      </c>
      <c r="J49" s="74">
        <v>6.0</v>
      </c>
      <c r="K49" s="74">
        <v>4.0</v>
      </c>
      <c r="L49" s="76">
        <v>16.0</v>
      </c>
      <c r="M49" s="74">
        <v>1.0</v>
      </c>
      <c r="N49" s="31">
        <f t="shared" ref="N49:O49" si="53">C49+L49</f>
        <v>116</v>
      </c>
      <c r="O49" s="31">
        <f t="shared" si="53"/>
        <v>9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3</v>
      </c>
      <c r="V49" s="46">
        <f t="shared" si="6"/>
        <v>-1</v>
      </c>
      <c r="W49" s="30">
        <f t="shared" si="44"/>
        <v>45</v>
      </c>
    </row>
    <row r="50">
      <c r="A50" s="30">
        <f t="shared" si="7"/>
        <v>46</v>
      </c>
      <c r="B50" s="43" t="s">
        <v>96</v>
      </c>
      <c r="C50" s="31">
        <v>100.0</v>
      </c>
      <c r="D50" s="31">
        <v>5.0</v>
      </c>
      <c r="E50" s="36">
        <f t="shared" si="2"/>
        <v>10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4">C50+L50</f>
        <v>109</v>
      </c>
      <c r="O50" s="31">
        <f t="shared" si="54"/>
        <v>5</v>
      </c>
      <c r="P50" s="45" t="s">
        <v>58</v>
      </c>
      <c r="Q50" s="45" t="s">
        <v>58</v>
      </c>
      <c r="R50" s="45"/>
      <c r="S50" s="46">
        <f t="shared" si="4"/>
        <v>1</v>
      </c>
      <c r="T50" s="46"/>
      <c r="U50" s="46">
        <f t="shared" si="5"/>
        <v>3</v>
      </c>
      <c r="V50" s="46">
        <f t="shared" si="6"/>
        <v>-1</v>
      </c>
      <c r="W50" s="30">
        <f t="shared" si="44"/>
        <v>46</v>
      </c>
    </row>
    <row r="51">
      <c r="A51" s="30">
        <f t="shared" si="7"/>
        <v>47</v>
      </c>
      <c r="B51" s="28" t="s">
        <v>93</v>
      </c>
      <c r="C51" s="31">
        <v>99.0</v>
      </c>
      <c r="D51" s="31">
        <v>6.0</v>
      </c>
      <c r="E51" s="36">
        <f t="shared" si="2"/>
        <v>11.25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5">C51+L51</f>
        <v>108</v>
      </c>
      <c r="O51" s="31">
        <f t="shared" si="55"/>
        <v>6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6</v>
      </c>
      <c r="V51" s="46">
        <f t="shared" si="6"/>
        <v>0</v>
      </c>
      <c r="W51" s="30">
        <f t="shared" si="44"/>
        <v>47</v>
      </c>
    </row>
    <row r="52">
      <c r="A52" s="30">
        <f t="shared" si="7"/>
        <v>48</v>
      </c>
      <c r="B52" s="43" t="s">
        <v>79</v>
      </c>
      <c r="C52" s="31">
        <v>97.0</v>
      </c>
      <c r="D52" s="31">
        <v>4.0</v>
      </c>
      <c r="E52" s="36">
        <f t="shared" si="2"/>
        <v>10.16666667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6">C52+L52</f>
        <v>106</v>
      </c>
      <c r="O52" s="31">
        <f t="shared" si="56"/>
        <v>4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4</v>
      </c>
      <c r="V52" s="46">
        <f t="shared" si="6"/>
        <v>0</v>
      </c>
      <c r="W52" s="30">
        <f t="shared" si="44"/>
        <v>48</v>
      </c>
    </row>
    <row r="53">
      <c r="A53" s="30">
        <f t="shared" si="7"/>
        <v>49</v>
      </c>
      <c r="B53" s="48" t="s">
        <v>70</v>
      </c>
      <c r="C53" s="31">
        <v>96.0</v>
      </c>
      <c r="D53" s="31">
        <v>5.0</v>
      </c>
      <c r="E53" s="36">
        <f t="shared" si="2"/>
        <v>9.285714286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7">C53+L53</f>
        <v>105</v>
      </c>
      <c r="O53" s="31">
        <f t="shared" si="57"/>
        <v>5</v>
      </c>
      <c r="P53" s="45" t="s">
        <v>58</v>
      </c>
      <c r="Q53" s="45" t="s">
        <v>58</v>
      </c>
      <c r="R53" s="45"/>
      <c r="S53" s="46">
        <f t="shared" si="4"/>
        <v>1</v>
      </c>
      <c r="T53" s="46"/>
      <c r="U53" s="46">
        <f t="shared" si="5"/>
        <v>2</v>
      </c>
      <c r="V53" s="46">
        <f t="shared" si="6"/>
        <v>0</v>
      </c>
      <c r="W53" s="30">
        <f t="shared" si="44"/>
        <v>49</v>
      </c>
    </row>
    <row r="54">
      <c r="A54" s="30">
        <f t="shared" si="7"/>
        <v>50</v>
      </c>
      <c r="B54" s="48" t="s">
        <v>54</v>
      </c>
      <c r="C54" s="31">
        <v>95.0</v>
      </c>
      <c r="D54" s="31">
        <v>6.0</v>
      </c>
      <c r="E54" s="36">
        <f t="shared" si="2"/>
        <v>9.166666667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8">C54+L54</f>
        <v>104</v>
      </c>
      <c r="O54" s="31">
        <f t="shared" si="58"/>
        <v>6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3</v>
      </c>
      <c r="V54" s="46">
        <f t="shared" si="6"/>
        <v>0</v>
      </c>
      <c r="W54" s="30">
        <f t="shared" si="44"/>
        <v>50</v>
      </c>
    </row>
    <row r="55">
      <c r="A55" s="30">
        <f t="shared" si="7"/>
        <v>51</v>
      </c>
      <c r="B55" s="43" t="s">
        <v>99</v>
      </c>
      <c r="C55" s="31">
        <v>95.0</v>
      </c>
      <c r="D55" s="31">
        <v>4.0</v>
      </c>
      <c r="E55" s="36">
        <f t="shared" si="2"/>
        <v>10.25</v>
      </c>
      <c r="F55" s="73">
        <v>1.0</v>
      </c>
      <c r="G55" s="74">
        <v>7.0</v>
      </c>
      <c r="H55" s="75">
        <v>0.0</v>
      </c>
      <c r="I55" s="74">
        <v>6.0</v>
      </c>
      <c r="J55" s="74">
        <v>7.0</v>
      </c>
      <c r="K55" s="74">
        <v>6.0</v>
      </c>
      <c r="L55" s="76">
        <v>19.0</v>
      </c>
      <c r="M55" s="74">
        <v>3.0</v>
      </c>
      <c r="N55" s="31">
        <f t="shared" ref="N55:O55" si="59">C55+L55</f>
        <v>114</v>
      </c>
      <c r="O55" s="31">
        <f t="shared" si="59"/>
        <v>7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6</v>
      </c>
      <c r="V55" s="46">
        <f t="shared" si="6"/>
        <v>0</v>
      </c>
      <c r="W55" s="30">
        <f t="shared" si="44"/>
        <v>51</v>
      </c>
    </row>
    <row r="56">
      <c r="A56" s="30">
        <f t="shared" si="7"/>
        <v>52</v>
      </c>
      <c r="B56" s="43" t="s">
        <v>138</v>
      </c>
      <c r="C56" s="47">
        <v>93.0</v>
      </c>
      <c r="D56" s="31">
        <v>9.0</v>
      </c>
      <c r="E56" s="36">
        <f t="shared" si="2"/>
        <v>9.428571429</v>
      </c>
      <c r="F56" s="73">
        <v>1.0</v>
      </c>
      <c r="G56" s="74">
        <v>7.0</v>
      </c>
      <c r="H56" s="75">
        <v>0.0</v>
      </c>
      <c r="I56" s="74">
        <v>3.0</v>
      </c>
      <c r="J56" s="74">
        <v>7.0</v>
      </c>
      <c r="K56" s="74">
        <v>4.0</v>
      </c>
      <c r="L56" s="76">
        <v>14.0</v>
      </c>
      <c r="M56" s="74">
        <v>1.0</v>
      </c>
      <c r="N56" s="47">
        <f t="shared" ref="N56:O56" si="60">C56+L56</f>
        <v>107</v>
      </c>
      <c r="O56" s="31">
        <f t="shared" si="60"/>
        <v>10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3</v>
      </c>
      <c r="V56" s="46">
        <f t="shared" si="6"/>
        <v>6</v>
      </c>
      <c r="W56" s="30">
        <f t="shared" si="44"/>
        <v>52</v>
      </c>
    </row>
    <row r="57">
      <c r="A57" s="30">
        <f t="shared" si="7"/>
        <v>53</v>
      </c>
      <c r="B57" s="48" t="s">
        <v>103</v>
      </c>
      <c r="C57" s="31">
        <v>93.0</v>
      </c>
      <c r="D57" s="31">
        <v>7.0</v>
      </c>
      <c r="E57" s="36">
        <f t="shared" si="2"/>
        <v>9.5</v>
      </c>
      <c r="F57" s="73">
        <v>1.0</v>
      </c>
      <c r="G57" s="74">
        <v>8.0</v>
      </c>
      <c r="H57" s="75">
        <v>0.0</v>
      </c>
      <c r="I57" s="74">
        <v>6.0</v>
      </c>
      <c r="J57" s="74">
        <v>6.0</v>
      </c>
      <c r="K57" s="74">
        <v>2.0</v>
      </c>
      <c r="L57" s="76">
        <v>14.0</v>
      </c>
      <c r="M57" s="74">
        <v>2.0</v>
      </c>
      <c r="N57" s="31">
        <f t="shared" ref="N57:O57" si="61">C57+L57</f>
        <v>107</v>
      </c>
      <c r="O57" s="31">
        <f t="shared" si="61"/>
        <v>9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4</v>
      </c>
      <c r="V57" s="46">
        <f t="shared" si="6"/>
        <v>-1</v>
      </c>
      <c r="W57" s="30">
        <f t="shared" si="44"/>
        <v>53</v>
      </c>
    </row>
    <row r="58">
      <c r="A58" s="30">
        <f t="shared" si="7"/>
        <v>54</v>
      </c>
      <c r="B58" s="43" t="s">
        <v>131</v>
      </c>
      <c r="C58" s="31">
        <v>89.0</v>
      </c>
      <c r="D58" s="31">
        <v>1.0</v>
      </c>
      <c r="E58" s="36">
        <f t="shared" si="2"/>
        <v>8.5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31">
        <f t="shared" ref="N58:O58" si="62">C58+L58</f>
        <v>98</v>
      </c>
      <c r="O58" s="31">
        <f t="shared" si="62"/>
        <v>1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8</v>
      </c>
      <c r="V58" s="46">
        <f t="shared" si="6"/>
        <v>-1</v>
      </c>
      <c r="W58" s="30">
        <f t="shared" si="44"/>
        <v>54</v>
      </c>
    </row>
    <row r="59">
      <c r="A59" s="30">
        <f t="shared" si="7"/>
        <v>55</v>
      </c>
      <c r="B59" s="43" t="s">
        <v>142</v>
      </c>
      <c r="C59" s="47">
        <v>87.0</v>
      </c>
      <c r="D59" s="31">
        <v>4.0</v>
      </c>
      <c r="E59" s="36">
        <f t="shared" si="2"/>
        <v>8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47">
        <f t="shared" ref="N59:O59" si="63">C59+L59</f>
        <v>96</v>
      </c>
      <c r="O59" s="31">
        <f t="shared" si="63"/>
        <v>4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7</v>
      </c>
      <c r="V59" s="46">
        <f t="shared" si="6"/>
        <v>-1</v>
      </c>
      <c r="W59" s="30">
        <f t="shared" si="44"/>
        <v>55</v>
      </c>
    </row>
    <row r="60">
      <c r="A60" s="30">
        <f t="shared" si="7"/>
        <v>56</v>
      </c>
      <c r="B60" s="48" t="s">
        <v>139</v>
      </c>
      <c r="C60" s="31">
        <v>86.0</v>
      </c>
      <c r="D60" s="31">
        <v>1.0</v>
      </c>
      <c r="E60" s="36">
        <f t="shared" si="2"/>
        <v>1</v>
      </c>
      <c r="F60" s="73">
        <v>5.0</v>
      </c>
      <c r="G60" s="74">
        <v>0.0</v>
      </c>
      <c r="H60" s="75">
        <v>13.0</v>
      </c>
      <c r="I60" s="74">
        <v>0.0</v>
      </c>
      <c r="J60" s="74">
        <v>0.0</v>
      </c>
      <c r="K60" s="74">
        <v>0.0</v>
      </c>
      <c r="L60" s="76">
        <v>13.0</v>
      </c>
      <c r="M60" s="74">
        <v>0.0</v>
      </c>
      <c r="N60" s="31">
        <f t="shared" ref="N60:O60" si="64">C60+L60</f>
        <v>99</v>
      </c>
      <c r="O60" s="31">
        <f t="shared" si="64"/>
        <v>1</v>
      </c>
      <c r="P60" s="45" t="s">
        <v>58</v>
      </c>
      <c r="Q60" s="45" t="s">
        <v>58</v>
      </c>
      <c r="R60" s="45"/>
      <c r="S60" s="46">
        <f t="shared" si="4"/>
        <v>1</v>
      </c>
      <c r="T60" s="46"/>
      <c r="U60" s="46">
        <f t="shared" si="5"/>
        <v>8</v>
      </c>
      <c r="V60" s="46">
        <f t="shared" si="6"/>
        <v>-1</v>
      </c>
      <c r="W60" s="30">
        <f t="shared" si="44"/>
        <v>56</v>
      </c>
    </row>
    <row r="61">
      <c r="A61" s="30">
        <f t="shared" si="7"/>
        <v>57</v>
      </c>
      <c r="B61" s="28" t="s">
        <v>80</v>
      </c>
      <c r="C61" s="31">
        <v>85.0</v>
      </c>
      <c r="D61" s="31">
        <v>0.0</v>
      </c>
      <c r="E61" s="36">
        <f t="shared" si="2"/>
        <v>0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5">C61+L61</f>
        <v>94</v>
      </c>
      <c r="O61" s="31">
        <f t="shared" si="65"/>
        <v>0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9</v>
      </c>
      <c r="V61" s="46">
        <f t="shared" si="6"/>
        <v>-1</v>
      </c>
      <c r="W61" s="30">
        <f t="shared" si="44"/>
        <v>57</v>
      </c>
    </row>
    <row r="62">
      <c r="A62" s="30">
        <f t="shared" si="7"/>
        <v>58</v>
      </c>
      <c r="B62" s="28" t="s">
        <v>72</v>
      </c>
      <c r="C62" s="31">
        <v>85.0</v>
      </c>
      <c r="D62" s="31">
        <v>0.0</v>
      </c>
      <c r="E62" s="36">
        <f t="shared" si="2"/>
        <v>0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31">
        <f t="shared" ref="N62:O62" si="66">C62+L62</f>
        <v>94</v>
      </c>
      <c r="O62" s="31">
        <f t="shared" si="66"/>
        <v>0</v>
      </c>
      <c r="P62" s="45" t="s">
        <v>58</v>
      </c>
      <c r="Q62" s="45" t="s">
        <v>58</v>
      </c>
      <c r="R62" s="45"/>
      <c r="S62" s="46">
        <f t="shared" si="4"/>
        <v>1</v>
      </c>
      <c r="T62" s="46"/>
      <c r="U62" s="46">
        <f t="shared" si="5"/>
        <v>9</v>
      </c>
      <c r="V62" s="46">
        <f t="shared" si="6"/>
        <v>-1</v>
      </c>
      <c r="W62" s="30">
        <f t="shared" si="44"/>
        <v>58</v>
      </c>
    </row>
    <row r="63">
      <c r="A63" s="30">
        <f t="shared" si="7"/>
        <v>59</v>
      </c>
      <c r="B63" s="28" t="s">
        <v>141</v>
      </c>
      <c r="C63" s="31">
        <v>84.0</v>
      </c>
      <c r="D63" s="31">
        <v>1.0</v>
      </c>
      <c r="E63" s="36">
        <f t="shared" si="2"/>
        <v>4</v>
      </c>
      <c r="F63" s="73">
        <v>2.0</v>
      </c>
      <c r="G63" s="74">
        <v>8.0</v>
      </c>
      <c r="H63" s="75">
        <v>0.0</v>
      </c>
      <c r="I63" s="74">
        <v>3.0</v>
      </c>
      <c r="J63" s="74">
        <v>6.0</v>
      </c>
      <c r="K63" s="74">
        <v>6.0</v>
      </c>
      <c r="L63" s="76">
        <v>15.0</v>
      </c>
      <c r="M63" s="74">
        <v>2.0</v>
      </c>
      <c r="N63" s="31">
        <f t="shared" ref="N63:O63" si="67">C63+L63</f>
        <v>99</v>
      </c>
      <c r="O63" s="31">
        <f t="shared" si="67"/>
        <v>3</v>
      </c>
      <c r="P63" s="45" t="s">
        <v>58</v>
      </c>
      <c r="Q63" s="45" t="s">
        <v>58</v>
      </c>
      <c r="R63" s="45"/>
      <c r="S63" s="46">
        <f t="shared" si="4"/>
        <v>1</v>
      </c>
      <c r="T63" s="46"/>
      <c r="U63" s="46">
        <f t="shared" si="5"/>
        <v>7</v>
      </c>
      <c r="V63" s="46">
        <f t="shared" si="6"/>
        <v>0</v>
      </c>
      <c r="W63" s="30">
        <f t="shared" si="44"/>
        <v>59</v>
      </c>
    </row>
    <row r="64">
      <c r="A64" s="30">
        <f t="shared" si="7"/>
        <v>60</v>
      </c>
      <c r="B64" s="43" t="s">
        <v>100</v>
      </c>
      <c r="C64" s="31">
        <v>83.0</v>
      </c>
      <c r="D64" s="31">
        <v>7.0</v>
      </c>
      <c r="E64" s="36">
        <f t="shared" si="2"/>
        <v>8</v>
      </c>
      <c r="F64" s="73">
        <v>1.0</v>
      </c>
      <c r="G64" s="74">
        <v>8.0</v>
      </c>
      <c r="H64" s="75">
        <v>0.0</v>
      </c>
      <c r="I64" s="74">
        <v>3.0</v>
      </c>
      <c r="J64" s="74">
        <v>1.0</v>
      </c>
      <c r="K64" s="74">
        <v>2.0</v>
      </c>
      <c r="L64" s="76">
        <v>6.0</v>
      </c>
      <c r="M64" s="74">
        <v>0.0</v>
      </c>
      <c r="N64" s="31">
        <f t="shared" ref="N64:O64" si="68">C64+L64</f>
        <v>89</v>
      </c>
      <c r="O64" s="31">
        <f t="shared" si="68"/>
        <v>7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3</v>
      </c>
      <c r="V64" s="46">
        <f t="shared" si="6"/>
        <v>0</v>
      </c>
      <c r="W64" s="30">
        <f t="shared" si="44"/>
        <v>60</v>
      </c>
    </row>
    <row r="65">
      <c r="A65" s="30">
        <f t="shared" si="7"/>
        <v>61</v>
      </c>
      <c r="B65" s="43" t="s">
        <v>76</v>
      </c>
      <c r="C65" s="31">
        <v>81.0</v>
      </c>
      <c r="D65" s="31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9">C65+L65</f>
        <v>90</v>
      </c>
      <c r="O65" s="31">
        <f t="shared" si="69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10</v>
      </c>
      <c r="V65" s="46">
        <f t="shared" si="6"/>
        <v>1</v>
      </c>
      <c r="W65" s="30">
        <f t="shared" si="44"/>
        <v>61</v>
      </c>
    </row>
    <row r="66">
      <c r="A66" s="30">
        <f t="shared" si="7"/>
        <v>62</v>
      </c>
      <c r="B66" s="43" t="s">
        <v>126</v>
      </c>
      <c r="C66" s="31">
        <v>81.0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70">C66+L66</f>
        <v>90</v>
      </c>
      <c r="O66" s="31">
        <f t="shared" si="70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10</v>
      </c>
      <c r="V66" s="46">
        <f t="shared" si="6"/>
        <v>1</v>
      </c>
      <c r="W66" s="30">
        <f t="shared" si="44"/>
        <v>62</v>
      </c>
    </row>
    <row r="67">
      <c r="A67" s="30">
        <f t="shared" si="7"/>
        <v>63</v>
      </c>
      <c r="B67" s="43" t="s">
        <v>118</v>
      </c>
      <c r="C67" s="47">
        <v>80.0</v>
      </c>
      <c r="D67" s="31">
        <v>3.0</v>
      </c>
      <c r="E67" s="36">
        <f t="shared" si="2"/>
        <v>7</v>
      </c>
      <c r="F67" s="73">
        <v>2.0</v>
      </c>
      <c r="G67" s="74">
        <v>8.0</v>
      </c>
      <c r="H67" s="75">
        <v>0.0</v>
      </c>
      <c r="I67" s="74">
        <v>6.0</v>
      </c>
      <c r="J67" s="74">
        <v>1.0</v>
      </c>
      <c r="K67" s="74">
        <v>6.0</v>
      </c>
      <c r="L67" s="76">
        <v>13.0</v>
      </c>
      <c r="M67" s="74">
        <v>2.0</v>
      </c>
      <c r="N67" s="47">
        <f t="shared" ref="N67:O67" si="71">C67+L67</f>
        <v>93</v>
      </c>
      <c r="O67" s="31">
        <f t="shared" si="71"/>
        <v>5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5</v>
      </c>
      <c r="V67" s="46">
        <f t="shared" si="6"/>
        <v>-2</v>
      </c>
      <c r="W67" s="30">
        <f t="shared" si="44"/>
        <v>63</v>
      </c>
    </row>
    <row r="68">
      <c r="A68" s="30">
        <f t="shared" si="7"/>
        <v>64</v>
      </c>
      <c r="B68" s="43" t="s">
        <v>135</v>
      </c>
      <c r="C68" s="31">
        <v>76.0</v>
      </c>
      <c r="D68" s="31">
        <v>1.0</v>
      </c>
      <c r="E68" s="36">
        <f t="shared" si="2"/>
        <v>4.333333333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2">C68+L68</f>
        <v>85</v>
      </c>
      <c r="O68" s="31">
        <f t="shared" si="72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7</v>
      </c>
      <c r="V68" s="46">
        <f t="shared" si="6"/>
        <v>0</v>
      </c>
      <c r="W68" s="30">
        <f t="shared" si="44"/>
        <v>64</v>
      </c>
    </row>
    <row r="69">
      <c r="A69" s="30">
        <f t="shared" si="7"/>
        <v>65</v>
      </c>
      <c r="B69" s="43" t="s">
        <v>78</v>
      </c>
      <c r="C69" s="47">
        <v>75.0</v>
      </c>
      <c r="D69" s="31">
        <v>2.0</v>
      </c>
      <c r="E69" s="36">
        <f t="shared" si="2"/>
        <v>6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3">C69+L69</f>
        <v>84</v>
      </c>
      <c r="O69" s="31">
        <f t="shared" si="73"/>
        <v>2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5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desc"",0)"),"Pulkit Mathur")</f>
        <v>Pulkit Mathur</v>
      </c>
      <c r="C76" s="84">
        <f>IFERROR(__xludf.DUMMYFUNCTION("""COMPUTED_VALUE"""),20.0)</f>
        <v>20</v>
      </c>
      <c r="D76" s="84">
        <f>IFERROR(__xludf.DUMMYFUNCTION("""COMPUTED_VALUE"""),3.0)</f>
        <v>3</v>
      </c>
      <c r="E76" s="84">
        <f>IFERROR(__xludf.DUMMYFUNCTION("""COMPUTED_VALUE"""),1.0)</f>
        <v>1</v>
      </c>
      <c r="F76" s="1"/>
      <c r="L76" s="77"/>
      <c r="M76" s="78"/>
      <c r="P76" s="79" t="s">
        <v>151</v>
      </c>
      <c r="Q76" s="24"/>
      <c r="R76" s="18">
        <f>countif(R5:R69,"")</f>
        <v>63</v>
      </c>
    </row>
    <row r="77">
      <c r="A77" s="1"/>
      <c r="B77" s="43" t="str">
        <f>IFERROR(__xludf.DUMMYFUNCTION("""COMPUTED_VALUE"""),"Ethan Gu")</f>
        <v>Ethan Gu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IFERROR(__xludf.DUMMYFUNCTION("""COMPUTED_VALUE"""),2.0)</f>
        <v>2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IFERROR(__xludf.DUMMYFUNCTION("""COMPUTED_VALUE"""),"Elayaraja Thangaraj ")</f>
        <v>Elayaraja Thangaraj 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IFERROR(__xludf.DUMMYFUNCTION("""COMPUTED_VALUE"""),"Pavan Akkimsetty")</f>
        <v>Pavan Akkimsetty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IFERROR(__xludf.DUMMYFUNCTION("""COMPUTED_VALUE"""),3.0)</f>
        <v>3</v>
      </c>
      <c r="F79" s="1"/>
      <c r="P79" s="33" t="s">
        <v>172</v>
      </c>
    </row>
    <row r="80">
      <c r="A80" s="1"/>
      <c r="B80" s="43" t="str">
        <f>IFERROR(__xludf.DUMMYFUNCTION("""COMPUTED_VALUE"""),"Susanta Mishra")</f>
        <v>Susanta Mishra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IFERROR(__xludf.DUMMYFUNCTION("""COMPUTED_VALUE"""),4.0)</f>
        <v>4</v>
      </c>
      <c r="F80" s="1"/>
      <c r="L80" s="33"/>
    </row>
    <row r="81">
      <c r="A81" s="1"/>
      <c r="B81" s="43" t="str">
        <f>IFERROR(__xludf.DUMMYFUNCTION("""COMPUTED_VALUE"""),"Herman Au")</f>
        <v>Herman Au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IFERROR(__xludf.DUMMYFUNCTION("""COMPUTED_VALUE"""),"Ted Shen")</f>
        <v>Ted Shen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IFERROR(__xludf.DUMMYFUNCTION("""COMPUTED_VALUE"""),6.0)</f>
        <v>6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10"")"),"Wayne Liu")</f>
        <v>Wayne Liu</v>
      </c>
      <c r="C90" s="84">
        <f>IFERROR(__xludf.DUMMYFUNCTION("""COMPUTED_VALUE"""),18.0)</f>
        <v>18</v>
      </c>
      <c r="D90" s="84">
        <f t="shared" ref="D90:D99" si="74">VLOOKUP(B90,indirect($AB$2&amp;"!B$5:w$70"),22, false)</f>
        <v>46</v>
      </c>
      <c r="E90" s="84">
        <f t="shared" ref="E90:E99" si="75">VLOOKUP(B90,B$5:W$69,22, false)</f>
        <v>28</v>
      </c>
      <c r="F90" s="84">
        <f t="shared" ref="F90:F99" si="76">VLOOKUP(B90,indirect($AB$2&amp;"!B$5:U$70"),11, false)</f>
        <v>18</v>
      </c>
      <c r="G90" s="84">
        <f t="shared" ref="G90:G99" si="77">VLOOKUP(B90,indirect($AB$2&amp;"!B$5:U$70"),6, false)</f>
        <v>6</v>
      </c>
      <c r="L90" s="84" t="str">
        <f t="shared" ref="L90:L99" si="78">if(D90-E90=C90,"ok","Error")</f>
        <v>ok</v>
      </c>
    </row>
    <row r="91">
      <c r="A91" s="1"/>
      <c r="B91" s="43" t="str">
        <f>IFERROR(__xludf.DUMMYFUNCTION("""COMPUTED_VALUE"""),"Sean Chang")</f>
        <v>Sean Chang</v>
      </c>
      <c r="C91" s="84">
        <f>IFERROR(__xludf.DUMMYFUNCTION("""COMPUTED_VALUE"""),15.0)</f>
        <v>15</v>
      </c>
      <c r="D91" s="84">
        <f t="shared" si="74"/>
        <v>40</v>
      </c>
      <c r="E91" s="84">
        <f t="shared" si="75"/>
        <v>25</v>
      </c>
      <c r="F91" s="84">
        <f t="shared" si="76"/>
        <v>19</v>
      </c>
      <c r="G91" s="84">
        <f t="shared" si="77"/>
        <v>6</v>
      </c>
      <c r="L91" s="84" t="str">
        <f t="shared" si="78"/>
        <v>ok</v>
      </c>
    </row>
    <row r="92">
      <c r="A92" s="1"/>
      <c r="B92" s="43" t="str">
        <f>IFERROR(__xludf.DUMMYFUNCTION("""COMPUTED_VALUE"""),"Tina Hanson")</f>
        <v>Tina Hanson</v>
      </c>
      <c r="C92" s="84">
        <f>IFERROR(__xludf.DUMMYFUNCTION("""COMPUTED_VALUE"""),13.0)</f>
        <v>13</v>
      </c>
      <c r="D92" s="84">
        <f t="shared" si="74"/>
        <v>33</v>
      </c>
      <c r="E92" s="84">
        <f t="shared" si="75"/>
        <v>20</v>
      </c>
      <c r="F92" s="84">
        <f t="shared" si="76"/>
        <v>15</v>
      </c>
      <c r="G92" s="84">
        <f t="shared" si="77"/>
        <v>5</v>
      </c>
      <c r="L92" s="84" t="str">
        <f t="shared" si="78"/>
        <v>ok</v>
      </c>
      <c r="Q92" s="90"/>
    </row>
    <row r="93">
      <c r="A93" s="1"/>
      <c r="B93" s="43" t="str">
        <f>IFERROR(__xludf.DUMMYFUNCTION("""COMPUTED_VALUE"""),"Jimmy Awolesi")</f>
        <v>Jimmy Awolesi</v>
      </c>
      <c r="C93" s="84">
        <f>IFERROR(__xludf.DUMMYFUNCTION("""COMPUTED_VALUE"""),11.0)</f>
        <v>11</v>
      </c>
      <c r="D93" s="84">
        <f t="shared" si="74"/>
        <v>37</v>
      </c>
      <c r="E93" s="84">
        <f t="shared" si="75"/>
        <v>26</v>
      </c>
      <c r="F93" s="84">
        <f t="shared" si="76"/>
        <v>18</v>
      </c>
      <c r="G93" s="84">
        <f t="shared" si="77"/>
        <v>6</v>
      </c>
      <c r="L93" s="84" t="str">
        <f t="shared" si="78"/>
        <v>ok</v>
      </c>
    </row>
    <row r="94">
      <c r="A94" s="1"/>
      <c r="B94" s="43" t="str">
        <f>IFERROR(__xludf.DUMMYFUNCTION("""COMPUTED_VALUE"""),"Tom Le")</f>
        <v>Tom Le</v>
      </c>
      <c r="C94" s="84">
        <f>IFERROR(__xludf.DUMMYFUNCTION("""COMPUTED_VALUE"""),9.0)</f>
        <v>9</v>
      </c>
      <c r="D94" s="84">
        <f t="shared" si="74"/>
        <v>19</v>
      </c>
      <c r="E94" s="84">
        <f t="shared" si="75"/>
        <v>10</v>
      </c>
      <c r="F94" s="84">
        <f t="shared" si="76"/>
        <v>19</v>
      </c>
      <c r="G94" s="84">
        <f t="shared" si="77"/>
        <v>4</v>
      </c>
      <c r="L94" s="84" t="str">
        <f t="shared" si="78"/>
        <v>ok</v>
      </c>
    </row>
    <row r="95">
      <c r="A95" s="1"/>
      <c r="B95" s="43" t="str">
        <f>IFERROR(__xludf.DUMMYFUNCTION("""COMPUTED_VALUE"""),"Allen Zhang")</f>
        <v>Allen Zhang</v>
      </c>
      <c r="C95" s="84">
        <f>IFERROR(__xludf.DUMMYFUNCTION("""COMPUTED_VALUE"""),9.0)</f>
        <v>9</v>
      </c>
      <c r="D95" s="84">
        <f t="shared" si="74"/>
        <v>36</v>
      </c>
      <c r="E95" s="84">
        <f t="shared" si="75"/>
        <v>27</v>
      </c>
      <c r="F95" s="84">
        <f t="shared" si="76"/>
        <v>16</v>
      </c>
      <c r="G95" s="84">
        <f t="shared" si="77"/>
        <v>5</v>
      </c>
      <c r="L95" s="84" t="str">
        <f t="shared" si="78"/>
        <v>ok</v>
      </c>
    </row>
    <row r="96">
      <c r="A96" s="1"/>
      <c r="B96" s="43" t="str">
        <f>IFERROR(__xludf.DUMMYFUNCTION("""COMPUTED_VALUE"""),"Saravanan Veerapandian")</f>
        <v>Saravanan Veerapandian</v>
      </c>
      <c r="C96" s="84">
        <f>IFERROR(__xludf.DUMMYFUNCTION("""COMPUTED_VALUE"""),6.0)</f>
        <v>6</v>
      </c>
      <c r="D96" s="84">
        <f t="shared" si="74"/>
        <v>38</v>
      </c>
      <c r="E96" s="84">
        <f t="shared" si="75"/>
        <v>33</v>
      </c>
      <c r="F96" s="84">
        <f t="shared" si="76"/>
        <v>15</v>
      </c>
      <c r="G96" s="84">
        <f t="shared" si="77"/>
        <v>6</v>
      </c>
      <c r="L96" s="84" t="str">
        <f t="shared" si="78"/>
        <v>Error</v>
      </c>
    </row>
    <row r="97">
      <c r="A97" s="1"/>
      <c r="B97" s="43" t="str">
        <f>IFERROR(__xludf.DUMMYFUNCTION("""COMPUTED_VALUE"""),"Tyler Leong")</f>
        <v>Tyler Leong</v>
      </c>
      <c r="C97" s="84">
        <f>IFERROR(__xludf.DUMMYFUNCTION("""COMPUTED_VALUE"""),6.0)</f>
        <v>6</v>
      </c>
      <c r="D97" s="84">
        <f t="shared" si="74"/>
        <v>58</v>
      </c>
      <c r="E97" s="84">
        <f t="shared" si="75"/>
        <v>52</v>
      </c>
      <c r="F97" s="84">
        <f t="shared" si="76"/>
        <v>18</v>
      </c>
      <c r="G97" s="84">
        <f t="shared" si="77"/>
        <v>7</v>
      </c>
      <c r="L97" s="84" t="str">
        <f t="shared" si="78"/>
        <v>ok</v>
      </c>
    </row>
    <row r="98">
      <c r="A98" s="1"/>
      <c r="B98" s="43" t="str">
        <f>IFERROR(__xludf.DUMMYFUNCTION("""COMPUTED_VALUE"""),"James Phan")</f>
        <v>James Phan</v>
      </c>
      <c r="C98" s="84">
        <f>IFERROR(__xludf.DUMMYFUNCTION("""COMPUTED_VALUE"""),5.0)</f>
        <v>5</v>
      </c>
      <c r="D98" s="84">
        <f t="shared" si="74"/>
        <v>8</v>
      </c>
      <c r="E98" s="84">
        <f t="shared" si="75"/>
        <v>3</v>
      </c>
      <c r="F98" s="84">
        <f t="shared" si="76"/>
        <v>19</v>
      </c>
      <c r="G98" s="84">
        <f t="shared" si="77"/>
        <v>2</v>
      </c>
      <c r="L98" s="84" t="str">
        <f t="shared" si="78"/>
        <v>ok</v>
      </c>
    </row>
    <row r="99">
      <c r="A99" s="1"/>
      <c r="B99" s="43" t="str">
        <f>IFERROR(__xludf.DUMMYFUNCTION("""COMPUTED_VALUE"""),"Basudev Thoppai Vidyasankar")</f>
        <v>Basudev Thoppai Vidyasankar</v>
      </c>
      <c r="C99" s="84">
        <f>IFERROR(__xludf.DUMMYFUNCTION("""COMPUTED_VALUE"""),5.0)</f>
        <v>5</v>
      </c>
      <c r="D99" s="84">
        <f t="shared" si="74"/>
        <v>11</v>
      </c>
      <c r="E99" s="84">
        <f t="shared" si="75"/>
        <v>6</v>
      </c>
      <c r="F99" s="84">
        <f t="shared" si="76"/>
        <v>16</v>
      </c>
      <c r="G99" s="84">
        <f t="shared" si="77"/>
        <v>2</v>
      </c>
      <c r="L99" s="84" t="str">
        <f t="shared" si="78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10"")"),"Ted Shen")</f>
        <v>Ted Shen</v>
      </c>
      <c r="C103" s="84">
        <f>IFERROR(__xludf.DUMMYFUNCTION("""COMPUTED_VALUE"""),-22.0)</f>
        <v>-22</v>
      </c>
      <c r="D103" s="84">
        <f t="shared" ref="D103:D112" si="79">VLOOKUP(B103,indirect($AB$2&amp;"!B$5:w$70"),22, false)</f>
        <v>17</v>
      </c>
      <c r="E103" s="84">
        <f t="shared" ref="E103:E112" si="80">VLOOKUP(B103,B$5:W$69,22, false)</f>
        <v>39</v>
      </c>
      <c r="F103" s="84">
        <f t="shared" ref="F103:F112" si="81">VLOOKUP(B103,indirect($AB$2&amp;"!B$5:U$70"),11, false)</f>
        <v>0</v>
      </c>
      <c r="G103" s="84">
        <f t="shared" ref="G103:G112" si="82">VLOOKUP(B103,indirect($AB$2&amp;"!B$5:U$70"),6, false)</f>
        <v>3</v>
      </c>
      <c r="L103" s="84" t="str">
        <f t="shared" ref="L103:L112" si="83">if(D103-E103=C103,"ok","Error")</f>
        <v>ok</v>
      </c>
    </row>
    <row r="104">
      <c r="A104" s="1"/>
      <c r="B104" s="43" t="str">
        <f>IFERROR(__xludf.DUMMYFUNCTION("""COMPUTED_VALUE"""),"Hongyuan Wen")</f>
        <v>Hongyuan Wen</v>
      </c>
      <c r="C104" s="84">
        <f>IFERROR(__xludf.DUMMYFUNCTION("""COMPUTED_VALUE"""),-8.0)</f>
        <v>-8</v>
      </c>
      <c r="D104" s="84">
        <f t="shared" si="79"/>
        <v>25</v>
      </c>
      <c r="E104" s="84">
        <f t="shared" si="80"/>
        <v>32</v>
      </c>
      <c r="F104" s="84">
        <f t="shared" si="81"/>
        <v>7</v>
      </c>
      <c r="G104" s="84">
        <f t="shared" si="82"/>
        <v>4</v>
      </c>
      <c r="L104" s="84" t="str">
        <f t="shared" si="83"/>
        <v>Error</v>
      </c>
    </row>
    <row r="105">
      <c r="A105" s="1"/>
      <c r="B105" s="43" t="str">
        <f>IFERROR(__xludf.DUMMYFUNCTION("""COMPUTED_VALUE"""),"Jim Miao")</f>
        <v>Jim Miao</v>
      </c>
      <c r="C105" s="84">
        <f>IFERROR(__xludf.DUMMYFUNCTION("""COMPUTED_VALUE"""),-6.0)</f>
        <v>-6</v>
      </c>
      <c r="D105" s="84">
        <f t="shared" si="79"/>
        <v>28</v>
      </c>
      <c r="E105" s="84">
        <f t="shared" si="80"/>
        <v>34</v>
      </c>
      <c r="F105" s="84">
        <f t="shared" si="81"/>
        <v>9</v>
      </c>
      <c r="G105" s="84">
        <f t="shared" si="82"/>
        <v>0</v>
      </c>
      <c r="L105" s="84" t="str">
        <f t="shared" si="83"/>
        <v>ok</v>
      </c>
    </row>
    <row r="106">
      <c r="A106" s="1"/>
      <c r="B106" s="43" t="str">
        <f>IFERROR(__xludf.DUMMYFUNCTION("""COMPUTED_VALUE"""),"Kumar Palakeel")</f>
        <v>Kumar Palakeel</v>
      </c>
      <c r="C106" s="84">
        <f>IFERROR(__xludf.DUMMYFUNCTION("""COMPUTED_VALUE"""),-6.0)</f>
        <v>-6</v>
      </c>
      <c r="D106" s="84">
        <f t="shared" si="79"/>
        <v>29</v>
      </c>
      <c r="E106" s="84">
        <f t="shared" si="80"/>
        <v>35</v>
      </c>
      <c r="F106" s="84">
        <f t="shared" si="81"/>
        <v>9</v>
      </c>
      <c r="G106" s="84">
        <f t="shared" si="82"/>
        <v>5</v>
      </c>
      <c r="L106" s="84" t="str">
        <f t="shared" si="83"/>
        <v>ok</v>
      </c>
    </row>
    <row r="107">
      <c r="A107" s="1"/>
      <c r="B107" s="43" t="str">
        <f>IFERROR(__xludf.DUMMYFUNCTION("""COMPUTED_VALUE"""),"Herman Au")</f>
        <v>Herman Au</v>
      </c>
      <c r="C107" s="84">
        <f>IFERROR(__xludf.DUMMYFUNCTION("""COMPUTED_VALUE"""),-6.0)</f>
        <v>-6</v>
      </c>
      <c r="D107" s="84">
        <f t="shared" si="79"/>
        <v>30</v>
      </c>
      <c r="E107" s="84">
        <f t="shared" si="80"/>
        <v>36</v>
      </c>
      <c r="F107" s="84">
        <f t="shared" si="81"/>
        <v>9</v>
      </c>
      <c r="G107" s="84">
        <f t="shared" si="82"/>
        <v>0</v>
      </c>
      <c r="L107" s="84" t="str">
        <f t="shared" si="83"/>
        <v>ok</v>
      </c>
    </row>
    <row r="108">
      <c r="A108" s="1"/>
      <c r="B108" s="43" t="str">
        <f>IFERROR(__xludf.DUMMYFUNCTION("""COMPUTED_VALUE"""),"Lloyd Sagar")</f>
        <v>Lloyd Sagar</v>
      </c>
      <c r="C108" s="84">
        <f>IFERROR(__xludf.DUMMYFUNCTION("""COMPUTED_VALUE"""),-6.0)</f>
        <v>-6</v>
      </c>
      <c r="D108" s="84">
        <f t="shared" si="79"/>
        <v>31</v>
      </c>
      <c r="E108" s="84">
        <f t="shared" si="80"/>
        <v>37</v>
      </c>
      <c r="F108" s="84">
        <f t="shared" si="81"/>
        <v>9</v>
      </c>
      <c r="G108" s="84">
        <f t="shared" si="82"/>
        <v>0</v>
      </c>
      <c r="L108" s="84" t="str">
        <f t="shared" si="83"/>
        <v>ok</v>
      </c>
    </row>
    <row r="109">
      <c r="A109" s="1"/>
      <c r="B109" s="43" t="str">
        <f>IFERROR(__xludf.DUMMYFUNCTION("""COMPUTED_VALUE"""),"Suleman Alidina")</f>
        <v>Suleman Alidina</v>
      </c>
      <c r="C109" s="84">
        <f>IFERROR(__xludf.DUMMYFUNCTION("""COMPUTED_VALUE"""),-6.0)</f>
        <v>-6</v>
      </c>
      <c r="D109" s="84">
        <f t="shared" si="79"/>
        <v>32</v>
      </c>
      <c r="E109" s="84">
        <f t="shared" si="80"/>
        <v>38</v>
      </c>
      <c r="F109" s="84">
        <f t="shared" si="81"/>
        <v>9</v>
      </c>
      <c r="G109" s="84">
        <f t="shared" si="82"/>
        <v>0</v>
      </c>
      <c r="L109" s="84" t="str">
        <f t="shared" si="83"/>
        <v>ok</v>
      </c>
    </row>
    <row r="110">
      <c r="A110" s="1"/>
      <c r="B110" s="43" t="str">
        <f>IFERROR(__xludf.DUMMYFUNCTION("""COMPUTED_VALUE"""),"Matthew Huang")</f>
        <v>Matthew Huang</v>
      </c>
      <c r="C110" s="84">
        <f>IFERROR(__xludf.DUMMYFUNCTION("""COMPUTED_VALUE"""),-6.0)</f>
        <v>-6</v>
      </c>
      <c r="D110" s="84">
        <f t="shared" si="79"/>
        <v>34</v>
      </c>
      <c r="E110" s="84">
        <f t="shared" si="80"/>
        <v>40</v>
      </c>
      <c r="F110" s="84">
        <f t="shared" si="81"/>
        <v>9</v>
      </c>
      <c r="G110" s="84">
        <f t="shared" si="82"/>
        <v>0</v>
      </c>
      <c r="L110" s="84" t="str">
        <f t="shared" si="83"/>
        <v>ok</v>
      </c>
    </row>
    <row r="111">
      <c r="A111" s="1"/>
      <c r="B111" s="43" t="str">
        <f>IFERROR(__xludf.DUMMYFUNCTION("""COMPUTED_VALUE"""),"Lam Bui")</f>
        <v>Lam Bui</v>
      </c>
      <c r="C111" s="84">
        <f>IFERROR(__xludf.DUMMYFUNCTION("""COMPUTED_VALUE"""),-5.0)</f>
        <v>-5</v>
      </c>
      <c r="D111" s="84">
        <f t="shared" si="79"/>
        <v>2</v>
      </c>
      <c r="E111" s="84">
        <f t="shared" si="80"/>
        <v>7</v>
      </c>
      <c r="F111" s="84">
        <f t="shared" si="81"/>
        <v>9</v>
      </c>
      <c r="G111" s="84">
        <f t="shared" si="82"/>
        <v>0</v>
      </c>
      <c r="L111" s="84" t="str">
        <f t="shared" si="83"/>
        <v>ok</v>
      </c>
    </row>
    <row r="112">
      <c r="A112" s="1"/>
      <c r="B112" s="43" t="str">
        <f>IFERROR(__xludf.DUMMYFUNCTION("""COMPUTED_VALUE"""),"Sandeep Kamalon")</f>
        <v>Sandeep Kamalon</v>
      </c>
      <c r="C112" s="84">
        <f>IFERROR(__xludf.DUMMYFUNCTION("""COMPUTED_VALUE"""),-4.0)</f>
        <v>-4</v>
      </c>
      <c r="D112" s="84">
        <f t="shared" si="79"/>
        <v>5</v>
      </c>
      <c r="E112" s="84">
        <f t="shared" si="80"/>
        <v>9</v>
      </c>
      <c r="F112" s="84">
        <f t="shared" si="81"/>
        <v>10</v>
      </c>
      <c r="G112" s="84">
        <f t="shared" si="82"/>
        <v>1</v>
      </c>
      <c r="L112" s="84" t="str">
        <f t="shared" si="83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4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4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4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4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4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4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4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4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4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4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4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4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4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4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4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4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4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4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4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4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4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4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4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4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4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4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4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4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4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4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4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4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4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4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4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4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4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4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4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4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4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4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4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4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4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4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4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4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4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4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4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4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4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4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4"/>
        <v>56</v>
      </c>
      <c r="B175" s="43"/>
      <c r="C175" s="95" t="str">
        <f>IFERROR(__xludf.DUMMYFUNCTION("""COMPUTED_VALUE"""),"Trinath Goteti")</f>
        <v>Trinath Goteti</v>
      </c>
      <c r="D175" s="23"/>
      <c r="E175" s="24"/>
      <c r="F175" s="95"/>
      <c r="G175" s="23"/>
      <c r="H175" s="24"/>
    </row>
    <row r="176">
      <c r="A176" s="83">
        <f t="shared" si="84"/>
        <v>57</v>
      </c>
      <c r="B176" s="43"/>
      <c r="C176" s="95" t="str">
        <f>IFERROR(__xludf.DUMMYFUNCTION("""COMPUTED_VALUE"""),"Trish Newlin")</f>
        <v>Trish Newlin</v>
      </c>
      <c r="D176" s="23"/>
      <c r="E176" s="24"/>
      <c r="F176" s="95"/>
      <c r="G176" s="23"/>
      <c r="H176" s="24"/>
    </row>
    <row r="177">
      <c r="A177" s="83">
        <f t="shared" si="84"/>
        <v>58</v>
      </c>
      <c r="B177" s="43"/>
      <c r="C177" s="95" t="str">
        <f>IFERROR(__xludf.DUMMYFUNCTION("""COMPUTED_VALUE"""),"Troy Wong")</f>
        <v>Troy Wong</v>
      </c>
      <c r="D177" s="23"/>
      <c r="E177" s="24"/>
      <c r="F177" s="95"/>
      <c r="G177" s="23"/>
      <c r="H177" s="24"/>
    </row>
    <row r="178">
      <c r="A178" s="83">
        <f t="shared" si="84"/>
        <v>59</v>
      </c>
      <c r="B178" s="43"/>
      <c r="C178" s="95" t="str">
        <f>IFERROR(__xludf.DUMMYFUNCTION("""COMPUTED_VALUE"""),"Tyler Leong")</f>
        <v>Tyler Leong</v>
      </c>
      <c r="D178" s="23"/>
      <c r="E178" s="24"/>
      <c r="F178" s="95"/>
      <c r="G178" s="23"/>
      <c r="H178" s="24"/>
    </row>
    <row r="179">
      <c r="A179" s="83">
        <f t="shared" si="84"/>
        <v>60</v>
      </c>
      <c r="B179" s="43"/>
      <c r="C179" s="95" t="str">
        <f>IFERROR(__xludf.DUMMYFUNCTION("""COMPUTED_VALUE"""),"Vicki Martinet")</f>
        <v>Vicki Martinet</v>
      </c>
      <c r="D179" s="23"/>
      <c r="E179" s="24"/>
      <c r="F179" s="95"/>
      <c r="G179" s="23"/>
      <c r="H179" s="24"/>
    </row>
    <row r="180">
      <c r="A180" s="83">
        <f t="shared" si="84"/>
        <v>61</v>
      </c>
      <c r="B180" s="43"/>
      <c r="C180" s="95" t="str">
        <f>IFERROR(__xludf.DUMMYFUNCTION("""COMPUTED_VALUE"""),"Vinaya Kajla")</f>
        <v>Vinaya Kajla</v>
      </c>
      <c r="D180" s="23"/>
      <c r="E180" s="24"/>
      <c r="F180" s="95"/>
      <c r="G180" s="23"/>
      <c r="H180" s="24"/>
    </row>
    <row r="181">
      <c r="A181" s="83">
        <f t="shared" si="84"/>
        <v>62</v>
      </c>
      <c r="B181" s="43"/>
      <c r="C181" s="95" t="str">
        <f>IFERROR(__xludf.DUMMYFUNCTION("""COMPUTED_VALUE"""),"Vishnu Amarnath")</f>
        <v>Vishnu Amarnath</v>
      </c>
      <c r="D181" s="23"/>
      <c r="E181" s="24"/>
      <c r="F181" s="95"/>
      <c r="G181" s="23"/>
      <c r="H181" s="24"/>
    </row>
    <row r="182">
      <c r="A182" s="83">
        <f t="shared" si="84"/>
        <v>63</v>
      </c>
      <c r="B182" s="43"/>
      <c r="C182" s="95" t="str">
        <f>IFERROR(__xludf.DUMMYFUNCTION("""COMPUTED_VALUE"""),"Wayne Liu")</f>
        <v>Wayne Liu</v>
      </c>
      <c r="D182" s="23"/>
      <c r="E182" s="24"/>
      <c r="F182" s="95"/>
      <c r="G182" s="23"/>
      <c r="H182" s="24"/>
    </row>
    <row r="183">
      <c r="A183" s="83">
        <f t="shared" si="84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4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45717.0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9.0</v>
      </c>
      <c r="E2" s="1"/>
      <c r="F2" s="1"/>
      <c r="R2" s="19"/>
      <c r="AB2" s="20" t="str">
        <f>text(C1-7,"mm/dd/yy")</f>
        <v>02/22/25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117</v>
      </c>
      <c r="C5" s="31">
        <v>123.0</v>
      </c>
      <c r="D5" s="31">
        <v>15.0</v>
      </c>
      <c r="E5" s="36">
        <f t="shared" ref="E5:E69" si="2">if(($D$2-U5-S5)&lt;&gt;0,(C5-(U5*9)-(S5*13))/($D$2-U5-S5),0)</f>
        <v>14.42857143</v>
      </c>
      <c r="F5" s="73">
        <v>1.0</v>
      </c>
      <c r="G5" s="74">
        <v>1.0</v>
      </c>
      <c r="H5" s="75">
        <v>0.0</v>
      </c>
      <c r="I5" s="74">
        <v>2.0</v>
      </c>
      <c r="J5" s="74">
        <v>4.0</v>
      </c>
      <c r="K5" s="74">
        <v>6.0</v>
      </c>
      <c r="L5" s="76">
        <v>12.0</v>
      </c>
      <c r="M5" s="74">
        <v>1.0</v>
      </c>
      <c r="N5" s="31">
        <f t="shared" ref="N5:O5" si="1">C5+L5</f>
        <v>135</v>
      </c>
      <c r="O5" s="31">
        <f t="shared" si="1"/>
        <v>16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1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116</v>
      </c>
      <c r="C6" s="31">
        <v>115.0</v>
      </c>
      <c r="D6" s="31">
        <v>12.0</v>
      </c>
      <c r="E6" s="36">
        <f t="shared" si="2"/>
        <v>14</v>
      </c>
      <c r="F6" s="73">
        <v>4.0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124</v>
      </c>
      <c r="O6" s="31">
        <f t="shared" si="3"/>
        <v>12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2</v>
      </c>
      <c r="V6" s="46">
        <f t="shared" si="6"/>
        <v>10</v>
      </c>
      <c r="W6" s="30">
        <f t="shared" ref="W6:W35" si="9">W5+1</f>
        <v>2</v>
      </c>
    </row>
    <row r="7">
      <c r="A7" s="30">
        <f t="shared" si="7"/>
        <v>3</v>
      </c>
      <c r="B7" s="28" t="s">
        <v>44</v>
      </c>
      <c r="C7" s="31">
        <v>113.0</v>
      </c>
      <c r="D7" s="31">
        <v>13.0</v>
      </c>
      <c r="E7" s="36">
        <f t="shared" si="2"/>
        <v>14.33333333</v>
      </c>
      <c r="F7" s="73">
        <v>1.0</v>
      </c>
      <c r="G7" s="74">
        <v>1.0</v>
      </c>
      <c r="H7" s="75">
        <v>0.0</v>
      </c>
      <c r="I7" s="74">
        <v>6.0</v>
      </c>
      <c r="J7" s="74">
        <v>4.0</v>
      </c>
      <c r="K7" s="74">
        <v>2.0</v>
      </c>
      <c r="L7" s="76">
        <v>12.0</v>
      </c>
      <c r="M7" s="74">
        <v>1.0</v>
      </c>
      <c r="N7" s="31">
        <f t="shared" ref="N7:O7" si="8">C7+L7</f>
        <v>125</v>
      </c>
      <c r="O7" s="31">
        <f t="shared" si="8"/>
        <v>14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3</v>
      </c>
      <c r="V7" s="46">
        <f t="shared" si="6"/>
        <v>-1</v>
      </c>
      <c r="W7" s="30">
        <f t="shared" si="9"/>
        <v>3</v>
      </c>
    </row>
    <row r="8">
      <c r="A8" s="30">
        <f t="shared" si="7"/>
        <v>4</v>
      </c>
      <c r="B8" s="28" t="s">
        <v>45</v>
      </c>
      <c r="C8" s="31">
        <v>113.0</v>
      </c>
      <c r="D8" s="31">
        <v>12.0</v>
      </c>
      <c r="E8" s="36">
        <f t="shared" si="2"/>
        <v>12.5</v>
      </c>
      <c r="F8" s="73">
        <v>2.0</v>
      </c>
      <c r="G8" s="74">
        <v>1.0</v>
      </c>
      <c r="H8" s="75">
        <v>0.0</v>
      </c>
      <c r="I8" s="74">
        <v>6.0</v>
      </c>
      <c r="J8" s="74">
        <v>6.0</v>
      </c>
      <c r="K8" s="74">
        <v>6.0</v>
      </c>
      <c r="L8" s="76">
        <v>18.0</v>
      </c>
      <c r="M8" s="74">
        <v>3.0</v>
      </c>
      <c r="N8" s="31">
        <f t="shared" ref="N8:O8" si="10">C8+L8</f>
        <v>131</v>
      </c>
      <c r="O8" s="31">
        <f t="shared" si="10"/>
        <v>15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0</v>
      </c>
      <c r="V8" s="46">
        <f t="shared" si="6"/>
        <v>1</v>
      </c>
      <c r="W8" s="30">
        <f t="shared" si="9"/>
        <v>4</v>
      </c>
    </row>
    <row r="9">
      <c r="A9" s="30">
        <f t="shared" si="7"/>
        <v>5</v>
      </c>
      <c r="B9" s="43" t="s">
        <v>88</v>
      </c>
      <c r="C9" s="47">
        <v>113.0</v>
      </c>
      <c r="D9" s="31">
        <v>11.0</v>
      </c>
      <c r="E9" s="36">
        <f t="shared" si="2"/>
        <v>12.5</v>
      </c>
      <c r="F9" s="73">
        <v>1.0</v>
      </c>
      <c r="G9" s="74">
        <v>1.0</v>
      </c>
      <c r="H9" s="75">
        <v>0.0</v>
      </c>
      <c r="I9" s="74">
        <v>2.0</v>
      </c>
      <c r="J9" s="74">
        <v>6.0</v>
      </c>
      <c r="K9" s="74">
        <v>2.0</v>
      </c>
      <c r="L9" s="76">
        <v>10.0</v>
      </c>
      <c r="M9" s="74">
        <v>1.0</v>
      </c>
      <c r="N9" s="47">
        <f t="shared" ref="N9:O9" si="11">C9+L9</f>
        <v>123</v>
      </c>
      <c r="O9" s="31">
        <f t="shared" si="11"/>
        <v>12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0</v>
      </c>
      <c r="V9" s="46">
        <f t="shared" si="6"/>
        <v>3</v>
      </c>
      <c r="W9" s="30">
        <f t="shared" si="9"/>
        <v>5</v>
      </c>
    </row>
    <row r="10">
      <c r="A10" s="30">
        <f t="shared" si="7"/>
        <v>6</v>
      </c>
      <c r="B10" s="28" t="s">
        <v>97</v>
      </c>
      <c r="C10" s="31">
        <v>113.0</v>
      </c>
      <c r="D10" s="31">
        <v>10.0</v>
      </c>
      <c r="E10" s="36">
        <f t="shared" si="2"/>
        <v>12.42857143</v>
      </c>
      <c r="F10" s="73">
        <v>1.0</v>
      </c>
      <c r="G10" s="74">
        <v>2.0</v>
      </c>
      <c r="H10" s="75">
        <v>0.0</v>
      </c>
      <c r="I10" s="74">
        <v>4.0</v>
      </c>
      <c r="J10" s="74">
        <v>2.0</v>
      </c>
      <c r="K10" s="74">
        <v>7.0</v>
      </c>
      <c r="L10" s="76">
        <v>13.0</v>
      </c>
      <c r="M10" s="74">
        <v>1.0</v>
      </c>
      <c r="N10" s="31">
        <f t="shared" ref="N10:O10" si="12">C10+L10</f>
        <v>126</v>
      </c>
      <c r="O10" s="31">
        <f t="shared" si="12"/>
        <v>11</v>
      </c>
      <c r="P10" s="45" t="s">
        <v>58</v>
      </c>
      <c r="Q10" s="45" t="s">
        <v>58</v>
      </c>
      <c r="R10" s="45"/>
      <c r="S10" s="46">
        <f t="shared" si="4"/>
        <v>2</v>
      </c>
      <c r="T10" s="46"/>
      <c r="U10" s="46">
        <f t="shared" si="5"/>
        <v>0</v>
      </c>
      <c r="V10" s="46">
        <f t="shared" si="6"/>
        <v>3</v>
      </c>
      <c r="W10" s="30">
        <f t="shared" si="9"/>
        <v>6</v>
      </c>
    </row>
    <row r="11">
      <c r="A11" s="30">
        <f t="shared" si="7"/>
        <v>7</v>
      </c>
      <c r="B11" s="43" t="s">
        <v>130</v>
      </c>
      <c r="C11" s="31">
        <v>111.0</v>
      </c>
      <c r="D11" s="31">
        <v>12.0</v>
      </c>
      <c r="E11" s="36">
        <f t="shared" si="2"/>
        <v>14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120</v>
      </c>
      <c r="O11" s="31">
        <f t="shared" si="13"/>
        <v>12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3</v>
      </c>
      <c r="V11" s="46">
        <f t="shared" si="6"/>
        <v>-4</v>
      </c>
      <c r="W11" s="30">
        <f t="shared" si="9"/>
        <v>7</v>
      </c>
    </row>
    <row r="12">
      <c r="A12" s="30">
        <f t="shared" si="7"/>
        <v>8</v>
      </c>
      <c r="B12" s="43" t="s">
        <v>121</v>
      </c>
      <c r="C12" s="31">
        <v>111.0</v>
      </c>
      <c r="D12" s="31">
        <v>11.0</v>
      </c>
      <c r="E12" s="36">
        <f t="shared" si="2"/>
        <v>13.33333333</v>
      </c>
      <c r="F12" s="73">
        <v>1.0</v>
      </c>
      <c r="G12" s="74">
        <v>2.0</v>
      </c>
      <c r="H12" s="75">
        <v>0.0</v>
      </c>
      <c r="I12" s="74">
        <v>6.0</v>
      </c>
      <c r="J12" s="74">
        <v>6.0</v>
      </c>
      <c r="K12" s="74">
        <v>7.0</v>
      </c>
      <c r="L12" s="76">
        <v>19.0</v>
      </c>
      <c r="M12" s="74">
        <v>3.0</v>
      </c>
      <c r="N12" s="31">
        <f t="shared" ref="N12:O12" si="14">C12+L12</f>
        <v>130</v>
      </c>
      <c r="O12" s="31">
        <f t="shared" si="14"/>
        <v>14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2</v>
      </c>
      <c r="V12" s="46">
        <f t="shared" si="6"/>
        <v>10</v>
      </c>
      <c r="W12" s="30">
        <f t="shared" si="9"/>
        <v>8</v>
      </c>
    </row>
    <row r="13">
      <c r="A13" s="30">
        <f t="shared" si="7"/>
        <v>9</v>
      </c>
      <c r="B13" s="43" t="s">
        <v>94</v>
      </c>
      <c r="C13" s="31">
        <v>111.0</v>
      </c>
      <c r="D13" s="31">
        <v>10.0</v>
      </c>
      <c r="E13" s="36">
        <f t="shared" si="2"/>
        <v>14.2</v>
      </c>
      <c r="F13" s="73">
        <v>3.0</v>
      </c>
      <c r="G13" s="74">
        <v>0.0</v>
      </c>
      <c r="H13" s="75">
        <v>9.0</v>
      </c>
      <c r="I13" s="74">
        <v>0.0</v>
      </c>
      <c r="J13" s="74">
        <v>0.0</v>
      </c>
      <c r="K13" s="74">
        <v>0.0</v>
      </c>
      <c r="L13" s="76">
        <v>9.0</v>
      </c>
      <c r="M13" s="74">
        <v>0.0</v>
      </c>
      <c r="N13" s="31">
        <f t="shared" ref="N13:O13" si="15">C13+L13</f>
        <v>120</v>
      </c>
      <c r="O13" s="31">
        <f t="shared" si="15"/>
        <v>10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3</v>
      </c>
      <c r="V13" s="46">
        <f t="shared" si="6"/>
        <v>2</v>
      </c>
      <c r="W13" s="30">
        <f t="shared" si="9"/>
        <v>9</v>
      </c>
    </row>
    <row r="14">
      <c r="A14" s="30">
        <f t="shared" si="7"/>
        <v>10</v>
      </c>
      <c r="B14" s="43" t="s">
        <v>56</v>
      </c>
      <c r="C14" s="31">
        <v>109.0</v>
      </c>
      <c r="D14" s="31">
        <v>12.0</v>
      </c>
      <c r="E14" s="36">
        <f t="shared" si="2"/>
        <v>12.11111111</v>
      </c>
      <c r="F14" s="73">
        <v>1.0</v>
      </c>
      <c r="G14" s="74">
        <v>2.0</v>
      </c>
      <c r="H14" s="75">
        <v>0.0</v>
      </c>
      <c r="I14" s="74">
        <v>6.0</v>
      </c>
      <c r="J14" s="74">
        <v>2.0</v>
      </c>
      <c r="K14" s="74">
        <v>6.0</v>
      </c>
      <c r="L14" s="76">
        <v>14.0</v>
      </c>
      <c r="M14" s="74">
        <v>1.0</v>
      </c>
      <c r="N14" s="31">
        <f t="shared" ref="N14:O14" si="16">C14+L14</f>
        <v>123</v>
      </c>
      <c r="O14" s="31">
        <f t="shared" si="16"/>
        <v>13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0</v>
      </c>
      <c r="V14" s="46">
        <f t="shared" si="6"/>
        <v>5</v>
      </c>
      <c r="W14" s="30">
        <f t="shared" si="9"/>
        <v>10</v>
      </c>
    </row>
    <row r="15">
      <c r="A15" s="30">
        <f t="shared" si="7"/>
        <v>11</v>
      </c>
      <c r="B15" s="43" t="s">
        <v>87</v>
      </c>
      <c r="C15" s="47">
        <v>109.0</v>
      </c>
      <c r="D15" s="31">
        <v>10.0</v>
      </c>
      <c r="E15" s="36">
        <f t="shared" si="2"/>
        <v>13</v>
      </c>
      <c r="F15" s="73">
        <v>1.0</v>
      </c>
      <c r="G15" s="74">
        <v>2.0</v>
      </c>
      <c r="H15" s="75">
        <v>0.0</v>
      </c>
      <c r="I15" s="74">
        <v>4.0</v>
      </c>
      <c r="J15" s="74">
        <v>6.0</v>
      </c>
      <c r="K15" s="74">
        <v>6.0</v>
      </c>
      <c r="L15" s="76">
        <v>16.0</v>
      </c>
      <c r="M15" s="74">
        <v>1.0</v>
      </c>
      <c r="N15" s="47">
        <f t="shared" ref="N15:O15" si="17">C15+L15</f>
        <v>125</v>
      </c>
      <c r="O15" s="31">
        <f t="shared" si="17"/>
        <v>11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2</v>
      </c>
      <c r="V15" s="46">
        <f t="shared" si="6"/>
        <v>-7</v>
      </c>
      <c r="W15" s="30">
        <f t="shared" si="9"/>
        <v>11</v>
      </c>
    </row>
    <row r="16">
      <c r="A16" s="30">
        <f t="shared" si="7"/>
        <v>12</v>
      </c>
      <c r="B16" s="28" t="s">
        <v>137</v>
      </c>
      <c r="C16" s="31">
        <v>107.0</v>
      </c>
      <c r="D16" s="31">
        <v>9.0</v>
      </c>
      <c r="E16" s="36">
        <f t="shared" si="2"/>
        <v>13.4</v>
      </c>
      <c r="F16" s="73">
        <v>3.0</v>
      </c>
      <c r="G16" s="74">
        <v>0.0</v>
      </c>
      <c r="H16" s="75">
        <v>9.0</v>
      </c>
      <c r="I16" s="74">
        <v>0.0</v>
      </c>
      <c r="J16" s="74">
        <v>0.0</v>
      </c>
      <c r="K16" s="74">
        <v>0.0</v>
      </c>
      <c r="L16" s="76">
        <v>9.0</v>
      </c>
      <c r="M16" s="74">
        <v>0.0</v>
      </c>
      <c r="N16" s="31">
        <f t="shared" ref="N16:O16" si="18">C16+L16</f>
        <v>116</v>
      </c>
      <c r="O16" s="31">
        <f t="shared" si="18"/>
        <v>9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3</v>
      </c>
      <c r="V16" s="46">
        <f t="shared" si="6"/>
        <v>-5</v>
      </c>
      <c r="W16" s="30">
        <f t="shared" si="9"/>
        <v>12</v>
      </c>
    </row>
    <row r="17">
      <c r="A17" s="30">
        <f t="shared" si="7"/>
        <v>13</v>
      </c>
      <c r="B17" s="28" t="s">
        <v>101</v>
      </c>
      <c r="C17" s="31">
        <v>107.0</v>
      </c>
      <c r="D17" s="31">
        <v>8.0</v>
      </c>
      <c r="E17" s="36">
        <f t="shared" si="2"/>
        <v>12.14285714</v>
      </c>
      <c r="F17" s="73">
        <v>2.0</v>
      </c>
      <c r="G17" s="74">
        <v>3.0</v>
      </c>
      <c r="H17" s="75">
        <v>0.0</v>
      </c>
      <c r="I17" s="74">
        <v>13.0</v>
      </c>
      <c r="J17" s="40"/>
      <c r="K17" s="40"/>
      <c r="L17" s="76">
        <v>13.0</v>
      </c>
      <c r="M17" s="74">
        <v>0.0</v>
      </c>
      <c r="N17" s="31">
        <f t="shared" ref="N17:O17" si="19">C17+L17</f>
        <v>120</v>
      </c>
      <c r="O17" s="31">
        <f t="shared" si="19"/>
        <v>8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1</v>
      </c>
      <c r="V17" s="46">
        <f t="shared" si="6"/>
        <v>-7</v>
      </c>
      <c r="W17" s="30">
        <f t="shared" si="9"/>
        <v>13</v>
      </c>
    </row>
    <row r="18">
      <c r="A18" s="30">
        <f t="shared" si="7"/>
        <v>14</v>
      </c>
      <c r="B18" s="48" t="s">
        <v>82</v>
      </c>
      <c r="C18" s="31">
        <v>106.0</v>
      </c>
      <c r="D18" s="31">
        <v>10.0</v>
      </c>
      <c r="E18" s="36">
        <f t="shared" si="2"/>
        <v>13.16666667</v>
      </c>
      <c r="F18" s="73">
        <v>1.0</v>
      </c>
      <c r="G18" s="74">
        <v>3.0</v>
      </c>
      <c r="H18" s="75">
        <v>0.0</v>
      </c>
      <c r="I18" s="74">
        <v>13.0</v>
      </c>
      <c r="J18" s="40"/>
      <c r="K18" s="40"/>
      <c r="L18" s="76">
        <v>13.0</v>
      </c>
      <c r="M18" s="74">
        <v>0.0</v>
      </c>
      <c r="N18" s="31">
        <f t="shared" ref="N18:O18" si="20">C18+L18</f>
        <v>119</v>
      </c>
      <c r="O18" s="31">
        <f t="shared" si="20"/>
        <v>10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3</v>
      </c>
      <c r="V18" s="46">
        <f t="shared" si="6"/>
        <v>12</v>
      </c>
      <c r="W18" s="30">
        <f t="shared" si="9"/>
        <v>14</v>
      </c>
    </row>
    <row r="19">
      <c r="A19" s="30">
        <f t="shared" si="7"/>
        <v>15</v>
      </c>
      <c r="B19" s="28" t="s">
        <v>104</v>
      </c>
      <c r="C19" s="31">
        <v>105.0</v>
      </c>
      <c r="D19" s="31">
        <v>10.0</v>
      </c>
      <c r="E19" s="36">
        <f t="shared" si="2"/>
        <v>12.33333333</v>
      </c>
      <c r="F19" s="73">
        <v>3.0</v>
      </c>
      <c r="G19" s="74">
        <v>0.0</v>
      </c>
      <c r="H19" s="75">
        <v>9.0</v>
      </c>
      <c r="I19" s="74">
        <v>0.0</v>
      </c>
      <c r="J19" s="74">
        <v>0.0</v>
      </c>
      <c r="K19" s="74">
        <v>0.0</v>
      </c>
      <c r="L19" s="76">
        <v>9.0</v>
      </c>
      <c r="M19" s="74">
        <v>0.0</v>
      </c>
      <c r="N19" s="31">
        <f t="shared" ref="N19:O19" si="21">C19+L19</f>
        <v>114</v>
      </c>
      <c r="O19" s="31">
        <f t="shared" si="21"/>
        <v>10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2</v>
      </c>
      <c r="V19" s="46">
        <f t="shared" si="6"/>
        <v>14</v>
      </c>
      <c r="W19" s="30">
        <f t="shared" si="9"/>
        <v>15</v>
      </c>
    </row>
    <row r="20">
      <c r="A20" s="30">
        <f t="shared" si="7"/>
        <v>16</v>
      </c>
      <c r="B20" s="28" t="s">
        <v>92</v>
      </c>
      <c r="C20" s="31">
        <v>104.0</v>
      </c>
      <c r="D20" s="31">
        <v>10.0</v>
      </c>
      <c r="E20" s="36">
        <f t="shared" si="2"/>
        <v>12.83333333</v>
      </c>
      <c r="F20" s="73">
        <v>1.0</v>
      </c>
      <c r="G20" s="74">
        <v>3.0</v>
      </c>
      <c r="H20" s="75">
        <v>0.0</v>
      </c>
      <c r="I20" s="74">
        <v>13.0</v>
      </c>
      <c r="J20" s="40"/>
      <c r="K20" s="40"/>
      <c r="L20" s="76">
        <v>13.0</v>
      </c>
      <c r="M20" s="74">
        <v>0.0</v>
      </c>
      <c r="N20" s="31">
        <f t="shared" ref="N20:O20" si="22">C20+L20</f>
        <v>117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3</v>
      </c>
      <c r="V20" s="46">
        <f t="shared" si="6"/>
        <v>-6</v>
      </c>
      <c r="W20" s="30">
        <f t="shared" si="9"/>
        <v>16</v>
      </c>
    </row>
    <row r="21">
      <c r="A21" s="30">
        <f t="shared" si="7"/>
        <v>17</v>
      </c>
      <c r="B21" s="28" t="s">
        <v>95</v>
      </c>
      <c r="C21" s="31">
        <v>104.0</v>
      </c>
      <c r="D21" s="31">
        <v>9.0</v>
      </c>
      <c r="E21" s="36">
        <f t="shared" si="2"/>
        <v>12.28571429</v>
      </c>
      <c r="F21" s="73">
        <v>1.0</v>
      </c>
      <c r="G21" s="74">
        <v>3.0</v>
      </c>
      <c r="H21" s="75">
        <v>0.0</v>
      </c>
      <c r="I21" s="74">
        <v>0.0</v>
      </c>
      <c r="J21" s="40"/>
      <c r="K21" s="40"/>
      <c r="L21" s="76">
        <v>0.0</v>
      </c>
      <c r="M21" s="74">
        <v>0.0</v>
      </c>
      <c r="N21" s="31">
        <f t="shared" ref="N21:O21" si="23">C21+L21</f>
        <v>104</v>
      </c>
      <c r="O21" s="31">
        <f t="shared" si="23"/>
        <v>9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2</v>
      </c>
      <c r="V21" s="46">
        <f t="shared" si="6"/>
        <v>-4</v>
      </c>
      <c r="W21" s="30">
        <f t="shared" si="9"/>
        <v>17</v>
      </c>
    </row>
    <row r="22">
      <c r="A22" s="30">
        <f t="shared" si="7"/>
        <v>18</v>
      </c>
      <c r="B22" s="28" t="s">
        <v>89</v>
      </c>
      <c r="C22" s="31">
        <v>104.0</v>
      </c>
      <c r="D22" s="31">
        <v>8.0</v>
      </c>
      <c r="E22" s="36">
        <f t="shared" si="2"/>
        <v>12.75</v>
      </c>
      <c r="F22" s="73">
        <v>3.0</v>
      </c>
      <c r="G22" s="74">
        <v>0.0</v>
      </c>
      <c r="H22" s="75">
        <v>9.0</v>
      </c>
      <c r="I22" s="74">
        <v>0.0</v>
      </c>
      <c r="J22" s="74">
        <v>0.0</v>
      </c>
      <c r="K22" s="74">
        <v>0.0</v>
      </c>
      <c r="L22" s="76">
        <v>9.0</v>
      </c>
      <c r="M22" s="74">
        <v>0.0</v>
      </c>
      <c r="N22" s="31">
        <f t="shared" ref="N22:O22" si="24">C22+L22</f>
        <v>113</v>
      </c>
      <c r="O22" s="31">
        <f t="shared" si="24"/>
        <v>8</v>
      </c>
      <c r="P22" s="45" t="s">
        <v>58</v>
      </c>
      <c r="Q22" s="45" t="s">
        <v>58</v>
      </c>
      <c r="R22" s="45"/>
      <c r="S22" s="46">
        <f t="shared" si="4"/>
        <v>2</v>
      </c>
      <c r="T22" s="46"/>
      <c r="U22" s="46">
        <f t="shared" si="5"/>
        <v>3</v>
      </c>
      <c r="V22" s="46">
        <f t="shared" si="6"/>
        <v>-4</v>
      </c>
      <c r="W22" s="30">
        <f t="shared" si="9"/>
        <v>18</v>
      </c>
    </row>
    <row r="23">
      <c r="A23" s="30">
        <f t="shared" si="7"/>
        <v>19</v>
      </c>
      <c r="B23" s="28" t="s">
        <v>120</v>
      </c>
      <c r="C23" s="31">
        <v>103.0</v>
      </c>
      <c r="D23" s="31">
        <v>10.0</v>
      </c>
      <c r="E23" s="36">
        <f t="shared" si="2"/>
        <v>12</v>
      </c>
      <c r="F23" s="73">
        <v>1.0</v>
      </c>
      <c r="G23" s="74">
        <v>4.0</v>
      </c>
      <c r="H23" s="75">
        <v>0.0</v>
      </c>
      <c r="I23" s="74">
        <v>7.0</v>
      </c>
      <c r="J23" s="74">
        <v>6.0</v>
      </c>
      <c r="K23" s="74">
        <v>6.0</v>
      </c>
      <c r="L23" s="76">
        <v>19.0</v>
      </c>
      <c r="M23" s="74">
        <v>3.0</v>
      </c>
      <c r="N23" s="31">
        <f t="shared" ref="N23:O23" si="25">C23+L23</f>
        <v>122</v>
      </c>
      <c r="O23" s="31">
        <f t="shared" si="25"/>
        <v>13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2</v>
      </c>
      <c r="V23" s="46">
        <f t="shared" si="6"/>
        <v>-2</v>
      </c>
      <c r="W23" s="30">
        <f t="shared" si="9"/>
        <v>19</v>
      </c>
    </row>
    <row r="24">
      <c r="A24" s="30">
        <f t="shared" si="7"/>
        <v>20</v>
      </c>
      <c r="B24" s="43" t="s">
        <v>64</v>
      </c>
      <c r="C24" s="47">
        <v>103.0</v>
      </c>
      <c r="D24" s="31">
        <v>10.0</v>
      </c>
      <c r="E24" s="36">
        <f t="shared" si="2"/>
        <v>12.14285714</v>
      </c>
      <c r="F24" s="73">
        <v>1.0</v>
      </c>
      <c r="G24" s="74">
        <v>4.0</v>
      </c>
      <c r="H24" s="75">
        <v>0.0</v>
      </c>
      <c r="I24" s="74">
        <v>5.0</v>
      </c>
      <c r="J24" s="74">
        <v>6.0</v>
      </c>
      <c r="K24" s="74">
        <v>0.0</v>
      </c>
      <c r="L24" s="76">
        <v>11.0</v>
      </c>
      <c r="M24" s="74">
        <v>1.0</v>
      </c>
      <c r="N24" s="47">
        <f t="shared" ref="N24:O24" si="26">C24+L24</f>
        <v>114</v>
      </c>
      <c r="O24" s="31">
        <f t="shared" si="26"/>
        <v>11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2</v>
      </c>
      <c r="V24" s="46">
        <f t="shared" si="6"/>
        <v>7</v>
      </c>
      <c r="W24" s="30">
        <f t="shared" si="9"/>
        <v>20</v>
      </c>
    </row>
    <row r="25">
      <c r="A25" s="30">
        <f t="shared" si="7"/>
        <v>21</v>
      </c>
      <c r="B25" s="28" t="s">
        <v>98</v>
      </c>
      <c r="C25" s="31">
        <v>103.0</v>
      </c>
      <c r="D25" s="31">
        <v>9.0</v>
      </c>
      <c r="E25" s="36">
        <f t="shared" si="2"/>
        <v>13.4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112</v>
      </c>
      <c r="O25" s="31">
        <f t="shared" si="27"/>
        <v>9</v>
      </c>
      <c r="P25" s="45" t="s">
        <v>58</v>
      </c>
      <c r="Q25" s="45" t="s">
        <v>58</v>
      </c>
      <c r="R25" s="45"/>
      <c r="S25" s="46">
        <f t="shared" si="4"/>
        <v>0</v>
      </c>
      <c r="T25" s="46"/>
      <c r="U25" s="46">
        <f t="shared" si="5"/>
        <v>4</v>
      </c>
      <c r="V25" s="46">
        <f t="shared" si="6"/>
        <v>3</v>
      </c>
      <c r="W25" s="30">
        <f t="shared" si="9"/>
        <v>21</v>
      </c>
    </row>
    <row r="26">
      <c r="A26" s="30">
        <f t="shared" si="7"/>
        <v>22</v>
      </c>
      <c r="B26" s="28" t="s">
        <v>102</v>
      </c>
      <c r="C26" s="31">
        <v>103.0</v>
      </c>
      <c r="D26" s="31">
        <v>9.0</v>
      </c>
      <c r="E26" s="36">
        <f t="shared" si="2"/>
        <v>15</v>
      </c>
      <c r="F26" s="73">
        <v>3.0</v>
      </c>
      <c r="G26" s="74">
        <v>0.0</v>
      </c>
      <c r="H26" s="75">
        <v>9.0</v>
      </c>
      <c r="I26" s="74">
        <v>0.0</v>
      </c>
      <c r="J26" s="74">
        <v>0.0</v>
      </c>
      <c r="K26" s="74">
        <v>0.0</v>
      </c>
      <c r="L26" s="76">
        <v>9.0</v>
      </c>
      <c r="M26" s="74">
        <v>0.0</v>
      </c>
      <c r="N26" s="31">
        <f t="shared" ref="N26:O26" si="28">C26+L26</f>
        <v>112</v>
      </c>
      <c r="O26" s="31">
        <f t="shared" si="28"/>
        <v>9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5</v>
      </c>
      <c r="V26" s="46">
        <f t="shared" si="6"/>
        <v>10</v>
      </c>
      <c r="W26" s="30">
        <f t="shared" si="9"/>
        <v>22</v>
      </c>
    </row>
    <row r="27">
      <c r="A27" s="30">
        <f t="shared" si="7"/>
        <v>23</v>
      </c>
      <c r="B27" s="28" t="s">
        <v>74</v>
      </c>
      <c r="C27" s="31">
        <v>102.0</v>
      </c>
      <c r="D27" s="31">
        <v>10.0</v>
      </c>
      <c r="E27" s="36">
        <f t="shared" si="2"/>
        <v>13.2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31">
        <f t="shared" ref="N27:O27" si="29">C27+L27</f>
        <v>111</v>
      </c>
      <c r="O27" s="31">
        <f t="shared" si="29"/>
        <v>10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4</v>
      </c>
      <c r="V27" s="46">
        <f t="shared" si="6"/>
        <v>-7</v>
      </c>
      <c r="W27" s="30">
        <f t="shared" si="9"/>
        <v>23</v>
      </c>
    </row>
    <row r="28">
      <c r="A28" s="30">
        <f t="shared" si="7"/>
        <v>24</v>
      </c>
      <c r="B28" s="28" t="s">
        <v>128</v>
      </c>
      <c r="C28" s="31">
        <v>101.0</v>
      </c>
      <c r="D28" s="31">
        <v>9.0</v>
      </c>
      <c r="E28" s="36">
        <f t="shared" si="2"/>
        <v>13</v>
      </c>
      <c r="F28" s="73">
        <v>2.0</v>
      </c>
      <c r="G28" s="74">
        <v>4.0</v>
      </c>
      <c r="H28" s="75">
        <v>0.0</v>
      </c>
      <c r="I28" s="74">
        <v>5.0</v>
      </c>
      <c r="J28" s="74">
        <v>0.0</v>
      </c>
      <c r="K28" s="74">
        <v>6.0</v>
      </c>
      <c r="L28" s="76">
        <v>11.0</v>
      </c>
      <c r="M28" s="74">
        <v>1.0</v>
      </c>
      <c r="N28" s="31">
        <f t="shared" ref="N28:O28" si="30">C28+L28</f>
        <v>112</v>
      </c>
      <c r="O28" s="31">
        <f t="shared" si="30"/>
        <v>10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4</v>
      </c>
      <c r="V28" s="46">
        <f t="shared" si="6"/>
        <v>-5</v>
      </c>
      <c r="W28" s="30">
        <f t="shared" si="9"/>
        <v>24</v>
      </c>
    </row>
    <row r="29">
      <c r="A29" s="30">
        <f t="shared" si="7"/>
        <v>25</v>
      </c>
      <c r="B29" s="43" t="s">
        <v>111</v>
      </c>
      <c r="C29" s="47">
        <v>100.0</v>
      </c>
      <c r="D29" s="31">
        <v>10.0</v>
      </c>
      <c r="E29" s="36">
        <f t="shared" si="2"/>
        <v>11.375</v>
      </c>
      <c r="F29" s="73">
        <v>1.0</v>
      </c>
      <c r="G29" s="74">
        <v>4.0</v>
      </c>
      <c r="H29" s="75">
        <v>0.0</v>
      </c>
      <c r="I29" s="74">
        <v>7.0</v>
      </c>
      <c r="J29" s="74">
        <v>0.0</v>
      </c>
      <c r="K29" s="74">
        <v>0.0</v>
      </c>
      <c r="L29" s="76">
        <v>7.0</v>
      </c>
      <c r="M29" s="74">
        <v>1.0</v>
      </c>
      <c r="N29" s="47">
        <f t="shared" ref="N29:O29" si="31">C29+L29</f>
        <v>107</v>
      </c>
      <c r="O29" s="31">
        <f t="shared" si="31"/>
        <v>11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1</v>
      </c>
      <c r="V29" s="46">
        <f t="shared" si="6"/>
        <v>-5</v>
      </c>
      <c r="W29" s="30">
        <f t="shared" si="9"/>
        <v>25</v>
      </c>
    </row>
    <row r="30">
      <c r="A30" s="30">
        <f t="shared" si="7"/>
        <v>26</v>
      </c>
      <c r="B30" s="28" t="s">
        <v>34</v>
      </c>
      <c r="C30" s="31">
        <v>99.0</v>
      </c>
      <c r="D30" s="31">
        <v>9.0</v>
      </c>
      <c r="E30" s="36">
        <f t="shared" si="2"/>
        <v>15</v>
      </c>
      <c r="F30" s="73">
        <v>3.0</v>
      </c>
      <c r="G30" s="74">
        <v>0.0</v>
      </c>
      <c r="H30" s="75">
        <v>9.0</v>
      </c>
      <c r="I30" s="74">
        <v>0.0</v>
      </c>
      <c r="J30" s="74">
        <v>0.0</v>
      </c>
      <c r="K30" s="74">
        <v>0.0</v>
      </c>
      <c r="L30" s="76">
        <v>9.0</v>
      </c>
      <c r="M30" s="74">
        <v>0.0</v>
      </c>
      <c r="N30" s="31">
        <f t="shared" ref="N30:O30" si="32">C30+L30</f>
        <v>108</v>
      </c>
      <c r="O30" s="31">
        <f t="shared" si="32"/>
        <v>9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6</v>
      </c>
      <c r="V30" s="46">
        <f t="shared" si="6"/>
        <v>-5</v>
      </c>
      <c r="W30" s="30">
        <f t="shared" si="9"/>
        <v>26</v>
      </c>
    </row>
    <row r="31">
      <c r="A31" s="30">
        <f t="shared" si="7"/>
        <v>27</v>
      </c>
      <c r="B31" s="28" t="s">
        <v>67</v>
      </c>
      <c r="C31" s="31">
        <v>99.0</v>
      </c>
      <c r="D31" s="31">
        <v>7.0</v>
      </c>
      <c r="E31" s="36">
        <f t="shared" si="2"/>
        <v>13.66666667</v>
      </c>
      <c r="F31" s="73">
        <v>3.0</v>
      </c>
      <c r="G31" s="74">
        <v>0.0</v>
      </c>
      <c r="H31" s="75">
        <v>9.0</v>
      </c>
      <c r="I31" s="74">
        <v>0.0</v>
      </c>
      <c r="J31" s="74">
        <v>0.0</v>
      </c>
      <c r="K31" s="74">
        <v>0.0</v>
      </c>
      <c r="L31" s="76">
        <v>9.0</v>
      </c>
      <c r="M31" s="74">
        <v>0.0</v>
      </c>
      <c r="N31" s="31">
        <f t="shared" ref="N31:O31" si="33">C31+L31</f>
        <v>108</v>
      </c>
      <c r="O31" s="31">
        <f t="shared" si="33"/>
        <v>7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5</v>
      </c>
      <c r="V31" s="46">
        <f t="shared" si="6"/>
        <v>-4</v>
      </c>
      <c r="W31" s="30">
        <f t="shared" si="9"/>
        <v>27</v>
      </c>
    </row>
    <row r="32">
      <c r="A32" s="30">
        <f t="shared" si="7"/>
        <v>28</v>
      </c>
      <c r="B32" s="43" t="s">
        <v>122</v>
      </c>
      <c r="C32" s="31">
        <v>98.0</v>
      </c>
      <c r="D32" s="31">
        <v>8.0</v>
      </c>
      <c r="E32" s="36">
        <f t="shared" si="2"/>
        <v>12.4</v>
      </c>
      <c r="F32" s="73">
        <v>3.0</v>
      </c>
      <c r="G32" s="74">
        <v>0.0</v>
      </c>
      <c r="H32" s="75">
        <v>9.0</v>
      </c>
      <c r="I32" s="74">
        <v>0.0</v>
      </c>
      <c r="J32" s="74">
        <v>0.0</v>
      </c>
      <c r="K32" s="74">
        <v>0.0</v>
      </c>
      <c r="L32" s="76">
        <v>9.0</v>
      </c>
      <c r="M32" s="74">
        <v>0.0</v>
      </c>
      <c r="N32" s="31">
        <f t="shared" ref="N32:O32" si="34">C32+L32</f>
        <v>107</v>
      </c>
      <c r="O32" s="31">
        <f t="shared" si="34"/>
        <v>8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4</v>
      </c>
      <c r="V32" s="46">
        <f t="shared" si="6"/>
        <v>0</v>
      </c>
      <c r="W32" s="30">
        <f t="shared" si="9"/>
        <v>28</v>
      </c>
    </row>
    <row r="33">
      <c r="A33" s="30">
        <f t="shared" si="7"/>
        <v>29</v>
      </c>
      <c r="B33" s="48" t="s">
        <v>125</v>
      </c>
      <c r="C33" s="31">
        <v>98.0</v>
      </c>
      <c r="D33" s="31">
        <v>8.0</v>
      </c>
      <c r="E33" s="36">
        <f t="shared" si="2"/>
        <v>10.88888889</v>
      </c>
      <c r="F33" s="73">
        <v>1.0</v>
      </c>
      <c r="G33" s="74">
        <v>5.0</v>
      </c>
      <c r="H33" s="75">
        <v>0.0</v>
      </c>
      <c r="I33" s="74">
        <v>4.0</v>
      </c>
      <c r="J33" s="74">
        <v>2.0</v>
      </c>
      <c r="K33" s="74">
        <v>3.0</v>
      </c>
      <c r="L33" s="76">
        <v>9.0</v>
      </c>
      <c r="M33" s="74">
        <v>0.0</v>
      </c>
      <c r="N33" s="31">
        <f t="shared" ref="N33:O33" si="35">C33+L33</f>
        <v>107</v>
      </c>
      <c r="O33" s="31">
        <f t="shared" si="35"/>
        <v>8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0</v>
      </c>
      <c r="V33" s="46">
        <f t="shared" si="6"/>
        <v>12</v>
      </c>
      <c r="W33" s="30">
        <f t="shared" si="9"/>
        <v>29</v>
      </c>
    </row>
    <row r="34">
      <c r="A34" s="30">
        <f t="shared" si="7"/>
        <v>30</v>
      </c>
      <c r="B34" s="43" t="s">
        <v>107</v>
      </c>
      <c r="C34" s="31">
        <v>98.0</v>
      </c>
      <c r="D34" s="31">
        <v>4.0</v>
      </c>
      <c r="E34" s="36">
        <f t="shared" si="2"/>
        <v>11.16666667</v>
      </c>
      <c r="F34" s="73">
        <v>3.0</v>
      </c>
      <c r="G34" s="74">
        <v>0.0</v>
      </c>
      <c r="H34" s="75">
        <v>9.0</v>
      </c>
      <c r="I34" s="74">
        <v>0.0</v>
      </c>
      <c r="J34" s="74">
        <v>0.0</v>
      </c>
      <c r="K34" s="74">
        <v>0.0</v>
      </c>
      <c r="L34" s="76">
        <v>9.0</v>
      </c>
      <c r="M34" s="74">
        <v>0.0</v>
      </c>
      <c r="N34" s="31">
        <f t="shared" ref="N34:O34" si="36">C34+L34</f>
        <v>107</v>
      </c>
      <c r="O34" s="31">
        <f t="shared" si="36"/>
        <v>4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2</v>
      </c>
      <c r="V34" s="46">
        <f t="shared" si="6"/>
        <v>0</v>
      </c>
      <c r="W34" s="30">
        <f t="shared" si="9"/>
        <v>30</v>
      </c>
    </row>
    <row r="35">
      <c r="A35" s="30">
        <f t="shared" si="7"/>
        <v>31</v>
      </c>
      <c r="B35" s="43" t="s">
        <v>106</v>
      </c>
      <c r="C35" s="31">
        <v>97.0</v>
      </c>
      <c r="D35" s="31">
        <v>10.0</v>
      </c>
      <c r="E35" s="36">
        <f t="shared" si="2"/>
        <v>11.28571429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106</v>
      </c>
      <c r="O35" s="31">
        <f t="shared" si="37"/>
        <v>10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2</v>
      </c>
      <c r="V35" s="46">
        <f t="shared" si="6"/>
        <v>-9</v>
      </c>
      <c r="W35" s="30">
        <f t="shared" si="9"/>
        <v>31</v>
      </c>
    </row>
    <row r="36">
      <c r="A36" s="30">
        <f t="shared" si="7"/>
        <v>32</v>
      </c>
      <c r="B36" s="43" t="s">
        <v>129</v>
      </c>
      <c r="C36" s="47">
        <v>97.0</v>
      </c>
      <c r="D36" s="31">
        <v>9.0</v>
      </c>
      <c r="E36" s="36">
        <f t="shared" si="2"/>
        <v>10.77777778</v>
      </c>
      <c r="F36" s="73">
        <v>1.0</v>
      </c>
      <c r="G36" s="74">
        <v>5.0</v>
      </c>
      <c r="H36" s="75">
        <v>0.0</v>
      </c>
      <c r="I36" s="74">
        <v>6.0</v>
      </c>
      <c r="J36" s="74">
        <v>6.0</v>
      </c>
      <c r="K36" s="74">
        <v>3.0</v>
      </c>
      <c r="L36" s="76">
        <v>15.0</v>
      </c>
      <c r="M36" s="74">
        <v>2.0</v>
      </c>
      <c r="N36" s="47">
        <f t="shared" ref="N36:O36" si="38">C36+L36</f>
        <v>112</v>
      </c>
      <c r="O36" s="31">
        <f t="shared" si="38"/>
        <v>11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-7</v>
      </c>
      <c r="W36" s="30">
        <f>W37+1</f>
        <v>33</v>
      </c>
    </row>
    <row r="37">
      <c r="A37" s="30">
        <f t="shared" si="7"/>
        <v>33</v>
      </c>
      <c r="B37" s="43" t="s">
        <v>62</v>
      </c>
      <c r="C37" s="31">
        <v>96.0</v>
      </c>
      <c r="D37" s="31">
        <v>8.0</v>
      </c>
      <c r="E37" s="36">
        <f t="shared" si="2"/>
        <v>12</v>
      </c>
      <c r="F37" s="73">
        <v>3.0</v>
      </c>
      <c r="G37" s="74">
        <v>0.0</v>
      </c>
      <c r="H37" s="75">
        <v>9.0</v>
      </c>
      <c r="I37" s="74">
        <v>0.0</v>
      </c>
      <c r="J37" s="74">
        <v>0.0</v>
      </c>
      <c r="K37" s="74">
        <v>0.0</v>
      </c>
      <c r="L37" s="76">
        <v>9.0</v>
      </c>
      <c r="M37" s="74">
        <v>0.0</v>
      </c>
      <c r="N37" s="31">
        <f t="shared" ref="N37:O37" si="39">C37+L37</f>
        <v>105</v>
      </c>
      <c r="O37" s="31">
        <f t="shared" si="39"/>
        <v>8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4</v>
      </c>
      <c r="V37" s="46">
        <f t="shared" si="6"/>
        <v>6</v>
      </c>
      <c r="W37" s="30">
        <f t="shared" ref="W37:W38" si="41">W35+1</f>
        <v>32</v>
      </c>
    </row>
    <row r="38">
      <c r="A38" s="30">
        <f t="shared" si="7"/>
        <v>34</v>
      </c>
      <c r="B38" s="28" t="s">
        <v>127</v>
      </c>
      <c r="C38" s="31">
        <v>95.0</v>
      </c>
      <c r="D38" s="31">
        <v>4.0</v>
      </c>
      <c r="E38" s="36">
        <f t="shared" si="2"/>
        <v>14</v>
      </c>
      <c r="F38" s="73">
        <v>3.0</v>
      </c>
      <c r="G38" s="74">
        <v>0.0</v>
      </c>
      <c r="H38" s="75">
        <v>9.0</v>
      </c>
      <c r="I38" s="74">
        <v>0.0</v>
      </c>
      <c r="J38" s="74">
        <v>0.0</v>
      </c>
      <c r="K38" s="74">
        <v>0.0</v>
      </c>
      <c r="L38" s="76">
        <v>9.0</v>
      </c>
      <c r="M38" s="74">
        <v>0.0</v>
      </c>
      <c r="N38" s="31">
        <f t="shared" ref="N38:O38" si="40">C38+L38</f>
        <v>104</v>
      </c>
      <c r="O38" s="31">
        <f t="shared" si="40"/>
        <v>4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6</v>
      </c>
      <c r="V38" s="46">
        <f t="shared" si="6"/>
        <v>-3</v>
      </c>
      <c r="W38" s="30">
        <f t="shared" si="41"/>
        <v>34</v>
      </c>
    </row>
    <row r="39">
      <c r="A39" s="30">
        <f t="shared" si="7"/>
        <v>35</v>
      </c>
      <c r="B39" s="28" t="s">
        <v>105</v>
      </c>
      <c r="C39" s="31">
        <v>94.0</v>
      </c>
      <c r="D39" s="31">
        <v>6.0</v>
      </c>
      <c r="E39" s="36">
        <f t="shared" si="2"/>
        <v>10.5</v>
      </c>
      <c r="F39" s="73">
        <v>2.0</v>
      </c>
      <c r="G39" s="74">
        <v>5.0</v>
      </c>
      <c r="H39" s="75">
        <v>0.0</v>
      </c>
      <c r="I39" s="74">
        <v>6.0</v>
      </c>
      <c r="J39" s="74">
        <v>2.0</v>
      </c>
      <c r="K39" s="74">
        <v>6.0</v>
      </c>
      <c r="L39" s="76">
        <v>14.0</v>
      </c>
      <c r="M39" s="74">
        <v>2.0</v>
      </c>
      <c r="N39" s="31">
        <f t="shared" ref="N39:O39" si="42">C39+L39</f>
        <v>108</v>
      </c>
      <c r="O39" s="31">
        <f t="shared" si="42"/>
        <v>8</v>
      </c>
      <c r="P39" s="45" t="s">
        <v>58</v>
      </c>
      <c r="Q39" s="45" t="s">
        <v>58</v>
      </c>
      <c r="R39" s="45"/>
      <c r="S39" s="46">
        <f t="shared" si="4"/>
        <v>1</v>
      </c>
      <c r="T39" s="46"/>
      <c r="U39" s="46">
        <f t="shared" si="5"/>
        <v>2</v>
      </c>
      <c r="V39" s="46">
        <f t="shared" si="6"/>
        <v>-1</v>
      </c>
      <c r="W39" s="30">
        <f t="shared" ref="W39:W68" si="44">W38+1</f>
        <v>35</v>
      </c>
    </row>
    <row r="40">
      <c r="A40" s="30">
        <f t="shared" si="7"/>
        <v>36</v>
      </c>
      <c r="B40" s="43" t="s">
        <v>61</v>
      </c>
      <c r="C40" s="47">
        <v>93.0</v>
      </c>
      <c r="D40" s="31">
        <v>11.0</v>
      </c>
      <c r="E40" s="36">
        <f t="shared" si="2"/>
        <v>10.33333333</v>
      </c>
      <c r="F40" s="73">
        <v>1.0</v>
      </c>
      <c r="G40" s="74">
        <v>5.0</v>
      </c>
      <c r="H40" s="75">
        <v>0.0</v>
      </c>
      <c r="I40" s="74">
        <v>4.0</v>
      </c>
      <c r="J40" s="74">
        <v>6.0</v>
      </c>
      <c r="K40" s="74">
        <v>6.0</v>
      </c>
      <c r="L40" s="76">
        <v>16.0</v>
      </c>
      <c r="M40" s="74">
        <v>2.0</v>
      </c>
      <c r="N40" s="47">
        <f t="shared" ref="N40:O40" si="43">C40+L40</f>
        <v>109</v>
      </c>
      <c r="O40" s="31">
        <f t="shared" si="43"/>
        <v>13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7</v>
      </c>
      <c r="W40" s="30">
        <f t="shared" si="44"/>
        <v>36</v>
      </c>
    </row>
    <row r="41">
      <c r="A41" s="30">
        <f t="shared" si="7"/>
        <v>37</v>
      </c>
      <c r="B41" s="28" t="s">
        <v>49</v>
      </c>
      <c r="C41" s="31">
        <v>93.0</v>
      </c>
      <c r="D41" s="31">
        <v>8.0</v>
      </c>
      <c r="E41" s="36">
        <f t="shared" si="2"/>
        <v>10</v>
      </c>
      <c r="F41" s="73">
        <v>1.0</v>
      </c>
      <c r="G41" s="74">
        <v>6.0</v>
      </c>
      <c r="H41" s="75">
        <v>0.0</v>
      </c>
      <c r="I41" s="74">
        <v>5.0</v>
      </c>
      <c r="J41" s="74">
        <v>6.0</v>
      </c>
      <c r="K41" s="74">
        <v>7.0</v>
      </c>
      <c r="L41" s="76">
        <v>18.0</v>
      </c>
      <c r="M41" s="74">
        <v>2.0</v>
      </c>
      <c r="N41" s="31">
        <f t="shared" ref="N41:O41" si="45">C41+L41</f>
        <v>111</v>
      </c>
      <c r="O41" s="31">
        <f t="shared" si="45"/>
        <v>10</v>
      </c>
      <c r="P41" s="45" t="s">
        <v>58</v>
      </c>
      <c r="Q41" s="45" t="s">
        <v>58</v>
      </c>
      <c r="R41" s="45" t="s">
        <v>58</v>
      </c>
      <c r="S41" s="46">
        <f t="shared" si="4"/>
        <v>1</v>
      </c>
      <c r="T41" s="46"/>
      <c r="U41" s="46">
        <f t="shared" si="5"/>
        <v>0</v>
      </c>
      <c r="V41" s="46">
        <f t="shared" si="6"/>
        <v>7</v>
      </c>
      <c r="W41" s="30">
        <f t="shared" si="44"/>
        <v>37</v>
      </c>
    </row>
    <row r="42">
      <c r="A42" s="30">
        <f t="shared" si="7"/>
        <v>38</v>
      </c>
      <c r="B42" s="43" t="s">
        <v>133</v>
      </c>
      <c r="C42" s="31">
        <v>93.0</v>
      </c>
      <c r="D42" s="31">
        <v>7.0</v>
      </c>
      <c r="E42" s="36">
        <f t="shared" si="2"/>
        <v>10.5</v>
      </c>
      <c r="F42" s="73">
        <v>1.0</v>
      </c>
      <c r="G42" s="74">
        <v>6.0</v>
      </c>
      <c r="H42" s="75">
        <v>0.0</v>
      </c>
      <c r="I42" s="74">
        <v>5.0</v>
      </c>
      <c r="J42" s="74">
        <v>4.0</v>
      </c>
      <c r="K42" s="74">
        <v>6.0</v>
      </c>
      <c r="L42" s="76">
        <v>15.0</v>
      </c>
      <c r="M42" s="74">
        <v>0.0</v>
      </c>
      <c r="N42" s="31">
        <f t="shared" ref="N42:O42" si="46">C42+L42</f>
        <v>108</v>
      </c>
      <c r="O42" s="31">
        <f t="shared" si="46"/>
        <v>7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1</v>
      </c>
      <c r="V42" s="46">
        <f t="shared" si="6"/>
        <v>-5</v>
      </c>
      <c r="W42" s="30">
        <f t="shared" si="44"/>
        <v>38</v>
      </c>
    </row>
    <row r="43">
      <c r="A43" s="30">
        <f t="shared" si="7"/>
        <v>39</v>
      </c>
      <c r="B43" s="28" t="s">
        <v>84</v>
      </c>
      <c r="C43" s="31">
        <v>92.0</v>
      </c>
      <c r="D43" s="31">
        <v>10.0</v>
      </c>
      <c r="E43" s="36">
        <f t="shared" si="2"/>
        <v>10.57142857</v>
      </c>
      <c r="F43" s="73">
        <v>3.0</v>
      </c>
      <c r="G43" s="74">
        <v>0.0</v>
      </c>
      <c r="H43" s="75">
        <v>9.0</v>
      </c>
      <c r="I43" s="74">
        <v>0.0</v>
      </c>
      <c r="J43" s="74">
        <v>0.0</v>
      </c>
      <c r="K43" s="74">
        <v>0.0</v>
      </c>
      <c r="L43" s="76">
        <v>9.0</v>
      </c>
      <c r="M43" s="74">
        <v>0.0</v>
      </c>
      <c r="N43" s="31">
        <f t="shared" ref="N43:O43" si="47">C43+L43</f>
        <v>101</v>
      </c>
      <c r="O43" s="31">
        <f t="shared" si="47"/>
        <v>10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2</v>
      </c>
      <c r="V43" s="46">
        <f t="shared" si="6"/>
        <v>-3</v>
      </c>
      <c r="W43" s="30">
        <f t="shared" si="44"/>
        <v>39</v>
      </c>
    </row>
    <row r="44">
      <c r="A44" s="30">
        <f t="shared" si="7"/>
        <v>40</v>
      </c>
      <c r="B44" s="28" t="s">
        <v>119</v>
      </c>
      <c r="C44" s="31">
        <v>92.0</v>
      </c>
      <c r="D44" s="31">
        <v>8.0</v>
      </c>
      <c r="E44" s="36">
        <f t="shared" si="2"/>
        <v>10.16666667</v>
      </c>
      <c r="F44" s="73">
        <v>1.0</v>
      </c>
      <c r="G44" s="74">
        <v>6.0</v>
      </c>
      <c r="H44" s="75">
        <v>0.0</v>
      </c>
      <c r="I44" s="74">
        <v>7.0</v>
      </c>
      <c r="J44" s="74">
        <v>6.0</v>
      </c>
      <c r="K44" s="74">
        <v>6.0</v>
      </c>
      <c r="L44" s="76">
        <v>19.0</v>
      </c>
      <c r="M44" s="74">
        <v>2.0</v>
      </c>
      <c r="N44" s="31">
        <f t="shared" ref="N44:O44" si="48">C44+L44</f>
        <v>111</v>
      </c>
      <c r="O44" s="31">
        <f t="shared" si="48"/>
        <v>10</v>
      </c>
      <c r="P44" s="45" t="s">
        <v>58</v>
      </c>
      <c r="Q44" s="45" t="s">
        <v>58</v>
      </c>
      <c r="R44" s="45" t="s">
        <v>58</v>
      </c>
      <c r="S44" s="46">
        <f t="shared" si="4"/>
        <v>1</v>
      </c>
      <c r="T44" s="46"/>
      <c r="U44" s="46">
        <f t="shared" si="5"/>
        <v>2</v>
      </c>
      <c r="V44" s="46">
        <f t="shared" si="6"/>
        <v>-2</v>
      </c>
      <c r="W44" s="30">
        <f t="shared" si="44"/>
        <v>40</v>
      </c>
    </row>
    <row r="45">
      <c r="A45" s="30">
        <f t="shared" si="7"/>
        <v>41</v>
      </c>
      <c r="B45" s="48" t="s">
        <v>134</v>
      </c>
      <c r="C45" s="31">
        <v>92.0</v>
      </c>
      <c r="D45" s="31">
        <v>6.0</v>
      </c>
      <c r="E45" s="36">
        <f t="shared" si="2"/>
        <v>10.75</v>
      </c>
      <c r="F45" s="73">
        <v>3.0</v>
      </c>
      <c r="G45" s="74">
        <v>0.0</v>
      </c>
      <c r="H45" s="75">
        <v>9.0</v>
      </c>
      <c r="I45" s="74">
        <v>0.0</v>
      </c>
      <c r="J45" s="74">
        <v>0.0</v>
      </c>
      <c r="K45" s="74">
        <v>0.0</v>
      </c>
      <c r="L45" s="76">
        <v>9.0</v>
      </c>
      <c r="M45" s="74">
        <v>0.0</v>
      </c>
      <c r="N45" s="31">
        <f t="shared" ref="N45:O45" si="49">C45+L45</f>
        <v>101</v>
      </c>
      <c r="O45" s="31">
        <f t="shared" si="49"/>
        <v>6</v>
      </c>
      <c r="P45" s="45" t="s">
        <v>58</v>
      </c>
      <c r="Q45" s="45" t="s">
        <v>58</v>
      </c>
      <c r="R45" s="45"/>
      <c r="S45" s="46">
        <f t="shared" si="4"/>
        <v>1</v>
      </c>
      <c r="T45" s="46"/>
      <c r="U45" s="46">
        <f t="shared" si="5"/>
        <v>4</v>
      </c>
      <c r="V45" s="46">
        <f t="shared" si="6"/>
        <v>-1</v>
      </c>
      <c r="W45" s="30">
        <f t="shared" si="44"/>
        <v>41</v>
      </c>
    </row>
    <row r="46">
      <c r="A46" s="30">
        <f t="shared" si="7"/>
        <v>42</v>
      </c>
      <c r="B46" s="43" t="s">
        <v>90</v>
      </c>
      <c r="C46" s="31">
        <v>92.0</v>
      </c>
      <c r="D46" s="31">
        <v>5.0</v>
      </c>
      <c r="E46" s="36">
        <f t="shared" si="2"/>
        <v>8.666666667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50">C46+L46</f>
        <v>101</v>
      </c>
      <c r="O46" s="31">
        <f t="shared" si="50"/>
        <v>5</v>
      </c>
      <c r="P46" s="45" t="s">
        <v>58</v>
      </c>
      <c r="Q46" s="45" t="s">
        <v>58</v>
      </c>
      <c r="R46" s="45"/>
      <c r="S46" s="46">
        <f t="shared" si="4"/>
        <v>3</v>
      </c>
      <c r="T46" s="46"/>
      <c r="U46" s="46">
        <f t="shared" si="5"/>
        <v>3</v>
      </c>
      <c r="V46" s="46">
        <f t="shared" si="6"/>
        <v>-7</v>
      </c>
      <c r="W46" s="30">
        <f t="shared" si="44"/>
        <v>42</v>
      </c>
    </row>
    <row r="47">
      <c r="A47" s="30">
        <f t="shared" si="7"/>
        <v>43</v>
      </c>
      <c r="B47" s="43" t="s">
        <v>136</v>
      </c>
      <c r="C47" s="31">
        <v>91.0</v>
      </c>
      <c r="D47" s="31">
        <v>10.0</v>
      </c>
      <c r="E47" s="36">
        <f t="shared" si="2"/>
        <v>10.42857143</v>
      </c>
      <c r="F47" s="73">
        <v>3.0</v>
      </c>
      <c r="G47" s="74">
        <v>0.0</v>
      </c>
      <c r="H47" s="75">
        <v>9.0</v>
      </c>
      <c r="I47" s="74">
        <v>0.0</v>
      </c>
      <c r="J47" s="74">
        <v>0.0</v>
      </c>
      <c r="K47" s="74">
        <v>0.0</v>
      </c>
      <c r="L47" s="76">
        <v>9.0</v>
      </c>
      <c r="M47" s="74">
        <v>0.0</v>
      </c>
      <c r="N47" s="31">
        <f t="shared" ref="N47:O47" si="51">C47+L47</f>
        <v>100</v>
      </c>
      <c r="O47" s="31">
        <f t="shared" si="51"/>
        <v>10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2</v>
      </c>
      <c r="V47" s="46">
        <f t="shared" si="6"/>
        <v>8</v>
      </c>
      <c r="W47" s="30">
        <f t="shared" si="44"/>
        <v>43</v>
      </c>
    </row>
    <row r="48">
      <c r="A48" s="30">
        <f t="shared" si="7"/>
        <v>44</v>
      </c>
      <c r="B48" s="43" t="s">
        <v>140</v>
      </c>
      <c r="C48" s="31">
        <v>91.0</v>
      </c>
      <c r="D48" s="31">
        <v>8.0</v>
      </c>
      <c r="E48" s="36">
        <f t="shared" si="2"/>
        <v>10.2</v>
      </c>
      <c r="F48" s="73">
        <v>3.0</v>
      </c>
      <c r="G48" s="74">
        <v>0.0</v>
      </c>
      <c r="H48" s="75">
        <v>9.0</v>
      </c>
      <c r="I48" s="74">
        <v>0.0</v>
      </c>
      <c r="J48" s="74">
        <v>0.0</v>
      </c>
      <c r="K48" s="74">
        <v>0.0</v>
      </c>
      <c r="L48" s="76">
        <v>9.0</v>
      </c>
      <c r="M48" s="74">
        <v>0.0</v>
      </c>
      <c r="N48" s="31">
        <f t="shared" ref="N48:O48" si="52">C48+L48</f>
        <v>100</v>
      </c>
      <c r="O48" s="31">
        <f t="shared" si="52"/>
        <v>8</v>
      </c>
      <c r="P48" s="45" t="s">
        <v>58</v>
      </c>
      <c r="Q48" s="45" t="s">
        <v>58</v>
      </c>
      <c r="R48" s="45"/>
      <c r="S48" s="46">
        <f t="shared" si="4"/>
        <v>1</v>
      </c>
      <c r="T48" s="46"/>
      <c r="U48" s="46">
        <f t="shared" si="5"/>
        <v>3</v>
      </c>
      <c r="V48" s="46">
        <f t="shared" si="6"/>
        <v>3</v>
      </c>
      <c r="W48" s="30">
        <f t="shared" si="44"/>
        <v>44</v>
      </c>
    </row>
    <row r="49">
      <c r="A49" s="30">
        <f t="shared" si="7"/>
        <v>45</v>
      </c>
      <c r="B49" s="43" t="s">
        <v>96</v>
      </c>
      <c r="C49" s="31">
        <v>91.0</v>
      </c>
      <c r="D49" s="31">
        <v>5.0</v>
      </c>
      <c r="E49" s="36">
        <f t="shared" si="2"/>
        <v>10</v>
      </c>
      <c r="F49" s="73">
        <v>3.0</v>
      </c>
      <c r="G49" s="74">
        <v>0.0</v>
      </c>
      <c r="H49" s="75">
        <v>9.0</v>
      </c>
      <c r="I49" s="74">
        <v>0.0</v>
      </c>
      <c r="J49" s="74">
        <v>0.0</v>
      </c>
      <c r="K49" s="74">
        <v>0.0</v>
      </c>
      <c r="L49" s="76">
        <v>9.0</v>
      </c>
      <c r="M49" s="74">
        <v>0.0</v>
      </c>
      <c r="N49" s="31">
        <f t="shared" ref="N49:O49" si="53">C49+L49</f>
        <v>100</v>
      </c>
      <c r="O49" s="31">
        <f t="shared" si="53"/>
        <v>5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2</v>
      </c>
      <c r="V49" s="46">
        <f t="shared" si="6"/>
        <v>-3</v>
      </c>
      <c r="W49" s="30">
        <f t="shared" si="44"/>
        <v>45</v>
      </c>
    </row>
    <row r="50">
      <c r="A50" s="30">
        <f t="shared" si="7"/>
        <v>46</v>
      </c>
      <c r="B50" s="43" t="s">
        <v>132</v>
      </c>
      <c r="C50" s="31">
        <v>90.0</v>
      </c>
      <c r="D50" s="31">
        <v>9.0</v>
      </c>
      <c r="E50" s="36">
        <f t="shared" si="2"/>
        <v>10</v>
      </c>
      <c r="F50" s="73">
        <v>1.0</v>
      </c>
      <c r="G50" s="74">
        <v>6.0</v>
      </c>
      <c r="H50" s="75">
        <v>0.0</v>
      </c>
      <c r="I50" s="74">
        <v>7.0</v>
      </c>
      <c r="J50" s="74">
        <v>4.0</v>
      </c>
      <c r="K50" s="74">
        <v>7.0</v>
      </c>
      <c r="L50" s="76">
        <v>18.0</v>
      </c>
      <c r="M50" s="74">
        <v>2.0</v>
      </c>
      <c r="N50" s="31">
        <f t="shared" ref="N50:O50" si="54">C50+L50</f>
        <v>108</v>
      </c>
      <c r="O50" s="31">
        <f t="shared" si="54"/>
        <v>11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0</v>
      </c>
      <c r="V50" s="46">
        <f t="shared" si="6"/>
        <v>-9</v>
      </c>
      <c r="W50" s="30">
        <f t="shared" si="44"/>
        <v>46</v>
      </c>
    </row>
    <row r="51">
      <c r="A51" s="30">
        <f t="shared" si="7"/>
        <v>47</v>
      </c>
      <c r="B51" s="28" t="s">
        <v>93</v>
      </c>
      <c r="C51" s="31">
        <v>90.0</v>
      </c>
      <c r="D51" s="31">
        <v>6.0</v>
      </c>
      <c r="E51" s="36">
        <f t="shared" si="2"/>
        <v>11.25</v>
      </c>
      <c r="F51" s="73">
        <v>3.0</v>
      </c>
      <c r="G51" s="74">
        <v>0.0</v>
      </c>
      <c r="H51" s="75">
        <v>9.0</v>
      </c>
      <c r="I51" s="74">
        <v>0.0</v>
      </c>
      <c r="J51" s="74">
        <v>0.0</v>
      </c>
      <c r="K51" s="74">
        <v>0.0</v>
      </c>
      <c r="L51" s="76">
        <v>9.0</v>
      </c>
      <c r="M51" s="74">
        <v>0.0</v>
      </c>
      <c r="N51" s="31">
        <f t="shared" ref="N51:O51" si="55">C51+L51</f>
        <v>99</v>
      </c>
      <c r="O51" s="31">
        <f t="shared" si="55"/>
        <v>6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5</v>
      </c>
      <c r="V51" s="46">
        <f t="shared" si="6"/>
        <v>3</v>
      </c>
      <c r="W51" s="30">
        <f t="shared" si="44"/>
        <v>47</v>
      </c>
    </row>
    <row r="52">
      <c r="A52" s="30">
        <f t="shared" si="7"/>
        <v>48</v>
      </c>
      <c r="B52" s="43" t="s">
        <v>79</v>
      </c>
      <c r="C52" s="31">
        <v>88.0</v>
      </c>
      <c r="D52" s="31">
        <v>4.0</v>
      </c>
      <c r="E52" s="36">
        <f t="shared" si="2"/>
        <v>10.16666667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6">C52+L52</f>
        <v>97</v>
      </c>
      <c r="O52" s="31">
        <f t="shared" si="56"/>
        <v>4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3</v>
      </c>
      <c r="V52" s="46">
        <f t="shared" si="6"/>
        <v>-2</v>
      </c>
      <c r="W52" s="30">
        <f t="shared" si="44"/>
        <v>48</v>
      </c>
    </row>
    <row r="53">
      <c r="A53" s="30">
        <f t="shared" si="7"/>
        <v>49</v>
      </c>
      <c r="B53" s="48" t="s">
        <v>70</v>
      </c>
      <c r="C53" s="31">
        <v>87.0</v>
      </c>
      <c r="D53" s="31">
        <v>5.0</v>
      </c>
      <c r="E53" s="36">
        <f t="shared" si="2"/>
        <v>9.285714286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7">C53+L53</f>
        <v>96</v>
      </c>
      <c r="O53" s="31">
        <f t="shared" si="57"/>
        <v>5</v>
      </c>
      <c r="P53" s="45" t="s">
        <v>58</v>
      </c>
      <c r="Q53" s="45" t="s">
        <v>58</v>
      </c>
      <c r="R53" s="45"/>
      <c r="S53" s="46">
        <f t="shared" si="4"/>
        <v>1</v>
      </c>
      <c r="T53" s="46"/>
      <c r="U53" s="46">
        <f t="shared" si="5"/>
        <v>1</v>
      </c>
      <c r="V53" s="46">
        <f t="shared" si="6"/>
        <v>-4</v>
      </c>
      <c r="W53" s="30">
        <f t="shared" si="44"/>
        <v>49</v>
      </c>
    </row>
    <row r="54">
      <c r="A54" s="30">
        <f t="shared" si="7"/>
        <v>50</v>
      </c>
      <c r="B54" s="48" t="s">
        <v>54</v>
      </c>
      <c r="C54" s="31">
        <v>86.0</v>
      </c>
      <c r="D54" s="31">
        <v>6.0</v>
      </c>
      <c r="E54" s="36">
        <f t="shared" si="2"/>
        <v>9.166666667</v>
      </c>
      <c r="F54" s="73">
        <v>3.0</v>
      </c>
      <c r="G54" s="74">
        <v>0.0</v>
      </c>
      <c r="H54" s="75">
        <v>9.0</v>
      </c>
      <c r="I54" s="74">
        <v>0.0</v>
      </c>
      <c r="J54" s="74">
        <v>0.0</v>
      </c>
      <c r="K54" s="74">
        <v>0.0</v>
      </c>
      <c r="L54" s="76">
        <v>9.0</v>
      </c>
      <c r="M54" s="74">
        <v>0.0</v>
      </c>
      <c r="N54" s="31">
        <f t="shared" ref="N54:O54" si="58">C54+L54</f>
        <v>95</v>
      </c>
      <c r="O54" s="31">
        <f t="shared" si="58"/>
        <v>6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2</v>
      </c>
      <c r="V54" s="46">
        <f t="shared" si="6"/>
        <v>-2</v>
      </c>
      <c r="W54" s="30">
        <f t="shared" si="44"/>
        <v>50</v>
      </c>
    </row>
    <row r="55">
      <c r="A55" s="30">
        <f t="shared" si="7"/>
        <v>51</v>
      </c>
      <c r="B55" s="43" t="s">
        <v>99</v>
      </c>
      <c r="C55" s="31">
        <v>86.0</v>
      </c>
      <c r="D55" s="31">
        <v>4.0</v>
      </c>
      <c r="E55" s="36">
        <f t="shared" si="2"/>
        <v>10.66666667</v>
      </c>
      <c r="F55" s="73">
        <v>3.0</v>
      </c>
      <c r="G55" s="74">
        <v>0.0</v>
      </c>
      <c r="H55" s="75">
        <v>9.0</v>
      </c>
      <c r="I55" s="74">
        <v>0.0</v>
      </c>
      <c r="J55" s="74">
        <v>0.0</v>
      </c>
      <c r="K55" s="74">
        <v>0.0</v>
      </c>
      <c r="L55" s="76">
        <v>9.0</v>
      </c>
      <c r="M55" s="74">
        <v>0.0</v>
      </c>
      <c r="N55" s="31">
        <f t="shared" ref="N55:O55" si="59">C55+L55</f>
        <v>95</v>
      </c>
      <c r="O55" s="31">
        <f t="shared" si="59"/>
        <v>4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6</v>
      </c>
      <c r="V55" s="46">
        <f t="shared" si="6"/>
        <v>-2</v>
      </c>
      <c r="W55" s="30">
        <f t="shared" si="44"/>
        <v>51</v>
      </c>
    </row>
    <row r="56">
      <c r="A56" s="30">
        <f t="shared" si="7"/>
        <v>52</v>
      </c>
      <c r="B56" s="48" t="s">
        <v>103</v>
      </c>
      <c r="C56" s="31">
        <v>84.0</v>
      </c>
      <c r="D56" s="31">
        <v>6.0</v>
      </c>
      <c r="E56" s="36">
        <f t="shared" si="2"/>
        <v>9.6</v>
      </c>
      <c r="F56" s="73">
        <v>1.0</v>
      </c>
      <c r="G56" s="74">
        <v>7.0</v>
      </c>
      <c r="H56" s="75">
        <v>0.0</v>
      </c>
      <c r="I56" s="74">
        <v>1.0</v>
      </c>
      <c r="J56" s="74">
        <v>2.0</v>
      </c>
      <c r="K56" s="74">
        <v>6.0</v>
      </c>
      <c r="L56" s="76">
        <v>9.0</v>
      </c>
      <c r="M56" s="74">
        <v>1.0</v>
      </c>
      <c r="N56" s="31">
        <f t="shared" ref="N56:O56" si="60">C56+L56</f>
        <v>93</v>
      </c>
      <c r="O56" s="31">
        <f t="shared" si="60"/>
        <v>7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4</v>
      </c>
      <c r="V56" s="46">
        <f t="shared" si="6"/>
        <v>0</v>
      </c>
      <c r="W56" s="30">
        <f t="shared" si="44"/>
        <v>52</v>
      </c>
    </row>
    <row r="57">
      <c r="A57" s="30">
        <f t="shared" si="7"/>
        <v>53</v>
      </c>
      <c r="B57" s="43" t="s">
        <v>131</v>
      </c>
      <c r="C57" s="31">
        <v>80.0</v>
      </c>
      <c r="D57" s="31">
        <v>1.0</v>
      </c>
      <c r="E57" s="36">
        <f t="shared" si="2"/>
        <v>8.5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61">C57+L57</f>
        <v>89</v>
      </c>
      <c r="O57" s="31">
        <f t="shared" si="61"/>
        <v>1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7</v>
      </c>
      <c r="V57" s="46">
        <f t="shared" si="6"/>
        <v>0</v>
      </c>
      <c r="W57" s="30">
        <f t="shared" si="44"/>
        <v>53</v>
      </c>
    </row>
    <row r="58">
      <c r="A58" s="30">
        <f t="shared" si="7"/>
        <v>54</v>
      </c>
      <c r="B58" s="43" t="s">
        <v>142</v>
      </c>
      <c r="C58" s="47">
        <v>78.0</v>
      </c>
      <c r="D58" s="31">
        <v>4.0</v>
      </c>
      <c r="E58" s="36">
        <f t="shared" si="2"/>
        <v>8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47">
        <f t="shared" ref="N58:O58" si="62">C58+L58</f>
        <v>87</v>
      </c>
      <c r="O58" s="31">
        <f t="shared" si="62"/>
        <v>4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6</v>
      </c>
      <c r="V58" s="46">
        <f t="shared" si="6"/>
        <v>0</v>
      </c>
      <c r="W58" s="30">
        <f t="shared" si="44"/>
        <v>54</v>
      </c>
    </row>
    <row r="59">
      <c r="A59" s="30">
        <f t="shared" si="7"/>
        <v>55</v>
      </c>
      <c r="B59" s="48" t="s">
        <v>139</v>
      </c>
      <c r="C59" s="31">
        <v>77.0</v>
      </c>
      <c r="D59" s="31">
        <v>1.0</v>
      </c>
      <c r="E59" s="36">
        <f t="shared" si="2"/>
        <v>5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3">C59+L59</f>
        <v>86</v>
      </c>
      <c r="O59" s="31">
        <f t="shared" si="63"/>
        <v>1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8</v>
      </c>
      <c r="V59" s="46">
        <f t="shared" si="6"/>
        <v>8</v>
      </c>
      <c r="W59" s="30">
        <f t="shared" si="44"/>
        <v>55</v>
      </c>
    </row>
    <row r="60">
      <c r="A60" s="30">
        <f t="shared" si="7"/>
        <v>56</v>
      </c>
      <c r="B60" s="28" t="s">
        <v>80</v>
      </c>
      <c r="C60" s="31">
        <v>76.0</v>
      </c>
      <c r="D60" s="31">
        <v>0.0</v>
      </c>
      <c r="E60" s="36">
        <f t="shared" si="2"/>
        <v>0</v>
      </c>
      <c r="F60" s="73">
        <v>4.0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4">C60+L60</f>
        <v>85</v>
      </c>
      <c r="O60" s="31">
        <f t="shared" si="64"/>
        <v>0</v>
      </c>
      <c r="P60" s="45" t="s">
        <v>58</v>
      </c>
      <c r="Q60" s="45" t="s">
        <v>58</v>
      </c>
      <c r="R60" s="45"/>
      <c r="S60" s="46">
        <f t="shared" si="4"/>
        <v>1</v>
      </c>
      <c r="T60" s="46"/>
      <c r="U60" s="46">
        <f t="shared" si="5"/>
        <v>8</v>
      </c>
      <c r="V60" s="46">
        <f t="shared" si="6"/>
        <v>-1</v>
      </c>
      <c r="W60" s="30">
        <f t="shared" si="44"/>
        <v>56</v>
      </c>
    </row>
    <row r="61">
      <c r="A61" s="30">
        <f t="shared" si="7"/>
        <v>57</v>
      </c>
      <c r="B61" s="28" t="s">
        <v>72</v>
      </c>
      <c r="C61" s="31">
        <v>76.0</v>
      </c>
      <c r="D61" s="31">
        <v>0.0</v>
      </c>
      <c r="E61" s="36">
        <f t="shared" si="2"/>
        <v>0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31">
        <f t="shared" ref="N61:O61" si="65">C61+L61</f>
        <v>85</v>
      </c>
      <c r="O61" s="31">
        <f t="shared" si="65"/>
        <v>0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8</v>
      </c>
      <c r="V61" s="46">
        <f t="shared" si="6"/>
        <v>-1</v>
      </c>
      <c r="W61" s="30">
        <f t="shared" si="44"/>
        <v>57</v>
      </c>
    </row>
    <row r="62">
      <c r="A62" s="30">
        <f t="shared" si="7"/>
        <v>58</v>
      </c>
      <c r="B62" s="43" t="s">
        <v>138</v>
      </c>
      <c r="C62" s="47">
        <v>75.0</v>
      </c>
      <c r="D62" s="31">
        <v>6.0</v>
      </c>
      <c r="E62" s="36">
        <f t="shared" si="2"/>
        <v>8</v>
      </c>
      <c r="F62" s="73">
        <v>1.0</v>
      </c>
      <c r="G62" s="74">
        <v>7.0</v>
      </c>
      <c r="H62" s="75">
        <v>0.0</v>
      </c>
      <c r="I62" s="74">
        <v>6.0</v>
      </c>
      <c r="J62" s="74">
        <v>6.0</v>
      </c>
      <c r="K62" s="74">
        <v>6.0</v>
      </c>
      <c r="L62" s="76">
        <v>18.0</v>
      </c>
      <c r="M62" s="74">
        <v>3.0</v>
      </c>
      <c r="N62" s="47">
        <f t="shared" ref="N62:O62" si="66">C62+L62</f>
        <v>93</v>
      </c>
      <c r="O62" s="31">
        <f t="shared" si="66"/>
        <v>9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3</v>
      </c>
      <c r="V62" s="46">
        <f t="shared" si="6"/>
        <v>-1</v>
      </c>
      <c r="W62" s="30">
        <f t="shared" si="44"/>
        <v>58</v>
      </c>
    </row>
    <row r="63">
      <c r="A63" s="30">
        <f t="shared" si="7"/>
        <v>59</v>
      </c>
      <c r="B63" s="28" t="s">
        <v>141</v>
      </c>
      <c r="C63" s="31">
        <v>75.0</v>
      </c>
      <c r="D63" s="31">
        <v>1.0</v>
      </c>
      <c r="E63" s="36">
        <f t="shared" si="2"/>
        <v>-1</v>
      </c>
      <c r="F63" s="73">
        <v>3.0</v>
      </c>
      <c r="G63" s="74">
        <v>0.0</v>
      </c>
      <c r="H63" s="75">
        <v>9.0</v>
      </c>
      <c r="I63" s="74">
        <v>0.0</v>
      </c>
      <c r="J63" s="74">
        <v>0.0</v>
      </c>
      <c r="K63" s="74">
        <v>0.0</v>
      </c>
      <c r="L63" s="76">
        <v>9.0</v>
      </c>
      <c r="M63" s="74">
        <v>0.0</v>
      </c>
      <c r="N63" s="31">
        <f t="shared" ref="N63:O63" si="67">C63+L63</f>
        <v>84</v>
      </c>
      <c r="O63" s="31">
        <f t="shared" si="67"/>
        <v>1</v>
      </c>
      <c r="P63" s="45" t="s">
        <v>58</v>
      </c>
      <c r="Q63" s="45" t="s">
        <v>58</v>
      </c>
      <c r="R63" s="45"/>
      <c r="S63" s="46">
        <f t="shared" si="4"/>
        <v>1</v>
      </c>
      <c r="T63" s="46"/>
      <c r="U63" s="46">
        <f t="shared" si="5"/>
        <v>7</v>
      </c>
      <c r="V63" s="46">
        <f t="shared" si="6"/>
        <v>-1</v>
      </c>
      <c r="W63" s="30">
        <f t="shared" si="44"/>
        <v>59</v>
      </c>
    </row>
    <row r="64">
      <c r="A64" s="30">
        <f t="shared" si="7"/>
        <v>60</v>
      </c>
      <c r="B64" s="43" t="s">
        <v>100</v>
      </c>
      <c r="C64" s="31">
        <v>74.0</v>
      </c>
      <c r="D64" s="31">
        <v>7.0</v>
      </c>
      <c r="E64" s="36">
        <f t="shared" si="2"/>
        <v>7.833333333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31">
        <f t="shared" ref="N64:O64" si="68">C64+L64</f>
        <v>83</v>
      </c>
      <c r="O64" s="31">
        <f t="shared" si="68"/>
        <v>7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3</v>
      </c>
      <c r="V64" s="46">
        <f t="shared" si="6"/>
        <v>-1</v>
      </c>
      <c r="W64" s="30">
        <f t="shared" si="44"/>
        <v>60</v>
      </c>
    </row>
    <row r="65">
      <c r="A65" s="30">
        <f t="shared" si="7"/>
        <v>61</v>
      </c>
      <c r="B65" s="43" t="s">
        <v>118</v>
      </c>
      <c r="C65" s="47">
        <v>72.0</v>
      </c>
      <c r="D65" s="31">
        <v>2.0</v>
      </c>
      <c r="E65" s="36">
        <f t="shared" si="2"/>
        <v>6.75</v>
      </c>
      <c r="F65" s="73">
        <v>2.0</v>
      </c>
      <c r="G65" s="74">
        <v>7.0</v>
      </c>
      <c r="H65" s="75">
        <v>0.0</v>
      </c>
      <c r="I65" s="74">
        <v>1.0</v>
      </c>
      <c r="J65" s="74">
        <v>6.0</v>
      </c>
      <c r="K65" s="74">
        <v>1.0</v>
      </c>
      <c r="L65" s="76">
        <v>8.0</v>
      </c>
      <c r="M65" s="74">
        <v>1.0</v>
      </c>
      <c r="N65" s="47">
        <f t="shared" ref="N65:O65" si="69">C65+L65</f>
        <v>80</v>
      </c>
      <c r="O65" s="31">
        <f t="shared" si="69"/>
        <v>3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5</v>
      </c>
      <c r="V65" s="46">
        <f t="shared" si="6"/>
        <v>-1</v>
      </c>
      <c r="W65" s="30">
        <f t="shared" si="44"/>
        <v>61</v>
      </c>
    </row>
    <row r="66">
      <c r="A66" s="30">
        <f t="shared" si="7"/>
        <v>62</v>
      </c>
      <c r="B66" s="43" t="s">
        <v>76</v>
      </c>
      <c r="C66" s="31">
        <v>72.0</v>
      </c>
      <c r="D66" s="31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70">C66+L66</f>
        <v>81</v>
      </c>
      <c r="O66" s="31">
        <f t="shared" si="70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9</v>
      </c>
      <c r="V66" s="46">
        <f t="shared" si="6"/>
        <v>-1</v>
      </c>
      <c r="W66" s="30">
        <f t="shared" si="44"/>
        <v>62</v>
      </c>
    </row>
    <row r="67">
      <c r="A67" s="30">
        <f t="shared" si="7"/>
        <v>63</v>
      </c>
      <c r="B67" s="43" t="s">
        <v>126</v>
      </c>
      <c r="C67" s="31">
        <v>72.0</v>
      </c>
      <c r="D67" s="31">
        <v>0.0</v>
      </c>
      <c r="E67" s="36">
        <f t="shared" si="2"/>
        <v>0</v>
      </c>
      <c r="F67" s="73">
        <v>3.0</v>
      </c>
      <c r="G67" s="74">
        <v>0.0</v>
      </c>
      <c r="H67" s="75">
        <v>9.0</v>
      </c>
      <c r="I67" s="74">
        <v>0.0</v>
      </c>
      <c r="J67" s="74">
        <v>0.0</v>
      </c>
      <c r="K67" s="74">
        <v>0.0</v>
      </c>
      <c r="L67" s="76">
        <v>9.0</v>
      </c>
      <c r="M67" s="74">
        <v>0.0</v>
      </c>
      <c r="N67" s="31">
        <f t="shared" ref="N67:O67" si="71">C67+L67</f>
        <v>81</v>
      </c>
      <c r="O67" s="31">
        <f t="shared" si="71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9</v>
      </c>
      <c r="V67" s="46">
        <f t="shared" si="6"/>
        <v>-1</v>
      </c>
      <c r="W67" s="30">
        <f t="shared" si="44"/>
        <v>63</v>
      </c>
    </row>
    <row r="68">
      <c r="A68" s="30">
        <f t="shared" si="7"/>
        <v>64</v>
      </c>
      <c r="B68" s="43" t="s">
        <v>135</v>
      </c>
      <c r="C68" s="31">
        <v>67.0</v>
      </c>
      <c r="D68" s="31">
        <v>1.0</v>
      </c>
      <c r="E68" s="36">
        <f t="shared" si="2"/>
        <v>4.333333333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2">C68+L68</f>
        <v>76</v>
      </c>
      <c r="O68" s="31">
        <f t="shared" si="72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6</v>
      </c>
      <c r="V68" s="46">
        <f t="shared" si="6"/>
        <v>0</v>
      </c>
      <c r="W68" s="30">
        <f t="shared" si="44"/>
        <v>64</v>
      </c>
    </row>
    <row r="69">
      <c r="A69" s="30">
        <f t="shared" si="7"/>
        <v>65</v>
      </c>
      <c r="B69" s="43" t="s">
        <v>78</v>
      </c>
      <c r="C69" s="47">
        <v>66.0</v>
      </c>
      <c r="D69" s="31">
        <v>1.0</v>
      </c>
      <c r="E69" s="36">
        <f t="shared" si="2"/>
        <v>6</v>
      </c>
      <c r="F69" s="73">
        <v>1.0</v>
      </c>
      <c r="G69" s="74">
        <v>7.0</v>
      </c>
      <c r="H69" s="75">
        <v>0.0</v>
      </c>
      <c r="I69" s="74">
        <v>6.0</v>
      </c>
      <c r="J69" s="74">
        <v>2.0</v>
      </c>
      <c r="K69" s="74">
        <v>1.0</v>
      </c>
      <c r="L69" s="76">
        <v>9.0</v>
      </c>
      <c r="M69" s="74">
        <v>1.0</v>
      </c>
      <c r="N69" s="47">
        <f t="shared" ref="N69:O69" si="73">C69+L69</f>
        <v>75</v>
      </c>
      <c r="O69" s="31">
        <f t="shared" si="73"/>
        <v>2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4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2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desc"",0)"),"James Phan")</f>
        <v>James Phan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IFERROR(__xludf.DUMMYFUNCTION("""COMPUTED_VALUE"""),2.0)</f>
        <v>2</v>
      </c>
      <c r="F76" s="1"/>
      <c r="L76" s="77"/>
      <c r="M76" s="78"/>
      <c r="P76" s="79" t="s">
        <v>151</v>
      </c>
      <c r="Q76" s="24"/>
      <c r="R76" s="18">
        <f>countif(R5:R69,"")</f>
        <v>63</v>
      </c>
    </row>
    <row r="77">
      <c r="A77" s="1"/>
      <c r="B77" s="43" t="str">
        <f>IFERROR(__xludf.DUMMYFUNCTION("""COMPUTED_VALUE"""),"Tom Le")</f>
        <v>Tom Le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IFERROR(__xludf.DUMMYFUNCTION("""COMPUTED_VALUE"""),4.0)</f>
        <v>4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IFERROR(__xludf.DUMMYFUNCTION("""COMPUTED_VALUE"""),"Sean Chang")</f>
        <v>Sean Chang</v>
      </c>
      <c r="C78" s="84">
        <f>IFERROR(__xludf.DUMMYFUNCTION("""COMPUTED_VALUE"""),19.0)</f>
        <v>19</v>
      </c>
      <c r="D78" s="84">
        <f>IFERROR(__xludf.DUMMYFUNCTION("""COMPUTED_VALUE"""),2.0)</f>
        <v>2</v>
      </c>
      <c r="E78" s="84">
        <f>IFERROR(__xludf.DUMMYFUNCTION("""COMPUTED_VALUE"""),6.0)</f>
        <v>6</v>
      </c>
      <c r="F78" s="1"/>
    </row>
    <row r="79">
      <c r="A79" s="1"/>
      <c r="B79" s="43" t="str">
        <f>IFERROR(__xludf.DUMMYFUNCTION("""COMPUTED_VALUE"""),"Pulkit Mathur")</f>
        <v>Pulkit Mathur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IFERROR(__xludf.DUMMYFUNCTION("""COMPUTED_VALUE"""),1.0)</f>
        <v>1</v>
      </c>
      <c r="F79" s="1"/>
      <c r="P79" s="33" t="s">
        <v>172</v>
      </c>
    </row>
    <row r="80">
      <c r="A80" s="1"/>
      <c r="B80" s="43" t="str">
        <f>IFERROR(__xludf.DUMMYFUNCTION("""COMPUTED_VALUE"""),"Tyler Leong")</f>
        <v>Tyler Leong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IFERROR(__xludf.DUMMYFUNCTION("""COMPUTED_VALUE"""),7.0)</f>
        <v>7</v>
      </c>
      <c r="F80" s="1"/>
      <c r="L80" s="33"/>
    </row>
    <row r="81">
      <c r="A81" s="1"/>
      <c r="B81" s="43" t="str">
        <f>IFERROR(__xludf.DUMMYFUNCTION("""COMPUTED_VALUE"""),"Jimmy Awolesi")</f>
        <v>Jimmy Awolesi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IFERROR(__xludf.DUMMYFUNCTION("""COMPUTED_VALUE"""),6.0)</f>
        <v>6</v>
      </c>
      <c r="F81" s="1"/>
      <c r="L81" s="33"/>
    </row>
    <row r="82">
      <c r="A82" s="1"/>
      <c r="B82" s="43" t="str">
        <f>IFERROR(__xludf.DUMMYFUNCTION("""COMPUTED_VALUE"""),"Wayne Liu")</f>
        <v>Wayne Liu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IFERROR(__xludf.DUMMYFUNCTION("""COMPUTED_VALUE"""),6.0)</f>
        <v>6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10"")"),"Joe Luzzi")</f>
        <v>Joe Luzzi</v>
      </c>
      <c r="C90" s="84">
        <f>IFERROR(__xludf.DUMMYFUNCTION("""COMPUTED_VALUE"""),14.0)</f>
        <v>14</v>
      </c>
      <c r="D90" s="84">
        <f t="shared" ref="D90:D99" si="74">VLOOKUP(B90,indirect($AB$2&amp;"!B$5:w$70"),22, false)</f>
        <v>29</v>
      </c>
      <c r="E90" s="84">
        <f t="shared" ref="E90:E99" si="75">VLOOKUP(B90,B$5:W$69,22, false)</f>
        <v>15</v>
      </c>
      <c r="F90" s="84">
        <f t="shared" ref="F90:F99" si="76">VLOOKUP(B90,indirect($AB$2&amp;"!B$5:U$70"),11, false)</f>
        <v>18</v>
      </c>
      <c r="G90" s="84">
        <f t="shared" ref="G90:G99" si="77">VLOOKUP(B90,indirect($AB$2&amp;"!B$5:U$70"),6, false)</f>
        <v>4</v>
      </c>
      <c r="L90" s="84" t="str">
        <f t="shared" ref="L90:L99" si="78">if(D90-E90=C90,"ok","Error")</f>
        <v>ok</v>
      </c>
    </row>
    <row r="91">
      <c r="A91" s="1"/>
      <c r="B91" s="43" t="str">
        <f>IFERROR(__xludf.DUMMYFUNCTION("""COMPUTED_VALUE"""),"Scott Li")</f>
        <v>Scott Li</v>
      </c>
      <c r="C91" s="84">
        <f>IFERROR(__xludf.DUMMYFUNCTION("""COMPUTED_VALUE"""),12.0)</f>
        <v>12</v>
      </c>
      <c r="D91" s="84">
        <f t="shared" si="74"/>
        <v>26</v>
      </c>
      <c r="E91" s="84">
        <f t="shared" si="75"/>
        <v>14</v>
      </c>
      <c r="F91" s="84">
        <f t="shared" si="76"/>
        <v>18</v>
      </c>
      <c r="G91" s="84">
        <f t="shared" si="77"/>
        <v>3</v>
      </c>
      <c r="L91" s="84" t="str">
        <f t="shared" si="78"/>
        <v>ok</v>
      </c>
    </row>
    <row r="92">
      <c r="A92" s="1"/>
      <c r="B92" s="43" t="str">
        <f>IFERROR(__xludf.DUMMYFUNCTION("""COMPUTED_VALUE"""),"Kumar Palakeel")</f>
        <v>Kumar Palakeel</v>
      </c>
      <c r="C92" s="84">
        <f>IFERROR(__xludf.DUMMYFUNCTION("""COMPUTED_VALUE"""),12.0)</f>
        <v>12</v>
      </c>
      <c r="D92" s="84">
        <f t="shared" si="74"/>
        <v>41</v>
      </c>
      <c r="E92" s="84">
        <f t="shared" si="75"/>
        <v>29</v>
      </c>
      <c r="F92" s="84">
        <f t="shared" si="76"/>
        <v>16</v>
      </c>
      <c r="G92" s="84">
        <f t="shared" si="77"/>
        <v>6</v>
      </c>
      <c r="L92" s="84" t="str">
        <f t="shared" si="78"/>
        <v>ok</v>
      </c>
      <c r="Q92" s="90"/>
    </row>
    <row r="93">
      <c r="A93" s="1"/>
      <c r="B93" s="43" t="str">
        <f>IFERROR(__xludf.DUMMYFUNCTION("""COMPUTED_VALUE"""),"Lam Bui")</f>
        <v>Lam Bui</v>
      </c>
      <c r="C93" s="84">
        <f>IFERROR(__xludf.DUMMYFUNCTION("""COMPUTED_VALUE"""),10.0)</f>
        <v>10</v>
      </c>
      <c r="D93" s="84">
        <f t="shared" si="74"/>
        <v>12</v>
      </c>
      <c r="E93" s="84">
        <f t="shared" si="75"/>
        <v>2</v>
      </c>
      <c r="F93" s="84">
        <f t="shared" si="76"/>
        <v>20</v>
      </c>
      <c r="G93" s="84">
        <f t="shared" si="77"/>
        <v>9</v>
      </c>
      <c r="L93" s="84" t="str">
        <f t="shared" si="78"/>
        <v>ok</v>
      </c>
    </row>
    <row r="94">
      <c r="A94" s="1"/>
      <c r="B94" s="43" t="str">
        <f>IFERROR(__xludf.DUMMYFUNCTION("""COMPUTED_VALUE"""),"James Phan")</f>
        <v>James Phan</v>
      </c>
      <c r="C94" s="84">
        <f>IFERROR(__xludf.DUMMYFUNCTION("""COMPUTED_VALUE"""),10.0)</f>
        <v>10</v>
      </c>
      <c r="D94" s="84">
        <f t="shared" si="74"/>
        <v>18</v>
      </c>
      <c r="E94" s="84">
        <f t="shared" si="75"/>
        <v>8</v>
      </c>
      <c r="F94" s="84">
        <f t="shared" si="76"/>
        <v>18</v>
      </c>
      <c r="G94" s="84">
        <f t="shared" si="77"/>
        <v>2</v>
      </c>
      <c r="L94" s="84" t="str">
        <f t="shared" si="78"/>
        <v>ok</v>
      </c>
    </row>
    <row r="95">
      <c r="A95" s="1"/>
      <c r="B95" s="43" t="str">
        <f>IFERROR(__xludf.DUMMYFUNCTION("""COMPUTED_VALUE"""),"Eric Pan")</f>
        <v>Eric Pan</v>
      </c>
      <c r="C95" s="84">
        <f>IFERROR(__xludf.DUMMYFUNCTION("""COMPUTED_VALUE"""),10.0)</f>
        <v>10</v>
      </c>
      <c r="D95" s="84">
        <f t="shared" si="74"/>
        <v>32</v>
      </c>
      <c r="E95" s="84">
        <f t="shared" si="75"/>
        <v>22</v>
      </c>
      <c r="F95" s="84">
        <f t="shared" si="76"/>
        <v>18</v>
      </c>
      <c r="G95" s="84">
        <f t="shared" si="77"/>
        <v>5</v>
      </c>
      <c r="L95" s="84" t="str">
        <f t="shared" si="78"/>
        <v>ok</v>
      </c>
    </row>
    <row r="96">
      <c r="A96" s="1"/>
      <c r="B96" s="43" t="str">
        <f>IFERROR(__xludf.DUMMYFUNCTION("""COMPUTED_VALUE"""),"Sandy Weyant")</f>
        <v>Sandy Weyant</v>
      </c>
      <c r="C96" s="84">
        <f>IFERROR(__xludf.DUMMYFUNCTION("""COMPUTED_VALUE"""),8.0)</f>
        <v>8</v>
      </c>
      <c r="D96" s="84">
        <f t="shared" si="74"/>
        <v>51</v>
      </c>
      <c r="E96" s="84">
        <f t="shared" si="75"/>
        <v>43</v>
      </c>
      <c r="F96" s="84">
        <f t="shared" si="76"/>
        <v>19</v>
      </c>
      <c r="G96" s="84">
        <f t="shared" si="77"/>
        <v>8</v>
      </c>
      <c r="L96" s="84" t="str">
        <f t="shared" si="78"/>
        <v>ok</v>
      </c>
    </row>
    <row r="97">
      <c r="A97" s="1"/>
      <c r="B97" s="43" t="str">
        <f>IFERROR(__xludf.DUMMYFUNCTION("""COMPUTED_VALUE"""),"Vishnu Amarnath")</f>
        <v>Vishnu Amarnath</v>
      </c>
      <c r="C97" s="84">
        <f>IFERROR(__xludf.DUMMYFUNCTION("""COMPUTED_VALUE"""),8.0)</f>
        <v>8</v>
      </c>
      <c r="D97" s="84">
        <f t="shared" si="74"/>
        <v>63</v>
      </c>
      <c r="E97" s="84">
        <f t="shared" si="75"/>
        <v>55</v>
      </c>
      <c r="F97" s="84">
        <f t="shared" si="76"/>
        <v>14</v>
      </c>
      <c r="G97" s="84">
        <f t="shared" si="77"/>
        <v>8</v>
      </c>
      <c r="L97" s="84" t="str">
        <f t="shared" si="78"/>
        <v>ok</v>
      </c>
    </row>
    <row r="98">
      <c r="A98" s="1"/>
      <c r="B98" s="43" t="str">
        <f>IFERROR(__xludf.DUMMYFUNCTION("""COMPUTED_VALUE"""),"Ethan Gu")</f>
        <v>Ethan Gu</v>
      </c>
      <c r="C98" s="84">
        <f>IFERROR(__xludf.DUMMYFUNCTION("""COMPUTED_VALUE"""),7.0)</f>
        <v>7</v>
      </c>
      <c r="D98" s="84">
        <f t="shared" si="74"/>
        <v>27</v>
      </c>
      <c r="E98" s="84">
        <f t="shared" si="75"/>
        <v>20</v>
      </c>
      <c r="F98" s="84">
        <f t="shared" si="76"/>
        <v>16</v>
      </c>
      <c r="G98" s="84">
        <f t="shared" si="77"/>
        <v>3</v>
      </c>
      <c r="L98" s="84" t="str">
        <f t="shared" si="78"/>
        <v>ok</v>
      </c>
    </row>
    <row r="99">
      <c r="A99" s="1"/>
      <c r="B99" s="43" t="str">
        <f>IFERROR(__xludf.DUMMYFUNCTION("""COMPUTED_VALUE"""),"Allen Zhang")</f>
        <v>Allen Zhang</v>
      </c>
      <c r="C99" s="84">
        <f>IFERROR(__xludf.DUMMYFUNCTION("""COMPUTED_VALUE"""),7.0)</f>
        <v>7</v>
      </c>
      <c r="D99" s="84">
        <f t="shared" si="74"/>
        <v>43</v>
      </c>
      <c r="E99" s="84">
        <f t="shared" si="75"/>
        <v>36</v>
      </c>
      <c r="F99" s="84">
        <f t="shared" si="76"/>
        <v>14</v>
      </c>
      <c r="G99" s="84">
        <f t="shared" si="77"/>
        <v>6</v>
      </c>
      <c r="L99" s="84" t="str">
        <f t="shared" si="78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10"")"),"Lloyd Sagar")</f>
        <v>Lloyd Sagar</v>
      </c>
      <c r="C103" s="84">
        <f>IFERROR(__xludf.DUMMYFUNCTION("""COMPUTED_VALUE"""),-9.0)</f>
        <v>-9</v>
      </c>
      <c r="D103" s="84">
        <f t="shared" ref="D103:D112" si="79">VLOOKUP(B103,indirect($AB$2&amp;"!B$5:w$70"),22, false)</f>
        <v>22</v>
      </c>
      <c r="E103" s="84">
        <f t="shared" ref="E103:E112" si="80">VLOOKUP(B103,B$5:W$69,22, false)</f>
        <v>31</v>
      </c>
      <c r="F103" s="84">
        <f t="shared" ref="F103:F112" si="81">VLOOKUP(B103,indirect($AB$2&amp;"!B$5:U$70"),11, false)</f>
        <v>7</v>
      </c>
      <c r="G103" s="84">
        <f t="shared" ref="G103:G112" si="82">VLOOKUP(B103,indirect($AB$2&amp;"!B$5:U$70"),6, false)</f>
        <v>2</v>
      </c>
      <c r="L103" s="84" t="str">
        <f t="shared" ref="L103:L112" si="83">if(D103-E103=C103,"ok","Error")</f>
        <v>ok</v>
      </c>
    </row>
    <row r="104">
      <c r="A104" s="1"/>
      <c r="B104" s="43" t="str">
        <f>IFERROR(__xludf.DUMMYFUNCTION("""COMPUTED_VALUE"""),"Wayne Liu")</f>
        <v>Wayne Liu</v>
      </c>
      <c r="C104" s="84">
        <f>IFERROR(__xludf.DUMMYFUNCTION("""COMPUTED_VALUE"""),-9.0)</f>
        <v>-9</v>
      </c>
      <c r="D104" s="84">
        <f t="shared" si="79"/>
        <v>37</v>
      </c>
      <c r="E104" s="84">
        <f t="shared" si="80"/>
        <v>46</v>
      </c>
      <c r="F104" s="84">
        <f t="shared" si="81"/>
        <v>7</v>
      </c>
      <c r="G104" s="84">
        <f t="shared" si="82"/>
        <v>6</v>
      </c>
      <c r="L104" s="84" t="str">
        <f t="shared" si="83"/>
        <v>ok</v>
      </c>
    </row>
    <row r="105">
      <c r="A105" s="1"/>
      <c r="B105" s="43" t="str">
        <f>IFERROR(__xludf.DUMMYFUNCTION("""COMPUTED_VALUE"""),"Basudev Thoppai Vidyasankar")</f>
        <v>Basudev Thoppai Vidyasankar</v>
      </c>
      <c r="C105" s="84">
        <f>IFERROR(__xludf.DUMMYFUNCTION("""COMPUTED_VALUE"""),-7.0)</f>
        <v>-7</v>
      </c>
      <c r="D105" s="84">
        <f t="shared" si="79"/>
        <v>4</v>
      </c>
      <c r="E105" s="84">
        <f t="shared" si="80"/>
        <v>11</v>
      </c>
      <c r="F105" s="84">
        <f t="shared" si="81"/>
        <v>9</v>
      </c>
      <c r="G105" s="84">
        <f t="shared" si="82"/>
        <v>0</v>
      </c>
      <c r="L105" s="84" t="str">
        <f t="shared" si="83"/>
        <v>ok</v>
      </c>
    </row>
    <row r="106">
      <c r="A106" s="1"/>
      <c r="B106" s="43" t="str">
        <f>IFERROR(__xludf.DUMMYFUNCTION("""COMPUTED_VALUE"""),"Manish Anand")</f>
        <v>Manish Anand</v>
      </c>
      <c r="C106" s="84">
        <f>IFERROR(__xludf.DUMMYFUNCTION("""COMPUTED_VALUE"""),-7.0)</f>
        <v>-7</v>
      </c>
      <c r="D106" s="84">
        <f t="shared" si="79"/>
        <v>6</v>
      </c>
      <c r="E106" s="84">
        <f t="shared" si="80"/>
        <v>13</v>
      </c>
      <c r="F106" s="84">
        <f t="shared" si="81"/>
        <v>8</v>
      </c>
      <c r="G106" s="84">
        <f t="shared" si="82"/>
        <v>1</v>
      </c>
      <c r="L106" s="84" t="str">
        <f t="shared" si="83"/>
        <v>ok</v>
      </c>
    </row>
    <row r="107">
      <c r="A107" s="1"/>
      <c r="B107" s="43" t="str">
        <f>IFERROR(__xludf.DUMMYFUNCTION("""COMPUTED_VALUE"""),"Pavan Akkimsetty")</f>
        <v>Pavan Akkimsetty</v>
      </c>
      <c r="C107" s="84">
        <f>IFERROR(__xludf.DUMMYFUNCTION("""COMPUTED_VALUE"""),-7.0)</f>
        <v>-7</v>
      </c>
      <c r="D107" s="84">
        <f t="shared" si="79"/>
        <v>16</v>
      </c>
      <c r="E107" s="84">
        <f t="shared" si="80"/>
        <v>23</v>
      </c>
      <c r="F107" s="84">
        <f t="shared" si="81"/>
        <v>9</v>
      </c>
      <c r="G107" s="84">
        <f t="shared" si="82"/>
        <v>0</v>
      </c>
      <c r="L107" s="84" t="str">
        <f t="shared" si="83"/>
        <v>ok</v>
      </c>
    </row>
    <row r="108">
      <c r="A108" s="1"/>
      <c r="B108" s="43" t="str">
        <f>IFERROR(__xludf.DUMMYFUNCTION("""COMPUTED_VALUE"""),"Tina Hanson")</f>
        <v>Tina Hanson</v>
      </c>
      <c r="C108" s="84">
        <f>IFERROR(__xludf.DUMMYFUNCTION("""COMPUTED_VALUE"""),-7.0)</f>
        <v>-7</v>
      </c>
      <c r="D108" s="84">
        <f t="shared" si="79"/>
        <v>25</v>
      </c>
      <c r="E108" s="84">
        <f t="shared" si="80"/>
        <v>33</v>
      </c>
      <c r="F108" s="84">
        <f t="shared" si="81"/>
        <v>9</v>
      </c>
      <c r="G108" s="84">
        <f t="shared" si="82"/>
        <v>3</v>
      </c>
      <c r="L108" s="84" t="str">
        <f t="shared" si="83"/>
        <v>Error</v>
      </c>
    </row>
    <row r="109">
      <c r="A109" s="1"/>
      <c r="B109" s="43" t="str">
        <f>IFERROR(__xludf.DUMMYFUNCTION("""COMPUTED_VALUE"""),"Chinna Ponnaganti")</f>
        <v>Chinna Ponnaganti</v>
      </c>
      <c r="C109" s="84">
        <f>IFERROR(__xludf.DUMMYFUNCTION("""COMPUTED_VALUE"""),-7.0)</f>
        <v>-7</v>
      </c>
      <c r="D109" s="84">
        <f t="shared" si="79"/>
        <v>35</v>
      </c>
      <c r="E109" s="84">
        <f t="shared" si="80"/>
        <v>42</v>
      </c>
      <c r="F109" s="84">
        <f t="shared" si="81"/>
        <v>7</v>
      </c>
      <c r="G109" s="84">
        <f t="shared" si="82"/>
        <v>5</v>
      </c>
      <c r="L109" s="84" t="str">
        <f t="shared" si="83"/>
        <v>ok</v>
      </c>
    </row>
    <row r="110">
      <c r="A110" s="1"/>
      <c r="B110" s="43" t="str">
        <f>IFERROR(__xludf.DUMMYFUNCTION("""COMPUTED_VALUE"""),"Jonathan Phan")</f>
        <v>Jonathan Phan</v>
      </c>
      <c r="C110" s="84">
        <f>IFERROR(__xludf.DUMMYFUNCTION("""COMPUTED_VALUE"""),-6.0)</f>
        <v>-6</v>
      </c>
      <c r="D110" s="84">
        <f t="shared" si="79"/>
        <v>10</v>
      </c>
      <c r="E110" s="84">
        <f t="shared" si="80"/>
        <v>16</v>
      </c>
      <c r="F110" s="84">
        <f t="shared" si="81"/>
        <v>9</v>
      </c>
      <c r="G110" s="84">
        <f t="shared" si="82"/>
        <v>0</v>
      </c>
      <c r="L110" s="84" t="str">
        <f t="shared" si="83"/>
        <v>ok</v>
      </c>
    </row>
    <row r="111">
      <c r="A111" s="1"/>
      <c r="B111" s="43" t="str">
        <f>IFERROR(__xludf.DUMMYFUNCTION("""COMPUTED_VALUE"""),"Sanjaye Elayattu")</f>
        <v>Sanjaye Elayattu</v>
      </c>
      <c r="C111" s="84">
        <f>IFERROR(__xludf.DUMMYFUNCTION("""COMPUTED_VALUE"""),-5.0)</f>
        <v>-5</v>
      </c>
      <c r="D111" s="84">
        <f t="shared" si="79"/>
        <v>7</v>
      </c>
      <c r="E111" s="84">
        <f t="shared" si="80"/>
        <v>12</v>
      </c>
      <c r="F111" s="84">
        <f t="shared" si="81"/>
        <v>9</v>
      </c>
      <c r="G111" s="84">
        <f t="shared" si="82"/>
        <v>0</v>
      </c>
      <c r="L111" s="84" t="str">
        <f t="shared" si="83"/>
        <v>ok</v>
      </c>
    </row>
    <row r="112">
      <c r="A112" s="1"/>
      <c r="B112" s="43" t="str">
        <f>IFERROR(__xludf.DUMMYFUNCTION("""COMPUTED_VALUE"""),"Oscar Bonilla")</f>
        <v>Oscar Bonilla</v>
      </c>
      <c r="C112" s="84">
        <f>IFERROR(__xludf.DUMMYFUNCTION("""COMPUTED_VALUE"""),-5.0)</f>
        <v>-5</v>
      </c>
      <c r="D112" s="84">
        <f t="shared" si="79"/>
        <v>19</v>
      </c>
      <c r="E112" s="84">
        <f t="shared" si="80"/>
        <v>24</v>
      </c>
      <c r="F112" s="84">
        <f t="shared" si="81"/>
        <v>9</v>
      </c>
      <c r="G112" s="84">
        <f t="shared" si="82"/>
        <v>0</v>
      </c>
      <c r="L112" s="84" t="str">
        <f t="shared" si="83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4">A120+1</f>
        <v>2</v>
      </c>
      <c r="B121" s="43" t="str">
        <f>IFERROR(__xludf.DUMMYFUNCTION("""COMPUTED_VALUE"""),"Sean Chang")</f>
        <v>Sean Chang</v>
      </c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4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4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4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4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4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4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4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4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4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4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4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4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4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4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4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4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4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4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4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4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4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4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4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4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4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4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4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4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4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4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4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4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4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4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4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4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4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4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4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4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4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4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4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4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4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4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4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4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4"/>
        <v>51</v>
      </c>
      <c r="B170" s="43"/>
      <c r="C170" s="95" t="str">
        <f>IFERROR(__xludf.DUMMYFUNCTION("""COMPUTED_VALUE"""),"Suleman Alidina")</f>
        <v>Suleman Alidina</v>
      </c>
      <c r="D170" s="23"/>
      <c r="E170" s="24"/>
      <c r="F170" s="95"/>
      <c r="G170" s="23"/>
      <c r="H170" s="24"/>
    </row>
    <row r="171">
      <c r="A171" s="83">
        <f t="shared" si="84"/>
        <v>52</v>
      </c>
      <c r="B171" s="43"/>
      <c r="C171" s="95" t="str">
        <f>IFERROR(__xludf.DUMMYFUNCTION("""COMPUTED_VALUE"""),"Susanta Mishra")</f>
        <v>Susanta Mishra</v>
      </c>
      <c r="D171" s="23"/>
      <c r="E171" s="24"/>
      <c r="F171" s="95"/>
      <c r="G171" s="23"/>
      <c r="H171" s="24"/>
    </row>
    <row r="172">
      <c r="A172" s="83">
        <f t="shared" si="84"/>
        <v>53</v>
      </c>
      <c r="B172" s="43"/>
      <c r="C172" s="95" t="str">
        <f>IFERROR(__xludf.DUMMYFUNCTION("""COMPUTED_VALUE"""),"Ted Shen")</f>
        <v>Ted Shen</v>
      </c>
      <c r="D172" s="23"/>
      <c r="E172" s="24"/>
      <c r="F172" s="95"/>
      <c r="G172" s="23"/>
      <c r="H172" s="24"/>
    </row>
    <row r="173">
      <c r="A173" s="83">
        <f t="shared" si="84"/>
        <v>54</v>
      </c>
      <c r="B173" s="43"/>
      <c r="C173" s="95" t="str">
        <f>IFERROR(__xludf.DUMMYFUNCTION("""COMPUTED_VALUE"""),"Tina Hanson")</f>
        <v>Tina Hanson</v>
      </c>
      <c r="D173" s="23"/>
      <c r="E173" s="24"/>
      <c r="F173" s="95"/>
      <c r="G173" s="23"/>
      <c r="H173" s="24"/>
    </row>
    <row r="174">
      <c r="A174" s="83">
        <f t="shared" si="84"/>
        <v>55</v>
      </c>
      <c r="B174" s="43"/>
      <c r="C174" s="95" t="str">
        <f>IFERROR(__xludf.DUMMYFUNCTION("""COMPUTED_VALUE"""),"Tom Le")</f>
        <v>Tom Le</v>
      </c>
      <c r="D174" s="23"/>
      <c r="E174" s="24"/>
      <c r="F174" s="95"/>
      <c r="G174" s="23"/>
      <c r="H174" s="24"/>
    </row>
    <row r="175">
      <c r="A175" s="83">
        <f t="shared" si="84"/>
        <v>56</v>
      </c>
      <c r="B175" s="43"/>
      <c r="C175" s="95" t="str">
        <f>IFERROR(__xludf.DUMMYFUNCTION("""COMPUTED_VALUE"""),"Trinath Goteti")</f>
        <v>Trinath Goteti</v>
      </c>
      <c r="D175" s="23"/>
      <c r="E175" s="24"/>
      <c r="F175" s="95"/>
      <c r="G175" s="23"/>
      <c r="H175" s="24"/>
    </row>
    <row r="176">
      <c r="A176" s="83">
        <f t="shared" si="84"/>
        <v>57</v>
      </c>
      <c r="B176" s="43"/>
      <c r="C176" s="95" t="str">
        <f>IFERROR(__xludf.DUMMYFUNCTION("""COMPUTED_VALUE"""),"Trish Newlin")</f>
        <v>Trish Newlin</v>
      </c>
      <c r="D176" s="23"/>
      <c r="E176" s="24"/>
      <c r="F176" s="95"/>
      <c r="G176" s="23"/>
      <c r="H176" s="24"/>
    </row>
    <row r="177">
      <c r="A177" s="83">
        <f t="shared" si="84"/>
        <v>58</v>
      </c>
      <c r="B177" s="43"/>
      <c r="C177" s="95" t="str">
        <f>IFERROR(__xludf.DUMMYFUNCTION("""COMPUTED_VALUE"""),"Troy Wong")</f>
        <v>Troy Wong</v>
      </c>
      <c r="D177" s="23"/>
      <c r="E177" s="24"/>
      <c r="F177" s="95"/>
      <c r="G177" s="23"/>
      <c r="H177" s="24"/>
    </row>
    <row r="178">
      <c r="A178" s="83">
        <f t="shared" si="84"/>
        <v>59</v>
      </c>
      <c r="B178" s="43"/>
      <c r="C178" s="95" t="str">
        <f>IFERROR(__xludf.DUMMYFUNCTION("""COMPUTED_VALUE"""),"Tyler Leong")</f>
        <v>Tyler Leong</v>
      </c>
      <c r="D178" s="23"/>
      <c r="E178" s="24"/>
      <c r="F178" s="95"/>
      <c r="G178" s="23"/>
      <c r="H178" s="24"/>
    </row>
    <row r="179">
      <c r="A179" s="83">
        <f t="shared" si="84"/>
        <v>60</v>
      </c>
      <c r="B179" s="43"/>
      <c r="C179" s="95" t="str">
        <f>IFERROR(__xludf.DUMMYFUNCTION("""COMPUTED_VALUE"""),"Vicki Martinet")</f>
        <v>Vicki Martinet</v>
      </c>
      <c r="D179" s="23"/>
      <c r="E179" s="24"/>
      <c r="F179" s="95"/>
      <c r="G179" s="23"/>
      <c r="H179" s="24"/>
    </row>
    <row r="180">
      <c r="A180" s="83">
        <f t="shared" si="84"/>
        <v>61</v>
      </c>
      <c r="B180" s="43"/>
      <c r="C180" s="95" t="str">
        <f>IFERROR(__xludf.DUMMYFUNCTION("""COMPUTED_VALUE"""),"Vinaya Kajla")</f>
        <v>Vinaya Kajla</v>
      </c>
      <c r="D180" s="23"/>
      <c r="E180" s="24"/>
      <c r="F180" s="95"/>
      <c r="G180" s="23"/>
      <c r="H180" s="24"/>
    </row>
    <row r="181">
      <c r="A181" s="83">
        <f t="shared" si="84"/>
        <v>62</v>
      </c>
      <c r="B181" s="43"/>
      <c r="C181" s="95" t="str">
        <f>IFERROR(__xludf.DUMMYFUNCTION("""COMPUTED_VALUE"""),"Vishnu Amarnath")</f>
        <v>Vishnu Amarnath</v>
      </c>
      <c r="D181" s="23"/>
      <c r="E181" s="24"/>
      <c r="F181" s="95"/>
      <c r="G181" s="23"/>
      <c r="H181" s="24"/>
    </row>
    <row r="182">
      <c r="A182" s="83">
        <f t="shared" si="84"/>
        <v>63</v>
      </c>
      <c r="B182" s="43"/>
      <c r="C182" s="95" t="str">
        <f>IFERROR(__xludf.DUMMYFUNCTION("""COMPUTED_VALUE"""),"Wayne Liu")</f>
        <v>Wayne Liu</v>
      </c>
      <c r="D182" s="23"/>
      <c r="E182" s="24"/>
      <c r="F182" s="95"/>
      <c r="G182" s="23"/>
      <c r="H182" s="24"/>
    </row>
    <row r="183">
      <c r="A183" s="83">
        <f t="shared" si="84"/>
        <v>64</v>
      </c>
      <c r="B183" s="43"/>
      <c r="C183" s="95"/>
      <c r="D183" s="23"/>
      <c r="E183" s="24"/>
      <c r="F183" s="95"/>
      <c r="G183" s="23"/>
      <c r="H183" s="24"/>
    </row>
    <row r="184">
      <c r="A184" s="83">
        <f t="shared" si="84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45710.0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8.0</v>
      </c>
      <c r="E2" s="1"/>
      <c r="F2" s="1"/>
      <c r="R2" s="19"/>
      <c r="AB2" s="20" t="str">
        <f>text(C1-7,"mm/dd/yy")</f>
        <v>02/15/25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117</v>
      </c>
      <c r="C5" s="100">
        <v>107.0</v>
      </c>
      <c r="D5" s="100">
        <v>13.0</v>
      </c>
      <c r="E5" s="36">
        <f t="shared" ref="E5:E69" si="2">if(($D$2-U5-S5)&lt;&gt;0,(C5-(U5*9)-(S5*13))/($D$2-U5-S5),0)</f>
        <v>14.16666667</v>
      </c>
      <c r="F5" s="73">
        <v>1.0</v>
      </c>
      <c r="G5" s="74">
        <v>1.0</v>
      </c>
      <c r="H5" s="75">
        <v>0.0</v>
      </c>
      <c r="I5" s="74">
        <v>4.0</v>
      </c>
      <c r="J5" s="74">
        <v>6.0</v>
      </c>
      <c r="K5" s="74">
        <v>6.0</v>
      </c>
      <c r="L5" s="76">
        <v>16.0</v>
      </c>
      <c r="M5" s="74">
        <v>2.0</v>
      </c>
      <c r="N5" s="31">
        <f t="shared" ref="N5:O5" si="1">C5+L5</f>
        <v>123</v>
      </c>
      <c r="O5" s="31">
        <f t="shared" si="1"/>
        <v>15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1</v>
      </c>
      <c r="V5" s="46">
        <f t="shared" ref="V5:V69" si="6">VLOOKUP(B5,indirect($AB$2&amp;"!B$5:w$70"),22,false)-A5</f>
        <v>1</v>
      </c>
      <c r="W5" s="30">
        <v>1.0</v>
      </c>
    </row>
    <row r="6">
      <c r="A6" s="30">
        <f t="shared" ref="A6:A69" si="7">A5+1</f>
        <v>2</v>
      </c>
      <c r="B6" s="28" t="s">
        <v>44</v>
      </c>
      <c r="C6" s="100">
        <v>104.0</v>
      </c>
      <c r="D6" s="100">
        <v>13.0</v>
      </c>
      <c r="E6" s="36">
        <f t="shared" si="2"/>
        <v>15.4</v>
      </c>
      <c r="F6" s="73">
        <v>3.0</v>
      </c>
      <c r="G6" s="74">
        <v>0.0</v>
      </c>
      <c r="H6" s="75">
        <v>9.0</v>
      </c>
      <c r="I6" s="74">
        <v>0.0</v>
      </c>
      <c r="J6" s="74">
        <v>0.0</v>
      </c>
      <c r="K6" s="74">
        <v>0.0</v>
      </c>
      <c r="L6" s="76">
        <v>9.0</v>
      </c>
      <c r="M6" s="74">
        <v>0.0</v>
      </c>
      <c r="N6" s="31">
        <f t="shared" ref="N6:O6" si="3">C6+L6</f>
        <v>113</v>
      </c>
      <c r="O6" s="31">
        <f t="shared" si="3"/>
        <v>13</v>
      </c>
      <c r="P6" s="45" t="s">
        <v>58</v>
      </c>
      <c r="Q6" s="45" t="s">
        <v>58</v>
      </c>
      <c r="R6" s="45"/>
      <c r="S6" s="46">
        <f t="shared" si="4"/>
        <v>0</v>
      </c>
      <c r="T6" s="46"/>
      <c r="U6" s="46">
        <f t="shared" si="5"/>
        <v>3</v>
      </c>
      <c r="V6" s="46">
        <f t="shared" si="6"/>
        <v>1</v>
      </c>
      <c r="W6" s="30">
        <f t="shared" ref="W6:W35" si="9">W5+1</f>
        <v>2</v>
      </c>
    </row>
    <row r="7">
      <c r="A7" s="30">
        <f t="shared" si="7"/>
        <v>3</v>
      </c>
      <c r="B7" s="43" t="s">
        <v>130</v>
      </c>
      <c r="C7" s="100">
        <v>102.0</v>
      </c>
      <c r="D7" s="100">
        <v>12.0</v>
      </c>
      <c r="E7" s="36">
        <f t="shared" si="2"/>
        <v>14</v>
      </c>
      <c r="F7" s="73">
        <v>3.0</v>
      </c>
      <c r="G7" s="74">
        <v>0.0</v>
      </c>
      <c r="H7" s="75">
        <v>9.0</v>
      </c>
      <c r="I7" s="74">
        <v>0.0</v>
      </c>
      <c r="J7" s="74">
        <v>0.0</v>
      </c>
      <c r="K7" s="74">
        <v>0.0</v>
      </c>
      <c r="L7" s="76">
        <v>9.0</v>
      </c>
      <c r="M7" s="74">
        <v>0.0</v>
      </c>
      <c r="N7" s="31">
        <f t="shared" ref="N7:O7" si="8">C7+L7</f>
        <v>111</v>
      </c>
      <c r="O7" s="31">
        <f t="shared" si="8"/>
        <v>12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2</v>
      </c>
      <c r="V7" s="46">
        <f t="shared" si="6"/>
        <v>5</v>
      </c>
      <c r="W7" s="30">
        <f t="shared" si="9"/>
        <v>3</v>
      </c>
    </row>
    <row r="8">
      <c r="A8" s="30">
        <f t="shared" si="7"/>
        <v>4</v>
      </c>
      <c r="B8" s="43" t="s">
        <v>87</v>
      </c>
      <c r="C8" s="101">
        <v>100.0</v>
      </c>
      <c r="D8" s="100">
        <v>10.0</v>
      </c>
      <c r="E8" s="36">
        <f t="shared" si="2"/>
        <v>13.66666667</v>
      </c>
      <c r="F8" s="73">
        <v>3.0</v>
      </c>
      <c r="G8" s="74">
        <v>0.0</v>
      </c>
      <c r="H8" s="75">
        <v>9.0</v>
      </c>
      <c r="I8" s="74">
        <v>0.0</v>
      </c>
      <c r="J8" s="74">
        <v>0.0</v>
      </c>
      <c r="K8" s="74">
        <v>0.0</v>
      </c>
      <c r="L8" s="76">
        <v>9.0</v>
      </c>
      <c r="M8" s="74">
        <v>0.0</v>
      </c>
      <c r="N8" s="47">
        <f t="shared" ref="N8:O8" si="10">C8+L8</f>
        <v>109</v>
      </c>
      <c r="O8" s="31">
        <f t="shared" si="10"/>
        <v>10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2</v>
      </c>
      <c r="V8" s="46">
        <f t="shared" si="6"/>
        <v>6</v>
      </c>
      <c r="W8" s="30">
        <f t="shared" si="9"/>
        <v>4</v>
      </c>
    </row>
    <row r="9">
      <c r="A9" s="30">
        <f t="shared" si="7"/>
        <v>5</v>
      </c>
      <c r="B9" s="28" t="s">
        <v>45</v>
      </c>
      <c r="C9" s="100">
        <v>100.0</v>
      </c>
      <c r="D9" s="100">
        <v>10.0</v>
      </c>
      <c r="E9" s="36">
        <f t="shared" si="2"/>
        <v>12.42857143</v>
      </c>
      <c r="F9" s="73">
        <v>1.0</v>
      </c>
      <c r="G9" s="74">
        <v>1.0</v>
      </c>
      <c r="H9" s="75">
        <v>0.0</v>
      </c>
      <c r="I9" s="74">
        <v>6.0</v>
      </c>
      <c r="J9" s="74">
        <v>6.0</v>
      </c>
      <c r="K9" s="74">
        <v>1.0</v>
      </c>
      <c r="L9" s="76">
        <v>13.0</v>
      </c>
      <c r="M9" s="74">
        <v>2.0</v>
      </c>
      <c r="N9" s="31">
        <f t="shared" ref="N9:O9" si="11">C9+L9</f>
        <v>113</v>
      </c>
      <c r="O9" s="31">
        <f t="shared" si="11"/>
        <v>12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0</v>
      </c>
      <c r="V9" s="46">
        <f t="shared" si="6"/>
        <v>-1</v>
      </c>
      <c r="W9" s="30">
        <f t="shared" si="9"/>
        <v>5</v>
      </c>
    </row>
    <row r="10">
      <c r="A10" s="30">
        <f t="shared" si="7"/>
        <v>6</v>
      </c>
      <c r="B10" s="28" t="s">
        <v>101</v>
      </c>
      <c r="C10" s="100">
        <v>99.0</v>
      </c>
      <c r="D10" s="100">
        <v>8.0</v>
      </c>
      <c r="E10" s="36">
        <f t="shared" si="2"/>
        <v>12.83333333</v>
      </c>
      <c r="F10" s="73">
        <v>1.0</v>
      </c>
      <c r="G10" s="74">
        <v>1.0</v>
      </c>
      <c r="H10" s="75">
        <v>0.0</v>
      </c>
      <c r="I10" s="74">
        <v>4.0</v>
      </c>
      <c r="J10" s="74">
        <v>3.0</v>
      </c>
      <c r="K10" s="74">
        <v>1.0</v>
      </c>
      <c r="L10" s="76">
        <v>8.0</v>
      </c>
      <c r="M10" s="74">
        <v>0.0</v>
      </c>
      <c r="N10" s="31">
        <f t="shared" ref="N10:O10" si="12">C10+L10</f>
        <v>107</v>
      </c>
      <c r="O10" s="31">
        <f t="shared" si="12"/>
        <v>8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1</v>
      </c>
      <c r="V10" s="46">
        <f t="shared" si="6"/>
        <v>3</v>
      </c>
      <c r="W10" s="30">
        <f t="shared" si="9"/>
        <v>6</v>
      </c>
    </row>
    <row r="11">
      <c r="A11" s="30">
        <f t="shared" si="7"/>
        <v>7</v>
      </c>
      <c r="B11" s="28" t="s">
        <v>137</v>
      </c>
      <c r="C11" s="100">
        <v>98.0</v>
      </c>
      <c r="D11" s="100">
        <v>9.0</v>
      </c>
      <c r="E11" s="36">
        <f t="shared" si="2"/>
        <v>13.4</v>
      </c>
      <c r="F11" s="73">
        <v>3.0</v>
      </c>
      <c r="G11" s="74">
        <v>0.0</v>
      </c>
      <c r="H11" s="75">
        <v>9.0</v>
      </c>
      <c r="I11" s="74">
        <v>0.0</v>
      </c>
      <c r="J11" s="74">
        <v>0.0</v>
      </c>
      <c r="K11" s="74">
        <v>0.0</v>
      </c>
      <c r="L11" s="76">
        <v>9.0</v>
      </c>
      <c r="M11" s="74">
        <v>0.0</v>
      </c>
      <c r="N11" s="31">
        <f t="shared" ref="N11:O11" si="13">C11+L11</f>
        <v>107</v>
      </c>
      <c r="O11" s="31">
        <f t="shared" si="13"/>
        <v>9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2</v>
      </c>
      <c r="V11" s="46">
        <f t="shared" si="6"/>
        <v>5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101">
        <v>98.0</v>
      </c>
      <c r="D12" s="100">
        <v>9.0</v>
      </c>
      <c r="E12" s="36">
        <f t="shared" si="2"/>
        <v>12.14285714</v>
      </c>
      <c r="F12" s="73">
        <v>1.0</v>
      </c>
      <c r="G12" s="74">
        <v>1.0</v>
      </c>
      <c r="H12" s="75">
        <v>0.0</v>
      </c>
      <c r="I12" s="74">
        <v>6.0</v>
      </c>
      <c r="J12" s="74">
        <v>3.0</v>
      </c>
      <c r="K12" s="74">
        <v>6.0</v>
      </c>
      <c r="L12" s="76">
        <v>15.0</v>
      </c>
      <c r="M12" s="74">
        <v>2.0</v>
      </c>
      <c r="N12" s="47">
        <f t="shared" ref="N12:O12" si="14">C12+L12</f>
        <v>113</v>
      </c>
      <c r="O12" s="31">
        <f t="shared" si="14"/>
        <v>11</v>
      </c>
      <c r="P12" s="45" t="s">
        <v>58</v>
      </c>
      <c r="Q12" s="45" t="s">
        <v>58</v>
      </c>
      <c r="R12" s="45"/>
      <c r="S12" s="46">
        <f t="shared" si="4"/>
        <v>1</v>
      </c>
      <c r="T12" s="46"/>
      <c r="U12" s="46">
        <f t="shared" si="5"/>
        <v>0</v>
      </c>
      <c r="V12" s="46">
        <f t="shared" si="6"/>
        <v>-7</v>
      </c>
      <c r="W12" s="30">
        <f t="shared" si="9"/>
        <v>8</v>
      </c>
    </row>
    <row r="13">
      <c r="A13" s="30">
        <f t="shared" si="7"/>
        <v>9</v>
      </c>
      <c r="B13" s="28" t="s">
        <v>97</v>
      </c>
      <c r="C13" s="100">
        <v>97.0</v>
      </c>
      <c r="D13" s="100">
        <v>9.0</v>
      </c>
      <c r="E13" s="36">
        <f t="shared" si="2"/>
        <v>11.83333333</v>
      </c>
      <c r="F13" s="73">
        <v>1.0</v>
      </c>
      <c r="G13" s="74">
        <v>9.0</v>
      </c>
      <c r="H13" s="75">
        <v>0.0</v>
      </c>
      <c r="I13" s="74">
        <v>5.0</v>
      </c>
      <c r="J13" s="74">
        <v>7.0</v>
      </c>
      <c r="K13" s="74">
        <v>4.0</v>
      </c>
      <c r="L13" s="76">
        <v>16.0</v>
      </c>
      <c r="M13" s="74">
        <v>1.0</v>
      </c>
      <c r="N13" s="31">
        <f t="shared" ref="N13:O13" si="15">C13+L13</f>
        <v>113</v>
      </c>
      <c r="O13" s="31">
        <f t="shared" si="15"/>
        <v>10</v>
      </c>
      <c r="P13" s="45" t="s">
        <v>58</v>
      </c>
      <c r="Q13" s="45" t="s">
        <v>58</v>
      </c>
      <c r="R13" s="45"/>
      <c r="S13" s="46">
        <f t="shared" si="4"/>
        <v>2</v>
      </c>
      <c r="T13" s="46"/>
      <c r="U13" s="46">
        <f t="shared" si="5"/>
        <v>0</v>
      </c>
      <c r="V13" s="46">
        <f t="shared" si="6"/>
        <v>13</v>
      </c>
      <c r="W13" s="30">
        <f t="shared" si="9"/>
        <v>9</v>
      </c>
    </row>
    <row r="14">
      <c r="A14" s="30">
        <f t="shared" si="7"/>
        <v>10</v>
      </c>
      <c r="B14" s="28" t="s">
        <v>92</v>
      </c>
      <c r="C14" s="100">
        <v>95.0</v>
      </c>
      <c r="D14" s="100">
        <v>10.0</v>
      </c>
      <c r="E14" s="36">
        <f t="shared" si="2"/>
        <v>13.6</v>
      </c>
      <c r="F14" s="73">
        <v>3.0</v>
      </c>
      <c r="G14" s="74">
        <v>0.0</v>
      </c>
      <c r="H14" s="75">
        <v>9.0</v>
      </c>
      <c r="I14" s="74">
        <v>0.0</v>
      </c>
      <c r="J14" s="74">
        <v>0.0</v>
      </c>
      <c r="K14" s="74">
        <v>0.0</v>
      </c>
      <c r="L14" s="76">
        <v>9.0</v>
      </c>
      <c r="M14" s="74">
        <v>0.0</v>
      </c>
      <c r="N14" s="31">
        <f t="shared" ref="N14:O14" si="16">C14+L14</f>
        <v>104</v>
      </c>
      <c r="O14" s="31">
        <f t="shared" si="16"/>
        <v>10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3</v>
      </c>
      <c r="V14" s="46">
        <f t="shared" si="6"/>
        <v>-5</v>
      </c>
      <c r="W14" s="30">
        <f t="shared" si="9"/>
        <v>10</v>
      </c>
    </row>
    <row r="15">
      <c r="A15" s="30">
        <f t="shared" si="7"/>
        <v>11</v>
      </c>
      <c r="B15" s="43" t="s">
        <v>94</v>
      </c>
      <c r="C15" s="100">
        <v>95.0</v>
      </c>
      <c r="D15" s="100">
        <v>9.0</v>
      </c>
      <c r="E15" s="36">
        <f t="shared" si="2"/>
        <v>12.8</v>
      </c>
      <c r="F15" s="73">
        <v>1.0</v>
      </c>
      <c r="G15" s="74">
        <v>9.0</v>
      </c>
      <c r="H15" s="75">
        <v>0.0</v>
      </c>
      <c r="I15" s="74">
        <v>5.0</v>
      </c>
      <c r="J15" s="74">
        <v>5.0</v>
      </c>
      <c r="K15" s="74">
        <v>6.0</v>
      </c>
      <c r="L15" s="76">
        <v>16.0</v>
      </c>
      <c r="M15" s="74">
        <v>1.0</v>
      </c>
      <c r="N15" s="31">
        <f t="shared" ref="N15:O15" si="17">C15+L15</f>
        <v>111</v>
      </c>
      <c r="O15" s="31">
        <f t="shared" si="17"/>
        <v>10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2</v>
      </c>
      <c r="V15" s="46">
        <f t="shared" si="6"/>
        <v>2</v>
      </c>
      <c r="W15" s="30">
        <f t="shared" si="9"/>
        <v>11</v>
      </c>
    </row>
    <row r="16">
      <c r="A16" s="30">
        <f t="shared" si="7"/>
        <v>12</v>
      </c>
      <c r="B16" s="28" t="s">
        <v>116</v>
      </c>
      <c r="C16" s="100">
        <v>95.0</v>
      </c>
      <c r="D16" s="100">
        <v>9.0</v>
      </c>
      <c r="E16" s="36">
        <f t="shared" si="2"/>
        <v>12.16666667</v>
      </c>
      <c r="F16" s="73">
        <v>1.0</v>
      </c>
      <c r="G16" s="74">
        <v>9.0</v>
      </c>
      <c r="H16" s="75">
        <v>0.0</v>
      </c>
      <c r="I16" s="74">
        <v>7.0</v>
      </c>
      <c r="J16" s="74">
        <v>7.0</v>
      </c>
      <c r="K16" s="74">
        <v>6.0</v>
      </c>
      <c r="L16" s="76">
        <v>20.0</v>
      </c>
      <c r="M16" s="74">
        <v>3.0</v>
      </c>
      <c r="N16" s="31">
        <f t="shared" ref="N16:O16" si="18">C16+L16</f>
        <v>115</v>
      </c>
      <c r="O16" s="31">
        <f t="shared" si="18"/>
        <v>12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1</v>
      </c>
      <c r="V16" s="46">
        <f t="shared" si="6"/>
        <v>2</v>
      </c>
      <c r="W16" s="30">
        <f t="shared" si="9"/>
        <v>12</v>
      </c>
    </row>
    <row r="17">
      <c r="A17" s="30">
        <f t="shared" si="7"/>
        <v>13</v>
      </c>
      <c r="B17" s="28" t="s">
        <v>95</v>
      </c>
      <c r="C17" s="100">
        <v>95.0</v>
      </c>
      <c r="D17" s="100">
        <v>9.0</v>
      </c>
      <c r="E17" s="36">
        <f t="shared" si="2"/>
        <v>12.83333333</v>
      </c>
      <c r="F17" s="73">
        <v>3.0</v>
      </c>
      <c r="G17" s="74">
        <v>0.0</v>
      </c>
      <c r="H17" s="75">
        <v>9.0</v>
      </c>
      <c r="I17" s="74">
        <v>0.0</v>
      </c>
      <c r="J17" s="74">
        <v>0.0</v>
      </c>
      <c r="K17" s="74">
        <v>0.0</v>
      </c>
      <c r="L17" s="76">
        <v>9.0</v>
      </c>
      <c r="M17" s="74">
        <v>0.0</v>
      </c>
      <c r="N17" s="31">
        <f t="shared" ref="N17:O17" si="19">C17+L17</f>
        <v>104</v>
      </c>
      <c r="O17" s="31">
        <f t="shared" si="19"/>
        <v>9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2</v>
      </c>
      <c r="V17" s="46">
        <f t="shared" si="6"/>
        <v>-7</v>
      </c>
      <c r="W17" s="30">
        <f t="shared" si="9"/>
        <v>13</v>
      </c>
    </row>
    <row r="18">
      <c r="A18" s="30">
        <f t="shared" si="7"/>
        <v>14</v>
      </c>
      <c r="B18" s="28" t="s">
        <v>89</v>
      </c>
      <c r="C18" s="100">
        <v>95.0</v>
      </c>
      <c r="D18" s="100">
        <v>8.0</v>
      </c>
      <c r="E18" s="36">
        <f t="shared" si="2"/>
        <v>12.75</v>
      </c>
      <c r="F18" s="73">
        <v>3.0</v>
      </c>
      <c r="G18" s="74">
        <v>0.0</v>
      </c>
      <c r="H18" s="75">
        <v>9.0</v>
      </c>
      <c r="I18" s="74">
        <v>0.0</v>
      </c>
      <c r="J18" s="74">
        <v>0.0</v>
      </c>
      <c r="K18" s="74">
        <v>0.0</v>
      </c>
      <c r="L18" s="76">
        <v>9.0</v>
      </c>
      <c r="M18" s="74">
        <v>0.0</v>
      </c>
      <c r="N18" s="31">
        <f t="shared" ref="N18:O18" si="20">C18+L18</f>
        <v>104</v>
      </c>
      <c r="O18" s="31">
        <f t="shared" si="20"/>
        <v>8</v>
      </c>
      <c r="P18" s="45" t="s">
        <v>58</v>
      </c>
      <c r="Q18" s="45" t="s">
        <v>58</v>
      </c>
      <c r="R18" s="45"/>
      <c r="S18" s="46">
        <f t="shared" si="4"/>
        <v>2</v>
      </c>
      <c r="T18" s="46"/>
      <c r="U18" s="46">
        <f t="shared" si="5"/>
        <v>2</v>
      </c>
      <c r="V18" s="46">
        <f t="shared" si="6"/>
        <v>1</v>
      </c>
      <c r="W18" s="30">
        <f t="shared" si="9"/>
        <v>14</v>
      </c>
    </row>
    <row r="19">
      <c r="A19" s="30">
        <f t="shared" si="7"/>
        <v>15</v>
      </c>
      <c r="B19" s="43" t="s">
        <v>56</v>
      </c>
      <c r="C19" s="100">
        <v>93.0</v>
      </c>
      <c r="D19" s="100">
        <v>11.0</v>
      </c>
      <c r="E19" s="36">
        <f t="shared" si="2"/>
        <v>11.625</v>
      </c>
      <c r="F19" s="73">
        <v>1.0</v>
      </c>
      <c r="G19" s="74">
        <v>9.0</v>
      </c>
      <c r="H19" s="75">
        <v>0.0</v>
      </c>
      <c r="I19" s="74">
        <v>7.0</v>
      </c>
      <c r="J19" s="74">
        <v>5.0</v>
      </c>
      <c r="K19" s="74">
        <v>4.0</v>
      </c>
      <c r="L19" s="76">
        <v>16.0</v>
      </c>
      <c r="M19" s="74">
        <v>1.0</v>
      </c>
      <c r="N19" s="31">
        <f t="shared" ref="N19:O19" si="21">C19+L19</f>
        <v>109</v>
      </c>
      <c r="O19" s="31">
        <f t="shared" si="21"/>
        <v>12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0</v>
      </c>
      <c r="V19" s="46">
        <f t="shared" si="6"/>
        <v>4</v>
      </c>
      <c r="W19" s="30">
        <f t="shared" si="9"/>
        <v>15</v>
      </c>
    </row>
    <row r="20">
      <c r="A20" s="30">
        <f t="shared" si="7"/>
        <v>16</v>
      </c>
      <c r="B20" s="28" t="s">
        <v>74</v>
      </c>
      <c r="C20" s="100">
        <v>93.0</v>
      </c>
      <c r="D20" s="100">
        <v>10.0</v>
      </c>
      <c r="E20" s="36">
        <f t="shared" si="2"/>
        <v>13.2</v>
      </c>
      <c r="F20" s="73">
        <v>3.0</v>
      </c>
      <c r="G20" s="74">
        <v>0.0</v>
      </c>
      <c r="H20" s="75">
        <v>9.0</v>
      </c>
      <c r="I20" s="74">
        <v>0.0</v>
      </c>
      <c r="J20" s="74">
        <v>0.0</v>
      </c>
      <c r="K20" s="74">
        <v>0.0</v>
      </c>
      <c r="L20" s="76">
        <v>9.0</v>
      </c>
      <c r="M20" s="74">
        <v>0.0</v>
      </c>
      <c r="N20" s="31">
        <f t="shared" ref="N20:O20" si="22">C20+L20</f>
        <v>102</v>
      </c>
      <c r="O20" s="31">
        <f t="shared" si="22"/>
        <v>10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3</v>
      </c>
      <c r="V20" s="46">
        <f t="shared" si="6"/>
        <v>-9</v>
      </c>
      <c r="W20" s="30">
        <f t="shared" si="9"/>
        <v>16</v>
      </c>
    </row>
    <row r="21">
      <c r="A21" s="30">
        <f t="shared" si="7"/>
        <v>17</v>
      </c>
      <c r="B21" s="28" t="s">
        <v>120</v>
      </c>
      <c r="C21" s="100">
        <v>93.0</v>
      </c>
      <c r="D21" s="100">
        <v>9.0</v>
      </c>
      <c r="E21" s="36">
        <f t="shared" si="2"/>
        <v>12.4</v>
      </c>
      <c r="F21" s="73">
        <v>1.0</v>
      </c>
      <c r="G21" s="74">
        <v>2.0</v>
      </c>
      <c r="H21" s="75">
        <v>0.0</v>
      </c>
      <c r="I21" s="74">
        <v>3.0</v>
      </c>
      <c r="J21" s="74">
        <v>1.0</v>
      </c>
      <c r="K21" s="74">
        <v>6.0</v>
      </c>
      <c r="L21" s="76">
        <v>10.0</v>
      </c>
      <c r="M21" s="74">
        <v>1.0</v>
      </c>
      <c r="N21" s="31">
        <f t="shared" ref="N21:O21" si="23">C21+L21</f>
        <v>103</v>
      </c>
      <c r="O21" s="31">
        <f t="shared" si="23"/>
        <v>10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2</v>
      </c>
      <c r="V21" s="46">
        <f t="shared" si="6"/>
        <v>4</v>
      </c>
      <c r="W21" s="30">
        <f t="shared" si="9"/>
        <v>17</v>
      </c>
    </row>
    <row r="22">
      <c r="A22" s="30">
        <f t="shared" si="7"/>
        <v>18</v>
      </c>
      <c r="B22" s="43" t="s">
        <v>121</v>
      </c>
      <c r="C22" s="100">
        <v>93.0</v>
      </c>
      <c r="D22" s="100">
        <v>8.0</v>
      </c>
      <c r="E22" s="36">
        <f t="shared" si="2"/>
        <v>12.4</v>
      </c>
      <c r="F22" s="73">
        <v>1.0</v>
      </c>
      <c r="G22" s="74">
        <v>2.0</v>
      </c>
      <c r="H22" s="75">
        <v>0.0</v>
      </c>
      <c r="I22" s="74">
        <v>6.0</v>
      </c>
      <c r="J22" s="74">
        <v>6.0</v>
      </c>
      <c r="K22" s="74">
        <v>6.0</v>
      </c>
      <c r="L22" s="76">
        <v>18.0</v>
      </c>
      <c r="M22" s="74">
        <v>3.0</v>
      </c>
      <c r="N22" s="31">
        <f t="shared" ref="N22:O22" si="24">C22+L22</f>
        <v>111</v>
      </c>
      <c r="O22" s="31">
        <f t="shared" si="24"/>
        <v>11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2</v>
      </c>
      <c r="V22" s="46">
        <f t="shared" si="6"/>
        <v>0</v>
      </c>
      <c r="W22" s="30">
        <f t="shared" si="9"/>
        <v>18</v>
      </c>
    </row>
    <row r="23">
      <c r="A23" s="30">
        <f t="shared" si="7"/>
        <v>19</v>
      </c>
      <c r="B23" s="28" t="s">
        <v>128</v>
      </c>
      <c r="C23" s="100">
        <v>92.0</v>
      </c>
      <c r="D23" s="100">
        <v>9.0</v>
      </c>
      <c r="E23" s="36">
        <f t="shared" si="2"/>
        <v>14</v>
      </c>
      <c r="F23" s="73">
        <v>3.0</v>
      </c>
      <c r="G23" s="74">
        <v>0.0</v>
      </c>
      <c r="H23" s="75">
        <v>9.0</v>
      </c>
      <c r="I23" s="74">
        <v>0.0</v>
      </c>
      <c r="J23" s="74">
        <v>0.0</v>
      </c>
      <c r="K23" s="74">
        <v>0.0</v>
      </c>
      <c r="L23" s="76">
        <v>9.0</v>
      </c>
      <c r="M23" s="74">
        <v>0.0</v>
      </c>
      <c r="N23" s="31">
        <f t="shared" ref="N23:O23" si="25">C23+L23</f>
        <v>101</v>
      </c>
      <c r="O23" s="31">
        <f t="shared" si="25"/>
        <v>9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4</v>
      </c>
      <c r="V23" s="46">
        <f t="shared" si="6"/>
        <v>4</v>
      </c>
      <c r="W23" s="30">
        <f t="shared" si="9"/>
        <v>19</v>
      </c>
    </row>
    <row r="24">
      <c r="A24" s="30">
        <f t="shared" si="7"/>
        <v>20</v>
      </c>
      <c r="B24" s="43" t="s">
        <v>111</v>
      </c>
      <c r="C24" s="101">
        <v>91.0</v>
      </c>
      <c r="D24" s="100">
        <v>9.0</v>
      </c>
      <c r="E24" s="36">
        <f t="shared" si="2"/>
        <v>11.71428571</v>
      </c>
      <c r="F24" s="73">
        <v>1.0</v>
      </c>
      <c r="G24" s="74">
        <v>2.0</v>
      </c>
      <c r="H24" s="75">
        <v>0.0</v>
      </c>
      <c r="I24" s="74">
        <v>3.0</v>
      </c>
      <c r="J24" s="74">
        <v>6.0</v>
      </c>
      <c r="K24" s="74">
        <v>0.0</v>
      </c>
      <c r="L24" s="76">
        <v>9.0</v>
      </c>
      <c r="M24" s="74">
        <v>1.0</v>
      </c>
      <c r="N24" s="47">
        <f t="shared" ref="N24:O24" si="26">C24+L24</f>
        <v>100</v>
      </c>
      <c r="O24" s="31">
        <f t="shared" si="26"/>
        <v>10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1</v>
      </c>
      <c r="V24" s="46">
        <f t="shared" si="6"/>
        <v>13</v>
      </c>
      <c r="W24" s="30">
        <f t="shared" si="9"/>
        <v>20</v>
      </c>
    </row>
    <row r="25">
      <c r="A25" s="30">
        <f t="shared" si="7"/>
        <v>21</v>
      </c>
      <c r="B25" s="28" t="s">
        <v>34</v>
      </c>
      <c r="C25" s="100">
        <v>90.0</v>
      </c>
      <c r="D25" s="100">
        <v>9.0</v>
      </c>
      <c r="E25" s="36">
        <f t="shared" si="2"/>
        <v>15</v>
      </c>
      <c r="F25" s="73">
        <v>3.0</v>
      </c>
      <c r="G25" s="74">
        <v>0.0</v>
      </c>
      <c r="H25" s="75">
        <v>9.0</v>
      </c>
      <c r="I25" s="74">
        <v>0.0</v>
      </c>
      <c r="J25" s="74">
        <v>0.0</v>
      </c>
      <c r="K25" s="74">
        <v>0.0</v>
      </c>
      <c r="L25" s="76">
        <v>9.0</v>
      </c>
      <c r="M25" s="74">
        <v>0.0</v>
      </c>
      <c r="N25" s="31">
        <f t="shared" ref="N25:O25" si="27">C25+L25</f>
        <v>99</v>
      </c>
      <c r="O25" s="31">
        <f t="shared" si="27"/>
        <v>9</v>
      </c>
      <c r="P25" s="45" t="s">
        <v>58</v>
      </c>
      <c r="Q25" s="45" t="s">
        <v>58</v>
      </c>
      <c r="R25" s="45"/>
      <c r="S25" s="46">
        <f t="shared" si="4"/>
        <v>0</v>
      </c>
      <c r="T25" s="46"/>
      <c r="U25" s="46">
        <f t="shared" si="5"/>
        <v>5</v>
      </c>
      <c r="V25" s="46">
        <f t="shared" si="6"/>
        <v>11</v>
      </c>
      <c r="W25" s="30">
        <f t="shared" si="9"/>
        <v>21</v>
      </c>
    </row>
    <row r="26">
      <c r="A26" s="30">
        <f t="shared" si="7"/>
        <v>22</v>
      </c>
      <c r="B26" s="43" t="s">
        <v>106</v>
      </c>
      <c r="C26" s="100">
        <v>90.0</v>
      </c>
      <c r="D26" s="100">
        <v>9.0</v>
      </c>
      <c r="E26" s="36">
        <f t="shared" si="2"/>
        <v>11.57142857</v>
      </c>
      <c r="F26" s="73">
        <v>1.0</v>
      </c>
      <c r="G26" s="74">
        <v>2.0</v>
      </c>
      <c r="H26" s="75">
        <v>0.0</v>
      </c>
      <c r="I26" s="74">
        <v>6.0</v>
      </c>
      <c r="J26" s="74">
        <v>1.0</v>
      </c>
      <c r="K26" s="74">
        <v>0.0</v>
      </c>
      <c r="L26" s="76">
        <v>7.0</v>
      </c>
      <c r="M26" s="74">
        <v>1.0</v>
      </c>
      <c r="N26" s="31">
        <f t="shared" ref="N26:O26" si="28">C26+L26</f>
        <v>97</v>
      </c>
      <c r="O26" s="31">
        <f t="shared" si="28"/>
        <v>10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1</v>
      </c>
      <c r="V26" s="46">
        <f t="shared" si="6"/>
        <v>3</v>
      </c>
      <c r="W26" s="30">
        <f t="shared" si="9"/>
        <v>22</v>
      </c>
    </row>
    <row r="27">
      <c r="A27" s="30">
        <f t="shared" si="7"/>
        <v>23</v>
      </c>
      <c r="B27" s="28" t="s">
        <v>67</v>
      </c>
      <c r="C27" s="100">
        <v>90.0</v>
      </c>
      <c r="D27" s="100">
        <v>7.0</v>
      </c>
      <c r="E27" s="36">
        <f t="shared" si="2"/>
        <v>13.66666667</v>
      </c>
      <c r="F27" s="73">
        <v>3.0</v>
      </c>
      <c r="G27" s="74">
        <v>0.0</v>
      </c>
      <c r="H27" s="75">
        <v>9.0</v>
      </c>
      <c r="I27" s="74">
        <v>0.0</v>
      </c>
      <c r="J27" s="74">
        <v>0.0</v>
      </c>
      <c r="K27" s="74">
        <v>0.0</v>
      </c>
      <c r="L27" s="76">
        <v>9.0</v>
      </c>
      <c r="M27" s="74">
        <v>0.0</v>
      </c>
      <c r="N27" s="31">
        <f t="shared" ref="N27:O27" si="29">C27+L27</f>
        <v>99</v>
      </c>
      <c r="O27" s="31">
        <f t="shared" si="29"/>
        <v>7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4</v>
      </c>
      <c r="V27" s="46">
        <f t="shared" si="6"/>
        <v>3</v>
      </c>
      <c r="W27" s="30">
        <f t="shared" si="9"/>
        <v>23</v>
      </c>
    </row>
    <row r="28">
      <c r="A28" s="30">
        <f t="shared" si="7"/>
        <v>24</v>
      </c>
      <c r="B28" s="28" t="s">
        <v>98</v>
      </c>
      <c r="C28" s="100">
        <v>90.0</v>
      </c>
      <c r="D28" s="100">
        <v>7.0</v>
      </c>
      <c r="E28" s="36">
        <f t="shared" si="2"/>
        <v>12.6</v>
      </c>
      <c r="F28" s="73">
        <v>1.0</v>
      </c>
      <c r="G28" s="74">
        <v>3.0</v>
      </c>
      <c r="H28" s="75">
        <v>0.0</v>
      </c>
      <c r="I28" s="74">
        <v>7.0</v>
      </c>
      <c r="J28" s="74">
        <v>0.0</v>
      </c>
      <c r="K28" s="74">
        <v>6.0</v>
      </c>
      <c r="L28" s="76">
        <v>13.0</v>
      </c>
      <c r="M28" s="74">
        <v>2.0</v>
      </c>
      <c r="N28" s="31">
        <f t="shared" ref="N28:O28" si="30">C28+L28</f>
        <v>103</v>
      </c>
      <c r="O28" s="31">
        <f t="shared" si="30"/>
        <v>9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3</v>
      </c>
      <c r="V28" s="46">
        <f t="shared" si="6"/>
        <v>-13</v>
      </c>
      <c r="W28" s="30">
        <f t="shared" si="9"/>
        <v>24</v>
      </c>
    </row>
    <row r="29">
      <c r="A29" s="30">
        <f t="shared" si="7"/>
        <v>25</v>
      </c>
      <c r="B29" s="43" t="s">
        <v>129</v>
      </c>
      <c r="C29" s="101">
        <v>88.0</v>
      </c>
      <c r="D29" s="100">
        <v>9.0</v>
      </c>
      <c r="E29" s="36">
        <f t="shared" si="2"/>
        <v>11</v>
      </c>
      <c r="F29" s="73">
        <v>1.0</v>
      </c>
      <c r="G29" s="74">
        <v>3.0</v>
      </c>
      <c r="H29" s="75">
        <v>0.0</v>
      </c>
      <c r="I29" s="74">
        <v>6.0</v>
      </c>
      <c r="J29" s="74">
        <v>0.0</v>
      </c>
      <c r="K29" s="74">
        <v>3.0</v>
      </c>
      <c r="L29" s="76">
        <v>9.0</v>
      </c>
      <c r="M29" s="74">
        <v>0.0</v>
      </c>
      <c r="N29" s="47">
        <f t="shared" ref="N29:O29" si="31">C29+L29</f>
        <v>97</v>
      </c>
      <c r="O29" s="31">
        <f t="shared" si="31"/>
        <v>9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0</v>
      </c>
      <c r="V29" s="46">
        <f t="shared" si="6"/>
        <v>-9</v>
      </c>
      <c r="W29" s="30">
        <f t="shared" si="9"/>
        <v>25</v>
      </c>
    </row>
    <row r="30">
      <c r="A30" s="30">
        <f t="shared" si="7"/>
        <v>26</v>
      </c>
      <c r="B30" s="48" t="s">
        <v>82</v>
      </c>
      <c r="C30" s="100">
        <v>88.0</v>
      </c>
      <c r="D30" s="100">
        <v>8.0</v>
      </c>
      <c r="E30" s="36">
        <f t="shared" si="2"/>
        <v>12.2</v>
      </c>
      <c r="F30" s="73">
        <v>1.0</v>
      </c>
      <c r="G30" s="74">
        <v>3.0</v>
      </c>
      <c r="H30" s="75">
        <v>0.0</v>
      </c>
      <c r="I30" s="74">
        <v>6.0</v>
      </c>
      <c r="J30" s="74">
        <v>6.0</v>
      </c>
      <c r="K30" s="74">
        <v>6.0</v>
      </c>
      <c r="L30" s="76">
        <v>18.0</v>
      </c>
      <c r="M30" s="74">
        <v>2.0</v>
      </c>
      <c r="N30" s="31">
        <f t="shared" ref="N30:O30" si="32">C30+L30</f>
        <v>106</v>
      </c>
      <c r="O30" s="31">
        <f t="shared" si="32"/>
        <v>10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3</v>
      </c>
      <c r="V30" s="46">
        <f t="shared" si="6"/>
        <v>15</v>
      </c>
      <c r="W30" s="30">
        <f t="shared" si="9"/>
        <v>26</v>
      </c>
    </row>
    <row r="31">
      <c r="A31" s="30">
        <f t="shared" si="7"/>
        <v>27</v>
      </c>
      <c r="B31" s="43" t="s">
        <v>64</v>
      </c>
      <c r="C31" s="101">
        <v>87.0</v>
      </c>
      <c r="D31" s="100">
        <v>8.0</v>
      </c>
      <c r="E31" s="36">
        <f t="shared" si="2"/>
        <v>11.5</v>
      </c>
      <c r="F31" s="73">
        <v>1.0</v>
      </c>
      <c r="G31" s="74">
        <v>3.0</v>
      </c>
      <c r="H31" s="75">
        <v>0.0</v>
      </c>
      <c r="I31" s="74">
        <v>7.0</v>
      </c>
      <c r="J31" s="74">
        <v>6.0</v>
      </c>
      <c r="K31" s="74">
        <v>3.0</v>
      </c>
      <c r="L31" s="76">
        <v>16.0</v>
      </c>
      <c r="M31" s="74">
        <v>2.0</v>
      </c>
      <c r="N31" s="47">
        <f t="shared" ref="N31:O31" si="33">C31+L31</f>
        <v>103</v>
      </c>
      <c r="O31" s="31">
        <f t="shared" si="33"/>
        <v>10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2</v>
      </c>
      <c r="V31" s="46">
        <f t="shared" si="6"/>
        <v>15</v>
      </c>
      <c r="W31" s="30">
        <f t="shared" si="9"/>
        <v>27</v>
      </c>
    </row>
    <row r="32">
      <c r="A32" s="30">
        <f t="shared" si="7"/>
        <v>28</v>
      </c>
      <c r="B32" s="43" t="s">
        <v>122</v>
      </c>
      <c r="C32" s="100">
        <v>87.0</v>
      </c>
      <c r="D32" s="100">
        <v>7.0</v>
      </c>
      <c r="E32" s="36">
        <f t="shared" si="2"/>
        <v>12</v>
      </c>
      <c r="F32" s="73">
        <v>1.0</v>
      </c>
      <c r="G32" s="74">
        <v>4.0</v>
      </c>
      <c r="H32" s="75">
        <v>0.0</v>
      </c>
      <c r="I32" s="74">
        <v>6.0</v>
      </c>
      <c r="J32" s="74">
        <v>1.0</v>
      </c>
      <c r="K32" s="74">
        <v>4.0</v>
      </c>
      <c r="L32" s="76">
        <v>11.0</v>
      </c>
      <c r="M32" s="74">
        <v>1.0</v>
      </c>
      <c r="N32" s="31">
        <f t="shared" ref="N32:O32" si="34">C32+L32</f>
        <v>98</v>
      </c>
      <c r="O32" s="31">
        <f t="shared" si="34"/>
        <v>8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3</v>
      </c>
      <c r="V32" s="46">
        <f t="shared" si="6"/>
        <v>-8</v>
      </c>
      <c r="W32" s="30">
        <f t="shared" si="9"/>
        <v>28</v>
      </c>
    </row>
    <row r="33">
      <c r="A33" s="30">
        <f t="shared" si="7"/>
        <v>29</v>
      </c>
      <c r="B33" s="28" t="s">
        <v>104</v>
      </c>
      <c r="C33" s="100">
        <v>87.0</v>
      </c>
      <c r="D33" s="100">
        <v>7.0</v>
      </c>
      <c r="E33" s="36">
        <f t="shared" si="2"/>
        <v>10.83333333</v>
      </c>
      <c r="F33" s="73">
        <v>1.0</v>
      </c>
      <c r="G33" s="74">
        <v>4.0</v>
      </c>
      <c r="H33" s="75">
        <v>0.0</v>
      </c>
      <c r="I33" s="74">
        <v>6.0</v>
      </c>
      <c r="J33" s="74">
        <v>6.0</v>
      </c>
      <c r="K33" s="74">
        <v>6.0</v>
      </c>
      <c r="L33" s="76">
        <v>18.0</v>
      </c>
      <c r="M33" s="74">
        <v>3.0</v>
      </c>
      <c r="N33" s="31">
        <f t="shared" ref="N33:O33" si="35">C33+L33</f>
        <v>105</v>
      </c>
      <c r="O33" s="31">
        <f t="shared" si="35"/>
        <v>10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1</v>
      </c>
      <c r="V33" s="46">
        <f t="shared" si="6"/>
        <v>-12</v>
      </c>
      <c r="W33" s="30">
        <f t="shared" si="9"/>
        <v>29</v>
      </c>
    </row>
    <row r="34">
      <c r="A34" s="30">
        <f t="shared" si="7"/>
        <v>30</v>
      </c>
      <c r="B34" s="43" t="s">
        <v>107</v>
      </c>
      <c r="C34" s="100">
        <v>87.0</v>
      </c>
      <c r="D34" s="100">
        <v>3.0</v>
      </c>
      <c r="E34" s="36">
        <f t="shared" si="2"/>
        <v>10.83333333</v>
      </c>
      <c r="F34" s="73">
        <v>1.0</v>
      </c>
      <c r="G34" s="74">
        <v>4.0</v>
      </c>
      <c r="H34" s="75">
        <v>0.0</v>
      </c>
      <c r="I34" s="74">
        <v>1.0</v>
      </c>
      <c r="J34" s="74">
        <v>6.0</v>
      </c>
      <c r="K34" s="74">
        <v>4.0</v>
      </c>
      <c r="L34" s="76">
        <v>11.0</v>
      </c>
      <c r="M34" s="74">
        <v>1.0</v>
      </c>
      <c r="N34" s="31">
        <f t="shared" ref="N34:O34" si="36">C34+L34</f>
        <v>98</v>
      </c>
      <c r="O34" s="31">
        <f t="shared" si="36"/>
        <v>4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1</v>
      </c>
      <c r="V34" s="46">
        <f t="shared" si="6"/>
        <v>0</v>
      </c>
      <c r="W34" s="30">
        <f t="shared" si="9"/>
        <v>30</v>
      </c>
    </row>
    <row r="35">
      <c r="A35" s="30">
        <f t="shared" si="7"/>
        <v>31</v>
      </c>
      <c r="B35" s="28" t="s">
        <v>127</v>
      </c>
      <c r="C35" s="100">
        <v>86.0</v>
      </c>
      <c r="D35" s="100">
        <v>4.0</v>
      </c>
      <c r="E35" s="36">
        <f t="shared" si="2"/>
        <v>14</v>
      </c>
      <c r="F35" s="73">
        <v>3.0</v>
      </c>
      <c r="G35" s="74">
        <v>0.0</v>
      </c>
      <c r="H35" s="75">
        <v>9.0</v>
      </c>
      <c r="I35" s="74">
        <v>0.0</v>
      </c>
      <c r="J35" s="74">
        <v>0.0</v>
      </c>
      <c r="K35" s="74">
        <v>0.0</v>
      </c>
      <c r="L35" s="76">
        <v>9.0</v>
      </c>
      <c r="M35" s="74">
        <v>0.0</v>
      </c>
      <c r="N35" s="31">
        <f t="shared" ref="N35:O35" si="37">C35+L35</f>
        <v>95</v>
      </c>
      <c r="O35" s="31">
        <f t="shared" si="37"/>
        <v>4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5</v>
      </c>
      <c r="V35" s="46">
        <f t="shared" si="6"/>
        <v>-7</v>
      </c>
      <c r="W35" s="30">
        <f t="shared" si="9"/>
        <v>31</v>
      </c>
    </row>
    <row r="36">
      <c r="A36" s="30">
        <f t="shared" si="7"/>
        <v>32</v>
      </c>
      <c r="B36" s="43" t="s">
        <v>133</v>
      </c>
      <c r="C36" s="100">
        <v>85.0</v>
      </c>
      <c r="D36" s="100">
        <v>6.0</v>
      </c>
      <c r="E36" s="36">
        <f t="shared" si="2"/>
        <v>10.85714286</v>
      </c>
      <c r="F36" s="73">
        <v>1.0</v>
      </c>
      <c r="G36" s="74">
        <v>4.0</v>
      </c>
      <c r="H36" s="75">
        <v>0.0</v>
      </c>
      <c r="I36" s="74">
        <v>1.0</v>
      </c>
      <c r="J36" s="74">
        <v>1.0</v>
      </c>
      <c r="K36" s="74">
        <v>6.0</v>
      </c>
      <c r="L36" s="76">
        <v>8.0</v>
      </c>
      <c r="M36" s="74">
        <v>1.0</v>
      </c>
      <c r="N36" s="31">
        <f t="shared" ref="N36:O36" si="38">C36+L36</f>
        <v>93</v>
      </c>
      <c r="O36" s="31">
        <f t="shared" si="38"/>
        <v>7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1</v>
      </c>
      <c r="V36" s="46">
        <f t="shared" si="6"/>
        <v>2</v>
      </c>
      <c r="W36" s="30">
        <f>W37+1</f>
        <v>33</v>
      </c>
    </row>
    <row r="37">
      <c r="A37" s="30">
        <f t="shared" si="7"/>
        <v>33</v>
      </c>
      <c r="B37" s="28" t="s">
        <v>102</v>
      </c>
      <c r="C37" s="100">
        <v>85.0</v>
      </c>
      <c r="D37" s="100">
        <v>6.0</v>
      </c>
      <c r="E37" s="36">
        <f t="shared" si="2"/>
        <v>12</v>
      </c>
      <c r="F37" s="73">
        <v>2.0</v>
      </c>
      <c r="G37" s="74">
        <v>5.0</v>
      </c>
      <c r="H37" s="75">
        <v>0.0</v>
      </c>
      <c r="I37" s="74">
        <v>6.0</v>
      </c>
      <c r="J37" s="74">
        <v>6.0</v>
      </c>
      <c r="K37" s="74">
        <v>6.0</v>
      </c>
      <c r="L37" s="76">
        <v>18.0</v>
      </c>
      <c r="M37" s="74">
        <v>3.0</v>
      </c>
      <c r="N37" s="31">
        <f t="shared" ref="N37:O37" si="39">C37+L37</f>
        <v>103</v>
      </c>
      <c r="O37" s="31">
        <f t="shared" si="39"/>
        <v>9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4</v>
      </c>
      <c r="V37" s="46">
        <f t="shared" si="6"/>
        <v>15</v>
      </c>
      <c r="W37" s="30">
        <f t="shared" ref="W37:W38" si="41">W35+1</f>
        <v>32</v>
      </c>
    </row>
    <row r="38">
      <c r="A38" s="30">
        <f t="shared" si="7"/>
        <v>34</v>
      </c>
      <c r="B38" s="28" t="s">
        <v>105</v>
      </c>
      <c r="C38" s="100">
        <v>85.0</v>
      </c>
      <c r="D38" s="100">
        <v>5.0</v>
      </c>
      <c r="E38" s="36">
        <f t="shared" si="2"/>
        <v>10.8</v>
      </c>
      <c r="F38" s="73">
        <v>2.0</v>
      </c>
      <c r="G38" s="74">
        <v>5.0</v>
      </c>
      <c r="H38" s="75">
        <v>0.0</v>
      </c>
      <c r="I38" s="74">
        <v>1.0</v>
      </c>
      <c r="J38" s="74">
        <v>2.0</v>
      </c>
      <c r="K38" s="74">
        <v>6.0</v>
      </c>
      <c r="L38" s="76">
        <v>9.0</v>
      </c>
      <c r="M38" s="74">
        <v>1.0</v>
      </c>
      <c r="N38" s="31">
        <f t="shared" ref="N38:O38" si="40">C38+L38</f>
        <v>94</v>
      </c>
      <c r="O38" s="31">
        <f t="shared" si="40"/>
        <v>6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2</v>
      </c>
      <c r="V38" s="46">
        <f t="shared" si="6"/>
        <v>4</v>
      </c>
      <c r="W38" s="30">
        <f t="shared" si="41"/>
        <v>34</v>
      </c>
    </row>
    <row r="39">
      <c r="A39" s="30">
        <f t="shared" si="7"/>
        <v>35</v>
      </c>
      <c r="B39" s="43" t="s">
        <v>90</v>
      </c>
      <c r="C39" s="100">
        <v>85.0</v>
      </c>
      <c r="D39" s="100">
        <v>4.0</v>
      </c>
      <c r="E39" s="36">
        <f t="shared" si="2"/>
        <v>9.333333333</v>
      </c>
      <c r="F39" s="73">
        <v>2.0</v>
      </c>
      <c r="G39" s="74">
        <v>5.0</v>
      </c>
      <c r="H39" s="75">
        <v>0.0</v>
      </c>
      <c r="I39" s="74">
        <v>1.0</v>
      </c>
      <c r="J39" s="74">
        <v>6.0</v>
      </c>
      <c r="K39" s="74">
        <v>0.0</v>
      </c>
      <c r="L39" s="76">
        <v>7.0</v>
      </c>
      <c r="M39" s="74">
        <v>1.0</v>
      </c>
      <c r="N39" s="31">
        <f t="shared" ref="N39:O39" si="42">C39+L39</f>
        <v>92</v>
      </c>
      <c r="O39" s="31">
        <f t="shared" si="42"/>
        <v>5</v>
      </c>
      <c r="P39" s="45" t="s">
        <v>58</v>
      </c>
      <c r="Q39" s="45" t="s">
        <v>58</v>
      </c>
      <c r="R39" s="45"/>
      <c r="S39" s="46">
        <f t="shared" si="4"/>
        <v>3</v>
      </c>
      <c r="T39" s="46"/>
      <c r="U39" s="46">
        <f t="shared" si="5"/>
        <v>2</v>
      </c>
      <c r="V39" s="46">
        <f t="shared" si="6"/>
        <v>-8</v>
      </c>
      <c r="W39" s="30">
        <f t="shared" ref="W39:W68" si="44">W38+1</f>
        <v>35</v>
      </c>
    </row>
    <row r="40">
      <c r="A40" s="30">
        <f t="shared" si="7"/>
        <v>36</v>
      </c>
      <c r="B40" s="28" t="s">
        <v>84</v>
      </c>
      <c r="C40" s="100">
        <v>84.0</v>
      </c>
      <c r="D40" s="100">
        <v>9.0</v>
      </c>
      <c r="E40" s="36">
        <f t="shared" si="2"/>
        <v>10.71428571</v>
      </c>
      <c r="F40" s="73">
        <v>1.0</v>
      </c>
      <c r="G40" s="74">
        <v>5.0</v>
      </c>
      <c r="H40" s="75">
        <v>0.0</v>
      </c>
      <c r="I40" s="74">
        <v>6.0</v>
      </c>
      <c r="J40" s="74">
        <v>2.0</v>
      </c>
      <c r="K40" s="74">
        <v>0.0</v>
      </c>
      <c r="L40" s="76">
        <v>8.0</v>
      </c>
      <c r="M40" s="74">
        <v>1.0</v>
      </c>
      <c r="N40" s="31">
        <f t="shared" ref="N40:O40" si="43">C40+L40</f>
        <v>92</v>
      </c>
      <c r="O40" s="31">
        <f t="shared" si="43"/>
        <v>10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</v>
      </c>
      <c r="V40" s="46">
        <f t="shared" si="6"/>
        <v>-8</v>
      </c>
      <c r="W40" s="30">
        <f t="shared" si="44"/>
        <v>36</v>
      </c>
    </row>
    <row r="41">
      <c r="A41" s="30">
        <f t="shared" si="7"/>
        <v>37</v>
      </c>
      <c r="B41" s="43" t="s">
        <v>132</v>
      </c>
      <c r="C41" s="100">
        <v>83.0</v>
      </c>
      <c r="D41" s="100">
        <v>9.0</v>
      </c>
      <c r="E41" s="36">
        <f t="shared" si="2"/>
        <v>10.375</v>
      </c>
      <c r="F41" s="73">
        <v>1.0</v>
      </c>
      <c r="G41" s="74">
        <v>6.0</v>
      </c>
      <c r="H41" s="75">
        <v>0.0</v>
      </c>
      <c r="I41" s="74">
        <v>4.0</v>
      </c>
      <c r="J41" s="74">
        <v>2.0</v>
      </c>
      <c r="K41" s="74">
        <v>1.0</v>
      </c>
      <c r="L41" s="76">
        <v>7.0</v>
      </c>
      <c r="M41" s="74">
        <v>0.0</v>
      </c>
      <c r="N41" s="31">
        <f t="shared" ref="N41:O41" si="45">C41+L41</f>
        <v>90</v>
      </c>
      <c r="O41" s="31">
        <f t="shared" si="45"/>
        <v>9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0</v>
      </c>
      <c r="V41" s="46">
        <f t="shared" si="6"/>
        <v>-2</v>
      </c>
      <c r="W41" s="30">
        <f t="shared" si="44"/>
        <v>37</v>
      </c>
    </row>
    <row r="42">
      <c r="A42" s="30">
        <f t="shared" si="7"/>
        <v>38</v>
      </c>
      <c r="B42" s="28" t="s">
        <v>119</v>
      </c>
      <c r="C42" s="100">
        <v>83.0</v>
      </c>
      <c r="D42" s="100">
        <v>8.0</v>
      </c>
      <c r="E42" s="36">
        <f t="shared" si="2"/>
        <v>10.4</v>
      </c>
      <c r="F42" s="73">
        <v>3.0</v>
      </c>
      <c r="G42" s="74">
        <v>0.0</v>
      </c>
      <c r="H42" s="75">
        <v>9.0</v>
      </c>
      <c r="I42" s="74">
        <v>0.0</v>
      </c>
      <c r="J42" s="74">
        <v>0.0</v>
      </c>
      <c r="K42" s="74">
        <v>0.0</v>
      </c>
      <c r="L42" s="76">
        <v>9.0</v>
      </c>
      <c r="M42" s="74">
        <v>0.0</v>
      </c>
      <c r="N42" s="31">
        <f t="shared" ref="N42:O42" si="46">C42+L42</f>
        <v>92</v>
      </c>
      <c r="O42" s="31">
        <f t="shared" si="46"/>
        <v>8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2</v>
      </c>
      <c r="V42" s="46">
        <f t="shared" si="6"/>
        <v>-7</v>
      </c>
      <c r="W42" s="30">
        <f t="shared" si="44"/>
        <v>38</v>
      </c>
    </row>
    <row r="43">
      <c r="A43" s="30">
        <f t="shared" si="7"/>
        <v>39</v>
      </c>
      <c r="B43" s="43" t="s">
        <v>62</v>
      </c>
      <c r="C43" s="100">
        <v>83.0</v>
      </c>
      <c r="D43" s="100">
        <v>6.0</v>
      </c>
      <c r="E43" s="36">
        <f t="shared" si="2"/>
        <v>11.2</v>
      </c>
      <c r="F43" s="73">
        <v>1.0</v>
      </c>
      <c r="G43" s="74">
        <v>6.0</v>
      </c>
      <c r="H43" s="75">
        <v>0.0</v>
      </c>
      <c r="I43" s="74">
        <v>6.0</v>
      </c>
      <c r="J43" s="74">
        <v>6.0</v>
      </c>
      <c r="K43" s="74">
        <v>1.0</v>
      </c>
      <c r="L43" s="76">
        <v>13.0</v>
      </c>
      <c r="M43" s="74">
        <v>2.0</v>
      </c>
      <c r="N43" s="31">
        <f t="shared" ref="N43:O43" si="47">C43+L43</f>
        <v>96</v>
      </c>
      <c r="O43" s="31">
        <f t="shared" si="47"/>
        <v>8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3</v>
      </c>
      <c r="V43" s="46">
        <f t="shared" si="6"/>
        <v>-10</v>
      </c>
      <c r="W43" s="30">
        <f t="shared" si="44"/>
        <v>39</v>
      </c>
    </row>
    <row r="44">
      <c r="A44" s="30">
        <f t="shared" si="7"/>
        <v>40</v>
      </c>
      <c r="B44" s="48" t="s">
        <v>134</v>
      </c>
      <c r="C44" s="100">
        <v>83.0</v>
      </c>
      <c r="D44" s="100">
        <v>6.0</v>
      </c>
      <c r="E44" s="36">
        <f t="shared" si="2"/>
        <v>10.75</v>
      </c>
      <c r="F44" s="73">
        <v>3.0</v>
      </c>
      <c r="G44" s="74">
        <v>0.0</v>
      </c>
      <c r="H44" s="75">
        <v>9.0</v>
      </c>
      <c r="I44" s="74">
        <v>0.0</v>
      </c>
      <c r="J44" s="74">
        <v>0.0</v>
      </c>
      <c r="K44" s="74">
        <v>0.0</v>
      </c>
      <c r="L44" s="76">
        <v>9.0</v>
      </c>
      <c r="M44" s="74">
        <v>0.0</v>
      </c>
      <c r="N44" s="31">
        <f t="shared" ref="N44:O44" si="48">C44+L44</f>
        <v>92</v>
      </c>
      <c r="O44" s="31">
        <f t="shared" si="48"/>
        <v>6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3</v>
      </c>
      <c r="V44" s="46">
        <f t="shared" si="6"/>
        <v>3</v>
      </c>
      <c r="W44" s="30">
        <f t="shared" si="44"/>
        <v>40</v>
      </c>
    </row>
    <row r="45">
      <c r="A45" s="30">
        <f t="shared" si="7"/>
        <v>41</v>
      </c>
      <c r="B45" s="48" t="s">
        <v>125</v>
      </c>
      <c r="C45" s="100">
        <v>82.0</v>
      </c>
      <c r="D45" s="100">
        <v>6.0</v>
      </c>
      <c r="E45" s="36">
        <f t="shared" si="2"/>
        <v>10.25</v>
      </c>
      <c r="F45" s="73">
        <v>1.0</v>
      </c>
      <c r="G45" s="74">
        <v>6.0</v>
      </c>
      <c r="H45" s="75">
        <v>0.0</v>
      </c>
      <c r="I45" s="74">
        <v>4.0</v>
      </c>
      <c r="J45" s="74">
        <v>6.0</v>
      </c>
      <c r="K45" s="74">
        <v>6.0</v>
      </c>
      <c r="L45" s="76">
        <v>16.0</v>
      </c>
      <c r="M45" s="74">
        <v>2.0</v>
      </c>
      <c r="N45" s="31">
        <f t="shared" ref="N45:O45" si="49">C45+L45</f>
        <v>98</v>
      </c>
      <c r="O45" s="31">
        <f t="shared" si="49"/>
        <v>8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0</v>
      </c>
      <c r="V45" s="46">
        <f t="shared" si="6"/>
        <v>-5</v>
      </c>
      <c r="W45" s="30">
        <f t="shared" si="44"/>
        <v>41</v>
      </c>
    </row>
    <row r="46">
      <c r="A46" s="30">
        <f t="shared" si="7"/>
        <v>42</v>
      </c>
      <c r="B46" s="43" t="s">
        <v>96</v>
      </c>
      <c r="C46" s="100">
        <v>82.0</v>
      </c>
      <c r="D46" s="100">
        <v>5.0</v>
      </c>
      <c r="E46" s="36">
        <f t="shared" si="2"/>
        <v>10</v>
      </c>
      <c r="F46" s="73">
        <v>3.0</v>
      </c>
      <c r="G46" s="74">
        <v>0.0</v>
      </c>
      <c r="H46" s="75">
        <v>9.0</v>
      </c>
      <c r="I46" s="74">
        <v>0.0</v>
      </c>
      <c r="J46" s="74">
        <v>0.0</v>
      </c>
      <c r="K46" s="74">
        <v>0.0</v>
      </c>
      <c r="L46" s="76">
        <v>9.0</v>
      </c>
      <c r="M46" s="74">
        <v>0.0</v>
      </c>
      <c r="N46" s="31">
        <f t="shared" ref="N46:O46" si="50">C46+L46</f>
        <v>91</v>
      </c>
      <c r="O46" s="31">
        <f t="shared" si="50"/>
        <v>5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1</v>
      </c>
      <c r="V46" s="46">
        <f t="shared" si="6"/>
        <v>-3</v>
      </c>
      <c r="W46" s="30">
        <f t="shared" si="44"/>
        <v>42</v>
      </c>
    </row>
    <row r="47">
      <c r="A47" s="30">
        <f t="shared" si="7"/>
        <v>43</v>
      </c>
      <c r="B47" s="43" t="s">
        <v>61</v>
      </c>
      <c r="C47" s="101">
        <v>79.0</v>
      </c>
      <c r="D47" s="100">
        <v>9.0</v>
      </c>
      <c r="E47" s="36">
        <f t="shared" si="2"/>
        <v>9.875</v>
      </c>
      <c r="F47" s="73">
        <v>1.0</v>
      </c>
      <c r="G47" s="74">
        <v>6.0</v>
      </c>
      <c r="H47" s="75">
        <v>0.0</v>
      </c>
      <c r="I47" s="74">
        <v>6.0</v>
      </c>
      <c r="J47" s="74">
        <v>2.0</v>
      </c>
      <c r="K47" s="74">
        <v>6.0</v>
      </c>
      <c r="L47" s="76">
        <v>14.0</v>
      </c>
      <c r="M47" s="74">
        <v>2.0</v>
      </c>
      <c r="N47" s="47">
        <f t="shared" ref="N47:O47" si="51">C47+L47</f>
        <v>93</v>
      </c>
      <c r="O47" s="31">
        <f t="shared" si="51"/>
        <v>11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0</v>
      </c>
      <c r="V47" s="46">
        <f t="shared" si="6"/>
        <v>-3</v>
      </c>
      <c r="W47" s="30">
        <f t="shared" si="44"/>
        <v>43</v>
      </c>
    </row>
    <row r="48">
      <c r="A48" s="30">
        <f t="shared" si="7"/>
        <v>44</v>
      </c>
      <c r="B48" s="28" t="s">
        <v>49</v>
      </c>
      <c r="C48" s="100">
        <v>79.0</v>
      </c>
      <c r="D48" s="100">
        <v>6.0</v>
      </c>
      <c r="E48" s="36">
        <f t="shared" si="2"/>
        <v>9.428571429</v>
      </c>
      <c r="F48" s="73">
        <v>1.0</v>
      </c>
      <c r="G48" s="74">
        <v>7.0</v>
      </c>
      <c r="H48" s="75">
        <v>0.0</v>
      </c>
      <c r="I48" s="74">
        <v>6.0</v>
      </c>
      <c r="J48" s="74">
        <v>6.0</v>
      </c>
      <c r="K48" s="74">
        <v>2.0</v>
      </c>
      <c r="L48" s="76">
        <v>14.0</v>
      </c>
      <c r="M48" s="74">
        <v>2.0</v>
      </c>
      <c r="N48" s="31">
        <f t="shared" ref="N48:O48" si="52">C48+L48</f>
        <v>93</v>
      </c>
      <c r="O48" s="31">
        <f t="shared" si="52"/>
        <v>8</v>
      </c>
      <c r="P48" s="45" t="s">
        <v>58</v>
      </c>
      <c r="Q48" s="45" t="s">
        <v>58</v>
      </c>
      <c r="R48" s="45" t="s">
        <v>58</v>
      </c>
      <c r="S48" s="46">
        <f t="shared" si="4"/>
        <v>1</v>
      </c>
      <c r="T48" s="46"/>
      <c r="U48" s="46">
        <f t="shared" si="5"/>
        <v>0</v>
      </c>
      <c r="V48" s="46">
        <f t="shared" si="6"/>
        <v>0</v>
      </c>
      <c r="W48" s="30">
        <f t="shared" si="44"/>
        <v>44</v>
      </c>
    </row>
    <row r="49">
      <c r="A49" s="30">
        <f t="shared" si="7"/>
        <v>45</v>
      </c>
      <c r="B49" s="48" t="s">
        <v>70</v>
      </c>
      <c r="C49" s="100">
        <v>79.0</v>
      </c>
      <c r="D49" s="100">
        <v>5.0</v>
      </c>
      <c r="E49" s="36">
        <f t="shared" si="2"/>
        <v>9.428571429</v>
      </c>
      <c r="F49" s="73">
        <v>1.0</v>
      </c>
      <c r="G49" s="74">
        <v>7.0</v>
      </c>
      <c r="H49" s="75">
        <v>0.0</v>
      </c>
      <c r="I49" s="74">
        <v>2.0</v>
      </c>
      <c r="J49" s="74">
        <v>4.0</v>
      </c>
      <c r="K49" s="74">
        <v>2.0</v>
      </c>
      <c r="L49" s="76">
        <v>8.0</v>
      </c>
      <c r="M49" s="74">
        <v>0.0</v>
      </c>
      <c r="N49" s="31">
        <f t="shared" ref="N49:O49" si="53">C49+L49</f>
        <v>87</v>
      </c>
      <c r="O49" s="31">
        <f t="shared" si="53"/>
        <v>5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0</v>
      </c>
      <c r="V49" s="46">
        <f t="shared" si="6"/>
        <v>1</v>
      </c>
      <c r="W49" s="30">
        <f t="shared" si="44"/>
        <v>45</v>
      </c>
    </row>
    <row r="50">
      <c r="A50" s="30">
        <f t="shared" si="7"/>
        <v>46</v>
      </c>
      <c r="B50" s="43" t="s">
        <v>79</v>
      </c>
      <c r="C50" s="100">
        <v>79.0</v>
      </c>
      <c r="D50" s="100">
        <v>4.0</v>
      </c>
      <c r="E50" s="36">
        <f t="shared" si="2"/>
        <v>10.16666667</v>
      </c>
      <c r="F50" s="73">
        <v>3.0</v>
      </c>
      <c r="G50" s="74">
        <v>0.0</v>
      </c>
      <c r="H50" s="75">
        <v>9.0</v>
      </c>
      <c r="I50" s="74">
        <v>0.0</v>
      </c>
      <c r="J50" s="74">
        <v>0.0</v>
      </c>
      <c r="K50" s="74">
        <v>0.0</v>
      </c>
      <c r="L50" s="76">
        <v>9.0</v>
      </c>
      <c r="M50" s="74">
        <v>0.0</v>
      </c>
      <c r="N50" s="31">
        <f t="shared" ref="N50:O50" si="54">C50+L50</f>
        <v>88</v>
      </c>
      <c r="O50" s="31">
        <f t="shared" si="54"/>
        <v>4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2</v>
      </c>
      <c r="V50" s="46">
        <f t="shared" si="6"/>
        <v>-9</v>
      </c>
      <c r="W50" s="30">
        <f t="shared" si="44"/>
        <v>46</v>
      </c>
    </row>
    <row r="51">
      <c r="A51" s="30">
        <f t="shared" si="7"/>
        <v>47</v>
      </c>
      <c r="B51" s="43" t="s">
        <v>140</v>
      </c>
      <c r="C51" s="100">
        <v>77.0</v>
      </c>
      <c r="D51" s="100">
        <v>6.0</v>
      </c>
      <c r="E51" s="36">
        <f t="shared" si="2"/>
        <v>9.2</v>
      </c>
      <c r="F51" s="73">
        <v>1.0</v>
      </c>
      <c r="G51" s="74">
        <v>7.0</v>
      </c>
      <c r="H51" s="75">
        <v>0.0</v>
      </c>
      <c r="I51" s="74">
        <v>2.0</v>
      </c>
      <c r="J51" s="74">
        <v>6.0</v>
      </c>
      <c r="K51" s="74">
        <v>6.0</v>
      </c>
      <c r="L51" s="76">
        <v>14.0</v>
      </c>
      <c r="M51" s="74">
        <v>2.0</v>
      </c>
      <c r="N51" s="31">
        <f t="shared" ref="N51:O51" si="55">C51+L51</f>
        <v>91</v>
      </c>
      <c r="O51" s="31">
        <f t="shared" si="55"/>
        <v>8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2</v>
      </c>
      <c r="V51" s="46">
        <f t="shared" si="6"/>
        <v>3</v>
      </c>
      <c r="W51" s="30">
        <f t="shared" si="44"/>
        <v>47</v>
      </c>
    </row>
    <row r="52">
      <c r="A52" s="30">
        <f t="shared" si="7"/>
        <v>48</v>
      </c>
      <c r="B52" s="48" t="s">
        <v>54</v>
      </c>
      <c r="C52" s="100">
        <v>77.0</v>
      </c>
      <c r="D52" s="100">
        <v>6.0</v>
      </c>
      <c r="E52" s="36">
        <f t="shared" si="2"/>
        <v>9.166666667</v>
      </c>
      <c r="F52" s="73">
        <v>3.0</v>
      </c>
      <c r="G52" s="74">
        <v>0.0</v>
      </c>
      <c r="H52" s="75">
        <v>9.0</v>
      </c>
      <c r="I52" s="74">
        <v>0.0</v>
      </c>
      <c r="J52" s="74">
        <v>0.0</v>
      </c>
      <c r="K52" s="74">
        <v>0.0</v>
      </c>
      <c r="L52" s="76">
        <v>9.0</v>
      </c>
      <c r="M52" s="74">
        <v>0.0</v>
      </c>
      <c r="N52" s="31">
        <f t="shared" ref="N52:O52" si="56">C52+L52</f>
        <v>86</v>
      </c>
      <c r="O52" s="31">
        <f t="shared" si="56"/>
        <v>6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1</v>
      </c>
      <c r="V52" s="46">
        <f t="shared" si="6"/>
        <v>-1</v>
      </c>
      <c r="W52" s="30">
        <f t="shared" si="44"/>
        <v>48</v>
      </c>
    </row>
    <row r="53">
      <c r="A53" s="30">
        <f t="shared" si="7"/>
        <v>49</v>
      </c>
      <c r="B53" s="43" t="s">
        <v>99</v>
      </c>
      <c r="C53" s="100">
        <v>77.0</v>
      </c>
      <c r="D53" s="100">
        <v>4.0</v>
      </c>
      <c r="E53" s="36">
        <f t="shared" si="2"/>
        <v>10.66666667</v>
      </c>
      <c r="F53" s="73">
        <v>3.0</v>
      </c>
      <c r="G53" s="74">
        <v>0.0</v>
      </c>
      <c r="H53" s="75">
        <v>9.0</v>
      </c>
      <c r="I53" s="74">
        <v>0.0</v>
      </c>
      <c r="J53" s="74">
        <v>0.0</v>
      </c>
      <c r="K53" s="74">
        <v>0.0</v>
      </c>
      <c r="L53" s="76">
        <v>9.0</v>
      </c>
      <c r="M53" s="74">
        <v>0.0</v>
      </c>
      <c r="N53" s="31">
        <f t="shared" ref="N53:O53" si="57">C53+L53</f>
        <v>86</v>
      </c>
      <c r="O53" s="31">
        <f t="shared" si="57"/>
        <v>4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5</v>
      </c>
      <c r="V53" s="46">
        <f t="shared" si="6"/>
        <v>-4</v>
      </c>
      <c r="W53" s="30">
        <f t="shared" si="44"/>
        <v>49</v>
      </c>
    </row>
    <row r="54">
      <c r="A54" s="30">
        <f t="shared" si="7"/>
        <v>50</v>
      </c>
      <c r="B54" s="28" t="s">
        <v>93</v>
      </c>
      <c r="C54" s="100">
        <v>74.0</v>
      </c>
      <c r="D54" s="100">
        <v>4.0</v>
      </c>
      <c r="E54" s="36">
        <f t="shared" si="2"/>
        <v>9.5</v>
      </c>
      <c r="F54" s="73">
        <v>1.0</v>
      </c>
      <c r="G54" s="74">
        <v>7.0</v>
      </c>
      <c r="H54" s="75">
        <v>0.0</v>
      </c>
      <c r="I54" s="74">
        <v>6.0</v>
      </c>
      <c r="J54" s="74">
        <v>4.0</v>
      </c>
      <c r="K54" s="74">
        <v>6.0</v>
      </c>
      <c r="L54" s="76">
        <v>16.0</v>
      </c>
      <c r="M54" s="74">
        <v>2.0</v>
      </c>
      <c r="N54" s="31">
        <f t="shared" ref="N54:O54" si="58">C54+L54</f>
        <v>90</v>
      </c>
      <c r="O54" s="31">
        <f t="shared" si="58"/>
        <v>6</v>
      </c>
      <c r="P54" s="45" t="s">
        <v>58</v>
      </c>
      <c r="Q54" s="45" t="s">
        <v>58</v>
      </c>
      <c r="R54" s="45"/>
      <c r="S54" s="46">
        <f t="shared" si="4"/>
        <v>0</v>
      </c>
      <c r="T54" s="46"/>
      <c r="U54" s="46">
        <f t="shared" si="5"/>
        <v>4</v>
      </c>
      <c r="V54" s="46">
        <f t="shared" si="6"/>
        <v>-1</v>
      </c>
      <c r="W54" s="30">
        <f t="shared" si="44"/>
        <v>50</v>
      </c>
    </row>
    <row r="55">
      <c r="A55" s="30">
        <f t="shared" si="7"/>
        <v>51</v>
      </c>
      <c r="B55" s="43" t="s">
        <v>136</v>
      </c>
      <c r="C55" s="100">
        <v>72.0</v>
      </c>
      <c r="D55" s="100">
        <v>7.0</v>
      </c>
      <c r="E55" s="36">
        <f t="shared" si="2"/>
        <v>9</v>
      </c>
      <c r="F55" s="73">
        <v>1.0</v>
      </c>
      <c r="G55" s="74">
        <v>8.0</v>
      </c>
      <c r="H55" s="75">
        <v>0.0</v>
      </c>
      <c r="I55" s="74">
        <v>7.0</v>
      </c>
      <c r="J55" s="74">
        <v>6.0</v>
      </c>
      <c r="K55" s="74">
        <v>6.0</v>
      </c>
      <c r="L55" s="76">
        <v>19.0</v>
      </c>
      <c r="M55" s="74">
        <v>3.0</v>
      </c>
      <c r="N55" s="31">
        <f t="shared" ref="N55:O55" si="59">C55+L55</f>
        <v>91</v>
      </c>
      <c r="O55" s="31">
        <f t="shared" si="59"/>
        <v>10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1</v>
      </c>
      <c r="V55" s="46">
        <f t="shared" si="6"/>
        <v>1</v>
      </c>
      <c r="W55" s="30">
        <f t="shared" si="44"/>
        <v>51</v>
      </c>
    </row>
    <row r="56">
      <c r="A56" s="30">
        <f t="shared" si="7"/>
        <v>52</v>
      </c>
      <c r="B56" s="48" t="s">
        <v>103</v>
      </c>
      <c r="C56" s="100">
        <v>71.0</v>
      </c>
      <c r="D56" s="100">
        <v>5.0</v>
      </c>
      <c r="E56" s="36">
        <f t="shared" si="2"/>
        <v>8.75</v>
      </c>
      <c r="F56" s="73">
        <v>1.0</v>
      </c>
      <c r="G56" s="74">
        <v>8.0</v>
      </c>
      <c r="H56" s="75">
        <v>0.0</v>
      </c>
      <c r="I56" s="74">
        <v>6.0</v>
      </c>
      <c r="J56" s="74">
        <v>6.0</v>
      </c>
      <c r="K56" s="74">
        <v>1.0</v>
      </c>
      <c r="L56" s="76">
        <v>13.0</v>
      </c>
      <c r="M56" s="74">
        <v>1.0</v>
      </c>
      <c r="N56" s="31">
        <f t="shared" ref="N56:O56" si="60">C56+L56</f>
        <v>84</v>
      </c>
      <c r="O56" s="31">
        <f t="shared" si="60"/>
        <v>6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4</v>
      </c>
      <c r="V56" s="46">
        <f t="shared" si="6"/>
        <v>5</v>
      </c>
      <c r="W56" s="30">
        <f t="shared" si="44"/>
        <v>52</v>
      </c>
    </row>
    <row r="57">
      <c r="A57" s="30">
        <f t="shared" si="7"/>
        <v>53</v>
      </c>
      <c r="B57" s="43" t="s">
        <v>131</v>
      </c>
      <c r="C57" s="100">
        <v>71.0</v>
      </c>
      <c r="D57" s="100">
        <v>1.0</v>
      </c>
      <c r="E57" s="36">
        <f t="shared" si="2"/>
        <v>8.5</v>
      </c>
      <c r="F57" s="73">
        <v>3.0</v>
      </c>
      <c r="G57" s="74">
        <v>0.0</v>
      </c>
      <c r="H57" s="75">
        <v>9.0</v>
      </c>
      <c r="I57" s="74">
        <v>0.0</v>
      </c>
      <c r="J57" s="74">
        <v>0.0</v>
      </c>
      <c r="K57" s="74">
        <v>0.0</v>
      </c>
      <c r="L57" s="76">
        <v>9.0</v>
      </c>
      <c r="M57" s="74">
        <v>0.0</v>
      </c>
      <c r="N57" s="31">
        <f t="shared" ref="N57:O57" si="61">C57+L57</f>
        <v>80</v>
      </c>
      <c r="O57" s="31">
        <f t="shared" si="61"/>
        <v>1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6</v>
      </c>
      <c r="V57" s="46">
        <f t="shared" si="6"/>
        <v>-2</v>
      </c>
      <c r="W57" s="30">
        <f t="shared" si="44"/>
        <v>53</v>
      </c>
    </row>
    <row r="58">
      <c r="A58" s="30">
        <f t="shared" si="7"/>
        <v>54</v>
      </c>
      <c r="B58" s="43" t="s">
        <v>142</v>
      </c>
      <c r="C58" s="101">
        <v>69.0</v>
      </c>
      <c r="D58" s="100">
        <v>4.0</v>
      </c>
      <c r="E58" s="36">
        <f t="shared" si="2"/>
        <v>8</v>
      </c>
      <c r="F58" s="73">
        <v>3.0</v>
      </c>
      <c r="G58" s="74">
        <v>0.0</v>
      </c>
      <c r="H58" s="75">
        <v>9.0</v>
      </c>
      <c r="I58" s="74">
        <v>0.0</v>
      </c>
      <c r="J58" s="74">
        <v>0.0</v>
      </c>
      <c r="K58" s="74">
        <v>0.0</v>
      </c>
      <c r="L58" s="76">
        <v>9.0</v>
      </c>
      <c r="M58" s="74">
        <v>0.0</v>
      </c>
      <c r="N58" s="47">
        <f t="shared" ref="N58:O58" si="62">C58+L58</f>
        <v>78</v>
      </c>
      <c r="O58" s="31">
        <f t="shared" si="62"/>
        <v>4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5</v>
      </c>
      <c r="V58" s="46">
        <f t="shared" si="6"/>
        <v>8</v>
      </c>
      <c r="W58" s="30">
        <f t="shared" si="44"/>
        <v>54</v>
      </c>
    </row>
    <row r="59">
      <c r="A59" s="30">
        <f t="shared" si="7"/>
        <v>55</v>
      </c>
      <c r="B59" s="28" t="s">
        <v>80</v>
      </c>
      <c r="C59" s="100">
        <v>67.0</v>
      </c>
      <c r="D59" s="100">
        <v>0.0</v>
      </c>
      <c r="E59" s="36">
        <f t="shared" si="2"/>
        <v>0</v>
      </c>
      <c r="F59" s="73">
        <v>3.0</v>
      </c>
      <c r="G59" s="74">
        <v>0.0</v>
      </c>
      <c r="H59" s="75">
        <v>9.0</v>
      </c>
      <c r="I59" s="74">
        <v>0.0</v>
      </c>
      <c r="J59" s="74">
        <v>0.0</v>
      </c>
      <c r="K59" s="74">
        <v>0.0</v>
      </c>
      <c r="L59" s="76">
        <v>9.0</v>
      </c>
      <c r="M59" s="74">
        <v>0.0</v>
      </c>
      <c r="N59" s="31">
        <f t="shared" ref="N59:O59" si="63">C59+L59</f>
        <v>76</v>
      </c>
      <c r="O59" s="31">
        <f t="shared" si="63"/>
        <v>0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7</v>
      </c>
      <c r="V59" s="46">
        <f t="shared" si="6"/>
        <v>-2</v>
      </c>
      <c r="W59" s="30">
        <f t="shared" si="44"/>
        <v>55</v>
      </c>
    </row>
    <row r="60">
      <c r="A60" s="30">
        <f t="shared" si="7"/>
        <v>56</v>
      </c>
      <c r="B60" s="28" t="s">
        <v>72</v>
      </c>
      <c r="C60" s="100">
        <v>67.0</v>
      </c>
      <c r="D60" s="100">
        <v>0.0</v>
      </c>
      <c r="E60" s="36">
        <f t="shared" si="2"/>
        <v>0</v>
      </c>
      <c r="F60" s="73">
        <v>3.0</v>
      </c>
      <c r="G60" s="74">
        <v>0.0</v>
      </c>
      <c r="H60" s="75">
        <v>9.0</v>
      </c>
      <c r="I60" s="74">
        <v>0.0</v>
      </c>
      <c r="J60" s="74">
        <v>0.0</v>
      </c>
      <c r="K60" s="74">
        <v>0.0</v>
      </c>
      <c r="L60" s="76">
        <v>9.0</v>
      </c>
      <c r="M60" s="74">
        <v>0.0</v>
      </c>
      <c r="N60" s="31">
        <f t="shared" ref="N60:O60" si="64">C60+L60</f>
        <v>76</v>
      </c>
      <c r="O60" s="31">
        <f t="shared" si="64"/>
        <v>0</v>
      </c>
      <c r="P60" s="45" t="s">
        <v>58</v>
      </c>
      <c r="Q60" s="45" t="s">
        <v>58</v>
      </c>
      <c r="R60" s="45"/>
      <c r="S60" s="46">
        <f t="shared" si="4"/>
        <v>1</v>
      </c>
      <c r="T60" s="46"/>
      <c r="U60" s="46">
        <f t="shared" si="5"/>
        <v>7</v>
      </c>
      <c r="V60" s="46">
        <f t="shared" si="6"/>
        <v>-2</v>
      </c>
      <c r="W60" s="30">
        <f t="shared" si="44"/>
        <v>56</v>
      </c>
    </row>
    <row r="61">
      <c r="A61" s="30">
        <f t="shared" si="7"/>
        <v>57</v>
      </c>
      <c r="B61" s="43" t="s">
        <v>138</v>
      </c>
      <c r="C61" s="101">
        <v>66.0</v>
      </c>
      <c r="D61" s="100">
        <v>6.0</v>
      </c>
      <c r="E61" s="36">
        <f t="shared" si="2"/>
        <v>7.8</v>
      </c>
      <c r="F61" s="73">
        <v>3.0</v>
      </c>
      <c r="G61" s="74">
        <v>0.0</v>
      </c>
      <c r="H61" s="75">
        <v>9.0</v>
      </c>
      <c r="I61" s="74">
        <v>0.0</v>
      </c>
      <c r="J61" s="74">
        <v>0.0</v>
      </c>
      <c r="K61" s="74">
        <v>0.0</v>
      </c>
      <c r="L61" s="76">
        <v>9.0</v>
      </c>
      <c r="M61" s="74">
        <v>0.0</v>
      </c>
      <c r="N61" s="47">
        <f t="shared" ref="N61:O61" si="65">C61+L61</f>
        <v>75</v>
      </c>
      <c r="O61" s="31">
        <f t="shared" si="65"/>
        <v>6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3</v>
      </c>
      <c r="V61" s="46">
        <f t="shared" si="6"/>
        <v>-1</v>
      </c>
      <c r="W61" s="30">
        <f t="shared" si="44"/>
        <v>57</v>
      </c>
    </row>
    <row r="62">
      <c r="A62" s="30">
        <f t="shared" si="7"/>
        <v>58</v>
      </c>
      <c r="B62" s="28" t="s">
        <v>141</v>
      </c>
      <c r="C62" s="100">
        <v>66.0</v>
      </c>
      <c r="D62" s="100">
        <v>1.0</v>
      </c>
      <c r="E62" s="36">
        <f t="shared" si="2"/>
        <v>-1</v>
      </c>
      <c r="F62" s="73">
        <v>3.0</v>
      </c>
      <c r="G62" s="74">
        <v>0.0</v>
      </c>
      <c r="H62" s="75">
        <v>9.0</v>
      </c>
      <c r="I62" s="74">
        <v>0.0</v>
      </c>
      <c r="J62" s="74">
        <v>0.0</v>
      </c>
      <c r="K62" s="74">
        <v>0.0</v>
      </c>
      <c r="L62" s="76">
        <v>9.0</v>
      </c>
      <c r="M62" s="74">
        <v>0.0</v>
      </c>
      <c r="N62" s="31">
        <f t="shared" ref="N62:O62" si="66">C62+L62</f>
        <v>75</v>
      </c>
      <c r="O62" s="31">
        <f t="shared" si="66"/>
        <v>1</v>
      </c>
      <c r="P62" s="45" t="s">
        <v>58</v>
      </c>
      <c r="Q62" s="45" t="s">
        <v>58</v>
      </c>
      <c r="R62" s="45"/>
      <c r="S62" s="46">
        <f t="shared" si="4"/>
        <v>1</v>
      </c>
      <c r="T62" s="46"/>
      <c r="U62" s="46">
        <f t="shared" si="5"/>
        <v>6</v>
      </c>
      <c r="V62" s="46">
        <f t="shared" si="6"/>
        <v>-3</v>
      </c>
      <c r="W62" s="30">
        <f t="shared" si="44"/>
        <v>58</v>
      </c>
    </row>
    <row r="63">
      <c r="A63" s="30">
        <f t="shared" si="7"/>
        <v>59</v>
      </c>
      <c r="B63" s="43" t="s">
        <v>100</v>
      </c>
      <c r="C63" s="100">
        <v>64.0</v>
      </c>
      <c r="D63" s="100">
        <v>6.0</v>
      </c>
      <c r="E63" s="36">
        <f t="shared" si="2"/>
        <v>7.666666667</v>
      </c>
      <c r="F63" s="73">
        <v>1.0</v>
      </c>
      <c r="G63" s="74">
        <v>8.0</v>
      </c>
      <c r="H63" s="75">
        <v>0.0</v>
      </c>
      <c r="I63" s="74">
        <v>7.0</v>
      </c>
      <c r="J63" s="74">
        <v>2.0</v>
      </c>
      <c r="K63" s="74">
        <v>1.0</v>
      </c>
      <c r="L63" s="76">
        <v>10.0</v>
      </c>
      <c r="M63" s="74">
        <v>1.0</v>
      </c>
      <c r="N63" s="31">
        <f t="shared" ref="N63:O63" si="67">C63+L63</f>
        <v>74</v>
      </c>
      <c r="O63" s="31">
        <f t="shared" si="67"/>
        <v>7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2</v>
      </c>
      <c r="V63" s="46">
        <f t="shared" si="6"/>
        <v>4</v>
      </c>
      <c r="W63" s="30">
        <f t="shared" si="44"/>
        <v>59</v>
      </c>
    </row>
    <row r="64">
      <c r="A64" s="30">
        <f t="shared" si="7"/>
        <v>60</v>
      </c>
      <c r="B64" s="43" t="s">
        <v>118</v>
      </c>
      <c r="C64" s="101">
        <v>63.0</v>
      </c>
      <c r="D64" s="100">
        <v>2.0</v>
      </c>
      <c r="E64" s="36">
        <f t="shared" si="2"/>
        <v>6</v>
      </c>
      <c r="F64" s="73">
        <v>3.0</v>
      </c>
      <c r="G64" s="74">
        <v>0.0</v>
      </c>
      <c r="H64" s="75">
        <v>9.0</v>
      </c>
      <c r="I64" s="74">
        <v>0.0</v>
      </c>
      <c r="J64" s="74">
        <v>0.0</v>
      </c>
      <c r="K64" s="74">
        <v>0.0</v>
      </c>
      <c r="L64" s="76">
        <v>9.0</v>
      </c>
      <c r="M64" s="74">
        <v>0.0</v>
      </c>
      <c r="N64" s="47">
        <f t="shared" ref="N64:O64" si="68">C64+L64</f>
        <v>72</v>
      </c>
      <c r="O64" s="31">
        <f t="shared" si="68"/>
        <v>2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5</v>
      </c>
      <c r="V64" s="46">
        <f t="shared" si="6"/>
        <v>-2</v>
      </c>
      <c r="W64" s="30">
        <f t="shared" si="44"/>
        <v>60</v>
      </c>
    </row>
    <row r="65">
      <c r="A65" s="30">
        <f t="shared" si="7"/>
        <v>61</v>
      </c>
      <c r="B65" s="43" t="s">
        <v>76</v>
      </c>
      <c r="C65" s="100">
        <v>63.0</v>
      </c>
      <c r="D65" s="100">
        <v>0.0</v>
      </c>
      <c r="E65" s="36">
        <f t="shared" si="2"/>
        <v>0</v>
      </c>
      <c r="F65" s="73">
        <v>3.0</v>
      </c>
      <c r="G65" s="74">
        <v>0.0</v>
      </c>
      <c r="H65" s="75">
        <v>9.0</v>
      </c>
      <c r="I65" s="74">
        <v>0.0</v>
      </c>
      <c r="J65" s="74">
        <v>0.0</v>
      </c>
      <c r="K65" s="74">
        <v>0.0</v>
      </c>
      <c r="L65" s="76">
        <v>9.0</v>
      </c>
      <c r="M65" s="74">
        <v>0.0</v>
      </c>
      <c r="N65" s="31">
        <f t="shared" ref="N65:O65" si="69">C65+L65</f>
        <v>72</v>
      </c>
      <c r="O65" s="31">
        <f t="shared" si="69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8</v>
      </c>
      <c r="V65" s="46">
        <f t="shared" si="6"/>
        <v>-2</v>
      </c>
      <c r="W65" s="30">
        <f t="shared" si="44"/>
        <v>61</v>
      </c>
    </row>
    <row r="66">
      <c r="A66" s="30">
        <f t="shared" si="7"/>
        <v>62</v>
      </c>
      <c r="B66" s="43" t="s">
        <v>126</v>
      </c>
      <c r="C66" s="100">
        <v>63.0</v>
      </c>
      <c r="D66" s="100">
        <v>0.0</v>
      </c>
      <c r="E66" s="36">
        <f t="shared" si="2"/>
        <v>0</v>
      </c>
      <c r="F66" s="73">
        <v>3.0</v>
      </c>
      <c r="G66" s="74">
        <v>0.0</v>
      </c>
      <c r="H66" s="75">
        <v>9.0</v>
      </c>
      <c r="I66" s="74">
        <v>0.0</v>
      </c>
      <c r="J66" s="74">
        <v>0.0</v>
      </c>
      <c r="K66" s="74">
        <v>0.0</v>
      </c>
      <c r="L66" s="76">
        <v>9.0</v>
      </c>
      <c r="M66" s="74">
        <v>0.0</v>
      </c>
      <c r="N66" s="31">
        <f t="shared" ref="N66:O66" si="70">C66+L66</f>
        <v>72</v>
      </c>
      <c r="O66" s="31">
        <f t="shared" si="70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8</v>
      </c>
      <c r="V66" s="46">
        <f t="shared" si="6"/>
        <v>-2</v>
      </c>
      <c r="W66" s="30">
        <f t="shared" si="44"/>
        <v>62</v>
      </c>
    </row>
    <row r="67">
      <c r="A67" s="30">
        <f t="shared" si="7"/>
        <v>63</v>
      </c>
      <c r="B67" s="48" t="s">
        <v>139</v>
      </c>
      <c r="C67" s="100">
        <v>63.0</v>
      </c>
      <c r="D67" s="100">
        <v>0.0</v>
      </c>
      <c r="E67" s="36">
        <f t="shared" si="2"/>
        <v>0</v>
      </c>
      <c r="F67" s="73">
        <v>1.0</v>
      </c>
      <c r="G67" s="74">
        <v>8.0</v>
      </c>
      <c r="H67" s="75">
        <v>0.0</v>
      </c>
      <c r="I67" s="74">
        <v>6.0</v>
      </c>
      <c r="J67" s="74">
        <v>2.0</v>
      </c>
      <c r="K67" s="74">
        <v>6.0</v>
      </c>
      <c r="L67" s="76">
        <v>14.0</v>
      </c>
      <c r="M67" s="74">
        <v>1.0</v>
      </c>
      <c r="N67" s="31">
        <f t="shared" ref="N67:O67" si="71">C67+L67</f>
        <v>77</v>
      </c>
      <c r="O67" s="31">
        <f t="shared" si="71"/>
        <v>1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7</v>
      </c>
      <c r="V67" s="46">
        <f t="shared" si="6"/>
        <v>-2</v>
      </c>
      <c r="W67" s="30">
        <f t="shared" si="44"/>
        <v>63</v>
      </c>
    </row>
    <row r="68">
      <c r="A68" s="30">
        <f t="shared" si="7"/>
        <v>64</v>
      </c>
      <c r="B68" s="43" t="s">
        <v>135</v>
      </c>
      <c r="C68" s="100">
        <v>58.0</v>
      </c>
      <c r="D68" s="100">
        <v>1.0</v>
      </c>
      <c r="E68" s="36">
        <f t="shared" si="2"/>
        <v>4.333333333</v>
      </c>
      <c r="F68" s="73">
        <v>3.0</v>
      </c>
      <c r="G68" s="74">
        <v>0.0</v>
      </c>
      <c r="H68" s="75">
        <v>9.0</v>
      </c>
      <c r="I68" s="74">
        <v>0.0</v>
      </c>
      <c r="J68" s="74">
        <v>0.0</v>
      </c>
      <c r="K68" s="74">
        <v>0.0</v>
      </c>
      <c r="L68" s="76">
        <v>9.0</v>
      </c>
      <c r="M68" s="74">
        <v>0.0</v>
      </c>
      <c r="N68" s="31">
        <f t="shared" ref="N68:O68" si="72">C68+L68</f>
        <v>67</v>
      </c>
      <c r="O68" s="31">
        <f t="shared" si="72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5</v>
      </c>
      <c r="V68" s="46">
        <f t="shared" si="6"/>
        <v>0</v>
      </c>
      <c r="W68" s="30">
        <f t="shared" si="44"/>
        <v>64</v>
      </c>
    </row>
    <row r="69">
      <c r="A69" s="30">
        <f t="shared" si="7"/>
        <v>65</v>
      </c>
      <c r="B69" s="43" t="s">
        <v>78</v>
      </c>
      <c r="C69" s="101">
        <v>57.0</v>
      </c>
      <c r="D69" s="100">
        <v>1.0</v>
      </c>
      <c r="E69" s="36">
        <f t="shared" si="2"/>
        <v>5.25</v>
      </c>
      <c r="F69" s="73">
        <v>3.0</v>
      </c>
      <c r="G69" s="74">
        <v>0.0</v>
      </c>
      <c r="H69" s="75">
        <v>9.0</v>
      </c>
      <c r="I69" s="74">
        <v>0.0</v>
      </c>
      <c r="J69" s="74">
        <v>0.0</v>
      </c>
      <c r="K69" s="74">
        <v>0.0</v>
      </c>
      <c r="L69" s="76">
        <v>9.0</v>
      </c>
      <c r="M69" s="74">
        <v>0.0</v>
      </c>
      <c r="N69" s="47">
        <f t="shared" ref="N69:O69" si="73">C69+L69</f>
        <v>66</v>
      </c>
      <c r="O69" s="31">
        <f t="shared" si="73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4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desc"",0)"),"Lam Bui")</f>
        <v>Lam Bui</v>
      </c>
      <c r="C76" s="84">
        <f>IFERROR(__xludf.DUMMYFUNCTION("""COMPUTED_VALUE"""),20.0)</f>
        <v>20</v>
      </c>
      <c r="D76" s="84">
        <f>IFERROR(__xludf.DUMMYFUNCTION("""COMPUTED_VALUE"""),3.0)</f>
        <v>3</v>
      </c>
      <c r="E76" s="84">
        <f>IFERROR(__xludf.DUMMYFUNCTION("""COMPUTED_VALUE"""),9.0)</f>
        <v>9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IFERROR(__xludf.DUMMYFUNCTION("""COMPUTED_VALUE"""),"Sandy Weyant")</f>
        <v>Sandy Weyant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IFERROR(__xludf.DUMMYFUNCTION("""COMPUTED_VALUE"""),8.0)</f>
        <v>8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IFERROR(__xludf.DUMMYFUNCTION("""COMPUTED_VALUE"""),"James Phan")</f>
        <v>James Phan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IFERROR(__xludf.DUMMYFUNCTION("""COMPUTED_VALUE"""),2.0)</f>
        <v>2</v>
      </c>
      <c r="F78" s="1"/>
    </row>
    <row r="79">
      <c r="A79" s="1"/>
      <c r="B79" s="43" t="str">
        <f>IFERROR(__xludf.DUMMYFUNCTION("""COMPUTED_VALUE"""),"Joe Luzzi")</f>
        <v>Joe Luzzi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IFERROR(__xludf.DUMMYFUNCTION("""COMPUTED_VALUE"""),4.0)</f>
        <v>4</v>
      </c>
      <c r="F79" s="1"/>
      <c r="P79" s="33" t="s">
        <v>172</v>
      </c>
    </row>
    <row r="80">
      <c r="A80" s="1"/>
      <c r="B80" s="43" t="str">
        <f>IFERROR(__xludf.DUMMYFUNCTION("""COMPUTED_VALUE"""),"Eric Pan")</f>
        <v>Eric Pan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IFERROR(__xludf.DUMMYFUNCTION("""COMPUTED_VALUE"""),"Scott Li")</f>
        <v>Scott Li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IFERROR(__xludf.DUMMYFUNCTION("""COMPUTED_VALUE"""),3.0)</f>
        <v>3</v>
      </c>
      <c r="F81" s="1"/>
      <c r="L81" s="33"/>
    </row>
    <row r="82">
      <c r="A82" s="1"/>
      <c r="B82" s="43"/>
      <c r="C82" s="84"/>
      <c r="D82" s="84"/>
      <c r="E82" s="84"/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10"")"),"Scott Li")</f>
        <v>Scott Li</v>
      </c>
      <c r="C90" s="84">
        <f>IFERROR(__xludf.DUMMYFUNCTION("""COMPUTED_VALUE"""),15.0)</f>
        <v>15</v>
      </c>
      <c r="D90" s="84">
        <f t="shared" ref="D90:D99" si="74">VLOOKUP(B90,indirect($AB$2&amp;"!B$5:w$70"),22, false)</f>
        <v>41</v>
      </c>
      <c r="E90" s="84">
        <f t="shared" ref="E90:E99" si="75">VLOOKUP(B90,B$5:W$69,22, false)</f>
        <v>26</v>
      </c>
      <c r="F90" s="84">
        <f t="shared" ref="F90:F99" si="76">VLOOKUP(B90,indirect($AB$2&amp;"!B$5:U$70"),11, false)</f>
        <v>19</v>
      </c>
      <c r="G90" s="84">
        <f t="shared" ref="G90:G99" si="77">VLOOKUP(B90,indirect($AB$2&amp;"!B$5:U$70"),6, false)</f>
        <v>7</v>
      </c>
      <c r="L90" s="84" t="str">
        <f t="shared" ref="L90:L99" si="78">if(D90-E90=C90,"ok","Error")</f>
        <v>ok</v>
      </c>
    </row>
    <row r="91">
      <c r="A91" s="1"/>
      <c r="B91" s="43" t="str">
        <f>IFERROR(__xludf.DUMMYFUNCTION("""COMPUTED_VALUE"""),"Ethan Gu")</f>
        <v>Ethan Gu</v>
      </c>
      <c r="C91" s="84">
        <f>IFERROR(__xludf.DUMMYFUNCTION("""COMPUTED_VALUE"""),15.0)</f>
        <v>15</v>
      </c>
      <c r="D91" s="84">
        <f t="shared" si="74"/>
        <v>42</v>
      </c>
      <c r="E91" s="84">
        <f t="shared" si="75"/>
        <v>27</v>
      </c>
      <c r="F91" s="84">
        <f t="shared" si="76"/>
        <v>18</v>
      </c>
      <c r="G91" s="84">
        <f t="shared" si="77"/>
        <v>8</v>
      </c>
      <c r="L91" s="84" t="str">
        <f t="shared" si="78"/>
        <v>ok</v>
      </c>
    </row>
    <row r="92">
      <c r="A92" s="1"/>
      <c r="B92" s="43" t="str">
        <f>IFERROR(__xludf.DUMMYFUNCTION("""COMPUTED_VALUE"""),"Eric Pan")</f>
        <v>Eric Pan</v>
      </c>
      <c r="C92" s="84">
        <f>IFERROR(__xludf.DUMMYFUNCTION("""COMPUTED_VALUE"""),15.0)</f>
        <v>15</v>
      </c>
      <c r="D92" s="84">
        <f t="shared" si="74"/>
        <v>48</v>
      </c>
      <c r="E92" s="84">
        <f t="shared" si="75"/>
        <v>32</v>
      </c>
      <c r="F92" s="84">
        <f t="shared" si="76"/>
        <v>18</v>
      </c>
      <c r="G92" s="84">
        <f t="shared" si="77"/>
        <v>10</v>
      </c>
      <c r="L92" s="84" t="str">
        <f t="shared" si="78"/>
        <v>Error</v>
      </c>
      <c r="Q92" s="90"/>
    </row>
    <row r="93">
      <c r="A93" s="1"/>
      <c r="B93" s="43" t="str">
        <f>IFERROR(__xludf.DUMMYFUNCTION("""COMPUTED_VALUE"""),"David Shin")</f>
        <v>David Shin</v>
      </c>
      <c r="C93" s="84">
        <f>IFERROR(__xludf.DUMMYFUNCTION("""COMPUTED_VALUE"""),13.0)</f>
        <v>13</v>
      </c>
      <c r="D93" s="84">
        <f t="shared" si="74"/>
        <v>22</v>
      </c>
      <c r="E93" s="84">
        <f t="shared" si="75"/>
        <v>9</v>
      </c>
      <c r="F93" s="84">
        <f t="shared" si="76"/>
        <v>19</v>
      </c>
      <c r="G93" s="84">
        <f t="shared" si="77"/>
        <v>4</v>
      </c>
      <c r="L93" s="84" t="str">
        <f t="shared" si="78"/>
        <v>ok</v>
      </c>
    </row>
    <row r="94">
      <c r="A94" s="1"/>
      <c r="B94" s="43" t="str">
        <f>IFERROR(__xludf.DUMMYFUNCTION("""COMPUTED_VALUE"""),"Hongyuan Wen")</f>
        <v>Hongyuan Wen</v>
      </c>
      <c r="C94" s="84">
        <f>IFERROR(__xludf.DUMMYFUNCTION("""COMPUTED_VALUE"""),13.0)</f>
        <v>13</v>
      </c>
      <c r="D94" s="84">
        <f t="shared" si="74"/>
        <v>33</v>
      </c>
      <c r="E94" s="84">
        <f t="shared" si="75"/>
        <v>20</v>
      </c>
      <c r="F94" s="84">
        <f t="shared" si="76"/>
        <v>19</v>
      </c>
      <c r="G94" s="84">
        <f t="shared" si="77"/>
        <v>6</v>
      </c>
      <c r="L94" s="84" t="str">
        <f t="shared" si="78"/>
        <v>ok</v>
      </c>
    </row>
    <row r="95">
      <c r="A95" s="1"/>
      <c r="B95" s="43" t="str">
        <f>IFERROR(__xludf.DUMMYFUNCTION("""COMPUTED_VALUE"""),"Adrian Tay")</f>
        <v>Adrian Tay</v>
      </c>
      <c r="C95" s="84">
        <f>IFERROR(__xludf.DUMMYFUNCTION("""COMPUTED_VALUE"""),11.0)</f>
        <v>11</v>
      </c>
      <c r="D95" s="84">
        <f t="shared" si="74"/>
        <v>32</v>
      </c>
      <c r="E95" s="84">
        <f t="shared" si="75"/>
        <v>21</v>
      </c>
      <c r="F95" s="84">
        <f t="shared" si="76"/>
        <v>18</v>
      </c>
      <c r="G95" s="84">
        <f t="shared" si="77"/>
        <v>5</v>
      </c>
      <c r="L95" s="84" t="str">
        <f t="shared" si="78"/>
        <v>ok</v>
      </c>
    </row>
    <row r="96">
      <c r="A96" s="1"/>
      <c r="B96" s="43" t="str">
        <f>IFERROR(__xludf.DUMMYFUNCTION("""COMPUTED_VALUE"""),"Vicki Martinet")</f>
        <v>Vicki Martinet</v>
      </c>
      <c r="C96" s="84">
        <f>IFERROR(__xludf.DUMMYFUNCTION("""COMPUTED_VALUE"""),8.0)</f>
        <v>8</v>
      </c>
      <c r="D96" s="84">
        <f t="shared" si="74"/>
        <v>62</v>
      </c>
      <c r="E96" s="84">
        <f t="shared" si="75"/>
        <v>54</v>
      </c>
      <c r="F96" s="84">
        <f t="shared" si="76"/>
        <v>18</v>
      </c>
      <c r="G96" s="84">
        <f t="shared" si="77"/>
        <v>11</v>
      </c>
      <c r="L96" s="84" t="str">
        <f t="shared" si="78"/>
        <v>ok</v>
      </c>
    </row>
    <row r="97">
      <c r="A97" s="1"/>
      <c r="B97" s="43" t="str">
        <f>IFERROR(__xludf.DUMMYFUNCTION("""COMPUTED_VALUE"""),"Basudev Thoppai Vidyasankar")</f>
        <v>Basudev Thoppai Vidyasankar</v>
      </c>
      <c r="C97" s="84">
        <f>IFERROR(__xludf.DUMMYFUNCTION("""COMPUTED_VALUE"""),6.0)</f>
        <v>6</v>
      </c>
      <c r="D97" s="84">
        <f t="shared" si="74"/>
        <v>10</v>
      </c>
      <c r="E97" s="84">
        <f t="shared" si="75"/>
        <v>4</v>
      </c>
      <c r="F97" s="84">
        <f t="shared" si="76"/>
        <v>19</v>
      </c>
      <c r="G97" s="84">
        <f t="shared" si="77"/>
        <v>1</v>
      </c>
      <c r="L97" s="84" t="str">
        <f t="shared" si="78"/>
        <v>ok</v>
      </c>
    </row>
    <row r="98">
      <c r="A98" s="1"/>
      <c r="B98" s="43" t="str">
        <f>IFERROR(__xludf.DUMMYFUNCTION("""COMPUTED_VALUE"""),"Troy Wong")</f>
        <v>Troy Wong</v>
      </c>
      <c r="C98" s="84">
        <f>IFERROR(__xludf.DUMMYFUNCTION("""COMPUTED_VALUE"""),5.0)</f>
        <v>5</v>
      </c>
      <c r="D98" s="84">
        <f t="shared" si="74"/>
        <v>8</v>
      </c>
      <c r="E98" s="84">
        <f t="shared" si="75"/>
        <v>3</v>
      </c>
      <c r="F98" s="84">
        <f t="shared" si="76"/>
        <v>19</v>
      </c>
      <c r="G98" s="84">
        <f t="shared" si="77"/>
        <v>1</v>
      </c>
      <c r="L98" s="84" t="str">
        <f t="shared" si="78"/>
        <v>ok</v>
      </c>
    </row>
    <row r="99">
      <c r="A99" s="1"/>
      <c r="B99" s="43" t="str">
        <f>IFERROR(__xludf.DUMMYFUNCTION("""COMPUTED_VALUE"""),"Sanjaye Elayattu")</f>
        <v>Sanjaye Elayattu</v>
      </c>
      <c r="C99" s="84">
        <f>IFERROR(__xludf.DUMMYFUNCTION("""COMPUTED_VALUE"""),5.0)</f>
        <v>5</v>
      </c>
      <c r="D99" s="84">
        <f t="shared" si="74"/>
        <v>12</v>
      </c>
      <c r="E99" s="84">
        <f t="shared" si="75"/>
        <v>7</v>
      </c>
      <c r="F99" s="84">
        <f t="shared" si="76"/>
        <v>18</v>
      </c>
      <c r="G99" s="84">
        <f t="shared" si="77"/>
        <v>1</v>
      </c>
      <c r="L99" s="84" t="str">
        <f t="shared" si="78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10"")"),"Mauricio Palacios")</f>
        <v>Mauricio Palacios</v>
      </c>
      <c r="C103" s="84">
        <f>IFERROR(__xludf.DUMMYFUNCTION("""COMPUTED_VALUE"""),-13.0)</f>
        <v>-13</v>
      </c>
      <c r="D103" s="84">
        <f t="shared" ref="D103:D112" si="79">VLOOKUP(B103,indirect($AB$2&amp;"!B$5:w$70"),22, false)</f>
        <v>11</v>
      </c>
      <c r="E103" s="84">
        <f t="shared" ref="E103:E112" si="80">VLOOKUP(B103,B$5:W$69,22, false)</f>
        <v>24</v>
      </c>
      <c r="F103" s="84">
        <f t="shared" ref="F103:F112" si="81">VLOOKUP(B103,indirect($AB$2&amp;"!B$5:U$70"),11, false)</f>
        <v>9</v>
      </c>
      <c r="G103" s="84">
        <f t="shared" ref="G103:G112" si="82">VLOOKUP(B103,indirect($AB$2&amp;"!B$5:U$70"),6, false)</f>
        <v>0</v>
      </c>
      <c r="L103" s="84" t="str">
        <f t="shared" ref="L103:L112" si="83">if(D103-E103=C103,"ok","Error")</f>
        <v>ok</v>
      </c>
    </row>
    <row r="104">
      <c r="A104" s="1"/>
      <c r="B104" s="43" t="str">
        <f>IFERROR(__xludf.DUMMYFUNCTION("""COMPUTED_VALUE"""),"Joe Luzzi")</f>
        <v>Joe Luzzi</v>
      </c>
      <c r="C104" s="84">
        <f>IFERROR(__xludf.DUMMYFUNCTION("""COMPUTED_VALUE"""),-12.0)</f>
        <v>-12</v>
      </c>
      <c r="D104" s="84">
        <f t="shared" si="79"/>
        <v>17</v>
      </c>
      <c r="E104" s="84">
        <f t="shared" si="80"/>
        <v>29</v>
      </c>
      <c r="F104" s="84">
        <f t="shared" si="81"/>
        <v>8</v>
      </c>
      <c r="G104" s="84">
        <f t="shared" si="82"/>
        <v>3</v>
      </c>
      <c r="L104" s="84" t="str">
        <f t="shared" si="83"/>
        <v>ok</v>
      </c>
    </row>
    <row r="105">
      <c r="A105" s="1"/>
      <c r="B105" s="43" t="str">
        <f>IFERROR(__xludf.DUMMYFUNCTION("""COMPUTED_VALUE"""),"Suleman Alidina")</f>
        <v>Suleman Alidina</v>
      </c>
      <c r="C105" s="84">
        <f>IFERROR(__xludf.DUMMYFUNCTION("""COMPUTED_VALUE"""),-10.0)</f>
        <v>-10</v>
      </c>
      <c r="D105" s="84">
        <f t="shared" si="79"/>
        <v>29</v>
      </c>
      <c r="E105" s="84">
        <f t="shared" si="80"/>
        <v>39</v>
      </c>
      <c r="F105" s="84">
        <f t="shared" si="81"/>
        <v>9</v>
      </c>
      <c r="G105" s="84">
        <f t="shared" si="82"/>
        <v>0</v>
      </c>
      <c r="L105" s="84" t="str">
        <f t="shared" si="83"/>
        <v>ok</v>
      </c>
    </row>
    <row r="106">
      <c r="A106" s="1"/>
      <c r="B106" s="43" t="str">
        <f>IFERROR(__xludf.DUMMYFUNCTION("""COMPUTED_VALUE"""),"Pavan Akkimsetty")</f>
        <v>Pavan Akkimsetty</v>
      </c>
      <c r="C106" s="84">
        <f>IFERROR(__xludf.DUMMYFUNCTION("""COMPUTED_VALUE"""),-9.0)</f>
        <v>-9</v>
      </c>
      <c r="D106" s="84">
        <f t="shared" si="79"/>
        <v>7</v>
      </c>
      <c r="E106" s="84">
        <f t="shared" si="80"/>
        <v>16</v>
      </c>
      <c r="F106" s="84">
        <f t="shared" si="81"/>
        <v>9</v>
      </c>
      <c r="G106" s="84">
        <f t="shared" si="82"/>
        <v>0</v>
      </c>
      <c r="L106" s="84" t="str">
        <f t="shared" si="83"/>
        <v>ok</v>
      </c>
    </row>
    <row r="107">
      <c r="A107" s="1"/>
      <c r="B107" s="43" t="str">
        <f>IFERROR(__xludf.DUMMYFUNCTION("""COMPUTED_VALUE"""),"Tina Hanson")</f>
        <v>Tina Hanson</v>
      </c>
      <c r="C107" s="84">
        <f>IFERROR(__xludf.DUMMYFUNCTION("""COMPUTED_VALUE"""),-9.0)</f>
        <v>-9</v>
      </c>
      <c r="D107" s="84">
        <f t="shared" si="79"/>
        <v>16</v>
      </c>
      <c r="E107" s="84">
        <f t="shared" si="80"/>
        <v>25</v>
      </c>
      <c r="F107" s="84">
        <f t="shared" si="81"/>
        <v>9</v>
      </c>
      <c r="G107" s="84">
        <f t="shared" si="82"/>
        <v>2</v>
      </c>
      <c r="L107" s="84" t="str">
        <f t="shared" si="83"/>
        <v>ok</v>
      </c>
    </row>
    <row r="108">
      <c r="A108" s="1"/>
      <c r="B108" s="43" t="str">
        <f>IFERROR(__xludf.DUMMYFUNCTION("""COMPUTED_VALUE"""),"Leigh-Anh Nguyen")</f>
        <v>Leigh-Anh Nguyen</v>
      </c>
      <c r="C108" s="84">
        <f>IFERROR(__xludf.DUMMYFUNCTION("""COMPUTED_VALUE"""),-9.0)</f>
        <v>-9</v>
      </c>
      <c r="D108" s="84">
        <f t="shared" si="79"/>
        <v>37</v>
      </c>
      <c r="E108" s="84">
        <f t="shared" si="80"/>
        <v>46</v>
      </c>
      <c r="F108" s="84">
        <f t="shared" si="81"/>
        <v>9</v>
      </c>
      <c r="G108" s="84">
        <f t="shared" si="82"/>
        <v>0</v>
      </c>
      <c r="L108" s="84" t="str">
        <f t="shared" si="83"/>
        <v>ok</v>
      </c>
    </row>
    <row r="109">
      <c r="A109" s="1"/>
      <c r="B109" s="43" t="str">
        <f>IFERROR(__xludf.DUMMYFUNCTION("""COMPUTED_VALUE"""),"Jim Miao")</f>
        <v>Jim Miao</v>
      </c>
      <c r="C109" s="84">
        <f>IFERROR(__xludf.DUMMYFUNCTION("""COMPUTED_VALUE"""),-8.0)</f>
        <v>-8</v>
      </c>
      <c r="D109" s="84">
        <f t="shared" si="79"/>
        <v>20</v>
      </c>
      <c r="E109" s="84">
        <f t="shared" si="80"/>
        <v>28</v>
      </c>
      <c r="F109" s="84">
        <f t="shared" si="81"/>
        <v>9</v>
      </c>
      <c r="G109" s="84">
        <f t="shared" si="82"/>
        <v>0</v>
      </c>
      <c r="L109" s="84" t="str">
        <f t="shared" si="83"/>
        <v>ok</v>
      </c>
    </row>
    <row r="110">
      <c r="A110" s="1"/>
      <c r="B110" s="43" t="str">
        <f>IFERROR(__xludf.DUMMYFUNCTION("""COMPUTED_VALUE"""),"Chinna Ponnaganti")</f>
        <v>Chinna Ponnaganti</v>
      </c>
      <c r="C110" s="84">
        <f>IFERROR(__xludf.DUMMYFUNCTION("""COMPUTED_VALUE"""),-8.0)</f>
        <v>-8</v>
      </c>
      <c r="D110" s="84">
        <f t="shared" si="79"/>
        <v>27</v>
      </c>
      <c r="E110" s="84">
        <f t="shared" si="80"/>
        <v>35</v>
      </c>
      <c r="F110" s="84">
        <f t="shared" si="81"/>
        <v>9</v>
      </c>
      <c r="G110" s="84">
        <f t="shared" si="82"/>
        <v>0</v>
      </c>
      <c r="L110" s="84" t="str">
        <f t="shared" si="83"/>
        <v>ok</v>
      </c>
    </row>
    <row r="111">
      <c r="A111" s="1"/>
      <c r="B111" s="43" t="str">
        <f>IFERROR(__xludf.DUMMYFUNCTION("""COMPUTED_VALUE"""),"Naveen Raj")</f>
        <v>Naveen Raj</v>
      </c>
      <c r="C111" s="84">
        <f>IFERROR(__xludf.DUMMYFUNCTION("""COMPUTED_VALUE"""),-8.0)</f>
        <v>-8</v>
      </c>
      <c r="D111" s="84">
        <f t="shared" si="79"/>
        <v>28</v>
      </c>
      <c r="E111" s="84">
        <f t="shared" si="80"/>
        <v>36</v>
      </c>
      <c r="F111" s="84">
        <f t="shared" si="81"/>
        <v>10</v>
      </c>
      <c r="G111" s="84">
        <f t="shared" si="82"/>
        <v>5</v>
      </c>
      <c r="L111" s="84" t="str">
        <f t="shared" si="83"/>
        <v>ok</v>
      </c>
    </row>
    <row r="112">
      <c r="A112" s="1"/>
      <c r="B112" s="43" t="str">
        <f>IFERROR(__xludf.DUMMYFUNCTION("""COMPUTED_VALUE"""),"Sandeep Kamalon")</f>
        <v>Sandeep Kamalon</v>
      </c>
      <c r="C112" s="84">
        <f>IFERROR(__xludf.DUMMYFUNCTION("""COMPUTED_VALUE"""),-7.0)</f>
        <v>-7</v>
      </c>
      <c r="D112" s="84">
        <f t="shared" si="79"/>
        <v>1</v>
      </c>
      <c r="E112" s="84">
        <f t="shared" si="80"/>
        <v>8</v>
      </c>
      <c r="F112" s="84">
        <f t="shared" si="81"/>
        <v>3</v>
      </c>
      <c r="G112" s="84">
        <f t="shared" si="82"/>
        <v>9</v>
      </c>
      <c r="L112" s="84" t="str">
        <f t="shared" si="83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4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4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4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4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4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4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4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4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4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4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4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4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4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4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4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4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4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4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4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4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4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4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4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4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4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4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4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4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4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4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4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4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4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4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4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4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4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4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4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4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4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4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4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4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4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4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4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4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4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4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4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4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4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4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4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4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4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4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4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4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4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4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4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4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45703.0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7.0</v>
      </c>
      <c r="E2" s="1"/>
      <c r="F2" s="1"/>
      <c r="R2" s="19"/>
      <c r="AB2" s="20" t="str">
        <f>text(C1-7,"mm/dd/yy")</f>
        <v>02/08/25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43" t="s">
        <v>88</v>
      </c>
      <c r="C5" s="47">
        <v>95.0</v>
      </c>
      <c r="D5" s="31">
        <v>9.0</v>
      </c>
      <c r="E5" s="36">
        <f t="shared" ref="E5:E69" si="2">if(($D$2-U5-S5)&lt;&gt;0,(C5-(U5*9)-(S5*13))/($D$2-U5-S5),0)</f>
        <v>13.66666667</v>
      </c>
      <c r="F5" s="102">
        <v>1.0</v>
      </c>
      <c r="G5" s="46">
        <v>9.0</v>
      </c>
      <c r="H5" s="47">
        <v>0.0</v>
      </c>
      <c r="I5" s="46">
        <v>1.0</v>
      </c>
      <c r="J5" s="46">
        <v>2.0</v>
      </c>
      <c r="K5" s="46">
        <v>0.0</v>
      </c>
      <c r="L5" s="103">
        <v>3.0</v>
      </c>
      <c r="M5" s="46">
        <v>0.0</v>
      </c>
      <c r="N5" s="47">
        <f t="shared" ref="N5:O5" si="1">C5+L5</f>
        <v>98</v>
      </c>
      <c r="O5" s="31">
        <f t="shared" si="1"/>
        <v>9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28" t="s">
        <v>117</v>
      </c>
      <c r="C6" s="31">
        <v>93.0</v>
      </c>
      <c r="D6" s="31">
        <v>11.0</v>
      </c>
      <c r="E6" s="36">
        <f t="shared" si="2"/>
        <v>14.2</v>
      </c>
      <c r="F6" s="102">
        <v>1.0</v>
      </c>
      <c r="G6" s="46">
        <v>9.0</v>
      </c>
      <c r="H6" s="47">
        <v>0.0</v>
      </c>
      <c r="I6" s="46">
        <v>6.0</v>
      </c>
      <c r="J6" s="46">
        <v>2.0</v>
      </c>
      <c r="K6" s="46">
        <v>6.0</v>
      </c>
      <c r="L6" s="103">
        <v>14.0</v>
      </c>
      <c r="M6" s="46">
        <v>2.0</v>
      </c>
      <c r="N6" s="31">
        <f t="shared" ref="N6:O6" si="3">C6+L6</f>
        <v>107</v>
      </c>
      <c r="O6" s="31">
        <f t="shared" si="3"/>
        <v>13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1</v>
      </c>
      <c r="V6" s="46">
        <f t="shared" si="6"/>
        <v>4</v>
      </c>
      <c r="W6" s="30">
        <f t="shared" ref="W6:W68" si="9">W5+1</f>
        <v>2</v>
      </c>
    </row>
    <row r="7">
      <c r="A7" s="30">
        <f t="shared" si="7"/>
        <v>3</v>
      </c>
      <c r="B7" s="28" t="s">
        <v>44</v>
      </c>
      <c r="C7" s="31">
        <v>92.0</v>
      </c>
      <c r="D7" s="31">
        <v>11.0</v>
      </c>
      <c r="E7" s="36">
        <f t="shared" si="2"/>
        <v>14.8</v>
      </c>
      <c r="F7" s="102">
        <v>1.0</v>
      </c>
      <c r="G7" s="46">
        <v>9.0</v>
      </c>
      <c r="H7" s="47">
        <v>0.0</v>
      </c>
      <c r="I7" s="46">
        <v>6.0</v>
      </c>
      <c r="J7" s="46">
        <v>6.0</v>
      </c>
      <c r="K7" s="46">
        <v>0.0</v>
      </c>
      <c r="L7" s="103">
        <v>12.0</v>
      </c>
      <c r="M7" s="46">
        <v>2.0</v>
      </c>
      <c r="N7" s="31">
        <f t="shared" ref="N7:O7" si="8">C7+L7</f>
        <v>104</v>
      </c>
      <c r="O7" s="31">
        <f t="shared" si="8"/>
        <v>13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2</v>
      </c>
      <c r="V7" s="46">
        <f t="shared" si="6"/>
        <v>5</v>
      </c>
      <c r="W7" s="30">
        <f t="shared" si="9"/>
        <v>3</v>
      </c>
    </row>
    <row r="8">
      <c r="A8" s="30">
        <f t="shared" si="7"/>
        <v>4</v>
      </c>
      <c r="B8" s="28" t="s">
        <v>45</v>
      </c>
      <c r="C8" s="31">
        <v>87.0</v>
      </c>
      <c r="D8" s="31">
        <v>8.0</v>
      </c>
      <c r="E8" s="36">
        <f t="shared" si="2"/>
        <v>12.33333333</v>
      </c>
      <c r="F8" s="102">
        <v>2.0</v>
      </c>
      <c r="G8" s="46">
        <v>9.0</v>
      </c>
      <c r="H8" s="47">
        <v>0.0</v>
      </c>
      <c r="I8" s="46">
        <v>1.0</v>
      </c>
      <c r="J8" s="46">
        <v>6.0</v>
      </c>
      <c r="K8" s="46">
        <v>6.0</v>
      </c>
      <c r="L8" s="103">
        <v>13.0</v>
      </c>
      <c r="M8" s="46">
        <v>2.0</v>
      </c>
      <c r="N8" s="31">
        <f t="shared" ref="N8:O8" si="10">C8+L8</f>
        <v>100</v>
      </c>
      <c r="O8" s="31">
        <f t="shared" si="10"/>
        <v>10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0</v>
      </c>
      <c r="V8" s="46">
        <f t="shared" si="6"/>
        <v>0</v>
      </c>
      <c r="W8" s="30">
        <f t="shared" si="9"/>
        <v>4</v>
      </c>
    </row>
    <row r="9">
      <c r="A9" s="30">
        <f t="shared" si="7"/>
        <v>5</v>
      </c>
      <c r="B9" s="28" t="s">
        <v>92</v>
      </c>
      <c r="C9" s="31">
        <v>86.0</v>
      </c>
      <c r="D9" s="31">
        <v>10.0</v>
      </c>
      <c r="E9" s="36">
        <f t="shared" si="2"/>
        <v>13.6</v>
      </c>
      <c r="F9" s="102">
        <v>3.0</v>
      </c>
      <c r="G9" s="46">
        <v>0.0</v>
      </c>
      <c r="H9" s="47">
        <v>9.0</v>
      </c>
      <c r="I9" s="46">
        <v>0.0</v>
      </c>
      <c r="J9" s="46">
        <v>0.0</v>
      </c>
      <c r="K9" s="46">
        <v>0.0</v>
      </c>
      <c r="L9" s="103">
        <v>9.0</v>
      </c>
      <c r="M9" s="46">
        <v>0.0</v>
      </c>
      <c r="N9" s="31">
        <f t="shared" ref="N9:O9" si="11">C9+L9</f>
        <v>95</v>
      </c>
      <c r="O9" s="31">
        <f t="shared" si="11"/>
        <v>10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2</v>
      </c>
      <c r="V9" s="46">
        <f t="shared" si="6"/>
        <v>-3</v>
      </c>
      <c r="W9" s="30">
        <f t="shared" si="9"/>
        <v>5</v>
      </c>
    </row>
    <row r="10">
      <c r="A10" s="30">
        <f t="shared" si="7"/>
        <v>6</v>
      </c>
      <c r="B10" s="28" t="s">
        <v>95</v>
      </c>
      <c r="C10" s="31">
        <v>86.0</v>
      </c>
      <c r="D10" s="31">
        <v>9.0</v>
      </c>
      <c r="E10" s="36">
        <f t="shared" si="2"/>
        <v>12.83333333</v>
      </c>
      <c r="F10" s="102">
        <v>3.0</v>
      </c>
      <c r="G10" s="46">
        <v>0.0</v>
      </c>
      <c r="H10" s="47">
        <v>9.0</v>
      </c>
      <c r="I10" s="46">
        <v>0.0</v>
      </c>
      <c r="J10" s="46">
        <v>0.0</v>
      </c>
      <c r="K10" s="46">
        <v>0.0</v>
      </c>
      <c r="L10" s="103">
        <v>9.0</v>
      </c>
      <c r="M10" s="46">
        <v>0.0</v>
      </c>
      <c r="N10" s="31">
        <f t="shared" ref="N10:O10" si="12">C10+L10</f>
        <v>95</v>
      </c>
      <c r="O10" s="31">
        <f t="shared" si="12"/>
        <v>9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1</v>
      </c>
      <c r="V10" s="46">
        <f t="shared" si="6"/>
        <v>-3</v>
      </c>
      <c r="W10" s="30">
        <f t="shared" si="9"/>
        <v>6</v>
      </c>
    </row>
    <row r="11">
      <c r="A11" s="30">
        <f t="shared" si="7"/>
        <v>7</v>
      </c>
      <c r="B11" s="28" t="s">
        <v>74</v>
      </c>
      <c r="C11" s="31">
        <v>84.0</v>
      </c>
      <c r="D11" s="31">
        <v>10.0</v>
      </c>
      <c r="E11" s="36">
        <f t="shared" si="2"/>
        <v>13.2</v>
      </c>
      <c r="F11" s="102">
        <v>3.0</v>
      </c>
      <c r="G11" s="46">
        <v>0.0</v>
      </c>
      <c r="H11" s="47">
        <v>9.0</v>
      </c>
      <c r="I11" s="46">
        <v>0.0</v>
      </c>
      <c r="J11" s="46">
        <v>0.0</v>
      </c>
      <c r="K11" s="46">
        <v>0.0</v>
      </c>
      <c r="L11" s="103">
        <v>9.0</v>
      </c>
      <c r="M11" s="46">
        <v>0.0</v>
      </c>
      <c r="N11" s="31">
        <f t="shared" ref="N11:O11" si="13">C11+L11</f>
        <v>93</v>
      </c>
      <c r="O11" s="31">
        <f t="shared" si="13"/>
        <v>10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2</v>
      </c>
      <c r="V11" s="46">
        <f t="shared" si="6"/>
        <v>-2</v>
      </c>
      <c r="W11" s="30">
        <f t="shared" si="9"/>
        <v>7</v>
      </c>
    </row>
    <row r="12">
      <c r="A12" s="30">
        <f t="shared" si="7"/>
        <v>8</v>
      </c>
      <c r="B12" s="43" t="s">
        <v>130</v>
      </c>
      <c r="C12" s="31">
        <v>83.0</v>
      </c>
      <c r="D12" s="31">
        <v>10.0</v>
      </c>
      <c r="E12" s="36">
        <f t="shared" si="2"/>
        <v>12.33333333</v>
      </c>
      <c r="F12" s="102">
        <v>1.0</v>
      </c>
      <c r="G12" s="46">
        <v>1.0</v>
      </c>
      <c r="H12" s="47">
        <v>0.0</v>
      </c>
      <c r="I12" s="46">
        <v>7.0</v>
      </c>
      <c r="J12" s="46">
        <v>6.0</v>
      </c>
      <c r="K12" s="46">
        <v>6.0</v>
      </c>
      <c r="L12" s="103">
        <v>19.0</v>
      </c>
      <c r="M12" s="46">
        <v>2.0</v>
      </c>
      <c r="N12" s="31">
        <f t="shared" ref="N12:O12" si="14">C12+L12</f>
        <v>102</v>
      </c>
      <c r="O12" s="31">
        <f t="shared" si="14"/>
        <v>12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1</v>
      </c>
      <c r="V12" s="46">
        <f t="shared" si="6"/>
        <v>-1</v>
      </c>
      <c r="W12" s="30">
        <f t="shared" si="9"/>
        <v>8</v>
      </c>
    </row>
    <row r="13">
      <c r="A13" s="30">
        <f t="shared" si="7"/>
        <v>9</v>
      </c>
      <c r="B13" s="28" t="s">
        <v>101</v>
      </c>
      <c r="C13" s="31">
        <v>83.0</v>
      </c>
      <c r="D13" s="31">
        <v>8.0</v>
      </c>
      <c r="E13" s="36">
        <f t="shared" si="2"/>
        <v>12.2</v>
      </c>
      <c r="F13" s="102">
        <v>1.0</v>
      </c>
      <c r="G13" s="46">
        <v>1.0</v>
      </c>
      <c r="H13" s="47">
        <v>0.0</v>
      </c>
      <c r="I13" s="46">
        <v>6.0</v>
      </c>
      <c r="J13" s="46">
        <v>4.0</v>
      </c>
      <c r="K13" s="46">
        <v>6.0</v>
      </c>
      <c r="L13" s="103">
        <v>16.0</v>
      </c>
      <c r="M13" s="46">
        <v>0.0</v>
      </c>
      <c r="N13" s="31">
        <f t="shared" ref="N13:O13" si="15">C13+L13</f>
        <v>99</v>
      </c>
      <c r="O13" s="31">
        <f t="shared" si="15"/>
        <v>8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1</v>
      </c>
      <c r="V13" s="46">
        <f t="shared" si="6"/>
        <v>0</v>
      </c>
      <c r="W13" s="30">
        <f t="shared" si="9"/>
        <v>9</v>
      </c>
    </row>
    <row r="14">
      <c r="A14" s="30">
        <f t="shared" si="7"/>
        <v>10</v>
      </c>
      <c r="B14" s="43" t="s">
        <v>87</v>
      </c>
      <c r="C14" s="47">
        <v>81.0</v>
      </c>
      <c r="D14" s="31">
        <v>8.0</v>
      </c>
      <c r="E14" s="36">
        <f t="shared" si="2"/>
        <v>12</v>
      </c>
      <c r="F14" s="102">
        <v>1.0</v>
      </c>
      <c r="G14" s="46">
        <v>1.0</v>
      </c>
      <c r="H14" s="47">
        <v>0.0</v>
      </c>
      <c r="I14" s="46">
        <v>6.0</v>
      </c>
      <c r="J14" s="46">
        <v>6.0</v>
      </c>
      <c r="K14" s="46">
        <v>7.0</v>
      </c>
      <c r="L14" s="103">
        <v>19.0</v>
      </c>
      <c r="M14" s="46">
        <v>2.0</v>
      </c>
      <c r="N14" s="47">
        <f t="shared" ref="N14:O14" si="16">C14+L14</f>
        <v>100</v>
      </c>
      <c r="O14" s="31">
        <f t="shared" si="16"/>
        <v>10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1</v>
      </c>
      <c r="V14" s="46">
        <f t="shared" si="6"/>
        <v>6</v>
      </c>
      <c r="W14" s="30">
        <f t="shared" si="9"/>
        <v>10</v>
      </c>
    </row>
    <row r="15">
      <c r="A15" s="30">
        <f t="shared" si="7"/>
        <v>11</v>
      </c>
      <c r="B15" s="28" t="s">
        <v>98</v>
      </c>
      <c r="C15" s="31">
        <v>81.0</v>
      </c>
      <c r="D15" s="31">
        <v>7.0</v>
      </c>
      <c r="E15" s="36">
        <f t="shared" si="2"/>
        <v>13.5</v>
      </c>
      <c r="F15" s="102">
        <v>3.0</v>
      </c>
      <c r="G15" s="46">
        <v>0.0</v>
      </c>
      <c r="H15" s="47">
        <v>9.0</v>
      </c>
      <c r="I15" s="46">
        <v>0.0</v>
      </c>
      <c r="J15" s="46">
        <v>0.0</v>
      </c>
      <c r="K15" s="46">
        <v>0.0</v>
      </c>
      <c r="L15" s="103">
        <v>9.0</v>
      </c>
      <c r="M15" s="46">
        <v>0.0</v>
      </c>
      <c r="N15" s="31">
        <f t="shared" ref="N15:O15" si="17">C15+L15</f>
        <v>90</v>
      </c>
      <c r="O15" s="31">
        <f t="shared" si="17"/>
        <v>7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3</v>
      </c>
      <c r="V15" s="46">
        <f t="shared" si="6"/>
        <v>-1</v>
      </c>
      <c r="W15" s="30">
        <f t="shared" si="9"/>
        <v>11</v>
      </c>
    </row>
    <row r="16">
      <c r="A16" s="30">
        <f t="shared" si="7"/>
        <v>12</v>
      </c>
      <c r="B16" s="28" t="s">
        <v>137</v>
      </c>
      <c r="C16" s="31">
        <v>80.0</v>
      </c>
      <c r="D16" s="31">
        <v>7.0</v>
      </c>
      <c r="E16" s="36">
        <f t="shared" si="2"/>
        <v>11.6</v>
      </c>
      <c r="F16" s="102">
        <v>1.0</v>
      </c>
      <c r="G16" s="46">
        <v>1.0</v>
      </c>
      <c r="H16" s="47">
        <v>0.0</v>
      </c>
      <c r="I16" s="46">
        <v>7.0</v>
      </c>
      <c r="J16" s="46">
        <v>4.0</v>
      </c>
      <c r="K16" s="46">
        <v>7.0</v>
      </c>
      <c r="L16" s="103">
        <v>18.0</v>
      </c>
      <c r="M16" s="46">
        <v>2.0</v>
      </c>
      <c r="N16" s="31">
        <f t="shared" ref="N16:O16" si="18">C16+L16</f>
        <v>98</v>
      </c>
      <c r="O16" s="31">
        <f t="shared" si="18"/>
        <v>9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1</v>
      </c>
      <c r="V16" s="46">
        <f t="shared" si="6"/>
        <v>5</v>
      </c>
      <c r="W16" s="30">
        <f t="shared" si="9"/>
        <v>12</v>
      </c>
    </row>
    <row r="17">
      <c r="A17" s="30">
        <f t="shared" si="7"/>
        <v>13</v>
      </c>
      <c r="B17" s="43" t="s">
        <v>94</v>
      </c>
      <c r="C17" s="31">
        <v>80.0</v>
      </c>
      <c r="D17" s="31">
        <v>7.0</v>
      </c>
      <c r="E17" s="36">
        <f t="shared" si="2"/>
        <v>12.25</v>
      </c>
      <c r="F17" s="102">
        <v>1.0</v>
      </c>
      <c r="G17" s="46">
        <v>2.0</v>
      </c>
      <c r="H17" s="47">
        <v>0.0</v>
      </c>
      <c r="I17" s="46">
        <v>3.0</v>
      </c>
      <c r="J17" s="46">
        <v>6.0</v>
      </c>
      <c r="K17" s="46">
        <v>6.0</v>
      </c>
      <c r="L17" s="103">
        <v>15.0</v>
      </c>
      <c r="M17" s="46">
        <v>2.0</v>
      </c>
      <c r="N17" s="31">
        <f t="shared" ref="N17:O17" si="19">C17+L17</f>
        <v>95</v>
      </c>
      <c r="O17" s="31">
        <f t="shared" si="19"/>
        <v>9</v>
      </c>
      <c r="P17" s="45" t="s">
        <v>58</v>
      </c>
      <c r="Q17" s="45" t="s">
        <v>58</v>
      </c>
      <c r="R17" s="45"/>
      <c r="S17" s="46">
        <f t="shared" si="4"/>
        <v>1</v>
      </c>
      <c r="T17" s="46"/>
      <c r="U17" s="46">
        <f t="shared" si="5"/>
        <v>2</v>
      </c>
      <c r="V17" s="46">
        <f t="shared" si="6"/>
        <v>19</v>
      </c>
      <c r="W17" s="30">
        <f t="shared" si="9"/>
        <v>13</v>
      </c>
    </row>
    <row r="18">
      <c r="A18" s="30">
        <f t="shared" si="7"/>
        <v>14</v>
      </c>
      <c r="B18" s="28" t="s">
        <v>116</v>
      </c>
      <c r="C18" s="31">
        <v>80.0</v>
      </c>
      <c r="D18" s="31">
        <v>7.0</v>
      </c>
      <c r="E18" s="36">
        <f t="shared" si="2"/>
        <v>11.6</v>
      </c>
      <c r="F18" s="102">
        <v>1.0</v>
      </c>
      <c r="G18" s="46">
        <v>2.0</v>
      </c>
      <c r="H18" s="47">
        <v>0.0</v>
      </c>
      <c r="I18" s="46">
        <v>6.0</v>
      </c>
      <c r="J18" s="46">
        <v>3.0</v>
      </c>
      <c r="K18" s="46">
        <v>6.0</v>
      </c>
      <c r="L18" s="103">
        <v>15.0</v>
      </c>
      <c r="M18" s="46">
        <v>2.0</v>
      </c>
      <c r="N18" s="31">
        <f t="shared" ref="N18:O18" si="20">C18+L18</f>
        <v>95</v>
      </c>
      <c r="O18" s="31">
        <f t="shared" si="20"/>
        <v>9</v>
      </c>
      <c r="P18" s="45" t="s">
        <v>58</v>
      </c>
      <c r="Q18" s="45" t="s">
        <v>58</v>
      </c>
      <c r="R18" s="45"/>
      <c r="S18" s="46">
        <f t="shared" si="4"/>
        <v>1</v>
      </c>
      <c r="T18" s="46"/>
      <c r="U18" s="46">
        <f t="shared" si="5"/>
        <v>1</v>
      </c>
      <c r="V18" s="46">
        <f t="shared" si="6"/>
        <v>13</v>
      </c>
      <c r="W18" s="30">
        <f t="shared" si="9"/>
        <v>14</v>
      </c>
    </row>
    <row r="19">
      <c r="A19" s="30">
        <f t="shared" si="7"/>
        <v>15</v>
      </c>
      <c r="B19" s="28" t="s">
        <v>89</v>
      </c>
      <c r="C19" s="31">
        <v>80.0</v>
      </c>
      <c r="D19" s="31">
        <v>6.0</v>
      </c>
      <c r="E19" s="36">
        <f t="shared" si="2"/>
        <v>11.25</v>
      </c>
      <c r="F19" s="102">
        <v>1.0</v>
      </c>
      <c r="G19" s="46">
        <v>2.0</v>
      </c>
      <c r="H19" s="47">
        <v>0.0</v>
      </c>
      <c r="I19" s="46">
        <v>6.0</v>
      </c>
      <c r="J19" s="46">
        <v>6.0</v>
      </c>
      <c r="K19" s="46">
        <v>3.0</v>
      </c>
      <c r="L19" s="103">
        <v>15.0</v>
      </c>
      <c r="M19" s="46">
        <v>2.0</v>
      </c>
      <c r="N19" s="31">
        <f t="shared" ref="N19:O19" si="21">C19+L19</f>
        <v>95</v>
      </c>
      <c r="O19" s="31">
        <f t="shared" si="21"/>
        <v>8</v>
      </c>
      <c r="P19" s="45" t="s">
        <v>58</v>
      </c>
      <c r="Q19" s="45" t="s">
        <v>58</v>
      </c>
      <c r="R19" s="45"/>
      <c r="S19" s="46">
        <f t="shared" si="4"/>
        <v>2</v>
      </c>
      <c r="T19" s="46"/>
      <c r="U19" s="46">
        <f t="shared" si="5"/>
        <v>1</v>
      </c>
      <c r="V19" s="46">
        <f t="shared" si="6"/>
        <v>7</v>
      </c>
      <c r="W19" s="30">
        <f t="shared" si="9"/>
        <v>15</v>
      </c>
    </row>
    <row r="20">
      <c r="A20" s="30">
        <f t="shared" si="7"/>
        <v>16</v>
      </c>
      <c r="B20" s="43" t="s">
        <v>129</v>
      </c>
      <c r="C20" s="47">
        <v>79.0</v>
      </c>
      <c r="D20" s="31">
        <v>9.0</v>
      </c>
      <c r="E20" s="36">
        <f t="shared" si="2"/>
        <v>11.28571429</v>
      </c>
      <c r="F20" s="102">
        <v>1.0</v>
      </c>
      <c r="G20" s="46">
        <v>2.0</v>
      </c>
      <c r="H20" s="47">
        <v>0.0</v>
      </c>
      <c r="I20" s="46">
        <v>3.0</v>
      </c>
      <c r="J20" s="46">
        <v>3.0</v>
      </c>
      <c r="K20" s="46">
        <v>3.0</v>
      </c>
      <c r="L20" s="103">
        <v>9.0</v>
      </c>
      <c r="M20" s="46">
        <v>0.0</v>
      </c>
      <c r="N20" s="47">
        <f t="shared" ref="N20:O20" si="22">C20+L20</f>
        <v>88</v>
      </c>
      <c r="O20" s="31">
        <f t="shared" si="22"/>
        <v>9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0</v>
      </c>
      <c r="V20" s="46">
        <f t="shared" si="6"/>
        <v>-3</v>
      </c>
      <c r="W20" s="30">
        <f t="shared" si="9"/>
        <v>16</v>
      </c>
    </row>
    <row r="21">
      <c r="A21" s="30">
        <f t="shared" si="7"/>
        <v>17</v>
      </c>
      <c r="B21" s="28" t="s">
        <v>104</v>
      </c>
      <c r="C21" s="31">
        <v>79.0</v>
      </c>
      <c r="D21" s="31">
        <v>7.0</v>
      </c>
      <c r="E21" s="36">
        <f t="shared" si="2"/>
        <v>11.4</v>
      </c>
      <c r="F21" s="102">
        <v>2.0</v>
      </c>
      <c r="G21" s="46">
        <v>3.0</v>
      </c>
      <c r="H21" s="47">
        <v>0.0</v>
      </c>
      <c r="I21" s="46">
        <v>3.0</v>
      </c>
      <c r="J21" s="46">
        <v>3.0</v>
      </c>
      <c r="K21" s="46">
        <v>2.0</v>
      </c>
      <c r="L21" s="103">
        <v>8.0</v>
      </c>
      <c r="M21" s="46">
        <v>0.0</v>
      </c>
      <c r="N21" s="31">
        <f t="shared" ref="N21:O21" si="23">C21+L21</f>
        <v>87</v>
      </c>
      <c r="O21" s="31">
        <f t="shared" si="23"/>
        <v>7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1</v>
      </c>
      <c r="V21" s="46">
        <f t="shared" si="6"/>
        <v>-6</v>
      </c>
      <c r="W21" s="30">
        <f t="shared" si="9"/>
        <v>17</v>
      </c>
    </row>
    <row r="22">
      <c r="A22" s="30">
        <f t="shared" si="7"/>
        <v>18</v>
      </c>
      <c r="B22" s="43" t="s">
        <v>121</v>
      </c>
      <c r="C22" s="31">
        <v>79.0</v>
      </c>
      <c r="D22" s="31">
        <v>6.0</v>
      </c>
      <c r="E22" s="36">
        <f t="shared" si="2"/>
        <v>12</v>
      </c>
      <c r="F22" s="102">
        <v>1.0</v>
      </c>
      <c r="G22" s="46">
        <v>3.0</v>
      </c>
      <c r="H22" s="47">
        <v>0.0</v>
      </c>
      <c r="I22" s="46">
        <v>6.0</v>
      </c>
      <c r="J22" s="46">
        <v>6.0</v>
      </c>
      <c r="K22" s="46">
        <v>2.0</v>
      </c>
      <c r="L22" s="103">
        <v>14.0</v>
      </c>
      <c r="M22" s="46">
        <v>2.0</v>
      </c>
      <c r="N22" s="31">
        <f t="shared" ref="N22:O22" si="24">C22+L22</f>
        <v>93</v>
      </c>
      <c r="O22" s="31">
        <f t="shared" si="24"/>
        <v>8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2</v>
      </c>
      <c r="V22" s="46">
        <f t="shared" si="6"/>
        <v>10</v>
      </c>
      <c r="W22" s="30">
        <f t="shared" si="9"/>
        <v>18</v>
      </c>
    </row>
    <row r="23">
      <c r="A23" s="30">
        <f t="shared" si="7"/>
        <v>19</v>
      </c>
      <c r="B23" s="43" t="s">
        <v>56</v>
      </c>
      <c r="C23" s="31">
        <v>78.0</v>
      </c>
      <c r="D23" s="31">
        <v>9.0</v>
      </c>
      <c r="E23" s="36">
        <f t="shared" si="2"/>
        <v>11.14285714</v>
      </c>
      <c r="F23" s="102">
        <v>1.0</v>
      </c>
      <c r="G23" s="46">
        <v>3.0</v>
      </c>
      <c r="H23" s="47">
        <v>0.0</v>
      </c>
      <c r="I23" s="46">
        <v>6.0</v>
      </c>
      <c r="J23" s="46">
        <v>3.0</v>
      </c>
      <c r="K23" s="46">
        <v>6.0</v>
      </c>
      <c r="L23" s="103">
        <v>15.0</v>
      </c>
      <c r="M23" s="46">
        <v>2.0</v>
      </c>
      <c r="N23" s="31">
        <f t="shared" ref="N23:O23" si="25">C23+L23</f>
        <v>93</v>
      </c>
      <c r="O23" s="31">
        <f t="shared" si="25"/>
        <v>11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0</v>
      </c>
      <c r="V23" s="46">
        <f t="shared" si="6"/>
        <v>-5</v>
      </c>
      <c r="W23" s="30">
        <f t="shared" si="9"/>
        <v>19</v>
      </c>
    </row>
    <row r="24">
      <c r="A24" s="30">
        <f t="shared" si="7"/>
        <v>20</v>
      </c>
      <c r="B24" s="43" t="s">
        <v>122</v>
      </c>
      <c r="C24" s="31">
        <v>78.0</v>
      </c>
      <c r="D24" s="31">
        <v>7.0</v>
      </c>
      <c r="E24" s="36">
        <f t="shared" si="2"/>
        <v>12.75</v>
      </c>
      <c r="F24" s="102">
        <v>3.0</v>
      </c>
      <c r="G24" s="46">
        <v>0.0</v>
      </c>
      <c r="H24" s="47">
        <v>9.0</v>
      </c>
      <c r="I24" s="46">
        <v>0.0</v>
      </c>
      <c r="J24" s="46">
        <v>0.0</v>
      </c>
      <c r="K24" s="46">
        <v>0.0</v>
      </c>
      <c r="L24" s="103">
        <v>9.0</v>
      </c>
      <c r="M24" s="46">
        <v>0.0</v>
      </c>
      <c r="N24" s="31">
        <f t="shared" ref="N24:O24" si="26">C24+L24</f>
        <v>87</v>
      </c>
      <c r="O24" s="31">
        <f t="shared" si="26"/>
        <v>7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3</v>
      </c>
      <c r="V24" s="46">
        <f t="shared" si="6"/>
        <v>-8</v>
      </c>
      <c r="W24" s="30">
        <f t="shared" si="9"/>
        <v>20</v>
      </c>
    </row>
    <row r="25">
      <c r="A25" s="30">
        <f t="shared" si="7"/>
        <v>21</v>
      </c>
      <c r="B25" s="28" t="s">
        <v>120</v>
      </c>
      <c r="C25" s="31">
        <v>78.0</v>
      </c>
      <c r="D25" s="31">
        <v>7.0</v>
      </c>
      <c r="E25" s="36">
        <f t="shared" si="2"/>
        <v>11.75</v>
      </c>
      <c r="F25" s="102">
        <v>1.0</v>
      </c>
      <c r="G25" s="46">
        <v>3.0</v>
      </c>
      <c r="H25" s="47">
        <v>0.0</v>
      </c>
      <c r="I25" s="46">
        <v>3.0</v>
      </c>
      <c r="J25" s="46">
        <v>6.0</v>
      </c>
      <c r="K25" s="46">
        <v>6.0</v>
      </c>
      <c r="L25" s="103">
        <v>15.0</v>
      </c>
      <c r="M25" s="46">
        <v>2.0</v>
      </c>
      <c r="N25" s="31">
        <f t="shared" ref="N25:O25" si="27">C25+L25</f>
        <v>93</v>
      </c>
      <c r="O25" s="31">
        <f t="shared" si="27"/>
        <v>9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2</v>
      </c>
      <c r="V25" s="46">
        <f t="shared" si="6"/>
        <v>10</v>
      </c>
      <c r="W25" s="30">
        <f t="shared" si="9"/>
        <v>21</v>
      </c>
    </row>
    <row r="26">
      <c r="A26" s="30">
        <f t="shared" si="7"/>
        <v>22</v>
      </c>
      <c r="B26" s="28" t="s">
        <v>97</v>
      </c>
      <c r="C26" s="31">
        <v>78.0</v>
      </c>
      <c r="D26" s="31">
        <v>6.0</v>
      </c>
      <c r="E26" s="36">
        <f t="shared" si="2"/>
        <v>10.4</v>
      </c>
      <c r="F26" s="102">
        <v>2.0</v>
      </c>
      <c r="G26" s="46">
        <v>4.0</v>
      </c>
      <c r="H26" s="47">
        <v>0.0</v>
      </c>
      <c r="I26" s="46">
        <v>6.0</v>
      </c>
      <c r="J26" s="46">
        <v>7.0</v>
      </c>
      <c r="K26" s="46">
        <v>6.0</v>
      </c>
      <c r="L26" s="103">
        <v>19.0</v>
      </c>
      <c r="M26" s="46">
        <v>3.0</v>
      </c>
      <c r="N26" s="31">
        <f t="shared" ref="N26:O26" si="28">C26+L26</f>
        <v>97</v>
      </c>
      <c r="O26" s="31">
        <f t="shared" si="28"/>
        <v>9</v>
      </c>
      <c r="P26" s="45" t="s">
        <v>58</v>
      </c>
      <c r="Q26" s="45" t="s">
        <v>58</v>
      </c>
      <c r="R26" s="45"/>
      <c r="S26" s="46">
        <f t="shared" si="4"/>
        <v>2</v>
      </c>
      <c r="T26" s="46"/>
      <c r="U26" s="46">
        <f t="shared" si="5"/>
        <v>0</v>
      </c>
      <c r="V26" s="46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28" t="s">
        <v>128</v>
      </c>
      <c r="C27" s="31">
        <v>77.0</v>
      </c>
      <c r="D27" s="31">
        <v>8.0</v>
      </c>
      <c r="E27" s="36">
        <f t="shared" si="2"/>
        <v>12.5</v>
      </c>
      <c r="F27" s="102">
        <v>2.0</v>
      </c>
      <c r="G27" s="46">
        <v>4.0</v>
      </c>
      <c r="H27" s="47">
        <v>0.0</v>
      </c>
      <c r="I27" s="46">
        <v>6.0</v>
      </c>
      <c r="J27" s="46">
        <v>5.0</v>
      </c>
      <c r="K27" s="46">
        <v>4.0</v>
      </c>
      <c r="L27" s="103">
        <v>15.0</v>
      </c>
      <c r="M27" s="46">
        <v>1.0</v>
      </c>
      <c r="N27" s="31">
        <f t="shared" ref="N27:O27" si="29">C27+L27</f>
        <v>92</v>
      </c>
      <c r="O27" s="31">
        <f t="shared" si="29"/>
        <v>9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3</v>
      </c>
      <c r="V27" s="46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28" t="s">
        <v>127</v>
      </c>
      <c r="C28" s="31">
        <v>77.0</v>
      </c>
      <c r="D28" s="31">
        <v>4.0</v>
      </c>
      <c r="E28" s="36">
        <f t="shared" si="2"/>
        <v>14</v>
      </c>
      <c r="F28" s="102">
        <v>3.0</v>
      </c>
      <c r="G28" s="46">
        <v>0.0</v>
      </c>
      <c r="H28" s="47">
        <v>9.0</v>
      </c>
      <c r="I28" s="46">
        <v>0.0</v>
      </c>
      <c r="J28" s="46">
        <v>0.0</v>
      </c>
      <c r="K28" s="46">
        <v>0.0</v>
      </c>
      <c r="L28" s="103">
        <v>9.0</v>
      </c>
      <c r="M28" s="46">
        <v>0.0</v>
      </c>
      <c r="N28" s="31">
        <f t="shared" ref="N28:O28" si="30">C28+L28</f>
        <v>86</v>
      </c>
      <c r="O28" s="31">
        <f t="shared" si="30"/>
        <v>4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4</v>
      </c>
      <c r="V28" s="46">
        <f t="shared" si="6"/>
        <v>-9</v>
      </c>
      <c r="W28" s="30">
        <f t="shared" si="9"/>
        <v>24</v>
      </c>
    </row>
    <row r="29">
      <c r="A29" s="30">
        <f t="shared" si="7"/>
        <v>25</v>
      </c>
      <c r="B29" s="43" t="s">
        <v>106</v>
      </c>
      <c r="C29" s="31">
        <v>76.0</v>
      </c>
      <c r="D29" s="31">
        <v>8.0</v>
      </c>
      <c r="E29" s="36">
        <f t="shared" si="2"/>
        <v>11.16666667</v>
      </c>
      <c r="F29" s="102">
        <v>1.0</v>
      </c>
      <c r="G29" s="46">
        <v>4.0</v>
      </c>
      <c r="H29" s="47">
        <v>0.0</v>
      </c>
      <c r="I29" s="46">
        <v>3.0</v>
      </c>
      <c r="J29" s="46">
        <v>5.0</v>
      </c>
      <c r="K29" s="46">
        <v>6.0</v>
      </c>
      <c r="L29" s="103">
        <v>14.0</v>
      </c>
      <c r="M29" s="46">
        <v>1.0</v>
      </c>
      <c r="N29" s="31">
        <f t="shared" ref="N29:O29" si="31">C29+L29</f>
        <v>90</v>
      </c>
      <c r="O29" s="31">
        <f t="shared" si="31"/>
        <v>9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1</v>
      </c>
      <c r="V29" s="46">
        <f t="shared" si="6"/>
        <v>1</v>
      </c>
      <c r="W29" s="30">
        <f t="shared" si="9"/>
        <v>25</v>
      </c>
    </row>
    <row r="30">
      <c r="A30" s="30">
        <f t="shared" si="7"/>
        <v>26</v>
      </c>
      <c r="B30" s="28" t="s">
        <v>67</v>
      </c>
      <c r="C30" s="31">
        <v>76.0</v>
      </c>
      <c r="D30" s="31">
        <v>6.0</v>
      </c>
      <c r="E30" s="36">
        <f t="shared" si="2"/>
        <v>12</v>
      </c>
      <c r="F30" s="102">
        <v>1.0</v>
      </c>
      <c r="G30" s="46">
        <v>4.0</v>
      </c>
      <c r="H30" s="47">
        <v>0.0</v>
      </c>
      <c r="I30" s="46">
        <v>3.0</v>
      </c>
      <c r="J30" s="46">
        <v>7.0</v>
      </c>
      <c r="K30" s="46">
        <v>4.0</v>
      </c>
      <c r="L30" s="103">
        <v>14.0</v>
      </c>
      <c r="M30" s="46">
        <v>1.0</v>
      </c>
      <c r="N30" s="31">
        <f t="shared" ref="N30:O30" si="32">C30+L30</f>
        <v>90</v>
      </c>
      <c r="O30" s="31">
        <f t="shared" si="32"/>
        <v>7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3</v>
      </c>
      <c r="V30" s="46">
        <f t="shared" si="6"/>
        <v>16</v>
      </c>
      <c r="W30" s="30">
        <f t="shared" si="9"/>
        <v>26</v>
      </c>
    </row>
    <row r="31">
      <c r="A31" s="30">
        <f t="shared" si="7"/>
        <v>27</v>
      </c>
      <c r="B31" s="43" t="s">
        <v>90</v>
      </c>
      <c r="C31" s="31">
        <v>76.0</v>
      </c>
      <c r="D31" s="31">
        <v>4.0</v>
      </c>
      <c r="E31" s="36">
        <f t="shared" si="2"/>
        <v>9.5</v>
      </c>
      <c r="F31" s="102">
        <v>3.0</v>
      </c>
      <c r="G31" s="46">
        <v>0.0</v>
      </c>
      <c r="H31" s="47">
        <v>9.0</v>
      </c>
      <c r="I31" s="46">
        <v>0.0</v>
      </c>
      <c r="J31" s="46">
        <v>0.0</v>
      </c>
      <c r="K31" s="46">
        <v>0.0</v>
      </c>
      <c r="L31" s="103">
        <v>9.0</v>
      </c>
      <c r="M31" s="46">
        <v>0.0</v>
      </c>
      <c r="N31" s="31">
        <f t="shared" ref="N31:O31" si="33">C31+L31</f>
        <v>85</v>
      </c>
      <c r="O31" s="31">
        <f t="shared" si="33"/>
        <v>4</v>
      </c>
      <c r="P31" s="45" t="s">
        <v>58</v>
      </c>
      <c r="Q31" s="45" t="s">
        <v>58</v>
      </c>
      <c r="R31" s="45"/>
      <c r="S31" s="46">
        <f t="shared" si="4"/>
        <v>3</v>
      </c>
      <c r="T31" s="46"/>
      <c r="U31" s="46">
        <f t="shared" si="5"/>
        <v>2</v>
      </c>
      <c r="V31" s="46">
        <f t="shared" si="6"/>
        <v>2</v>
      </c>
      <c r="W31" s="30">
        <f t="shared" si="9"/>
        <v>27</v>
      </c>
    </row>
    <row r="32">
      <c r="A32" s="30">
        <f t="shared" si="7"/>
        <v>28</v>
      </c>
      <c r="B32" s="28" t="s">
        <v>84</v>
      </c>
      <c r="C32" s="31">
        <v>74.0</v>
      </c>
      <c r="D32" s="31">
        <v>8.0</v>
      </c>
      <c r="E32" s="36">
        <f t="shared" si="2"/>
        <v>10.83333333</v>
      </c>
      <c r="F32" s="102">
        <v>1.0</v>
      </c>
      <c r="G32" s="46">
        <v>5.0</v>
      </c>
      <c r="H32" s="47">
        <v>0.0</v>
      </c>
      <c r="I32" s="46">
        <v>6.0</v>
      </c>
      <c r="J32" s="46">
        <v>1.0</v>
      </c>
      <c r="K32" s="46">
        <v>3.0</v>
      </c>
      <c r="L32" s="103">
        <v>10.0</v>
      </c>
      <c r="M32" s="46">
        <v>1.0</v>
      </c>
      <c r="N32" s="31">
        <f t="shared" ref="N32:O32" si="34">C32+L32</f>
        <v>84</v>
      </c>
      <c r="O32" s="31">
        <f t="shared" si="34"/>
        <v>9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1</v>
      </c>
      <c r="V32" s="46">
        <f t="shared" si="6"/>
        <v>19</v>
      </c>
      <c r="W32" s="30">
        <f t="shared" si="9"/>
        <v>28</v>
      </c>
    </row>
    <row r="33">
      <c r="A33" s="30">
        <f t="shared" si="7"/>
        <v>29</v>
      </c>
      <c r="B33" s="43" t="s">
        <v>62</v>
      </c>
      <c r="C33" s="31">
        <v>74.0</v>
      </c>
      <c r="D33" s="31">
        <v>6.0</v>
      </c>
      <c r="E33" s="36">
        <f t="shared" si="2"/>
        <v>11.75</v>
      </c>
      <c r="F33" s="102">
        <v>3.0</v>
      </c>
      <c r="G33" s="46">
        <v>0.0</v>
      </c>
      <c r="H33" s="47">
        <v>9.0</v>
      </c>
      <c r="I33" s="46">
        <v>0.0</v>
      </c>
      <c r="J33" s="46">
        <v>0.0</v>
      </c>
      <c r="K33" s="46">
        <v>0.0</v>
      </c>
      <c r="L33" s="103">
        <v>9.0</v>
      </c>
      <c r="M33" s="46">
        <v>0.0</v>
      </c>
      <c r="N33" s="31">
        <f t="shared" ref="N33:O33" si="35">C33+L33</f>
        <v>83</v>
      </c>
      <c r="O33" s="31">
        <f t="shared" si="35"/>
        <v>6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3</v>
      </c>
      <c r="V33" s="46">
        <f t="shared" si="6"/>
        <v>-10</v>
      </c>
      <c r="W33" s="30">
        <f t="shared" si="9"/>
        <v>29</v>
      </c>
    </row>
    <row r="34">
      <c r="A34" s="30">
        <f t="shared" si="7"/>
        <v>30</v>
      </c>
      <c r="B34" s="43" t="s">
        <v>107</v>
      </c>
      <c r="C34" s="31">
        <v>74.0</v>
      </c>
      <c r="D34" s="31">
        <v>2.0</v>
      </c>
      <c r="E34" s="36">
        <f t="shared" si="2"/>
        <v>10.4</v>
      </c>
      <c r="F34" s="102">
        <v>2.0</v>
      </c>
      <c r="G34" s="46">
        <v>5.0</v>
      </c>
      <c r="H34" s="47">
        <v>0.0</v>
      </c>
      <c r="I34" s="46">
        <v>4.0</v>
      </c>
      <c r="J34" s="46">
        <v>6.0</v>
      </c>
      <c r="K34" s="46">
        <v>3.0</v>
      </c>
      <c r="L34" s="103">
        <v>13.0</v>
      </c>
      <c r="M34" s="46">
        <v>1.0</v>
      </c>
      <c r="N34" s="31">
        <f t="shared" ref="N34:O34" si="36">C34+L34</f>
        <v>87</v>
      </c>
      <c r="O34" s="31">
        <f t="shared" si="36"/>
        <v>3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1</v>
      </c>
      <c r="V34" s="46">
        <f t="shared" si="6"/>
        <v>0</v>
      </c>
      <c r="W34" s="30">
        <f t="shared" si="9"/>
        <v>30</v>
      </c>
    </row>
    <row r="35">
      <c r="A35" s="30">
        <f t="shared" si="7"/>
        <v>31</v>
      </c>
      <c r="B35" s="28" t="s">
        <v>119</v>
      </c>
      <c r="C35" s="31">
        <v>72.0</v>
      </c>
      <c r="D35" s="31">
        <v>7.0</v>
      </c>
      <c r="E35" s="36">
        <f t="shared" si="2"/>
        <v>10</v>
      </c>
      <c r="F35" s="102">
        <v>2.0</v>
      </c>
      <c r="G35" s="46">
        <v>5.0</v>
      </c>
      <c r="H35" s="47">
        <v>0.0</v>
      </c>
      <c r="I35" s="46">
        <v>4.0</v>
      </c>
      <c r="J35" s="46">
        <v>1.0</v>
      </c>
      <c r="K35" s="46">
        <v>6.0</v>
      </c>
      <c r="L35" s="103">
        <v>11.0</v>
      </c>
      <c r="M35" s="46">
        <v>1.0</v>
      </c>
      <c r="N35" s="31">
        <f t="shared" ref="N35:O35" si="37">C35+L35</f>
        <v>83</v>
      </c>
      <c r="O35" s="31">
        <f t="shared" si="37"/>
        <v>8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1</v>
      </c>
      <c r="V35" s="46">
        <f t="shared" si="6"/>
        <v>-7</v>
      </c>
      <c r="W35" s="30">
        <f t="shared" si="9"/>
        <v>31</v>
      </c>
    </row>
    <row r="36">
      <c r="A36" s="30">
        <f t="shared" si="7"/>
        <v>32</v>
      </c>
      <c r="B36" s="28" t="s">
        <v>34</v>
      </c>
      <c r="C36" s="31">
        <v>72.0</v>
      </c>
      <c r="D36" s="31">
        <v>6.0</v>
      </c>
      <c r="E36" s="36">
        <f t="shared" si="2"/>
        <v>12</v>
      </c>
      <c r="F36" s="102">
        <v>1.0</v>
      </c>
      <c r="G36" s="46">
        <v>5.0</v>
      </c>
      <c r="H36" s="47">
        <v>0.0</v>
      </c>
      <c r="I36" s="46">
        <v>6.0</v>
      </c>
      <c r="J36" s="46">
        <v>6.0</v>
      </c>
      <c r="K36" s="46">
        <v>6.0</v>
      </c>
      <c r="L36" s="103">
        <v>18.0</v>
      </c>
      <c r="M36" s="46">
        <v>3.0</v>
      </c>
      <c r="N36" s="31">
        <f t="shared" ref="N36:O36" si="38">C36+L36</f>
        <v>90</v>
      </c>
      <c r="O36" s="31">
        <f t="shared" si="38"/>
        <v>9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4</v>
      </c>
      <c r="V36" s="46">
        <f t="shared" si="6"/>
        <v>-7</v>
      </c>
      <c r="W36" s="30">
        <f t="shared" si="9"/>
        <v>32</v>
      </c>
    </row>
    <row r="37">
      <c r="A37" s="30">
        <f t="shared" si="7"/>
        <v>33</v>
      </c>
      <c r="B37" s="43" t="s">
        <v>111</v>
      </c>
      <c r="C37" s="47">
        <v>72.0</v>
      </c>
      <c r="D37" s="31">
        <v>6.0</v>
      </c>
      <c r="E37" s="36">
        <f t="shared" si="2"/>
        <v>10.5</v>
      </c>
      <c r="F37" s="102">
        <v>1.0</v>
      </c>
      <c r="G37" s="46">
        <v>6.0</v>
      </c>
      <c r="H37" s="47">
        <v>0.0</v>
      </c>
      <c r="I37" s="46">
        <v>7.0</v>
      </c>
      <c r="J37" s="46">
        <v>6.0</v>
      </c>
      <c r="K37" s="46">
        <v>6.0</v>
      </c>
      <c r="L37" s="103">
        <v>19.0</v>
      </c>
      <c r="M37" s="46">
        <v>3.0</v>
      </c>
      <c r="N37" s="47">
        <f t="shared" ref="N37:O37" si="39">C37+L37</f>
        <v>91</v>
      </c>
      <c r="O37" s="31">
        <f t="shared" si="39"/>
        <v>9</v>
      </c>
      <c r="P37" s="45" t="s">
        <v>58</v>
      </c>
      <c r="Q37" s="45" t="s">
        <v>58</v>
      </c>
      <c r="R37" s="45"/>
      <c r="S37" s="46">
        <f t="shared" si="4"/>
        <v>0</v>
      </c>
      <c r="T37" s="46"/>
      <c r="U37" s="46">
        <f t="shared" si="5"/>
        <v>1</v>
      </c>
      <c r="V37" s="46">
        <f t="shared" si="6"/>
        <v>10</v>
      </c>
      <c r="W37" s="30">
        <f t="shared" si="9"/>
        <v>33</v>
      </c>
    </row>
    <row r="38">
      <c r="A38" s="30">
        <f t="shared" si="7"/>
        <v>34</v>
      </c>
      <c r="B38" s="43" t="s">
        <v>133</v>
      </c>
      <c r="C38" s="31">
        <v>71.0</v>
      </c>
      <c r="D38" s="31">
        <v>5.0</v>
      </c>
      <c r="E38" s="36">
        <f t="shared" si="2"/>
        <v>10.33333333</v>
      </c>
      <c r="F38" s="102">
        <v>2.0</v>
      </c>
      <c r="G38" s="46">
        <v>6.0</v>
      </c>
      <c r="H38" s="47">
        <v>0.0</v>
      </c>
      <c r="I38" s="46">
        <v>5.0</v>
      </c>
      <c r="J38" s="46">
        <v>3.0</v>
      </c>
      <c r="K38" s="46">
        <v>6.0</v>
      </c>
      <c r="L38" s="103">
        <v>14.0</v>
      </c>
      <c r="M38" s="46">
        <v>1.0</v>
      </c>
      <c r="N38" s="31">
        <f t="shared" ref="N38:O38" si="40">C38+L38</f>
        <v>85</v>
      </c>
      <c r="O38" s="31">
        <f t="shared" si="40"/>
        <v>6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1</v>
      </c>
      <c r="V38" s="46">
        <f t="shared" si="6"/>
        <v>6</v>
      </c>
      <c r="W38" s="30">
        <f t="shared" si="9"/>
        <v>34</v>
      </c>
    </row>
    <row r="39">
      <c r="A39" s="30">
        <f t="shared" si="7"/>
        <v>35</v>
      </c>
      <c r="B39" s="43" t="s">
        <v>132</v>
      </c>
      <c r="C39" s="31">
        <v>70.0</v>
      </c>
      <c r="D39" s="31">
        <v>8.0</v>
      </c>
      <c r="E39" s="36">
        <f t="shared" si="2"/>
        <v>10</v>
      </c>
      <c r="F39" s="102">
        <v>1.0</v>
      </c>
      <c r="G39" s="46">
        <v>6.0</v>
      </c>
      <c r="H39" s="47">
        <v>0.0</v>
      </c>
      <c r="I39" s="46">
        <v>5.0</v>
      </c>
      <c r="J39" s="46">
        <v>6.0</v>
      </c>
      <c r="K39" s="46">
        <v>2.0</v>
      </c>
      <c r="L39" s="103">
        <v>13.0</v>
      </c>
      <c r="M39" s="46">
        <v>1.0</v>
      </c>
      <c r="N39" s="31">
        <f t="shared" ref="N39:O39" si="41">C39+L39</f>
        <v>83</v>
      </c>
      <c r="O39" s="31">
        <f t="shared" si="41"/>
        <v>9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0</v>
      </c>
      <c r="V39" s="46">
        <f t="shared" si="6"/>
        <v>-17</v>
      </c>
      <c r="W39" s="30">
        <f t="shared" si="9"/>
        <v>35</v>
      </c>
    </row>
    <row r="40">
      <c r="A40" s="30">
        <f t="shared" si="7"/>
        <v>36</v>
      </c>
      <c r="B40" s="48" t="s">
        <v>125</v>
      </c>
      <c r="C40" s="31">
        <v>70.0</v>
      </c>
      <c r="D40" s="31">
        <v>5.0</v>
      </c>
      <c r="E40" s="36">
        <f t="shared" si="2"/>
        <v>10</v>
      </c>
      <c r="F40" s="102">
        <v>1.0</v>
      </c>
      <c r="G40" s="46">
        <v>6.0</v>
      </c>
      <c r="H40" s="47">
        <v>0.0</v>
      </c>
      <c r="I40" s="46">
        <v>7.0</v>
      </c>
      <c r="J40" s="46">
        <v>3.0</v>
      </c>
      <c r="K40" s="46">
        <v>2.0</v>
      </c>
      <c r="L40" s="103">
        <v>12.0</v>
      </c>
      <c r="M40" s="46">
        <v>1.0</v>
      </c>
      <c r="N40" s="31">
        <f t="shared" ref="N40:O40" si="42">C40+L40</f>
        <v>82</v>
      </c>
      <c r="O40" s="31">
        <f t="shared" si="42"/>
        <v>6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8</v>
      </c>
      <c r="W40" s="30">
        <f t="shared" si="9"/>
        <v>36</v>
      </c>
    </row>
    <row r="41">
      <c r="A41" s="30">
        <f t="shared" si="7"/>
        <v>37</v>
      </c>
      <c r="B41" s="43" t="s">
        <v>79</v>
      </c>
      <c r="C41" s="31">
        <v>70.0</v>
      </c>
      <c r="D41" s="31">
        <v>4.0</v>
      </c>
      <c r="E41" s="36">
        <f t="shared" si="2"/>
        <v>10.16666667</v>
      </c>
      <c r="F41" s="102">
        <v>3.0</v>
      </c>
      <c r="G41" s="46">
        <v>0.0</v>
      </c>
      <c r="H41" s="47">
        <v>9.0</v>
      </c>
      <c r="I41" s="46">
        <v>0.0</v>
      </c>
      <c r="J41" s="46">
        <v>0.0</v>
      </c>
      <c r="K41" s="46">
        <v>0.0</v>
      </c>
      <c r="L41" s="103">
        <v>9.0</v>
      </c>
      <c r="M41" s="46">
        <v>0.0</v>
      </c>
      <c r="N41" s="31">
        <f t="shared" ref="N41:O41" si="43">C41+L41</f>
        <v>79</v>
      </c>
      <c r="O41" s="31">
        <f t="shared" si="43"/>
        <v>4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1</v>
      </c>
      <c r="V41" s="46">
        <f t="shared" si="6"/>
        <v>-14</v>
      </c>
      <c r="W41" s="30">
        <f t="shared" si="9"/>
        <v>37</v>
      </c>
    </row>
    <row r="42">
      <c r="A42" s="30">
        <f t="shared" si="7"/>
        <v>38</v>
      </c>
      <c r="B42" s="28" t="s">
        <v>105</v>
      </c>
      <c r="C42" s="31">
        <v>70.0</v>
      </c>
      <c r="D42" s="31">
        <v>4.0</v>
      </c>
      <c r="E42" s="36">
        <f t="shared" si="2"/>
        <v>9.75</v>
      </c>
      <c r="F42" s="102">
        <v>2.0</v>
      </c>
      <c r="G42" s="46">
        <v>7.0</v>
      </c>
      <c r="H42" s="47">
        <v>0.0</v>
      </c>
      <c r="I42" s="46">
        <v>6.0</v>
      </c>
      <c r="J42" s="46">
        <v>6.0</v>
      </c>
      <c r="K42" s="46">
        <v>3.0</v>
      </c>
      <c r="L42" s="103">
        <v>15.0</v>
      </c>
      <c r="M42" s="46">
        <v>1.0</v>
      </c>
      <c r="N42" s="31">
        <f t="shared" ref="N42:O42" si="44">C42+L42</f>
        <v>85</v>
      </c>
      <c r="O42" s="31">
        <f t="shared" si="44"/>
        <v>5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2</v>
      </c>
      <c r="V42" s="46">
        <f t="shared" si="6"/>
        <v>-5</v>
      </c>
      <c r="W42" s="30">
        <f t="shared" si="9"/>
        <v>38</v>
      </c>
    </row>
    <row r="43">
      <c r="A43" s="30">
        <f t="shared" si="7"/>
        <v>39</v>
      </c>
      <c r="B43" s="43" t="s">
        <v>96</v>
      </c>
      <c r="C43" s="31">
        <v>70.0</v>
      </c>
      <c r="D43" s="31">
        <v>4.0</v>
      </c>
      <c r="E43" s="36">
        <f t="shared" si="2"/>
        <v>9.5</v>
      </c>
      <c r="F43" s="102">
        <v>1.0</v>
      </c>
      <c r="G43" s="46">
        <v>7.0</v>
      </c>
      <c r="H43" s="47">
        <v>0.0</v>
      </c>
      <c r="I43" s="46">
        <v>6.0</v>
      </c>
      <c r="J43" s="46">
        <v>0.0</v>
      </c>
      <c r="K43" s="46">
        <v>6.0</v>
      </c>
      <c r="L43" s="103">
        <v>12.0</v>
      </c>
      <c r="M43" s="46">
        <v>1.0</v>
      </c>
      <c r="N43" s="31">
        <f t="shared" ref="N43:O43" si="45">C43+L43</f>
        <v>82</v>
      </c>
      <c r="O43" s="31">
        <f t="shared" si="45"/>
        <v>5</v>
      </c>
      <c r="P43" s="45" t="s">
        <v>58</v>
      </c>
      <c r="Q43" s="45" t="s">
        <v>58</v>
      </c>
      <c r="R43" s="45"/>
      <c r="S43" s="46">
        <f t="shared" si="4"/>
        <v>1</v>
      </c>
      <c r="T43" s="46"/>
      <c r="U43" s="46">
        <f t="shared" si="5"/>
        <v>0</v>
      </c>
      <c r="V43" s="46">
        <f t="shared" si="6"/>
        <v>6</v>
      </c>
      <c r="W43" s="30">
        <f t="shared" si="9"/>
        <v>39</v>
      </c>
    </row>
    <row r="44">
      <c r="A44" s="30">
        <f t="shared" si="7"/>
        <v>40</v>
      </c>
      <c r="B44" s="43" t="s">
        <v>61</v>
      </c>
      <c r="C44" s="47">
        <v>69.0</v>
      </c>
      <c r="D44" s="31">
        <v>8.0</v>
      </c>
      <c r="E44" s="36">
        <f t="shared" si="2"/>
        <v>9.857142857</v>
      </c>
      <c r="F44" s="102">
        <v>1.0</v>
      </c>
      <c r="G44" s="46">
        <v>7.0</v>
      </c>
      <c r="H44" s="47">
        <v>0.0</v>
      </c>
      <c r="I44" s="46">
        <v>7.0</v>
      </c>
      <c r="J44" s="46">
        <v>0.0</v>
      </c>
      <c r="K44" s="46">
        <v>3.0</v>
      </c>
      <c r="L44" s="103">
        <v>10.0</v>
      </c>
      <c r="M44" s="46">
        <v>1.0</v>
      </c>
      <c r="N44" s="47">
        <f t="shared" ref="N44:O44" si="46">C44+L44</f>
        <v>79</v>
      </c>
      <c r="O44" s="31">
        <f t="shared" si="46"/>
        <v>9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0</v>
      </c>
      <c r="V44" s="46">
        <f t="shared" si="6"/>
        <v>11</v>
      </c>
      <c r="W44" s="30">
        <f t="shared" si="9"/>
        <v>40</v>
      </c>
    </row>
    <row r="45">
      <c r="A45" s="30">
        <f t="shared" si="7"/>
        <v>41</v>
      </c>
      <c r="B45" s="48" t="s">
        <v>82</v>
      </c>
      <c r="C45" s="31">
        <v>69.0</v>
      </c>
      <c r="D45" s="31">
        <v>5.0</v>
      </c>
      <c r="E45" s="36">
        <f t="shared" si="2"/>
        <v>10.5</v>
      </c>
      <c r="F45" s="102">
        <v>1.0</v>
      </c>
      <c r="G45" s="46">
        <v>7.0</v>
      </c>
      <c r="H45" s="47">
        <v>0.0</v>
      </c>
      <c r="I45" s="46">
        <v>7.0</v>
      </c>
      <c r="J45" s="46">
        <v>6.0</v>
      </c>
      <c r="K45" s="46">
        <v>6.0</v>
      </c>
      <c r="L45" s="103">
        <v>19.0</v>
      </c>
      <c r="M45" s="46">
        <v>3.0</v>
      </c>
      <c r="N45" s="31">
        <f t="shared" ref="N45:O45" si="47">C45+L45</f>
        <v>88</v>
      </c>
      <c r="O45" s="31">
        <f t="shared" si="47"/>
        <v>8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3</v>
      </c>
      <c r="V45" s="46">
        <f t="shared" si="6"/>
        <v>-7</v>
      </c>
      <c r="W45" s="30">
        <f t="shared" si="9"/>
        <v>41</v>
      </c>
    </row>
    <row r="46">
      <c r="A46" s="30">
        <f t="shared" si="7"/>
        <v>42</v>
      </c>
      <c r="B46" s="43" t="s">
        <v>64</v>
      </c>
      <c r="C46" s="47">
        <v>69.0</v>
      </c>
      <c r="D46" s="31">
        <v>5.0</v>
      </c>
      <c r="E46" s="36">
        <f t="shared" si="2"/>
        <v>10.2</v>
      </c>
      <c r="F46" s="102">
        <v>1.0</v>
      </c>
      <c r="G46" s="46">
        <v>8.0</v>
      </c>
      <c r="H46" s="47">
        <v>0.0</v>
      </c>
      <c r="I46" s="46">
        <v>6.0</v>
      </c>
      <c r="J46" s="46">
        <v>6.0</v>
      </c>
      <c r="K46" s="46">
        <v>6.0</v>
      </c>
      <c r="L46" s="103">
        <v>18.0</v>
      </c>
      <c r="M46" s="46">
        <v>3.0</v>
      </c>
      <c r="N46" s="47">
        <f t="shared" ref="N46:O46" si="48">C46+L46</f>
        <v>87</v>
      </c>
      <c r="O46" s="31">
        <f t="shared" si="48"/>
        <v>8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2</v>
      </c>
      <c r="V46" s="46">
        <f t="shared" si="6"/>
        <v>-7</v>
      </c>
      <c r="W46" s="30">
        <f t="shared" si="9"/>
        <v>42</v>
      </c>
    </row>
    <row r="47">
      <c r="A47" s="30">
        <f t="shared" si="7"/>
        <v>43</v>
      </c>
      <c r="B47" s="48" t="s">
        <v>134</v>
      </c>
      <c r="C47" s="31">
        <v>69.0</v>
      </c>
      <c r="D47" s="31">
        <v>5.0</v>
      </c>
      <c r="E47" s="36">
        <f t="shared" si="2"/>
        <v>9.5</v>
      </c>
      <c r="F47" s="102">
        <v>1.0</v>
      </c>
      <c r="G47" s="46">
        <v>8.0</v>
      </c>
      <c r="H47" s="47">
        <v>0.0</v>
      </c>
      <c r="I47" s="46">
        <v>6.0</v>
      </c>
      <c r="J47" s="46">
        <v>4.0</v>
      </c>
      <c r="K47" s="46">
        <v>4.0</v>
      </c>
      <c r="L47" s="103">
        <v>14.0</v>
      </c>
      <c r="M47" s="46">
        <v>1.0</v>
      </c>
      <c r="N47" s="31">
        <f t="shared" ref="N47:O47" si="49">C47+L47</f>
        <v>83</v>
      </c>
      <c r="O47" s="31">
        <f t="shared" si="49"/>
        <v>6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2</v>
      </c>
      <c r="V47" s="46">
        <f t="shared" si="6"/>
        <v>-5</v>
      </c>
      <c r="W47" s="30">
        <f t="shared" si="9"/>
        <v>43</v>
      </c>
    </row>
    <row r="48">
      <c r="A48" s="30">
        <f t="shared" si="7"/>
        <v>44</v>
      </c>
      <c r="B48" s="28" t="s">
        <v>49</v>
      </c>
      <c r="C48" s="31">
        <v>68.0</v>
      </c>
      <c r="D48" s="31">
        <v>5.0</v>
      </c>
      <c r="E48" s="36">
        <f t="shared" si="2"/>
        <v>9.166666667</v>
      </c>
      <c r="F48" s="102">
        <v>1.0</v>
      </c>
      <c r="G48" s="46">
        <v>8.0</v>
      </c>
      <c r="H48" s="47">
        <v>0.0</v>
      </c>
      <c r="I48" s="46">
        <v>1.0</v>
      </c>
      <c r="J48" s="46">
        <v>4.0</v>
      </c>
      <c r="K48" s="46">
        <v>6.0</v>
      </c>
      <c r="L48" s="103">
        <v>11.0</v>
      </c>
      <c r="M48" s="46">
        <v>1.0</v>
      </c>
      <c r="N48" s="31">
        <f t="shared" ref="N48:O48" si="50">C48+L48</f>
        <v>79</v>
      </c>
      <c r="O48" s="31">
        <f t="shared" si="50"/>
        <v>6</v>
      </c>
      <c r="P48" s="45" t="s">
        <v>58</v>
      </c>
      <c r="Q48" s="45" t="s">
        <v>58</v>
      </c>
      <c r="R48" s="45" t="s">
        <v>58</v>
      </c>
      <c r="S48" s="46">
        <f t="shared" si="4"/>
        <v>1</v>
      </c>
      <c r="T48" s="46"/>
      <c r="U48" s="46">
        <f t="shared" si="5"/>
        <v>0</v>
      </c>
      <c r="V48" s="46">
        <f t="shared" si="6"/>
        <v>-3</v>
      </c>
      <c r="W48" s="30">
        <f t="shared" si="9"/>
        <v>44</v>
      </c>
    </row>
    <row r="49">
      <c r="A49" s="30">
        <f t="shared" si="7"/>
        <v>45</v>
      </c>
      <c r="B49" s="43" t="s">
        <v>99</v>
      </c>
      <c r="C49" s="31">
        <v>68.0</v>
      </c>
      <c r="D49" s="31">
        <v>4.0</v>
      </c>
      <c r="E49" s="36">
        <f t="shared" si="2"/>
        <v>10.66666667</v>
      </c>
      <c r="F49" s="102">
        <v>3.0</v>
      </c>
      <c r="G49" s="46">
        <v>0.0</v>
      </c>
      <c r="H49" s="47">
        <v>9.0</v>
      </c>
      <c r="I49" s="46">
        <v>0.0</v>
      </c>
      <c r="J49" s="46">
        <v>0.0</v>
      </c>
      <c r="K49" s="46">
        <v>0.0</v>
      </c>
      <c r="L49" s="103">
        <v>9.0</v>
      </c>
      <c r="M49" s="46">
        <v>0.0</v>
      </c>
      <c r="N49" s="31">
        <f t="shared" ref="N49:O49" si="51">C49+L49</f>
        <v>77</v>
      </c>
      <c r="O49" s="31">
        <f t="shared" si="51"/>
        <v>4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4</v>
      </c>
      <c r="V49" s="46">
        <f t="shared" si="6"/>
        <v>-6</v>
      </c>
      <c r="W49" s="30">
        <f t="shared" si="9"/>
        <v>45</v>
      </c>
    </row>
    <row r="50">
      <c r="A50" s="30">
        <f t="shared" si="7"/>
        <v>46</v>
      </c>
      <c r="B50" s="48" t="s">
        <v>70</v>
      </c>
      <c r="C50" s="31">
        <v>68.0</v>
      </c>
      <c r="D50" s="31">
        <v>4.0</v>
      </c>
      <c r="E50" s="36">
        <f t="shared" si="2"/>
        <v>9.166666667</v>
      </c>
      <c r="F50" s="102">
        <v>2.0</v>
      </c>
      <c r="G50" s="46">
        <v>8.0</v>
      </c>
      <c r="H50" s="47">
        <v>0.0</v>
      </c>
      <c r="I50" s="46">
        <v>1.0</v>
      </c>
      <c r="J50" s="46">
        <v>6.0</v>
      </c>
      <c r="K50" s="46">
        <v>4.0</v>
      </c>
      <c r="L50" s="103">
        <v>11.0</v>
      </c>
      <c r="M50" s="46">
        <v>1.0</v>
      </c>
      <c r="N50" s="31">
        <f t="shared" ref="N50:O50" si="52">C50+L50</f>
        <v>79</v>
      </c>
      <c r="O50" s="31">
        <f t="shared" si="52"/>
        <v>5</v>
      </c>
      <c r="P50" s="45" t="s">
        <v>58</v>
      </c>
      <c r="Q50" s="45" t="s">
        <v>58</v>
      </c>
      <c r="R50" s="45"/>
      <c r="S50" s="46">
        <f t="shared" si="4"/>
        <v>1</v>
      </c>
      <c r="T50" s="46"/>
      <c r="U50" s="46">
        <f t="shared" si="5"/>
        <v>0</v>
      </c>
      <c r="V50" s="46">
        <f t="shared" si="6"/>
        <v>-9</v>
      </c>
      <c r="W50" s="30">
        <f t="shared" si="9"/>
        <v>46</v>
      </c>
    </row>
    <row r="51">
      <c r="A51" s="30">
        <f t="shared" si="7"/>
        <v>47</v>
      </c>
      <c r="B51" s="48" t="s">
        <v>54</v>
      </c>
      <c r="C51" s="31">
        <v>67.0</v>
      </c>
      <c r="D51" s="31">
        <v>5.0</v>
      </c>
      <c r="E51" s="36">
        <f t="shared" si="2"/>
        <v>9</v>
      </c>
      <c r="F51" s="102">
        <v>1.0</v>
      </c>
      <c r="G51" s="46">
        <v>10.0</v>
      </c>
      <c r="H51" s="47">
        <v>0.0</v>
      </c>
      <c r="I51" s="46">
        <v>3.0</v>
      </c>
      <c r="J51" s="46">
        <v>1.0</v>
      </c>
      <c r="K51" s="46">
        <v>6.0</v>
      </c>
      <c r="L51" s="103">
        <v>10.0</v>
      </c>
      <c r="M51" s="46">
        <v>1.0</v>
      </c>
      <c r="N51" s="31">
        <f t="shared" ref="N51:O51" si="53">C51+L51</f>
        <v>77</v>
      </c>
      <c r="O51" s="31">
        <f t="shared" si="53"/>
        <v>6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0</v>
      </c>
      <c r="V51" s="46">
        <f t="shared" si="6"/>
        <v>-11</v>
      </c>
      <c r="W51" s="30">
        <f t="shared" si="9"/>
        <v>47</v>
      </c>
    </row>
    <row r="52">
      <c r="A52" s="30">
        <f t="shared" si="7"/>
        <v>48</v>
      </c>
      <c r="B52" s="28" t="s">
        <v>102</v>
      </c>
      <c r="C52" s="31">
        <v>67.0</v>
      </c>
      <c r="D52" s="31">
        <v>3.0</v>
      </c>
      <c r="E52" s="36">
        <f t="shared" si="2"/>
        <v>9</v>
      </c>
      <c r="F52" s="102">
        <v>1.0</v>
      </c>
      <c r="G52" s="46">
        <v>10.0</v>
      </c>
      <c r="H52" s="47">
        <v>0.0</v>
      </c>
      <c r="I52" s="46">
        <v>6.0</v>
      </c>
      <c r="J52" s="46">
        <v>6.0</v>
      </c>
      <c r="K52" s="46">
        <v>6.0</v>
      </c>
      <c r="L52" s="103">
        <v>18.0</v>
      </c>
      <c r="M52" s="46">
        <v>3.0</v>
      </c>
      <c r="N52" s="31">
        <f t="shared" ref="N52:O52" si="54">C52+L52</f>
        <v>85</v>
      </c>
      <c r="O52" s="31">
        <f t="shared" si="54"/>
        <v>6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4</v>
      </c>
      <c r="V52" s="46">
        <f t="shared" si="6"/>
        <v>7</v>
      </c>
      <c r="W52" s="30">
        <f t="shared" si="9"/>
        <v>48</v>
      </c>
    </row>
    <row r="53">
      <c r="A53" s="30">
        <f t="shared" si="7"/>
        <v>49</v>
      </c>
      <c r="B53" s="28" t="s">
        <v>93</v>
      </c>
      <c r="C53" s="31">
        <v>65.0</v>
      </c>
      <c r="D53" s="31">
        <v>4.0</v>
      </c>
      <c r="E53" s="36">
        <f t="shared" si="2"/>
        <v>9.666666667</v>
      </c>
      <c r="F53" s="102">
        <v>3.0</v>
      </c>
      <c r="G53" s="46">
        <v>0.0</v>
      </c>
      <c r="H53" s="47">
        <v>9.0</v>
      </c>
      <c r="I53" s="46">
        <v>0.0</v>
      </c>
      <c r="J53" s="46">
        <v>0.0</v>
      </c>
      <c r="K53" s="46">
        <v>0.0</v>
      </c>
      <c r="L53" s="103">
        <v>9.0</v>
      </c>
      <c r="M53" s="46">
        <v>0.0</v>
      </c>
      <c r="N53" s="31">
        <f t="shared" ref="N53:O53" si="55">C53+L53</f>
        <v>74</v>
      </c>
      <c r="O53" s="31">
        <f t="shared" si="55"/>
        <v>4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4</v>
      </c>
      <c r="V53" s="46">
        <f t="shared" si="6"/>
        <v>-3</v>
      </c>
      <c r="W53" s="30">
        <f t="shared" si="9"/>
        <v>49</v>
      </c>
    </row>
    <row r="54">
      <c r="A54" s="30">
        <f t="shared" si="7"/>
        <v>50</v>
      </c>
      <c r="B54" s="43" t="s">
        <v>140</v>
      </c>
      <c r="C54" s="31">
        <v>64.0</v>
      </c>
      <c r="D54" s="31">
        <v>6.0</v>
      </c>
      <c r="E54" s="36">
        <f t="shared" si="2"/>
        <v>8.25</v>
      </c>
      <c r="F54" s="102">
        <v>5.0</v>
      </c>
      <c r="G54" s="46">
        <v>0.0</v>
      </c>
      <c r="H54" s="47">
        <v>13.0</v>
      </c>
      <c r="I54" s="46">
        <v>0.0</v>
      </c>
      <c r="J54" s="46">
        <v>0.0</v>
      </c>
      <c r="K54" s="46">
        <v>0.0</v>
      </c>
      <c r="L54" s="103">
        <v>13.0</v>
      </c>
      <c r="M54" s="46">
        <v>0.0</v>
      </c>
      <c r="N54" s="31">
        <f t="shared" ref="N54:O54" si="56">C54+L54</f>
        <v>77</v>
      </c>
      <c r="O54" s="31">
        <f t="shared" si="56"/>
        <v>6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2</v>
      </c>
      <c r="V54" s="46">
        <f t="shared" si="6"/>
        <v>-2</v>
      </c>
      <c r="W54" s="30">
        <f t="shared" si="9"/>
        <v>50</v>
      </c>
    </row>
    <row r="55">
      <c r="A55" s="30">
        <f t="shared" si="7"/>
        <v>51</v>
      </c>
      <c r="B55" s="43" t="s">
        <v>131</v>
      </c>
      <c r="C55" s="31">
        <v>62.0</v>
      </c>
      <c r="D55" s="31">
        <v>1.0</v>
      </c>
      <c r="E55" s="36">
        <f t="shared" si="2"/>
        <v>8.5</v>
      </c>
      <c r="F55" s="102">
        <v>3.0</v>
      </c>
      <c r="G55" s="46">
        <v>0.0</v>
      </c>
      <c r="H55" s="47">
        <v>9.0</v>
      </c>
      <c r="I55" s="46">
        <v>0.0</v>
      </c>
      <c r="J55" s="46">
        <v>0.0</v>
      </c>
      <c r="K55" s="46">
        <v>0.0</v>
      </c>
      <c r="L55" s="103">
        <v>9.0</v>
      </c>
      <c r="M55" s="46">
        <v>0.0</v>
      </c>
      <c r="N55" s="31">
        <f t="shared" ref="N55:O55" si="57">C55+L55</f>
        <v>71</v>
      </c>
      <c r="O55" s="31">
        <f t="shared" si="57"/>
        <v>1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5</v>
      </c>
      <c r="V55" s="46">
        <f t="shared" si="6"/>
        <v>-2</v>
      </c>
      <c r="W55" s="30">
        <f t="shared" si="9"/>
        <v>51</v>
      </c>
    </row>
    <row r="56">
      <c r="A56" s="30">
        <f t="shared" si="7"/>
        <v>52</v>
      </c>
      <c r="B56" s="43" t="s">
        <v>136</v>
      </c>
      <c r="C56" s="31">
        <v>60.0</v>
      </c>
      <c r="D56" s="31">
        <v>6.0</v>
      </c>
      <c r="E56" s="36">
        <f t="shared" si="2"/>
        <v>8.5</v>
      </c>
      <c r="F56" s="102">
        <v>1.0</v>
      </c>
      <c r="G56" s="46">
        <v>10.0</v>
      </c>
      <c r="H56" s="47">
        <v>0.0</v>
      </c>
      <c r="I56" s="46">
        <v>3.0</v>
      </c>
      <c r="J56" s="46">
        <v>6.0</v>
      </c>
      <c r="K56" s="46">
        <v>3.0</v>
      </c>
      <c r="L56" s="103">
        <v>12.0</v>
      </c>
      <c r="M56" s="46">
        <v>1.0</v>
      </c>
      <c r="N56" s="31">
        <f t="shared" ref="N56:O56" si="58">C56+L56</f>
        <v>72</v>
      </c>
      <c r="O56" s="31">
        <f t="shared" si="58"/>
        <v>7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1</v>
      </c>
      <c r="V56" s="46">
        <f t="shared" si="6"/>
        <v>-2</v>
      </c>
      <c r="W56" s="30">
        <f t="shared" si="9"/>
        <v>52</v>
      </c>
    </row>
    <row r="57">
      <c r="A57" s="30">
        <f t="shared" si="7"/>
        <v>53</v>
      </c>
      <c r="B57" s="28" t="s">
        <v>80</v>
      </c>
      <c r="C57" s="31">
        <v>58.0</v>
      </c>
      <c r="D57" s="31">
        <v>0.0</v>
      </c>
      <c r="E57" s="36">
        <f t="shared" si="2"/>
        <v>0</v>
      </c>
      <c r="F57" s="102">
        <v>3.0</v>
      </c>
      <c r="G57" s="46">
        <v>0.0</v>
      </c>
      <c r="H57" s="47">
        <v>9.0</v>
      </c>
      <c r="I57" s="46">
        <v>0.0</v>
      </c>
      <c r="J57" s="46">
        <v>0.0</v>
      </c>
      <c r="K57" s="46">
        <v>0.0</v>
      </c>
      <c r="L57" s="103">
        <v>9.0</v>
      </c>
      <c r="M57" s="46">
        <v>0.0</v>
      </c>
      <c r="N57" s="31">
        <f t="shared" ref="N57:O57" si="59">C57+L57</f>
        <v>67</v>
      </c>
      <c r="O57" s="31">
        <f t="shared" si="59"/>
        <v>0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6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28" t="s">
        <v>72</v>
      </c>
      <c r="C58" s="31">
        <v>58.0</v>
      </c>
      <c r="D58" s="31">
        <v>0.0</v>
      </c>
      <c r="E58" s="36">
        <f t="shared" si="2"/>
        <v>0</v>
      </c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60">C58+L58</f>
        <v>67</v>
      </c>
      <c r="O58" s="31">
        <f t="shared" si="60"/>
        <v>0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6</v>
      </c>
      <c r="V58" s="46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57.0</v>
      </c>
      <c r="D59" s="31">
        <v>1.0</v>
      </c>
      <c r="E59" s="36">
        <f t="shared" si="2"/>
        <v>-1</v>
      </c>
      <c r="F59" s="102">
        <v>3.0</v>
      </c>
      <c r="G59" s="46">
        <v>0.0</v>
      </c>
      <c r="H59" s="47">
        <v>9.0</v>
      </c>
      <c r="I59" s="46">
        <v>0.0</v>
      </c>
      <c r="J59" s="46">
        <v>0.0</v>
      </c>
      <c r="K59" s="46">
        <v>0.0</v>
      </c>
      <c r="L59" s="103">
        <v>9.0</v>
      </c>
      <c r="M59" s="46">
        <v>0.0</v>
      </c>
      <c r="N59" s="31">
        <f t="shared" ref="N59:O59" si="61">C59+L59</f>
        <v>66</v>
      </c>
      <c r="O59" s="31">
        <f t="shared" si="61"/>
        <v>1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5</v>
      </c>
      <c r="V59" s="46">
        <f t="shared" si="6"/>
        <v>2</v>
      </c>
      <c r="W59" s="30">
        <f t="shared" si="9"/>
        <v>55</v>
      </c>
    </row>
    <row r="60">
      <c r="A60" s="30">
        <f t="shared" si="7"/>
        <v>56</v>
      </c>
      <c r="B60" s="43" t="s">
        <v>138</v>
      </c>
      <c r="C60" s="47">
        <v>56.0</v>
      </c>
      <c r="D60" s="31">
        <v>5.0</v>
      </c>
      <c r="E60" s="36">
        <f t="shared" si="2"/>
        <v>7.6</v>
      </c>
      <c r="F60" s="102">
        <v>1.0</v>
      </c>
      <c r="G60" s="46">
        <v>10.0</v>
      </c>
      <c r="H60" s="47">
        <v>0.0</v>
      </c>
      <c r="I60" s="46">
        <v>6.0</v>
      </c>
      <c r="J60" s="46">
        <v>1.0</v>
      </c>
      <c r="K60" s="46">
        <v>3.0</v>
      </c>
      <c r="L60" s="103">
        <v>10.0</v>
      </c>
      <c r="M60" s="46">
        <v>1.0</v>
      </c>
      <c r="N60" s="47">
        <f t="shared" ref="N60:O60" si="62">C60+L60</f>
        <v>66</v>
      </c>
      <c r="O60" s="31">
        <f t="shared" si="62"/>
        <v>6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2</v>
      </c>
      <c r="V60" s="46">
        <f t="shared" si="6"/>
        <v>-4</v>
      </c>
      <c r="W60" s="30">
        <f t="shared" si="9"/>
        <v>56</v>
      </c>
    </row>
    <row r="61">
      <c r="A61" s="30">
        <f t="shared" si="7"/>
        <v>57</v>
      </c>
      <c r="B61" s="48" t="s">
        <v>103</v>
      </c>
      <c r="C61" s="31">
        <v>55.0</v>
      </c>
      <c r="D61" s="31">
        <v>3.0</v>
      </c>
      <c r="E61" s="36">
        <f t="shared" si="2"/>
        <v>6.333333333</v>
      </c>
      <c r="F61" s="102">
        <v>1.0</v>
      </c>
      <c r="G61" s="46">
        <v>11.0</v>
      </c>
      <c r="H61" s="47">
        <v>0.0</v>
      </c>
      <c r="I61" s="46">
        <v>6.0</v>
      </c>
      <c r="J61" s="46">
        <v>7.0</v>
      </c>
      <c r="K61" s="46">
        <v>3.0</v>
      </c>
      <c r="L61" s="103">
        <v>16.0</v>
      </c>
      <c r="M61" s="46">
        <v>2.0</v>
      </c>
      <c r="N61" s="31">
        <f t="shared" ref="N61:O61" si="63">C61+L61</f>
        <v>71</v>
      </c>
      <c r="O61" s="31">
        <f t="shared" si="63"/>
        <v>5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4</v>
      </c>
      <c r="V61" s="46">
        <f t="shared" si="6"/>
        <v>-1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54.0</v>
      </c>
      <c r="D62" s="31">
        <v>2.0</v>
      </c>
      <c r="E62" s="36">
        <f t="shared" si="2"/>
        <v>6</v>
      </c>
      <c r="F62" s="102">
        <v>3.0</v>
      </c>
      <c r="G62" s="46">
        <v>0.0</v>
      </c>
      <c r="H62" s="47">
        <v>9.0</v>
      </c>
      <c r="I62" s="46">
        <v>0.0</v>
      </c>
      <c r="J62" s="46">
        <v>0.0</v>
      </c>
      <c r="K62" s="46">
        <v>0.0</v>
      </c>
      <c r="L62" s="103">
        <v>9.0</v>
      </c>
      <c r="M62" s="46">
        <v>0.0</v>
      </c>
      <c r="N62" s="47">
        <f t="shared" ref="N62:O62" si="64">C62+L62</f>
        <v>63</v>
      </c>
      <c r="O62" s="31">
        <f t="shared" si="64"/>
        <v>2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4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76</v>
      </c>
      <c r="C63" s="31">
        <v>54.0</v>
      </c>
      <c r="D63" s="31">
        <v>0.0</v>
      </c>
      <c r="E63" s="36">
        <f t="shared" si="2"/>
        <v>0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63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7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43" t="s">
        <v>126</v>
      </c>
      <c r="C64" s="31">
        <v>54.0</v>
      </c>
      <c r="D64" s="31">
        <v>0.0</v>
      </c>
      <c r="E64" s="36">
        <f t="shared" si="2"/>
        <v>0</v>
      </c>
      <c r="F64" s="102">
        <v>3.0</v>
      </c>
      <c r="G64" s="46">
        <v>0.0</v>
      </c>
      <c r="H64" s="47">
        <v>9.0</v>
      </c>
      <c r="I64" s="46">
        <v>0.0</v>
      </c>
      <c r="J64" s="46">
        <v>0.0</v>
      </c>
      <c r="K64" s="46">
        <v>0.0</v>
      </c>
      <c r="L64" s="103">
        <v>9.0</v>
      </c>
      <c r="M64" s="46">
        <v>0.0</v>
      </c>
      <c r="N64" s="31">
        <f t="shared" ref="N64:O64" si="66">C64+L64</f>
        <v>63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7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8" t="s">
        <v>139</v>
      </c>
      <c r="C65" s="31">
        <v>54.0</v>
      </c>
      <c r="D65" s="31">
        <v>0.0</v>
      </c>
      <c r="E65" s="36">
        <f t="shared" si="2"/>
        <v>0</v>
      </c>
      <c r="F65" s="102">
        <v>4.0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31">
        <f t="shared" ref="N65:O65" si="67">C65+L65</f>
        <v>63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7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142</v>
      </c>
      <c r="C66" s="47">
        <v>51.0</v>
      </c>
      <c r="D66" s="31">
        <v>2.0</v>
      </c>
      <c r="E66" s="36">
        <f t="shared" si="2"/>
        <v>5</v>
      </c>
      <c r="F66" s="102">
        <v>1.0</v>
      </c>
      <c r="G66" s="46">
        <v>11.0</v>
      </c>
      <c r="H66" s="47">
        <v>0.0</v>
      </c>
      <c r="I66" s="46">
        <v>6.0</v>
      </c>
      <c r="J66" s="46">
        <v>6.0</v>
      </c>
      <c r="K66" s="46">
        <v>6.0</v>
      </c>
      <c r="L66" s="103">
        <v>18.0</v>
      </c>
      <c r="M66" s="46">
        <v>2.0</v>
      </c>
      <c r="N66" s="47">
        <f t="shared" ref="N66:O66" si="68">C66+L66</f>
        <v>69</v>
      </c>
      <c r="O66" s="31">
        <f t="shared" si="68"/>
        <v>4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4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100</v>
      </c>
      <c r="C67" s="31">
        <v>49.0</v>
      </c>
      <c r="D67" s="31">
        <v>4.0</v>
      </c>
      <c r="E67" s="36">
        <f t="shared" si="2"/>
        <v>6.2</v>
      </c>
      <c r="F67" s="102">
        <v>1.0</v>
      </c>
      <c r="G67" s="46">
        <v>11.0</v>
      </c>
      <c r="H67" s="47">
        <v>0.0</v>
      </c>
      <c r="I67" s="46">
        <v>2.0</v>
      </c>
      <c r="J67" s="46">
        <v>7.0</v>
      </c>
      <c r="K67" s="46">
        <v>6.0</v>
      </c>
      <c r="L67" s="103">
        <v>15.0</v>
      </c>
      <c r="M67" s="46">
        <v>2.0</v>
      </c>
      <c r="N67" s="31">
        <f t="shared" ref="N67:O67" si="69">C67+L67</f>
        <v>64</v>
      </c>
      <c r="O67" s="31">
        <f t="shared" si="69"/>
        <v>6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2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49.0</v>
      </c>
      <c r="D68" s="31">
        <v>1.0</v>
      </c>
      <c r="E68" s="36">
        <f t="shared" si="2"/>
        <v>4.333333333</v>
      </c>
      <c r="F68" s="102">
        <v>3.0</v>
      </c>
      <c r="G68" s="46">
        <v>0.0</v>
      </c>
      <c r="H68" s="47">
        <v>9.0</v>
      </c>
      <c r="I68" s="46">
        <v>0.0</v>
      </c>
      <c r="J68" s="46">
        <v>0.0</v>
      </c>
      <c r="K68" s="46">
        <v>0.0</v>
      </c>
      <c r="L68" s="103">
        <v>9.0</v>
      </c>
      <c r="M68" s="46">
        <v>0.0</v>
      </c>
      <c r="N68" s="31">
        <f t="shared" ref="N68:O68" si="70">C68+L68</f>
        <v>58</v>
      </c>
      <c r="O68" s="31">
        <f t="shared" si="70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4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46.0</v>
      </c>
      <c r="D69" s="31">
        <v>1.0</v>
      </c>
      <c r="E69" s="36">
        <f t="shared" si="2"/>
        <v>4.75</v>
      </c>
      <c r="F69" s="102">
        <v>1.0</v>
      </c>
      <c r="G69" s="46">
        <v>11.0</v>
      </c>
      <c r="H69" s="47">
        <v>0.0</v>
      </c>
      <c r="I69" s="46">
        <v>2.0</v>
      </c>
      <c r="J69" s="46">
        <v>6.0</v>
      </c>
      <c r="K69" s="46">
        <v>3.0</v>
      </c>
      <c r="L69" s="103">
        <v>11.0</v>
      </c>
      <c r="M69" s="46">
        <v>0.0</v>
      </c>
      <c r="N69" s="47">
        <f t="shared" ref="N69:O69" si="71">C69+L69</f>
        <v>57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3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desc"",0)"),"David Shin")</f>
        <v>David Shin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IFERROR(__xludf.DUMMYFUNCTION("""COMPUTED_VALUE"""),4.0)</f>
        <v>4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IFERROR(__xludf.DUMMYFUNCTION("""COMPUTED_VALUE"""),"Hongyuan Wen")</f>
        <v>Hongyuan Wen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IFERROR(__xludf.DUMMYFUNCTION("""COMPUTED_VALUE"""),6.0)</f>
        <v>6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IFERROR(__xludf.DUMMYFUNCTION("""COMPUTED_VALUE"""),"Scott Li")</f>
        <v>Scott Li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IFERROR(__xludf.DUMMYFUNCTION("""COMPUTED_VALUE"""),"Troy Wong")</f>
        <v>Troy Wong</v>
      </c>
      <c r="C79" s="84">
        <f>IFERROR(__xludf.DUMMYFUNCTION("""COMPUTED_VALUE"""),19.0)</f>
        <v>19</v>
      </c>
      <c r="D79" s="84">
        <f>IFERROR(__xludf.DUMMYFUNCTION("""COMPUTED_VALUE"""),2.0)</f>
        <v>2</v>
      </c>
      <c r="E79" s="84">
        <f>IFERROR(__xludf.DUMMYFUNCTION("""COMPUTED_VALUE"""),1.0)</f>
        <v>1</v>
      </c>
      <c r="F79" s="1"/>
      <c r="P79" s="33" t="s">
        <v>172</v>
      </c>
    </row>
    <row r="80">
      <c r="A80" s="1"/>
      <c r="B80" s="43" t="str">
        <f>IFERROR(__xludf.DUMMYFUNCTION("""COMPUTED_VALUE"""),"Basudev Thoppai Vidyasankar")</f>
        <v>Basudev Thoppai Vidyasankar</v>
      </c>
      <c r="C80" s="84">
        <f>IFERROR(__xludf.DUMMYFUNCTION("""COMPUTED_VALUE"""),19.0)</f>
        <v>19</v>
      </c>
      <c r="D80" s="84">
        <f>IFERROR(__xludf.DUMMYFUNCTION("""COMPUTED_VALUE"""),2.0)</f>
        <v>2</v>
      </c>
      <c r="E80" s="84">
        <f>IFERROR(__xludf.DUMMYFUNCTION("""COMPUTED_VALUE"""),1.0)</f>
        <v>1</v>
      </c>
      <c r="F80" s="1"/>
      <c r="L80" s="33"/>
    </row>
    <row r="81">
      <c r="A81" s="1"/>
      <c r="B81" s="43" t="str">
        <f>IFERROR(__xludf.DUMMYFUNCTION("""COMPUTED_VALUE"""),"Adrian Tay")</f>
        <v>Adrian Tay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IFERROR(__xludf.DUMMYFUNCTION("""COMPUTED_VALUE"""),"Ethan Gu")</f>
        <v>Ethan Gu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IFERROR(__xludf.DUMMYFUNCTION("""COMPUTED_VALUE"""),8.0)</f>
        <v>8</v>
      </c>
      <c r="F82" s="1"/>
      <c r="L82" s="33"/>
    </row>
    <row r="83">
      <c r="A83" s="1"/>
      <c r="B83" s="43" t="str">
        <f>IFERROR(__xludf.DUMMYFUNCTION("""COMPUTED_VALUE"""),"Eric Pan")</f>
        <v>Eric Pan</v>
      </c>
      <c r="C83" s="84">
        <f>IFERROR(__xludf.DUMMYFUNCTION("""COMPUTED_VALUE"""),18.0)</f>
        <v>18</v>
      </c>
      <c r="D83" s="84">
        <f>IFERROR(__xludf.DUMMYFUNCTION("""COMPUTED_VALUE"""),3.0)</f>
        <v>3</v>
      </c>
      <c r="E83" s="84">
        <f>IFERROR(__xludf.DUMMYFUNCTION("""COMPUTED_VALUE"""),10.0)</f>
        <v>10</v>
      </c>
      <c r="F83" s="1"/>
      <c r="L83" s="33"/>
    </row>
    <row r="84">
      <c r="A84" s="1"/>
      <c r="B84" s="43" t="str">
        <f>IFERROR(__xludf.DUMMYFUNCTION("""COMPUTED_VALUE"""),"Sanjaye Elayattu")</f>
        <v>Sanjaye Elayattu</v>
      </c>
      <c r="C84" s="84">
        <f>IFERROR(__xludf.DUMMYFUNCTION("""COMPUTED_VALUE"""),18.0)</f>
        <v>18</v>
      </c>
      <c r="D84" s="84">
        <f>IFERROR(__xludf.DUMMYFUNCTION("""COMPUTED_VALUE"""),2.0)</f>
        <v>2</v>
      </c>
      <c r="E84" s="84">
        <f>IFERROR(__xludf.DUMMYFUNCTION("""COMPUTED_VALUE"""),1.0)</f>
        <v>1</v>
      </c>
      <c r="F84" s="1"/>
    </row>
    <row r="85">
      <c r="A85" s="1"/>
      <c r="B85" s="43" t="str">
        <f>IFERROR(__xludf.DUMMYFUNCTION("""COMPUTED_VALUE"""),"Vicki Martinet")</f>
        <v>Vicki Martinet</v>
      </c>
      <c r="C85" s="84">
        <f>IFERROR(__xludf.DUMMYFUNCTION("""COMPUTED_VALUE"""),18.0)</f>
        <v>18</v>
      </c>
      <c r="D85" s="84">
        <f>IFERROR(__xludf.DUMMYFUNCTION("""COMPUTED_VALUE"""),2.0)</f>
        <v>2</v>
      </c>
      <c r="E85" s="84">
        <f>IFERROR(__xludf.DUMMYFUNCTION("""COMPUTED_VALUE"""),11.0)</f>
        <v>11</v>
      </c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10"")"),"Cid Macaraeg")</f>
        <v>Cid Macaraeg</v>
      </c>
      <c r="C90" s="84">
        <f>IFERROR(__xludf.DUMMYFUNCTION("""COMPUTED_VALUE"""),19.0)</f>
        <v>19</v>
      </c>
      <c r="D90" s="84">
        <f t="shared" ref="D90:D99" si="72">VLOOKUP(B90,indirect($AB$2&amp;"!B$5:w$70"),22, false)</f>
        <v>32</v>
      </c>
      <c r="E90" s="84">
        <f t="shared" ref="E90:E99" si="73">VLOOKUP(B90,B$5:W$69,22, false)</f>
        <v>13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6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IFERROR(__xludf.DUMMYFUNCTION("""COMPUTED_VALUE"""),"Naveen Raj")</f>
        <v>Naveen Raj</v>
      </c>
      <c r="C91" s="84">
        <f>IFERROR(__xludf.DUMMYFUNCTION("""COMPUTED_VALUE"""),19.0)</f>
        <v>19</v>
      </c>
      <c r="D91" s="84">
        <f t="shared" si="72"/>
        <v>47</v>
      </c>
      <c r="E91" s="84">
        <f t="shared" si="73"/>
        <v>28</v>
      </c>
      <c r="F91" s="84">
        <f t="shared" si="74"/>
        <v>19</v>
      </c>
      <c r="G91" s="84">
        <f t="shared" si="75"/>
        <v>8</v>
      </c>
      <c r="L91" s="84" t="str">
        <f t="shared" si="76"/>
        <v>ok</v>
      </c>
    </row>
    <row r="92">
      <c r="A92" s="1"/>
      <c r="B92" s="43" t="str">
        <f>IFERROR(__xludf.DUMMYFUNCTION("""COMPUTED_VALUE"""),"Susanta Mishra")</f>
        <v>Susanta Mishra</v>
      </c>
      <c r="C92" s="84">
        <f>IFERROR(__xludf.DUMMYFUNCTION("""COMPUTED_VALUE"""),16.0)</f>
        <v>16</v>
      </c>
      <c r="D92" s="84">
        <f t="shared" si="72"/>
        <v>42</v>
      </c>
      <c r="E92" s="84">
        <f t="shared" si="73"/>
        <v>26</v>
      </c>
      <c r="F92" s="84">
        <f t="shared" si="74"/>
        <v>18</v>
      </c>
      <c r="G92" s="84">
        <f t="shared" si="75"/>
        <v>7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IFERROR(__xludf.DUMMYFUNCTION("""COMPUTED_VALUE"""),"Lam Bui")</f>
        <v>Lam Bui</v>
      </c>
      <c r="C93" s="84">
        <f>IFERROR(__xludf.DUMMYFUNCTION("""COMPUTED_VALUE"""),13.0)</f>
        <v>13</v>
      </c>
      <c r="D93" s="84">
        <f t="shared" si="72"/>
        <v>27</v>
      </c>
      <c r="E93" s="84">
        <f t="shared" si="73"/>
        <v>14</v>
      </c>
      <c r="F93" s="84">
        <f t="shared" si="74"/>
        <v>17</v>
      </c>
      <c r="G93" s="84">
        <f t="shared" si="75"/>
        <v>9</v>
      </c>
      <c r="L93" s="84" t="str">
        <f t="shared" si="76"/>
        <v>ok</v>
      </c>
    </row>
    <row r="94">
      <c r="A94" s="1"/>
      <c r="B94" s="43" t="str">
        <f>IFERROR(__xludf.DUMMYFUNCTION("""COMPUTED_VALUE"""),"Allen Zhang")</f>
        <v>Allen Zhang</v>
      </c>
      <c r="C94" s="84">
        <f>IFERROR(__xludf.DUMMYFUNCTION("""COMPUTED_VALUE"""),11.0)</f>
        <v>11</v>
      </c>
      <c r="D94" s="84">
        <f t="shared" si="72"/>
        <v>51</v>
      </c>
      <c r="E94" s="84">
        <f t="shared" si="73"/>
        <v>40</v>
      </c>
      <c r="F94" s="84">
        <f t="shared" si="74"/>
        <v>18</v>
      </c>
      <c r="G94" s="84">
        <f t="shared" si="75"/>
        <v>5</v>
      </c>
      <c r="L94" s="84" t="str">
        <f t="shared" si="76"/>
        <v>ok</v>
      </c>
    </row>
    <row r="95">
      <c r="A95" s="1"/>
      <c r="B95" s="43" t="str">
        <f>IFERROR(__xludf.DUMMYFUNCTION("""COMPUTED_VALUE"""),"James Phan")</f>
        <v>James Phan</v>
      </c>
      <c r="C95" s="84">
        <f>IFERROR(__xludf.DUMMYFUNCTION("""COMPUTED_VALUE"""),10.0)</f>
        <v>10</v>
      </c>
      <c r="D95" s="84">
        <f t="shared" si="72"/>
        <v>28</v>
      </c>
      <c r="E95" s="84">
        <f t="shared" si="73"/>
        <v>18</v>
      </c>
      <c r="F95" s="84">
        <f t="shared" si="74"/>
        <v>16</v>
      </c>
      <c r="G95" s="84">
        <f t="shared" si="75"/>
        <v>9</v>
      </c>
      <c r="L95" s="84" t="str">
        <f t="shared" si="76"/>
        <v>ok</v>
      </c>
    </row>
    <row r="96">
      <c r="A96" s="1"/>
      <c r="B96" s="43" t="str">
        <f>IFERROR(__xludf.DUMMYFUNCTION("""COMPUTED_VALUE"""),"Tom Le")</f>
        <v>Tom Le</v>
      </c>
      <c r="C96" s="84">
        <f>IFERROR(__xludf.DUMMYFUNCTION("""COMPUTED_VALUE"""),10.0)</f>
        <v>10</v>
      </c>
      <c r="D96" s="84">
        <f t="shared" si="72"/>
        <v>31</v>
      </c>
      <c r="E96" s="84">
        <f t="shared" si="73"/>
        <v>21</v>
      </c>
      <c r="F96" s="84">
        <f t="shared" si="74"/>
        <v>16</v>
      </c>
      <c r="G96" s="84">
        <f t="shared" si="75"/>
        <v>9</v>
      </c>
      <c r="L96" s="84" t="str">
        <f t="shared" si="76"/>
        <v>ok</v>
      </c>
    </row>
    <row r="97">
      <c r="A97" s="1"/>
      <c r="B97" s="43" t="str">
        <f>IFERROR(__xludf.DUMMYFUNCTION("""COMPUTED_VALUE"""),"Hongyuan Wen")</f>
        <v>Hongyuan Wen</v>
      </c>
      <c r="C97" s="84">
        <f>IFERROR(__xludf.DUMMYFUNCTION("""COMPUTED_VALUE"""),10.0)</f>
        <v>10</v>
      </c>
      <c r="D97" s="84">
        <f t="shared" si="72"/>
        <v>43</v>
      </c>
      <c r="E97" s="84">
        <f t="shared" si="73"/>
        <v>33</v>
      </c>
      <c r="F97" s="84">
        <f t="shared" si="74"/>
        <v>15</v>
      </c>
      <c r="G97" s="84">
        <f t="shared" si="75"/>
        <v>8</v>
      </c>
      <c r="L97" s="84" t="str">
        <f t="shared" si="76"/>
        <v>ok</v>
      </c>
    </row>
    <row r="98">
      <c r="A98" s="1"/>
      <c r="B98" s="43" t="str">
        <f>IFERROR(__xludf.DUMMYFUNCTION("""COMPUTED_VALUE"""),"Kumar Palakeel")</f>
        <v>Kumar Palakeel</v>
      </c>
      <c r="C98" s="84">
        <f>IFERROR(__xludf.DUMMYFUNCTION("""COMPUTED_VALUE"""),8.0)</f>
        <v>8</v>
      </c>
      <c r="D98" s="84">
        <f t="shared" si="72"/>
        <v>44</v>
      </c>
      <c r="E98" s="84">
        <f t="shared" si="73"/>
        <v>36</v>
      </c>
      <c r="F98" s="84">
        <f t="shared" si="74"/>
        <v>13</v>
      </c>
      <c r="G98" s="84">
        <f t="shared" si="75"/>
        <v>8</v>
      </c>
      <c r="L98" s="84" t="str">
        <f t="shared" si="76"/>
        <v>ok</v>
      </c>
    </row>
    <row r="99">
      <c r="A99" s="1"/>
      <c r="B99" s="43" t="str">
        <f>IFERROR(__xludf.DUMMYFUNCTION("""COMPUTED_VALUE"""),"Rajasekar Ramasamy")</f>
        <v>Rajasekar Ramasamy</v>
      </c>
      <c r="C99" s="84">
        <f>IFERROR(__xludf.DUMMYFUNCTION("""COMPUTED_VALUE"""),7.0)</f>
        <v>7</v>
      </c>
      <c r="D99" s="84">
        <f t="shared" si="72"/>
        <v>22</v>
      </c>
      <c r="E99" s="84">
        <f t="shared" si="73"/>
        <v>15</v>
      </c>
      <c r="F99" s="84">
        <f t="shared" si="74"/>
        <v>16</v>
      </c>
      <c r="G99" s="84">
        <f t="shared" si="75"/>
        <v>4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10"")"),"Wayne Liu")</f>
        <v>Wayne Liu</v>
      </c>
      <c r="C103" s="84">
        <f>IFERROR(__xludf.DUMMYFUNCTION("""COMPUTED_VALUE"""),-17.0)</f>
        <v>-17</v>
      </c>
      <c r="D103" s="84">
        <f t="shared" ref="D103:D112" si="77">VLOOKUP(B103,indirect($AB$2&amp;"!B$5:w$70"),22, false)</f>
        <v>18</v>
      </c>
      <c r="E103" s="84">
        <f t="shared" ref="E103:E112" si="78">VLOOKUP(B103,B$5:W$69,22, false)</f>
        <v>35</v>
      </c>
      <c r="F103" s="84">
        <f t="shared" ref="F103:F112" si="79">VLOOKUP(B103,indirect($AB$2&amp;"!B$5:U$70"),11, false)</f>
        <v>4</v>
      </c>
      <c r="G103" s="84">
        <f t="shared" ref="G103:G112" si="80">VLOOKUP(B103,indirect($AB$2&amp;"!B$5:U$70"),6, false)</f>
        <v>3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IFERROR(__xludf.DUMMYFUNCTION("""COMPUTED_VALUE"""),"Leigh-Anh Nguyen")</f>
        <v>Leigh-Anh Nguyen</v>
      </c>
      <c r="C104" s="84">
        <f>IFERROR(__xludf.DUMMYFUNCTION("""COMPUTED_VALUE"""),-14.0)</f>
        <v>-14</v>
      </c>
      <c r="D104" s="84">
        <f t="shared" si="77"/>
        <v>23</v>
      </c>
      <c r="E104" s="84">
        <f t="shared" si="78"/>
        <v>37</v>
      </c>
      <c r="F104" s="84">
        <f t="shared" si="79"/>
        <v>6</v>
      </c>
      <c r="G104" s="84">
        <f t="shared" si="80"/>
        <v>4</v>
      </c>
      <c r="L104" s="84" t="str">
        <f t="shared" si="81"/>
        <v>ok</v>
      </c>
    </row>
    <row r="105">
      <c r="A105" s="1"/>
      <c r="B105" s="43" t="str">
        <f>IFERROR(__xludf.DUMMYFUNCTION("""COMPUTED_VALUE"""),"Vinaya Kajla")</f>
        <v>Vinaya Kajla</v>
      </c>
      <c r="C105" s="84">
        <f>IFERROR(__xludf.DUMMYFUNCTION("""COMPUTED_VALUE"""),-11.0)</f>
        <v>-11</v>
      </c>
      <c r="D105" s="84">
        <f t="shared" si="77"/>
        <v>36</v>
      </c>
      <c r="E105" s="84">
        <f t="shared" si="78"/>
        <v>47</v>
      </c>
      <c r="F105" s="84">
        <f t="shared" si="79"/>
        <v>7</v>
      </c>
      <c r="G105" s="84">
        <f t="shared" si="80"/>
        <v>6</v>
      </c>
      <c r="L105" s="84" t="str">
        <f t="shared" si="81"/>
        <v>ok</v>
      </c>
    </row>
    <row r="106">
      <c r="A106" s="1"/>
      <c r="B106" s="43" t="str">
        <f>IFERROR(__xludf.DUMMYFUNCTION("""COMPUTED_VALUE"""),"Suleman Alidina")</f>
        <v>Suleman Alidina</v>
      </c>
      <c r="C106" s="84">
        <f>IFERROR(__xludf.DUMMYFUNCTION("""COMPUTED_VALUE"""),-10.0)</f>
        <v>-10</v>
      </c>
      <c r="D106" s="84">
        <f t="shared" si="77"/>
        <v>19</v>
      </c>
      <c r="E106" s="84">
        <f t="shared" si="78"/>
        <v>29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IFERROR(__xludf.DUMMYFUNCTION("""COMPUTED_VALUE"""),"Matthew Huang")</f>
        <v>Matthew Huang</v>
      </c>
      <c r="C107" s="84">
        <f>IFERROR(__xludf.DUMMYFUNCTION("""COMPUTED_VALUE"""),-9.0)</f>
        <v>-9</v>
      </c>
      <c r="D107" s="84">
        <f t="shared" si="77"/>
        <v>15</v>
      </c>
      <c r="E107" s="84">
        <f t="shared" si="78"/>
        <v>24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IFERROR(__xludf.DUMMYFUNCTION("""COMPUTED_VALUE"""),"Andrew Wen")</f>
        <v>Andrew Wen</v>
      </c>
      <c r="C108" s="84">
        <f>IFERROR(__xludf.DUMMYFUNCTION("""COMPUTED_VALUE"""),-9.0)</f>
        <v>-9</v>
      </c>
      <c r="D108" s="84">
        <f t="shared" si="77"/>
        <v>37</v>
      </c>
      <c r="E108" s="84">
        <f t="shared" si="78"/>
        <v>46</v>
      </c>
      <c r="F108" s="84">
        <f t="shared" si="79"/>
        <v>8</v>
      </c>
      <c r="G108" s="84">
        <f t="shared" si="80"/>
        <v>6</v>
      </c>
      <c r="L108" s="84" t="str">
        <f t="shared" si="81"/>
        <v>ok</v>
      </c>
    </row>
    <row r="109">
      <c r="A109" s="1"/>
      <c r="B109" s="43" t="str">
        <f>IFERROR(__xludf.DUMMYFUNCTION("""COMPUTED_VALUE"""),"Jim Miao")</f>
        <v>Jim Miao</v>
      </c>
      <c r="C109" s="84">
        <f>IFERROR(__xludf.DUMMYFUNCTION("""COMPUTED_VALUE"""),-8.0)</f>
        <v>-8</v>
      </c>
      <c r="D109" s="84">
        <f t="shared" si="77"/>
        <v>12</v>
      </c>
      <c r="E109" s="84">
        <f t="shared" si="78"/>
        <v>20</v>
      </c>
      <c r="F109" s="84">
        <f t="shared" si="79"/>
        <v>9</v>
      </c>
      <c r="G109" s="84">
        <f t="shared" si="80"/>
        <v>2</v>
      </c>
      <c r="L109" s="84" t="str">
        <f t="shared" si="81"/>
        <v>ok</v>
      </c>
    </row>
    <row r="110">
      <c r="A110" s="1"/>
      <c r="B110" s="43" t="str">
        <f>IFERROR(__xludf.DUMMYFUNCTION("""COMPUTED_VALUE"""),"Sean Chang")</f>
        <v>Sean Chang</v>
      </c>
      <c r="C110" s="84">
        <f>IFERROR(__xludf.DUMMYFUNCTION("""COMPUTED_VALUE"""),-7.0)</f>
        <v>-7</v>
      </c>
      <c r="D110" s="84">
        <f t="shared" si="77"/>
        <v>24</v>
      </c>
      <c r="E110" s="84">
        <f t="shared" si="78"/>
        <v>31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IFERROR(__xludf.DUMMYFUNCTION("""COMPUTED_VALUE"""),"Adrian Tay")</f>
        <v>Adrian Tay</v>
      </c>
      <c r="C111" s="84">
        <f>IFERROR(__xludf.DUMMYFUNCTION("""COMPUTED_VALUE"""),-7.0)</f>
        <v>-7</v>
      </c>
      <c r="D111" s="84">
        <f t="shared" si="77"/>
        <v>25</v>
      </c>
      <c r="E111" s="84">
        <f t="shared" si="78"/>
        <v>32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IFERROR(__xludf.DUMMYFUNCTION("""COMPUTED_VALUE"""),"Scott Li")</f>
        <v>Scott Li</v>
      </c>
      <c r="C112" s="84">
        <f>IFERROR(__xludf.DUMMYFUNCTION("""COMPUTED_VALUE"""),-7.0)</f>
        <v>-7</v>
      </c>
      <c r="D112" s="84">
        <f t="shared" si="77"/>
        <v>34</v>
      </c>
      <c r="E112" s="84">
        <f t="shared" si="78"/>
        <v>41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6">
        <v>45696.0</v>
      </c>
      <c r="G1" s="8"/>
      <c r="H1" s="8"/>
      <c r="I1" s="8"/>
      <c r="L1" s="8"/>
      <c r="N1" s="8"/>
      <c r="V1" s="10"/>
    </row>
    <row r="2">
      <c r="A2" s="1"/>
      <c r="B2" s="12" t="s">
        <v>15</v>
      </c>
      <c r="D2" s="17">
        <v>6.0</v>
      </c>
      <c r="E2" s="1"/>
      <c r="F2" s="1"/>
      <c r="R2" s="19"/>
      <c r="AB2" s="20" t="str">
        <f>text(C1-7,"mm/dd/yy")</f>
        <v>02/01/25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43" t="s">
        <v>88</v>
      </c>
      <c r="C5" s="47">
        <v>82.0</v>
      </c>
      <c r="D5" s="31">
        <v>9.0</v>
      </c>
      <c r="E5" s="36">
        <f t="shared" ref="E5:E69" si="2">if(($D$2-U5-S5)&lt;&gt;0,(C5-(U5*9)-(S5*13))/($D$2-U5-S5),0)</f>
        <v>13.8</v>
      </c>
      <c r="F5" s="102">
        <v>5.0</v>
      </c>
      <c r="G5" s="46">
        <v>0.0</v>
      </c>
      <c r="H5" s="47">
        <v>13.0</v>
      </c>
      <c r="I5" s="46">
        <v>0.0</v>
      </c>
      <c r="J5" s="46">
        <v>0.0</v>
      </c>
      <c r="K5" s="46">
        <v>0.0</v>
      </c>
      <c r="L5" s="103">
        <v>13.0</v>
      </c>
      <c r="M5" s="46">
        <v>0.0</v>
      </c>
      <c r="N5" s="47">
        <f t="shared" ref="N5:O5" si="1">C5+L5</f>
        <v>95</v>
      </c>
      <c r="O5" s="31">
        <f t="shared" si="1"/>
        <v>9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1</v>
      </c>
      <c r="W5" s="30">
        <v>1.0</v>
      </c>
    </row>
    <row r="6">
      <c r="A6" s="30">
        <f t="shared" ref="A6:A69" si="7">A5+1</f>
        <v>2</v>
      </c>
      <c r="B6" s="28" t="s">
        <v>92</v>
      </c>
      <c r="C6" s="31">
        <v>77.0</v>
      </c>
      <c r="D6" s="31">
        <v>10.0</v>
      </c>
      <c r="E6" s="36">
        <f t="shared" si="2"/>
        <v>13.6</v>
      </c>
      <c r="F6" s="102">
        <v>3.0</v>
      </c>
      <c r="G6" s="46">
        <v>0.0</v>
      </c>
      <c r="H6" s="47">
        <v>9.0</v>
      </c>
      <c r="I6" s="46">
        <v>0.0</v>
      </c>
      <c r="J6" s="46">
        <v>0.0</v>
      </c>
      <c r="K6" s="46">
        <v>0.0</v>
      </c>
      <c r="L6" s="103">
        <v>9.0</v>
      </c>
      <c r="M6" s="46">
        <v>0.0</v>
      </c>
      <c r="N6" s="31">
        <f t="shared" ref="N6:O6" si="3">C6+L6</f>
        <v>86</v>
      </c>
      <c r="O6" s="31">
        <f t="shared" si="3"/>
        <v>10</v>
      </c>
      <c r="P6" s="45" t="s">
        <v>58</v>
      </c>
      <c r="Q6" s="45" t="s">
        <v>58</v>
      </c>
      <c r="R6" s="45"/>
      <c r="S6" s="46">
        <f t="shared" si="4"/>
        <v>0</v>
      </c>
      <c r="T6" s="46"/>
      <c r="U6" s="46">
        <f t="shared" si="5"/>
        <v>1</v>
      </c>
      <c r="V6" s="46">
        <f t="shared" si="6"/>
        <v>4</v>
      </c>
      <c r="W6" s="30">
        <f t="shared" ref="W6:W68" si="9">W5+1</f>
        <v>2</v>
      </c>
    </row>
    <row r="7">
      <c r="A7" s="30">
        <f t="shared" si="7"/>
        <v>3</v>
      </c>
      <c r="B7" s="28" t="s">
        <v>95</v>
      </c>
      <c r="C7" s="31">
        <v>76.0</v>
      </c>
      <c r="D7" s="31">
        <v>8.0</v>
      </c>
      <c r="E7" s="36">
        <f t="shared" si="2"/>
        <v>12.66666667</v>
      </c>
      <c r="F7" s="102">
        <v>2.0</v>
      </c>
      <c r="G7" s="46">
        <v>1.0</v>
      </c>
      <c r="H7" s="47">
        <v>0.0</v>
      </c>
      <c r="I7" s="46">
        <v>6.0</v>
      </c>
      <c r="J7" s="46">
        <v>3.0</v>
      </c>
      <c r="K7" s="46">
        <v>1.0</v>
      </c>
      <c r="L7" s="103">
        <v>10.0</v>
      </c>
      <c r="M7" s="46">
        <v>1.0</v>
      </c>
      <c r="N7" s="31">
        <f t="shared" ref="N7:O7" si="8">C7+L7</f>
        <v>86</v>
      </c>
      <c r="O7" s="31">
        <f t="shared" si="8"/>
        <v>9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0</v>
      </c>
      <c r="V7" s="46">
        <f t="shared" si="6"/>
        <v>1</v>
      </c>
      <c r="W7" s="30">
        <f t="shared" si="9"/>
        <v>3</v>
      </c>
    </row>
    <row r="8">
      <c r="A8" s="30">
        <f t="shared" si="7"/>
        <v>4</v>
      </c>
      <c r="B8" s="28" t="s">
        <v>45</v>
      </c>
      <c r="C8" s="31">
        <v>76.0</v>
      </c>
      <c r="D8" s="31">
        <v>7.0</v>
      </c>
      <c r="E8" s="36">
        <f t="shared" si="2"/>
        <v>12.6</v>
      </c>
      <c r="F8" s="102">
        <v>1.0</v>
      </c>
      <c r="G8" s="46">
        <v>1.0</v>
      </c>
      <c r="H8" s="47">
        <v>0.0</v>
      </c>
      <c r="I8" s="46">
        <v>2.0</v>
      </c>
      <c r="J8" s="46">
        <v>3.0</v>
      </c>
      <c r="K8" s="46">
        <v>6.0</v>
      </c>
      <c r="L8" s="103">
        <v>11.0</v>
      </c>
      <c r="M8" s="46">
        <v>1.0</v>
      </c>
      <c r="N8" s="31">
        <f t="shared" ref="N8:O8" si="10">C8+L8</f>
        <v>87</v>
      </c>
      <c r="O8" s="31">
        <f t="shared" si="10"/>
        <v>8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0</v>
      </c>
      <c r="V8" s="46">
        <f t="shared" si="6"/>
        <v>5</v>
      </c>
      <c r="W8" s="30">
        <f t="shared" si="9"/>
        <v>4</v>
      </c>
    </row>
    <row r="9">
      <c r="A9" s="30">
        <f t="shared" si="7"/>
        <v>5</v>
      </c>
      <c r="B9" s="28" t="s">
        <v>74</v>
      </c>
      <c r="C9" s="31">
        <v>75.0</v>
      </c>
      <c r="D9" s="31">
        <v>10.0</v>
      </c>
      <c r="E9" s="36">
        <f t="shared" si="2"/>
        <v>13.2</v>
      </c>
      <c r="F9" s="102">
        <v>3.0</v>
      </c>
      <c r="G9" s="46">
        <v>0.0</v>
      </c>
      <c r="H9" s="47">
        <v>9.0</v>
      </c>
      <c r="I9" s="46">
        <v>0.0</v>
      </c>
      <c r="J9" s="46">
        <v>0.0</v>
      </c>
      <c r="K9" s="46">
        <v>0.0</v>
      </c>
      <c r="L9" s="103">
        <v>9.0</v>
      </c>
      <c r="M9" s="46">
        <v>0.0</v>
      </c>
      <c r="N9" s="31">
        <f t="shared" ref="N9:O9" si="11">C9+L9</f>
        <v>84</v>
      </c>
      <c r="O9" s="31">
        <f t="shared" si="11"/>
        <v>10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1</v>
      </c>
      <c r="V9" s="46">
        <f t="shared" si="6"/>
        <v>-2</v>
      </c>
      <c r="W9" s="30">
        <f t="shared" si="9"/>
        <v>5</v>
      </c>
    </row>
    <row r="10">
      <c r="A10" s="30">
        <f t="shared" si="7"/>
        <v>6</v>
      </c>
      <c r="B10" s="28" t="s">
        <v>117</v>
      </c>
      <c r="C10" s="31">
        <v>75.0</v>
      </c>
      <c r="D10" s="31">
        <v>8.0</v>
      </c>
      <c r="E10" s="36">
        <f t="shared" si="2"/>
        <v>13.25</v>
      </c>
      <c r="F10" s="102">
        <v>1.0</v>
      </c>
      <c r="G10" s="46">
        <v>1.0</v>
      </c>
      <c r="H10" s="47">
        <v>0.0</v>
      </c>
      <c r="I10" s="46">
        <v>6.0</v>
      </c>
      <c r="J10" s="46">
        <v>6.0</v>
      </c>
      <c r="K10" s="46">
        <v>6.0</v>
      </c>
      <c r="L10" s="103">
        <v>18.0</v>
      </c>
      <c r="M10" s="46">
        <v>3.0</v>
      </c>
      <c r="N10" s="31">
        <f t="shared" ref="N10:O10" si="12">C10+L10</f>
        <v>93</v>
      </c>
      <c r="O10" s="31">
        <f t="shared" si="12"/>
        <v>11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1</v>
      </c>
      <c r="V10" s="46">
        <f t="shared" si="6"/>
        <v>-5</v>
      </c>
      <c r="W10" s="30">
        <f t="shared" si="9"/>
        <v>6</v>
      </c>
    </row>
    <row r="11">
      <c r="A11" s="30">
        <f t="shared" si="7"/>
        <v>7</v>
      </c>
      <c r="B11" s="43" t="s">
        <v>130</v>
      </c>
      <c r="C11" s="31">
        <v>74.0</v>
      </c>
      <c r="D11" s="31">
        <v>9.0</v>
      </c>
      <c r="E11" s="36">
        <f t="shared" si="2"/>
        <v>13</v>
      </c>
      <c r="F11" s="102">
        <v>1.0</v>
      </c>
      <c r="G11" s="46">
        <v>1.0</v>
      </c>
      <c r="H11" s="47">
        <v>0.0</v>
      </c>
      <c r="I11" s="46">
        <v>2.0</v>
      </c>
      <c r="J11" s="46">
        <v>6.0</v>
      </c>
      <c r="K11" s="46">
        <v>1.0</v>
      </c>
      <c r="L11" s="103">
        <v>9.0</v>
      </c>
      <c r="M11" s="46">
        <v>1.0</v>
      </c>
      <c r="N11" s="31">
        <f t="shared" ref="N11:O11" si="13">C11+L11</f>
        <v>83</v>
      </c>
      <c r="O11" s="31">
        <f t="shared" si="13"/>
        <v>10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1</v>
      </c>
      <c r="V11" s="46">
        <f t="shared" si="6"/>
        <v>4</v>
      </c>
      <c r="W11" s="30">
        <f t="shared" si="9"/>
        <v>7</v>
      </c>
    </row>
    <row r="12">
      <c r="A12" s="30">
        <f t="shared" si="7"/>
        <v>8</v>
      </c>
      <c r="B12" s="28" t="s">
        <v>44</v>
      </c>
      <c r="C12" s="31">
        <v>74.0</v>
      </c>
      <c r="D12" s="31">
        <v>8.0</v>
      </c>
      <c r="E12" s="36">
        <f t="shared" si="2"/>
        <v>14</v>
      </c>
      <c r="F12" s="102">
        <v>1.0</v>
      </c>
      <c r="G12" s="46">
        <v>2.0</v>
      </c>
      <c r="H12" s="47">
        <v>0.0</v>
      </c>
      <c r="I12" s="46">
        <v>6.0</v>
      </c>
      <c r="J12" s="46">
        <v>6.0</v>
      </c>
      <c r="K12" s="46">
        <v>6.0</v>
      </c>
      <c r="L12" s="103">
        <v>18.0</v>
      </c>
      <c r="M12" s="46">
        <v>3.0</v>
      </c>
      <c r="N12" s="31">
        <f t="shared" ref="N12:O12" si="14">C12+L12</f>
        <v>92</v>
      </c>
      <c r="O12" s="31">
        <f t="shared" si="14"/>
        <v>11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2</v>
      </c>
      <c r="V12" s="46">
        <f t="shared" si="6"/>
        <v>4</v>
      </c>
      <c r="W12" s="30">
        <f t="shared" si="9"/>
        <v>8</v>
      </c>
    </row>
    <row r="13">
      <c r="A13" s="30">
        <f t="shared" si="7"/>
        <v>9</v>
      </c>
      <c r="B13" s="28" t="s">
        <v>101</v>
      </c>
      <c r="C13" s="31">
        <v>74.0</v>
      </c>
      <c r="D13" s="31">
        <v>8.0</v>
      </c>
      <c r="E13" s="36">
        <f t="shared" si="2"/>
        <v>13</v>
      </c>
      <c r="F13" s="102">
        <v>3.0</v>
      </c>
      <c r="G13" s="46">
        <v>0.0</v>
      </c>
      <c r="H13" s="47">
        <v>9.0</v>
      </c>
      <c r="I13" s="46">
        <v>0.0</v>
      </c>
      <c r="J13" s="46">
        <v>0.0</v>
      </c>
      <c r="K13" s="46">
        <v>0.0</v>
      </c>
      <c r="L13" s="103">
        <v>9.0</v>
      </c>
      <c r="M13" s="46">
        <v>0.0</v>
      </c>
      <c r="N13" s="31">
        <f t="shared" ref="N13:O13" si="15">C13+L13</f>
        <v>83</v>
      </c>
      <c r="O13" s="31">
        <f t="shared" si="15"/>
        <v>8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1</v>
      </c>
      <c r="V13" s="46">
        <f t="shared" si="6"/>
        <v>-4</v>
      </c>
      <c r="W13" s="30">
        <f t="shared" si="9"/>
        <v>9</v>
      </c>
    </row>
    <row r="14">
      <c r="A14" s="30">
        <f t="shared" si="7"/>
        <v>10</v>
      </c>
      <c r="B14" s="28" t="s">
        <v>98</v>
      </c>
      <c r="C14" s="31">
        <v>72.0</v>
      </c>
      <c r="D14" s="31">
        <v>7.0</v>
      </c>
      <c r="E14" s="36">
        <f t="shared" si="2"/>
        <v>13.5</v>
      </c>
      <c r="F14" s="102">
        <v>3.0</v>
      </c>
      <c r="G14" s="46">
        <v>0.0</v>
      </c>
      <c r="H14" s="47">
        <v>9.0</v>
      </c>
      <c r="I14" s="46">
        <v>0.0</v>
      </c>
      <c r="J14" s="46">
        <v>0.0</v>
      </c>
      <c r="K14" s="46">
        <v>0.0</v>
      </c>
      <c r="L14" s="103">
        <v>9.0</v>
      </c>
      <c r="M14" s="46">
        <v>0.0</v>
      </c>
      <c r="N14" s="31">
        <f t="shared" ref="N14:O14" si="16">C14+L14</f>
        <v>81</v>
      </c>
      <c r="O14" s="31">
        <f t="shared" si="16"/>
        <v>7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2</v>
      </c>
      <c r="V14" s="46">
        <f t="shared" si="6"/>
        <v>-3</v>
      </c>
      <c r="W14" s="30">
        <f t="shared" si="9"/>
        <v>10</v>
      </c>
    </row>
    <row r="15">
      <c r="A15" s="30">
        <f t="shared" si="7"/>
        <v>11</v>
      </c>
      <c r="B15" s="28" t="s">
        <v>104</v>
      </c>
      <c r="C15" s="31">
        <v>70.0</v>
      </c>
      <c r="D15" s="31">
        <v>7.0</v>
      </c>
      <c r="E15" s="36">
        <f t="shared" si="2"/>
        <v>12</v>
      </c>
      <c r="F15" s="102">
        <v>3.0</v>
      </c>
      <c r="G15" s="46">
        <v>0.0</v>
      </c>
      <c r="H15" s="47">
        <v>9.0</v>
      </c>
      <c r="I15" s="46">
        <v>0.0</v>
      </c>
      <c r="J15" s="46">
        <v>0.0</v>
      </c>
      <c r="K15" s="46">
        <v>0.0</v>
      </c>
      <c r="L15" s="103">
        <v>9.0</v>
      </c>
      <c r="M15" s="46">
        <v>0.0</v>
      </c>
      <c r="N15" s="31">
        <f t="shared" ref="N15:O15" si="17">C15+L15</f>
        <v>79</v>
      </c>
      <c r="O15" s="31">
        <f t="shared" si="17"/>
        <v>7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1</v>
      </c>
      <c r="V15" s="46">
        <f t="shared" si="6"/>
        <v>5</v>
      </c>
      <c r="W15" s="30">
        <f t="shared" si="9"/>
        <v>11</v>
      </c>
    </row>
    <row r="16">
      <c r="A16" s="30">
        <f t="shared" si="7"/>
        <v>12</v>
      </c>
      <c r="B16" s="43" t="s">
        <v>122</v>
      </c>
      <c r="C16" s="31">
        <v>69.0</v>
      </c>
      <c r="D16" s="31">
        <v>6.0</v>
      </c>
      <c r="E16" s="36">
        <f t="shared" si="2"/>
        <v>12.75</v>
      </c>
      <c r="F16" s="102">
        <v>1.0</v>
      </c>
      <c r="G16" s="46">
        <v>2.0</v>
      </c>
      <c r="H16" s="47">
        <v>0.0</v>
      </c>
      <c r="I16" s="46">
        <v>1.0</v>
      </c>
      <c r="J16" s="46">
        <v>2.0</v>
      </c>
      <c r="K16" s="46">
        <v>6.0</v>
      </c>
      <c r="L16" s="103">
        <v>9.0</v>
      </c>
      <c r="M16" s="46">
        <v>1.0</v>
      </c>
      <c r="N16" s="31">
        <f t="shared" ref="N16:O16" si="18">C16+L16</f>
        <v>78</v>
      </c>
      <c r="O16" s="31">
        <f t="shared" si="18"/>
        <v>7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2</v>
      </c>
      <c r="V16" s="46">
        <f t="shared" si="6"/>
        <v>15</v>
      </c>
      <c r="W16" s="30">
        <f t="shared" si="9"/>
        <v>12</v>
      </c>
    </row>
    <row r="17">
      <c r="A17" s="30">
        <f t="shared" si="7"/>
        <v>13</v>
      </c>
      <c r="B17" s="43" t="s">
        <v>129</v>
      </c>
      <c r="C17" s="47">
        <v>68.0</v>
      </c>
      <c r="D17" s="31">
        <v>8.0</v>
      </c>
      <c r="E17" s="36">
        <f t="shared" si="2"/>
        <v>11.33333333</v>
      </c>
      <c r="F17" s="102">
        <v>1.0</v>
      </c>
      <c r="G17" s="46">
        <v>2.0</v>
      </c>
      <c r="H17" s="47">
        <v>0.0</v>
      </c>
      <c r="I17" s="46">
        <v>6.0</v>
      </c>
      <c r="J17" s="46">
        <v>2.0</v>
      </c>
      <c r="K17" s="46">
        <v>3.0</v>
      </c>
      <c r="L17" s="103">
        <v>11.0</v>
      </c>
      <c r="M17" s="46">
        <v>1.0</v>
      </c>
      <c r="N17" s="47">
        <f t="shared" ref="N17:O17" si="19">C17+L17</f>
        <v>79</v>
      </c>
      <c r="O17" s="31">
        <f t="shared" si="19"/>
        <v>9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1</v>
      </c>
      <c r="W17" s="30">
        <f t="shared" si="9"/>
        <v>13</v>
      </c>
    </row>
    <row r="18">
      <c r="A18" s="30">
        <f t="shared" si="7"/>
        <v>14</v>
      </c>
      <c r="B18" s="43" t="s">
        <v>56</v>
      </c>
      <c r="C18" s="31">
        <v>68.0</v>
      </c>
      <c r="D18" s="31">
        <v>8.0</v>
      </c>
      <c r="E18" s="36">
        <f t="shared" si="2"/>
        <v>11.33333333</v>
      </c>
      <c r="F18" s="102">
        <v>1.0</v>
      </c>
      <c r="G18" s="46">
        <v>2.0</v>
      </c>
      <c r="H18" s="47">
        <v>0.0</v>
      </c>
      <c r="I18" s="46">
        <v>1.0</v>
      </c>
      <c r="J18" s="46">
        <v>6.0</v>
      </c>
      <c r="K18" s="46">
        <v>3.0</v>
      </c>
      <c r="L18" s="103">
        <v>10.0</v>
      </c>
      <c r="M18" s="46">
        <v>1.0</v>
      </c>
      <c r="N18" s="31">
        <f t="shared" ref="N18:O18" si="20">C18+L18</f>
        <v>78</v>
      </c>
      <c r="O18" s="31">
        <f t="shared" si="20"/>
        <v>9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0</v>
      </c>
      <c r="V18" s="46">
        <f t="shared" si="6"/>
        <v>6</v>
      </c>
      <c r="W18" s="30">
        <f t="shared" si="9"/>
        <v>14</v>
      </c>
    </row>
    <row r="19">
      <c r="A19" s="30">
        <f t="shared" si="7"/>
        <v>15</v>
      </c>
      <c r="B19" s="28" t="s">
        <v>127</v>
      </c>
      <c r="C19" s="31">
        <v>68.0</v>
      </c>
      <c r="D19" s="31">
        <v>4.0</v>
      </c>
      <c r="E19" s="36">
        <f t="shared" si="2"/>
        <v>14</v>
      </c>
      <c r="F19" s="102">
        <v>3.0</v>
      </c>
      <c r="G19" s="46">
        <v>0.0</v>
      </c>
      <c r="H19" s="47">
        <v>9.0</v>
      </c>
      <c r="I19" s="46">
        <v>0.0</v>
      </c>
      <c r="J19" s="46">
        <v>0.0</v>
      </c>
      <c r="K19" s="46">
        <v>0.0</v>
      </c>
      <c r="L19" s="103">
        <v>9.0</v>
      </c>
      <c r="M19" s="46">
        <v>0.0</v>
      </c>
      <c r="N19" s="31">
        <f t="shared" ref="N19:O19" si="21">C19+L19</f>
        <v>77</v>
      </c>
      <c r="O19" s="31">
        <f t="shared" si="21"/>
        <v>4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3</v>
      </c>
      <c r="V19" s="46">
        <f t="shared" si="6"/>
        <v>18</v>
      </c>
      <c r="W19" s="30">
        <f t="shared" si="9"/>
        <v>15</v>
      </c>
    </row>
    <row r="20">
      <c r="A20" s="30">
        <f t="shared" si="7"/>
        <v>16</v>
      </c>
      <c r="B20" s="43" t="s">
        <v>87</v>
      </c>
      <c r="C20" s="47">
        <v>67.0</v>
      </c>
      <c r="D20" s="31">
        <v>6.0</v>
      </c>
      <c r="E20" s="36">
        <f t="shared" si="2"/>
        <v>11.6</v>
      </c>
      <c r="F20" s="102">
        <v>1.0</v>
      </c>
      <c r="G20" s="46">
        <v>3.0</v>
      </c>
      <c r="H20" s="47">
        <v>0.0</v>
      </c>
      <c r="I20" s="46">
        <v>6.0</v>
      </c>
      <c r="J20" s="46">
        <v>2.0</v>
      </c>
      <c r="K20" s="46">
        <v>6.0</v>
      </c>
      <c r="L20" s="103">
        <v>14.0</v>
      </c>
      <c r="M20" s="46">
        <v>2.0</v>
      </c>
      <c r="N20" s="47">
        <f t="shared" ref="N20:O20" si="22">C20+L20</f>
        <v>81</v>
      </c>
      <c r="O20" s="31">
        <f t="shared" si="22"/>
        <v>8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1</v>
      </c>
      <c r="V20" s="46">
        <f t="shared" si="6"/>
        <v>-8</v>
      </c>
      <c r="W20" s="30">
        <f t="shared" si="9"/>
        <v>16</v>
      </c>
    </row>
    <row r="21">
      <c r="A21" s="30">
        <f t="shared" si="7"/>
        <v>17</v>
      </c>
      <c r="B21" s="28" t="s">
        <v>137</v>
      </c>
      <c r="C21" s="31">
        <v>67.0</v>
      </c>
      <c r="D21" s="31">
        <v>5.0</v>
      </c>
      <c r="E21" s="36">
        <f t="shared" si="2"/>
        <v>11.25</v>
      </c>
      <c r="F21" s="102">
        <v>1.0</v>
      </c>
      <c r="G21" s="46">
        <v>3.0</v>
      </c>
      <c r="H21" s="47">
        <v>0.0</v>
      </c>
      <c r="I21" s="46">
        <v>6.0</v>
      </c>
      <c r="J21" s="46">
        <v>6.0</v>
      </c>
      <c r="K21" s="46">
        <v>1.0</v>
      </c>
      <c r="L21" s="103">
        <v>13.0</v>
      </c>
      <c r="M21" s="46">
        <v>2.0</v>
      </c>
      <c r="N21" s="31">
        <f t="shared" ref="N21:O21" si="23">C21+L21</f>
        <v>80</v>
      </c>
      <c r="O21" s="31">
        <f t="shared" si="23"/>
        <v>7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1</v>
      </c>
      <c r="V21" s="46">
        <f t="shared" si="6"/>
        <v>-7</v>
      </c>
      <c r="W21" s="30">
        <f t="shared" si="9"/>
        <v>17</v>
      </c>
    </row>
    <row r="22">
      <c r="A22" s="30">
        <f t="shared" si="7"/>
        <v>18</v>
      </c>
      <c r="B22" s="43" t="s">
        <v>132</v>
      </c>
      <c r="C22" s="31">
        <v>66.0</v>
      </c>
      <c r="D22" s="31">
        <v>8.0</v>
      </c>
      <c r="E22" s="36">
        <f t="shared" si="2"/>
        <v>11</v>
      </c>
      <c r="F22" s="102">
        <v>1.0</v>
      </c>
      <c r="G22" s="46">
        <v>3.0</v>
      </c>
      <c r="H22" s="47">
        <v>0.0</v>
      </c>
      <c r="I22" s="46">
        <v>1.0</v>
      </c>
      <c r="J22" s="46">
        <v>2.0</v>
      </c>
      <c r="K22" s="46">
        <v>1.0</v>
      </c>
      <c r="L22" s="103">
        <v>4.0</v>
      </c>
      <c r="M22" s="46">
        <v>0.0</v>
      </c>
      <c r="N22" s="31">
        <f t="shared" ref="N22:O22" si="24">C22+L22</f>
        <v>70</v>
      </c>
      <c r="O22" s="31">
        <f t="shared" si="24"/>
        <v>8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0</v>
      </c>
      <c r="V22" s="46">
        <f t="shared" si="6"/>
        <v>5</v>
      </c>
      <c r="W22" s="30">
        <f t="shared" si="9"/>
        <v>18</v>
      </c>
    </row>
    <row r="23">
      <c r="A23" s="30">
        <f t="shared" si="7"/>
        <v>19</v>
      </c>
      <c r="B23" s="43" t="s">
        <v>62</v>
      </c>
      <c r="C23" s="31">
        <v>65.0</v>
      </c>
      <c r="D23" s="31">
        <v>6.0</v>
      </c>
      <c r="E23" s="36">
        <f t="shared" si="2"/>
        <v>11.75</v>
      </c>
      <c r="F23" s="102">
        <v>3.0</v>
      </c>
      <c r="G23" s="46">
        <v>0.0</v>
      </c>
      <c r="H23" s="47">
        <v>9.0</v>
      </c>
      <c r="I23" s="46">
        <v>0.0</v>
      </c>
      <c r="J23" s="46">
        <v>0.0</v>
      </c>
      <c r="K23" s="46">
        <v>0.0</v>
      </c>
      <c r="L23" s="103">
        <v>9.0</v>
      </c>
      <c r="M23" s="46">
        <v>0.0</v>
      </c>
      <c r="N23" s="31">
        <f t="shared" ref="N23:O23" si="25">C23+L23</f>
        <v>74</v>
      </c>
      <c r="O23" s="31">
        <f t="shared" si="25"/>
        <v>6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2</v>
      </c>
      <c r="V23" s="46">
        <f t="shared" si="6"/>
        <v>17</v>
      </c>
      <c r="W23" s="30">
        <f t="shared" si="9"/>
        <v>19</v>
      </c>
    </row>
    <row r="24">
      <c r="A24" s="30">
        <f t="shared" si="7"/>
        <v>20</v>
      </c>
      <c r="B24" s="28" t="s">
        <v>97</v>
      </c>
      <c r="C24" s="31">
        <v>65.0</v>
      </c>
      <c r="D24" s="31">
        <v>4.0</v>
      </c>
      <c r="E24" s="36">
        <f t="shared" si="2"/>
        <v>9.75</v>
      </c>
      <c r="F24" s="102">
        <v>2.0</v>
      </c>
      <c r="G24" s="46">
        <v>3.0</v>
      </c>
      <c r="H24" s="47">
        <v>0.0</v>
      </c>
      <c r="I24" s="46">
        <v>1.0</v>
      </c>
      <c r="J24" s="46">
        <v>6.0</v>
      </c>
      <c r="K24" s="46">
        <v>6.0</v>
      </c>
      <c r="L24" s="103">
        <v>13.0</v>
      </c>
      <c r="M24" s="46">
        <v>2.0</v>
      </c>
      <c r="N24" s="31">
        <f t="shared" ref="N24:O24" si="26">C24+L24</f>
        <v>78</v>
      </c>
      <c r="O24" s="31">
        <f t="shared" si="26"/>
        <v>6</v>
      </c>
      <c r="P24" s="45" t="s">
        <v>58</v>
      </c>
      <c r="Q24" s="45" t="s">
        <v>58</v>
      </c>
      <c r="R24" s="45"/>
      <c r="S24" s="46">
        <f t="shared" si="4"/>
        <v>2</v>
      </c>
      <c r="T24" s="46"/>
      <c r="U24" s="46">
        <f t="shared" si="5"/>
        <v>0</v>
      </c>
      <c r="V24" s="46">
        <f t="shared" si="6"/>
        <v>4</v>
      </c>
      <c r="W24" s="30">
        <f t="shared" si="9"/>
        <v>20</v>
      </c>
    </row>
    <row r="25">
      <c r="A25" s="30">
        <f t="shared" si="7"/>
        <v>21</v>
      </c>
      <c r="B25" s="28" t="s">
        <v>128</v>
      </c>
      <c r="C25" s="31">
        <v>64.0</v>
      </c>
      <c r="D25" s="31">
        <v>6.0</v>
      </c>
      <c r="E25" s="36">
        <f t="shared" si="2"/>
        <v>12.33333333</v>
      </c>
      <c r="F25" s="102">
        <v>1.0</v>
      </c>
      <c r="G25" s="46">
        <v>4.0</v>
      </c>
      <c r="H25" s="47">
        <v>0.0</v>
      </c>
      <c r="I25" s="46">
        <v>1.0</v>
      </c>
      <c r="J25" s="46">
        <v>6.0</v>
      </c>
      <c r="K25" s="46">
        <v>6.0</v>
      </c>
      <c r="L25" s="103">
        <v>13.0</v>
      </c>
      <c r="M25" s="46">
        <v>2.0</v>
      </c>
      <c r="N25" s="31">
        <f t="shared" ref="N25:O25" si="27">C25+L25</f>
        <v>77</v>
      </c>
      <c r="O25" s="31">
        <f t="shared" si="27"/>
        <v>8</v>
      </c>
      <c r="P25" s="45" t="s">
        <v>58</v>
      </c>
      <c r="Q25" s="45" t="s">
        <v>58</v>
      </c>
      <c r="R25" s="45"/>
      <c r="S25" s="46">
        <f t="shared" si="4"/>
        <v>0</v>
      </c>
      <c r="T25" s="46"/>
      <c r="U25" s="46">
        <f t="shared" si="5"/>
        <v>3</v>
      </c>
      <c r="V25" s="46">
        <f t="shared" si="6"/>
        <v>19</v>
      </c>
      <c r="W25" s="30">
        <f t="shared" si="9"/>
        <v>21</v>
      </c>
    </row>
    <row r="26">
      <c r="A26" s="30">
        <f t="shared" si="7"/>
        <v>22</v>
      </c>
      <c r="B26" s="28" t="s">
        <v>89</v>
      </c>
      <c r="C26" s="31">
        <v>64.0</v>
      </c>
      <c r="D26" s="31">
        <v>4.0</v>
      </c>
      <c r="E26" s="36">
        <f t="shared" si="2"/>
        <v>9.666666667</v>
      </c>
      <c r="F26" s="102">
        <v>1.0</v>
      </c>
      <c r="G26" s="46">
        <v>4.0</v>
      </c>
      <c r="H26" s="47">
        <v>0.0</v>
      </c>
      <c r="I26" s="46">
        <v>6.0</v>
      </c>
      <c r="J26" s="46">
        <v>4.0</v>
      </c>
      <c r="K26" s="46">
        <v>6.0</v>
      </c>
      <c r="L26" s="103">
        <v>16.0</v>
      </c>
      <c r="M26" s="46">
        <v>2.0</v>
      </c>
      <c r="N26" s="31">
        <f t="shared" ref="N26:O26" si="28">C26+L26</f>
        <v>80</v>
      </c>
      <c r="O26" s="31">
        <f t="shared" si="28"/>
        <v>6</v>
      </c>
      <c r="P26" s="45" t="s">
        <v>58</v>
      </c>
      <c r="Q26" s="45" t="s">
        <v>58</v>
      </c>
      <c r="R26" s="45"/>
      <c r="S26" s="46">
        <f t="shared" si="4"/>
        <v>2</v>
      </c>
      <c r="T26" s="46"/>
      <c r="U26" s="46">
        <f t="shared" si="5"/>
        <v>1</v>
      </c>
      <c r="V26" s="46">
        <f t="shared" si="6"/>
        <v>6</v>
      </c>
      <c r="W26" s="30">
        <f t="shared" si="9"/>
        <v>22</v>
      </c>
    </row>
    <row r="27">
      <c r="A27" s="30">
        <f t="shared" si="7"/>
        <v>23</v>
      </c>
      <c r="B27" s="43" t="s">
        <v>79</v>
      </c>
      <c r="C27" s="31">
        <v>64.0</v>
      </c>
      <c r="D27" s="31">
        <v>4.0</v>
      </c>
      <c r="E27" s="36">
        <f t="shared" si="2"/>
        <v>10.66666667</v>
      </c>
      <c r="F27" s="102">
        <v>1.0</v>
      </c>
      <c r="G27" s="46">
        <v>4.0</v>
      </c>
      <c r="H27" s="47">
        <v>0.0</v>
      </c>
      <c r="I27" s="46">
        <v>1.0</v>
      </c>
      <c r="J27" s="46">
        <v>4.0</v>
      </c>
      <c r="K27" s="46">
        <v>1.0</v>
      </c>
      <c r="L27" s="103">
        <v>6.0</v>
      </c>
      <c r="M27" s="46">
        <v>0.0</v>
      </c>
      <c r="N27" s="31">
        <f t="shared" ref="N27:O27" si="29">C27+L27</f>
        <v>70</v>
      </c>
      <c r="O27" s="31">
        <f t="shared" si="29"/>
        <v>4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0</v>
      </c>
      <c r="V27" s="46">
        <f t="shared" si="6"/>
        <v>-4</v>
      </c>
      <c r="W27" s="30">
        <f t="shared" si="9"/>
        <v>23</v>
      </c>
    </row>
    <row r="28">
      <c r="A28" s="30">
        <f t="shared" si="7"/>
        <v>24</v>
      </c>
      <c r="B28" s="28" t="s">
        <v>119</v>
      </c>
      <c r="C28" s="31">
        <v>63.0</v>
      </c>
      <c r="D28" s="31">
        <v>7.0</v>
      </c>
      <c r="E28" s="36">
        <f t="shared" si="2"/>
        <v>10.25</v>
      </c>
      <c r="F28" s="102">
        <v>3.0</v>
      </c>
      <c r="G28" s="46">
        <v>0.0</v>
      </c>
      <c r="H28" s="47">
        <v>9.0</v>
      </c>
      <c r="I28" s="46">
        <v>0.0</v>
      </c>
      <c r="J28" s="46">
        <v>0.0</v>
      </c>
      <c r="K28" s="46">
        <v>0.0</v>
      </c>
      <c r="L28" s="103">
        <v>9.0</v>
      </c>
      <c r="M28" s="46">
        <v>0.0</v>
      </c>
      <c r="N28" s="31">
        <f t="shared" ref="N28:O28" si="30">C28+L28</f>
        <v>72</v>
      </c>
      <c r="O28" s="31">
        <f t="shared" si="30"/>
        <v>7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1</v>
      </c>
      <c r="V28" s="46">
        <f t="shared" si="6"/>
        <v>6</v>
      </c>
      <c r="W28" s="30">
        <f t="shared" si="9"/>
        <v>24</v>
      </c>
    </row>
    <row r="29">
      <c r="A29" s="30">
        <f t="shared" si="7"/>
        <v>25</v>
      </c>
      <c r="B29" s="28" t="s">
        <v>34</v>
      </c>
      <c r="C29" s="31">
        <v>63.0</v>
      </c>
      <c r="D29" s="31">
        <v>6.0</v>
      </c>
      <c r="E29" s="36">
        <f t="shared" si="2"/>
        <v>13.5</v>
      </c>
      <c r="F29" s="102">
        <v>3.0</v>
      </c>
      <c r="G29" s="46">
        <v>0.0</v>
      </c>
      <c r="H29" s="47">
        <v>9.0</v>
      </c>
      <c r="I29" s="46">
        <v>0.0</v>
      </c>
      <c r="J29" s="46">
        <v>0.0</v>
      </c>
      <c r="K29" s="46">
        <v>0.0</v>
      </c>
      <c r="L29" s="103">
        <v>9.0</v>
      </c>
      <c r="M29" s="46">
        <v>0.0</v>
      </c>
      <c r="N29" s="31">
        <f t="shared" ref="N29:O29" si="31">C29+L29</f>
        <v>72</v>
      </c>
      <c r="O29" s="31">
        <f t="shared" si="31"/>
        <v>6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4</v>
      </c>
      <c r="V29" s="46">
        <f t="shared" si="6"/>
        <v>-12</v>
      </c>
      <c r="W29" s="30">
        <f t="shared" si="9"/>
        <v>25</v>
      </c>
    </row>
    <row r="30">
      <c r="A30" s="30">
        <f t="shared" si="7"/>
        <v>26</v>
      </c>
      <c r="B30" s="43" t="s">
        <v>106</v>
      </c>
      <c r="C30" s="31">
        <v>63.0</v>
      </c>
      <c r="D30" s="31">
        <v>6.0</v>
      </c>
      <c r="E30" s="36">
        <f t="shared" si="2"/>
        <v>10.8</v>
      </c>
      <c r="F30" s="102">
        <v>1.0</v>
      </c>
      <c r="G30" s="46">
        <v>4.0</v>
      </c>
      <c r="H30" s="47">
        <v>0.0</v>
      </c>
      <c r="I30" s="46">
        <v>6.0</v>
      </c>
      <c r="J30" s="46">
        <v>6.0</v>
      </c>
      <c r="K30" s="46">
        <v>1.0</v>
      </c>
      <c r="L30" s="103">
        <v>13.0</v>
      </c>
      <c r="M30" s="46">
        <v>2.0</v>
      </c>
      <c r="N30" s="31">
        <f t="shared" ref="N30:O30" si="32">C30+L30</f>
        <v>76</v>
      </c>
      <c r="O30" s="31">
        <f t="shared" si="32"/>
        <v>8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1</v>
      </c>
      <c r="V30" s="46">
        <f t="shared" si="6"/>
        <v>19</v>
      </c>
      <c r="W30" s="30">
        <f t="shared" si="9"/>
        <v>26</v>
      </c>
    </row>
    <row r="31">
      <c r="A31" s="30">
        <f t="shared" si="7"/>
        <v>27</v>
      </c>
      <c r="B31" s="28" t="s">
        <v>116</v>
      </c>
      <c r="C31" s="31">
        <v>63.0</v>
      </c>
      <c r="D31" s="31">
        <v>5.0</v>
      </c>
      <c r="E31" s="36">
        <f t="shared" si="2"/>
        <v>10.25</v>
      </c>
      <c r="F31" s="102">
        <v>1.0</v>
      </c>
      <c r="G31" s="46">
        <v>9.0</v>
      </c>
      <c r="H31" s="47">
        <v>0.0</v>
      </c>
      <c r="I31" s="46">
        <v>5.0</v>
      </c>
      <c r="J31" s="46">
        <v>6.0</v>
      </c>
      <c r="K31" s="46">
        <v>6.0</v>
      </c>
      <c r="L31" s="103">
        <v>17.0</v>
      </c>
      <c r="M31" s="46">
        <v>2.0</v>
      </c>
      <c r="N31" s="31">
        <f t="shared" ref="N31:O31" si="33">C31+L31</f>
        <v>80</v>
      </c>
      <c r="O31" s="31">
        <f t="shared" si="33"/>
        <v>7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1</v>
      </c>
      <c r="V31" s="46">
        <f t="shared" si="6"/>
        <v>-12</v>
      </c>
      <c r="W31" s="30">
        <f t="shared" si="9"/>
        <v>27</v>
      </c>
    </row>
    <row r="32">
      <c r="A32" s="30">
        <f t="shared" si="7"/>
        <v>28</v>
      </c>
      <c r="B32" s="43" t="s">
        <v>121</v>
      </c>
      <c r="C32" s="31">
        <v>63.0</v>
      </c>
      <c r="D32" s="31">
        <v>4.0</v>
      </c>
      <c r="E32" s="36">
        <f t="shared" si="2"/>
        <v>10.66666667</v>
      </c>
      <c r="F32" s="102">
        <v>1.0</v>
      </c>
      <c r="G32" s="46">
        <v>9.0</v>
      </c>
      <c r="H32" s="47">
        <v>0.0</v>
      </c>
      <c r="I32" s="46">
        <v>7.0</v>
      </c>
      <c r="J32" s="46">
        <v>6.0</v>
      </c>
      <c r="K32" s="46">
        <v>3.0</v>
      </c>
      <c r="L32" s="103">
        <v>16.0</v>
      </c>
      <c r="M32" s="46">
        <v>2.0</v>
      </c>
      <c r="N32" s="31">
        <f t="shared" ref="N32:O32" si="34">C32+L32</f>
        <v>79</v>
      </c>
      <c r="O32" s="31">
        <f t="shared" si="34"/>
        <v>6</v>
      </c>
      <c r="P32" s="45" t="s">
        <v>58</v>
      </c>
      <c r="Q32" s="45" t="s">
        <v>58</v>
      </c>
      <c r="R32" s="45"/>
      <c r="S32" s="46">
        <f t="shared" si="4"/>
        <v>1</v>
      </c>
      <c r="T32" s="46"/>
      <c r="U32" s="46">
        <f t="shared" si="5"/>
        <v>2</v>
      </c>
      <c r="V32" s="46">
        <f t="shared" si="6"/>
        <v>-11</v>
      </c>
      <c r="W32" s="30">
        <f t="shared" si="9"/>
        <v>28</v>
      </c>
    </row>
    <row r="33">
      <c r="A33" s="30">
        <f t="shared" si="7"/>
        <v>29</v>
      </c>
      <c r="B33" s="43" t="s">
        <v>90</v>
      </c>
      <c r="C33" s="31">
        <v>63.0</v>
      </c>
      <c r="D33" s="31">
        <v>4.0</v>
      </c>
      <c r="E33" s="36">
        <f t="shared" si="2"/>
        <v>7.5</v>
      </c>
      <c r="F33" s="102">
        <v>5.0</v>
      </c>
      <c r="G33" s="46">
        <v>0.0</v>
      </c>
      <c r="H33" s="47">
        <v>13.0</v>
      </c>
      <c r="I33" s="46">
        <v>0.0</v>
      </c>
      <c r="J33" s="46">
        <v>0.0</v>
      </c>
      <c r="K33" s="46">
        <v>0.0</v>
      </c>
      <c r="L33" s="103">
        <v>13.0</v>
      </c>
      <c r="M33" s="46">
        <v>0.0</v>
      </c>
      <c r="N33" s="31">
        <f t="shared" ref="N33:O33" si="35">C33+L33</f>
        <v>76</v>
      </c>
      <c r="O33" s="31">
        <f t="shared" si="35"/>
        <v>4</v>
      </c>
      <c r="P33" s="45" t="s">
        <v>58</v>
      </c>
      <c r="Q33" s="45" t="s">
        <v>58</v>
      </c>
      <c r="R33" s="45"/>
      <c r="S33" s="46">
        <f t="shared" si="4"/>
        <v>3</v>
      </c>
      <c r="T33" s="46"/>
      <c r="U33" s="46">
        <f t="shared" si="5"/>
        <v>1</v>
      </c>
      <c r="V33" s="46">
        <f t="shared" si="6"/>
        <v>-11</v>
      </c>
      <c r="W33" s="30">
        <f t="shared" si="9"/>
        <v>29</v>
      </c>
    </row>
    <row r="34">
      <c r="A34" s="30">
        <f t="shared" si="7"/>
        <v>30</v>
      </c>
      <c r="B34" s="43" t="s">
        <v>107</v>
      </c>
      <c r="C34" s="31">
        <v>63.0</v>
      </c>
      <c r="D34" s="31">
        <v>2.0</v>
      </c>
      <c r="E34" s="36">
        <f t="shared" si="2"/>
        <v>10.25</v>
      </c>
      <c r="F34" s="102">
        <v>2.0</v>
      </c>
      <c r="G34" s="46">
        <v>9.0</v>
      </c>
      <c r="H34" s="47">
        <v>0.0</v>
      </c>
      <c r="I34" s="46">
        <v>5.0</v>
      </c>
      <c r="J34" s="46">
        <v>3.0</v>
      </c>
      <c r="K34" s="46">
        <v>3.0</v>
      </c>
      <c r="L34" s="103">
        <v>11.0</v>
      </c>
      <c r="M34" s="46">
        <v>0.0</v>
      </c>
      <c r="N34" s="31">
        <f t="shared" ref="N34:O34" si="36">C34+L34</f>
        <v>74</v>
      </c>
      <c r="O34" s="31">
        <f t="shared" si="36"/>
        <v>2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1</v>
      </c>
      <c r="V34" s="46">
        <f t="shared" si="6"/>
        <v>12</v>
      </c>
      <c r="W34" s="30">
        <f t="shared" si="9"/>
        <v>30</v>
      </c>
    </row>
    <row r="35">
      <c r="A35" s="30">
        <f t="shared" si="7"/>
        <v>31</v>
      </c>
      <c r="B35" s="28" t="s">
        <v>120</v>
      </c>
      <c r="C35" s="31">
        <v>62.0</v>
      </c>
      <c r="D35" s="31">
        <v>5.0</v>
      </c>
      <c r="E35" s="36">
        <f t="shared" si="2"/>
        <v>10.33333333</v>
      </c>
      <c r="F35" s="102">
        <v>1.0</v>
      </c>
      <c r="G35" s="46">
        <v>9.0</v>
      </c>
      <c r="H35" s="47">
        <v>0.0</v>
      </c>
      <c r="I35" s="46">
        <v>7.0</v>
      </c>
      <c r="J35" s="46">
        <v>3.0</v>
      </c>
      <c r="K35" s="46">
        <v>6.0</v>
      </c>
      <c r="L35" s="103">
        <v>16.0</v>
      </c>
      <c r="M35" s="46">
        <v>2.0</v>
      </c>
      <c r="N35" s="31">
        <f t="shared" ref="N35:O35" si="37">C35+L35</f>
        <v>78</v>
      </c>
      <c r="O35" s="31">
        <f t="shared" si="37"/>
        <v>7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2</v>
      </c>
      <c r="V35" s="46">
        <f t="shared" si="6"/>
        <v>-10</v>
      </c>
      <c r="W35" s="30">
        <f t="shared" si="9"/>
        <v>31</v>
      </c>
    </row>
    <row r="36">
      <c r="A36" s="30">
        <f t="shared" si="7"/>
        <v>32</v>
      </c>
      <c r="B36" s="43" t="s">
        <v>94</v>
      </c>
      <c r="C36" s="31">
        <v>62.0</v>
      </c>
      <c r="D36" s="31">
        <v>4.0</v>
      </c>
      <c r="E36" s="36">
        <f t="shared" si="2"/>
        <v>10.33333333</v>
      </c>
      <c r="F36" s="102">
        <v>1.0</v>
      </c>
      <c r="G36" s="46">
        <v>6.0</v>
      </c>
      <c r="H36" s="47">
        <v>0.0</v>
      </c>
      <c r="I36" s="46">
        <v>6.0</v>
      </c>
      <c r="J36" s="46">
        <v>6.0</v>
      </c>
      <c r="K36" s="46">
        <v>6.0</v>
      </c>
      <c r="L36" s="103">
        <v>18.0</v>
      </c>
      <c r="M36" s="46">
        <v>3.0</v>
      </c>
      <c r="N36" s="31">
        <f t="shared" ref="N36:O36" si="38">C36+L36</f>
        <v>80</v>
      </c>
      <c r="O36" s="31">
        <f t="shared" si="38"/>
        <v>7</v>
      </c>
      <c r="P36" s="45" t="s">
        <v>58</v>
      </c>
      <c r="Q36" s="45" t="s">
        <v>58</v>
      </c>
      <c r="R36" s="45"/>
      <c r="S36" s="46">
        <f t="shared" si="4"/>
        <v>1</v>
      </c>
      <c r="T36" s="46"/>
      <c r="U36" s="46">
        <f t="shared" si="5"/>
        <v>2</v>
      </c>
      <c r="V36" s="46">
        <f t="shared" si="6"/>
        <v>-10</v>
      </c>
      <c r="W36" s="30">
        <f t="shared" si="9"/>
        <v>32</v>
      </c>
    </row>
    <row r="37">
      <c r="A37" s="30">
        <f t="shared" si="7"/>
        <v>33</v>
      </c>
      <c r="B37" s="28" t="s">
        <v>105</v>
      </c>
      <c r="C37" s="31">
        <v>61.0</v>
      </c>
      <c r="D37" s="31">
        <v>4.0</v>
      </c>
      <c r="E37" s="36">
        <f t="shared" si="2"/>
        <v>10</v>
      </c>
      <c r="F37" s="102">
        <v>3.0</v>
      </c>
      <c r="G37" s="46">
        <v>0.0</v>
      </c>
      <c r="H37" s="47">
        <v>9.0</v>
      </c>
      <c r="I37" s="46">
        <v>0.0</v>
      </c>
      <c r="J37" s="46">
        <v>0.0</v>
      </c>
      <c r="K37" s="46">
        <v>0.0</v>
      </c>
      <c r="L37" s="103">
        <v>9.0</v>
      </c>
      <c r="M37" s="46">
        <v>0.0</v>
      </c>
      <c r="N37" s="31">
        <f t="shared" ref="N37:O37" si="39">C37+L37</f>
        <v>70</v>
      </c>
      <c r="O37" s="31">
        <f t="shared" si="39"/>
        <v>4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2</v>
      </c>
      <c r="V37" s="46">
        <f t="shared" si="6"/>
        <v>-8</v>
      </c>
      <c r="W37" s="30">
        <f t="shared" si="9"/>
        <v>33</v>
      </c>
    </row>
    <row r="38">
      <c r="A38" s="30">
        <f t="shared" si="7"/>
        <v>34</v>
      </c>
      <c r="B38" s="48" t="s">
        <v>82</v>
      </c>
      <c r="C38" s="31">
        <v>60.0</v>
      </c>
      <c r="D38" s="31">
        <v>5.0</v>
      </c>
      <c r="E38" s="36">
        <f t="shared" si="2"/>
        <v>11</v>
      </c>
      <c r="F38" s="102">
        <v>3.0</v>
      </c>
      <c r="G38" s="46">
        <v>0.0</v>
      </c>
      <c r="H38" s="47">
        <v>9.0</v>
      </c>
      <c r="I38" s="46">
        <v>0.0</v>
      </c>
      <c r="J38" s="46">
        <v>0.0</v>
      </c>
      <c r="K38" s="46">
        <v>0.0</v>
      </c>
      <c r="L38" s="103">
        <v>9.0</v>
      </c>
      <c r="M38" s="46">
        <v>0.0</v>
      </c>
      <c r="N38" s="31">
        <f t="shared" ref="N38:O38" si="40">C38+L38</f>
        <v>69</v>
      </c>
      <c r="O38" s="31">
        <f t="shared" si="40"/>
        <v>5</v>
      </c>
      <c r="P38" s="45" t="s">
        <v>58</v>
      </c>
      <c r="Q38" s="45" t="s">
        <v>58</v>
      </c>
      <c r="R38" s="45"/>
      <c r="S38" s="46">
        <f t="shared" si="4"/>
        <v>0</v>
      </c>
      <c r="T38" s="46"/>
      <c r="U38" s="46">
        <f t="shared" si="5"/>
        <v>3</v>
      </c>
      <c r="V38" s="46">
        <f t="shared" si="6"/>
        <v>-8</v>
      </c>
      <c r="W38" s="30">
        <f t="shared" si="9"/>
        <v>34</v>
      </c>
    </row>
    <row r="39">
      <c r="A39" s="30">
        <f t="shared" si="7"/>
        <v>35</v>
      </c>
      <c r="B39" s="43" t="s">
        <v>64</v>
      </c>
      <c r="C39" s="47">
        <v>60.0</v>
      </c>
      <c r="D39" s="31">
        <v>4.0</v>
      </c>
      <c r="E39" s="36">
        <f t="shared" si="2"/>
        <v>10.5</v>
      </c>
      <c r="F39" s="102">
        <v>1.0</v>
      </c>
      <c r="G39" s="46">
        <v>6.0</v>
      </c>
      <c r="H39" s="47">
        <v>0.0</v>
      </c>
      <c r="I39" s="46">
        <v>6.0</v>
      </c>
      <c r="J39" s="46">
        <v>2.0</v>
      </c>
      <c r="K39" s="46">
        <v>1.0</v>
      </c>
      <c r="L39" s="103">
        <v>9.0</v>
      </c>
      <c r="M39" s="46">
        <v>1.0</v>
      </c>
      <c r="N39" s="47">
        <f t="shared" ref="N39:O39" si="41">C39+L39</f>
        <v>69</v>
      </c>
      <c r="O39" s="31">
        <f t="shared" si="41"/>
        <v>5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2</v>
      </c>
      <c r="V39" s="46">
        <f t="shared" si="6"/>
        <v>-4</v>
      </c>
      <c r="W39" s="30">
        <f t="shared" si="9"/>
        <v>35</v>
      </c>
    </row>
    <row r="40">
      <c r="A40" s="30">
        <f t="shared" si="7"/>
        <v>36</v>
      </c>
      <c r="B40" s="48" t="s">
        <v>54</v>
      </c>
      <c r="C40" s="31">
        <v>60.0</v>
      </c>
      <c r="D40" s="31">
        <v>4.0</v>
      </c>
      <c r="E40" s="36">
        <f t="shared" si="2"/>
        <v>9.4</v>
      </c>
      <c r="F40" s="102">
        <v>1.0</v>
      </c>
      <c r="G40" s="46">
        <v>6.0</v>
      </c>
      <c r="H40" s="47">
        <v>0.0</v>
      </c>
      <c r="I40" s="46">
        <v>0.0</v>
      </c>
      <c r="J40" s="46">
        <v>6.0</v>
      </c>
      <c r="K40" s="46">
        <v>1.0</v>
      </c>
      <c r="L40" s="103">
        <v>7.0</v>
      </c>
      <c r="M40" s="46">
        <v>1.0</v>
      </c>
      <c r="N40" s="31">
        <f t="shared" ref="N40:O40" si="42">C40+L40</f>
        <v>67</v>
      </c>
      <c r="O40" s="31">
        <f t="shared" si="42"/>
        <v>5</v>
      </c>
      <c r="P40" s="45" t="s">
        <v>58</v>
      </c>
      <c r="Q40" s="45" t="s">
        <v>58</v>
      </c>
      <c r="R40" s="45"/>
      <c r="S40" s="46">
        <f t="shared" si="4"/>
        <v>1</v>
      </c>
      <c r="T40" s="46"/>
      <c r="U40" s="46">
        <f t="shared" si="5"/>
        <v>0</v>
      </c>
      <c r="V40" s="46">
        <f t="shared" si="6"/>
        <v>1</v>
      </c>
      <c r="W40" s="30">
        <f t="shared" si="9"/>
        <v>36</v>
      </c>
    </row>
    <row r="41">
      <c r="A41" s="30">
        <f t="shared" si="7"/>
        <v>37</v>
      </c>
      <c r="B41" s="48" t="s">
        <v>70</v>
      </c>
      <c r="C41" s="31">
        <v>60.0</v>
      </c>
      <c r="D41" s="31">
        <v>3.0</v>
      </c>
      <c r="E41" s="36">
        <f t="shared" si="2"/>
        <v>9.4</v>
      </c>
      <c r="F41" s="102">
        <v>2.0</v>
      </c>
      <c r="G41" s="46">
        <v>6.0</v>
      </c>
      <c r="H41" s="47">
        <v>0.0</v>
      </c>
      <c r="I41" s="46">
        <v>0.0</v>
      </c>
      <c r="J41" s="46">
        <v>2.0</v>
      </c>
      <c r="K41" s="46">
        <v>6.0</v>
      </c>
      <c r="L41" s="103">
        <v>8.0</v>
      </c>
      <c r="M41" s="46">
        <v>1.0</v>
      </c>
      <c r="N41" s="31">
        <f t="shared" ref="N41:O41" si="43">C41+L41</f>
        <v>68</v>
      </c>
      <c r="O41" s="31">
        <f t="shared" si="43"/>
        <v>4</v>
      </c>
      <c r="P41" s="45" t="s">
        <v>58</v>
      </c>
      <c r="Q41" s="45" t="s">
        <v>58</v>
      </c>
      <c r="R41" s="45"/>
      <c r="S41" s="46">
        <f t="shared" si="4"/>
        <v>1</v>
      </c>
      <c r="T41" s="46"/>
      <c r="U41" s="46">
        <f t="shared" si="5"/>
        <v>0</v>
      </c>
      <c r="V41" s="46">
        <f t="shared" si="6"/>
        <v>-8</v>
      </c>
      <c r="W41" s="30">
        <f t="shared" si="9"/>
        <v>37</v>
      </c>
    </row>
    <row r="42">
      <c r="A42" s="30">
        <f t="shared" si="7"/>
        <v>38</v>
      </c>
      <c r="B42" s="48" t="s">
        <v>134</v>
      </c>
      <c r="C42" s="31">
        <v>59.0</v>
      </c>
      <c r="D42" s="31">
        <v>4.0</v>
      </c>
      <c r="E42" s="36">
        <f t="shared" si="2"/>
        <v>9.333333333</v>
      </c>
      <c r="F42" s="102">
        <v>1.0</v>
      </c>
      <c r="G42" s="46">
        <v>7.0</v>
      </c>
      <c r="H42" s="47">
        <v>0.0</v>
      </c>
      <c r="I42" s="46">
        <v>1.0</v>
      </c>
      <c r="J42" s="46">
        <v>3.0</v>
      </c>
      <c r="K42" s="46">
        <v>6.0</v>
      </c>
      <c r="L42" s="103">
        <v>10.0</v>
      </c>
      <c r="M42" s="46">
        <v>1.0</v>
      </c>
      <c r="N42" s="31">
        <f t="shared" ref="N42:O42" si="44">C42+L42</f>
        <v>69</v>
      </c>
      <c r="O42" s="31">
        <f t="shared" si="44"/>
        <v>5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2</v>
      </c>
      <c r="V42" s="46">
        <f t="shared" si="6"/>
        <v>9</v>
      </c>
      <c r="W42" s="30">
        <f t="shared" si="9"/>
        <v>38</v>
      </c>
    </row>
    <row r="43">
      <c r="A43" s="30">
        <f t="shared" si="7"/>
        <v>39</v>
      </c>
      <c r="B43" s="43" t="s">
        <v>99</v>
      </c>
      <c r="C43" s="31">
        <v>59.0</v>
      </c>
      <c r="D43" s="31">
        <v>4.0</v>
      </c>
      <c r="E43" s="36">
        <f t="shared" si="2"/>
        <v>10.66666667</v>
      </c>
      <c r="F43" s="102">
        <v>3.0</v>
      </c>
      <c r="G43" s="46">
        <v>0.0</v>
      </c>
      <c r="H43" s="47">
        <v>9.0</v>
      </c>
      <c r="I43" s="46">
        <v>0.0</v>
      </c>
      <c r="J43" s="46">
        <v>0.0</v>
      </c>
      <c r="K43" s="46">
        <v>0.0</v>
      </c>
      <c r="L43" s="103">
        <v>9.0</v>
      </c>
      <c r="M43" s="46">
        <v>0.0</v>
      </c>
      <c r="N43" s="31">
        <f t="shared" ref="N43:O43" si="45">C43+L43</f>
        <v>68</v>
      </c>
      <c r="O43" s="31">
        <f t="shared" si="45"/>
        <v>4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3</v>
      </c>
      <c r="V43" s="46">
        <f t="shared" si="6"/>
        <v>7</v>
      </c>
      <c r="W43" s="30">
        <f t="shared" si="9"/>
        <v>39</v>
      </c>
    </row>
    <row r="44">
      <c r="A44" s="30">
        <f t="shared" si="7"/>
        <v>40</v>
      </c>
      <c r="B44" s="43" t="s">
        <v>133</v>
      </c>
      <c r="C44" s="31">
        <v>59.0</v>
      </c>
      <c r="D44" s="31">
        <v>4.0</v>
      </c>
      <c r="E44" s="36">
        <f t="shared" si="2"/>
        <v>10</v>
      </c>
      <c r="F44" s="102">
        <v>1.0</v>
      </c>
      <c r="G44" s="46">
        <v>7.0</v>
      </c>
      <c r="H44" s="47">
        <v>0.0</v>
      </c>
      <c r="I44" s="46">
        <v>6.0</v>
      </c>
      <c r="J44" s="46">
        <v>3.0</v>
      </c>
      <c r="K44" s="46">
        <v>3.0</v>
      </c>
      <c r="L44" s="103">
        <v>12.0</v>
      </c>
      <c r="M44" s="46">
        <v>1.0</v>
      </c>
      <c r="N44" s="31">
        <f t="shared" ref="N44:O44" si="46">C44+L44</f>
        <v>71</v>
      </c>
      <c r="O44" s="31">
        <f t="shared" si="46"/>
        <v>5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1</v>
      </c>
      <c r="V44" s="46">
        <f t="shared" si="6"/>
        <v>-8</v>
      </c>
      <c r="W44" s="30">
        <f t="shared" si="9"/>
        <v>40</v>
      </c>
    </row>
    <row r="45">
      <c r="A45" s="30">
        <f t="shared" si="7"/>
        <v>41</v>
      </c>
      <c r="B45" s="28" t="s">
        <v>49</v>
      </c>
      <c r="C45" s="31">
        <v>58.0</v>
      </c>
      <c r="D45" s="31">
        <v>4.0</v>
      </c>
      <c r="E45" s="36">
        <f t="shared" si="2"/>
        <v>9</v>
      </c>
      <c r="F45" s="102">
        <v>1.0</v>
      </c>
      <c r="G45" s="46">
        <v>7.0</v>
      </c>
      <c r="H45" s="47">
        <v>0.0</v>
      </c>
      <c r="I45" s="46">
        <v>1.0</v>
      </c>
      <c r="J45" s="46">
        <v>6.0</v>
      </c>
      <c r="K45" s="46">
        <v>3.0</v>
      </c>
      <c r="L45" s="103">
        <v>10.0</v>
      </c>
      <c r="M45" s="46">
        <v>1.0</v>
      </c>
      <c r="N45" s="31">
        <f t="shared" ref="N45:O45" si="47">C45+L45</f>
        <v>68</v>
      </c>
      <c r="O45" s="31">
        <f t="shared" si="47"/>
        <v>5</v>
      </c>
      <c r="P45" s="45" t="s">
        <v>58</v>
      </c>
      <c r="Q45" s="45" t="s">
        <v>58</v>
      </c>
      <c r="R45" s="45" t="s">
        <v>58</v>
      </c>
      <c r="S45" s="46">
        <f t="shared" si="4"/>
        <v>1</v>
      </c>
      <c r="T45" s="46"/>
      <c r="U45" s="46">
        <f t="shared" si="5"/>
        <v>0</v>
      </c>
      <c r="V45" s="46">
        <f t="shared" si="6"/>
        <v>0</v>
      </c>
      <c r="W45" s="30">
        <f t="shared" si="9"/>
        <v>41</v>
      </c>
    </row>
    <row r="46">
      <c r="A46" s="30">
        <f t="shared" si="7"/>
        <v>42</v>
      </c>
      <c r="B46" s="28" t="s">
        <v>67</v>
      </c>
      <c r="C46" s="31">
        <v>58.0</v>
      </c>
      <c r="D46" s="31">
        <v>3.0</v>
      </c>
      <c r="E46" s="36">
        <f t="shared" si="2"/>
        <v>9</v>
      </c>
      <c r="F46" s="102">
        <v>1.0</v>
      </c>
      <c r="G46" s="46">
        <v>7.0</v>
      </c>
      <c r="H46" s="47">
        <v>0.0</v>
      </c>
      <c r="I46" s="46">
        <v>6.0</v>
      </c>
      <c r="J46" s="46">
        <v>6.0</v>
      </c>
      <c r="K46" s="46">
        <v>6.0</v>
      </c>
      <c r="L46" s="103">
        <v>18.0</v>
      </c>
      <c r="M46" s="46">
        <v>3.0</v>
      </c>
      <c r="N46" s="31">
        <f t="shared" ref="N46:O46" si="48">C46+L46</f>
        <v>76</v>
      </c>
      <c r="O46" s="31">
        <f t="shared" si="48"/>
        <v>6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3</v>
      </c>
      <c r="V46" s="46">
        <f t="shared" si="6"/>
        <v>-8</v>
      </c>
      <c r="W46" s="30">
        <f t="shared" si="9"/>
        <v>42</v>
      </c>
    </row>
    <row r="47">
      <c r="A47" s="30">
        <f t="shared" si="7"/>
        <v>43</v>
      </c>
      <c r="B47" s="43" t="s">
        <v>111</v>
      </c>
      <c r="C47" s="47">
        <v>57.0</v>
      </c>
      <c r="D47" s="31">
        <v>5.0</v>
      </c>
      <c r="E47" s="36">
        <f t="shared" si="2"/>
        <v>9.6</v>
      </c>
      <c r="F47" s="102">
        <v>1.0</v>
      </c>
      <c r="G47" s="46">
        <v>8.0</v>
      </c>
      <c r="H47" s="47">
        <v>0.0</v>
      </c>
      <c r="I47" s="46">
        <v>5.0</v>
      </c>
      <c r="J47" s="46">
        <v>6.0</v>
      </c>
      <c r="K47" s="46">
        <v>4.0</v>
      </c>
      <c r="L47" s="103">
        <v>15.0</v>
      </c>
      <c r="M47" s="46">
        <v>1.0</v>
      </c>
      <c r="N47" s="47">
        <f t="shared" ref="N47:O47" si="49">C47+L47</f>
        <v>72</v>
      </c>
      <c r="O47" s="31">
        <f t="shared" si="49"/>
        <v>6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1</v>
      </c>
      <c r="V47" s="46">
        <f t="shared" si="6"/>
        <v>-8</v>
      </c>
      <c r="W47" s="30">
        <f t="shared" si="9"/>
        <v>43</v>
      </c>
    </row>
    <row r="48">
      <c r="A48" s="30">
        <f t="shared" si="7"/>
        <v>44</v>
      </c>
      <c r="B48" s="48" t="s">
        <v>125</v>
      </c>
      <c r="C48" s="31">
        <v>57.0</v>
      </c>
      <c r="D48" s="31">
        <v>4.0</v>
      </c>
      <c r="E48" s="36">
        <f t="shared" si="2"/>
        <v>9.5</v>
      </c>
      <c r="F48" s="102">
        <v>1.0</v>
      </c>
      <c r="G48" s="46">
        <v>8.0</v>
      </c>
      <c r="H48" s="47">
        <v>0.0</v>
      </c>
      <c r="I48" s="46">
        <v>5.0</v>
      </c>
      <c r="J48" s="46">
        <v>2.0</v>
      </c>
      <c r="K48" s="46">
        <v>6.0</v>
      </c>
      <c r="L48" s="103">
        <v>13.0</v>
      </c>
      <c r="M48" s="46">
        <v>1.0</v>
      </c>
      <c r="N48" s="31">
        <f t="shared" ref="N48:O48" si="50">C48+L48</f>
        <v>70</v>
      </c>
      <c r="O48" s="31">
        <f t="shared" si="50"/>
        <v>5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0</v>
      </c>
      <c r="V48" s="46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43" t="s">
        <v>96</v>
      </c>
      <c r="C49" s="31">
        <v>57.0</v>
      </c>
      <c r="D49" s="31">
        <v>3.0</v>
      </c>
      <c r="E49" s="36">
        <f t="shared" si="2"/>
        <v>8.8</v>
      </c>
      <c r="F49" s="102">
        <v>1.0</v>
      </c>
      <c r="G49" s="46">
        <v>8.0</v>
      </c>
      <c r="H49" s="47">
        <v>0.0</v>
      </c>
      <c r="I49" s="46">
        <v>7.0</v>
      </c>
      <c r="J49" s="46">
        <v>2.0</v>
      </c>
      <c r="K49" s="46">
        <v>4.0</v>
      </c>
      <c r="L49" s="103">
        <v>13.0</v>
      </c>
      <c r="M49" s="46">
        <v>1.0</v>
      </c>
      <c r="N49" s="31">
        <f t="shared" ref="N49:O49" si="51">C49+L49</f>
        <v>70</v>
      </c>
      <c r="O49" s="31">
        <f t="shared" si="51"/>
        <v>4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0</v>
      </c>
      <c r="V49" s="46">
        <f t="shared" si="6"/>
        <v>-7</v>
      </c>
      <c r="W49" s="30">
        <f t="shared" si="9"/>
        <v>45</v>
      </c>
    </row>
    <row r="50">
      <c r="A50" s="30">
        <f t="shared" si="7"/>
        <v>46</v>
      </c>
      <c r="B50" s="28" t="s">
        <v>93</v>
      </c>
      <c r="C50" s="31">
        <v>56.0</v>
      </c>
      <c r="D50" s="31">
        <v>4.0</v>
      </c>
      <c r="E50" s="36">
        <f t="shared" si="2"/>
        <v>9.666666667</v>
      </c>
      <c r="F50" s="102">
        <v>3.0</v>
      </c>
      <c r="G50" s="46">
        <v>0.0</v>
      </c>
      <c r="H50" s="47">
        <v>9.0</v>
      </c>
      <c r="I50" s="46">
        <v>0.0</v>
      </c>
      <c r="J50" s="46">
        <v>0.0</v>
      </c>
      <c r="K50" s="46">
        <v>0.0</v>
      </c>
      <c r="L50" s="103">
        <v>9.0</v>
      </c>
      <c r="M50" s="46">
        <v>0.0</v>
      </c>
      <c r="N50" s="31">
        <f t="shared" ref="N50:O50" si="52">C50+L50</f>
        <v>65</v>
      </c>
      <c r="O50" s="31">
        <f t="shared" si="52"/>
        <v>4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3</v>
      </c>
      <c r="V50" s="46">
        <f t="shared" si="6"/>
        <v>3</v>
      </c>
      <c r="W50" s="30">
        <f t="shared" si="9"/>
        <v>46</v>
      </c>
    </row>
    <row r="51">
      <c r="A51" s="30">
        <f t="shared" si="7"/>
        <v>47</v>
      </c>
      <c r="B51" s="28" t="s">
        <v>84</v>
      </c>
      <c r="C51" s="31">
        <v>55.0</v>
      </c>
      <c r="D51" s="31">
        <v>5.0</v>
      </c>
      <c r="E51" s="36">
        <f t="shared" si="2"/>
        <v>9.2</v>
      </c>
      <c r="F51" s="102">
        <v>1.0</v>
      </c>
      <c r="G51" s="46">
        <v>8.0</v>
      </c>
      <c r="H51" s="47">
        <v>0.0</v>
      </c>
      <c r="I51" s="46">
        <v>7.0</v>
      </c>
      <c r="J51" s="46">
        <v>6.0</v>
      </c>
      <c r="K51" s="46">
        <v>6.0</v>
      </c>
      <c r="L51" s="103">
        <v>19.0</v>
      </c>
      <c r="M51" s="46">
        <v>3.0</v>
      </c>
      <c r="N51" s="31">
        <f t="shared" ref="N51:O51" si="53">C51+L51</f>
        <v>74</v>
      </c>
      <c r="O51" s="31">
        <f t="shared" si="53"/>
        <v>8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1</v>
      </c>
      <c r="V51" s="46">
        <f t="shared" si="6"/>
        <v>-8</v>
      </c>
      <c r="W51" s="30">
        <f t="shared" si="9"/>
        <v>47</v>
      </c>
    </row>
    <row r="52">
      <c r="A52" s="30">
        <f t="shared" si="7"/>
        <v>48</v>
      </c>
      <c r="B52" s="43" t="s">
        <v>140</v>
      </c>
      <c r="C52" s="31">
        <v>54.0</v>
      </c>
      <c r="D52" s="31">
        <v>5.0</v>
      </c>
      <c r="E52" s="36">
        <f t="shared" si="2"/>
        <v>9</v>
      </c>
      <c r="F52" s="102">
        <v>1.0</v>
      </c>
      <c r="G52" s="46">
        <v>5.0</v>
      </c>
      <c r="H52" s="47">
        <v>0.0</v>
      </c>
      <c r="I52" s="46">
        <v>3.0</v>
      </c>
      <c r="J52" s="46">
        <v>6.0</v>
      </c>
      <c r="K52" s="46">
        <v>1.0</v>
      </c>
      <c r="L52" s="103">
        <v>10.0</v>
      </c>
      <c r="M52" s="46">
        <v>1.0</v>
      </c>
      <c r="N52" s="31">
        <f t="shared" ref="N52:O52" si="54">C52+L52</f>
        <v>64</v>
      </c>
      <c r="O52" s="31">
        <f t="shared" si="54"/>
        <v>6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2</v>
      </c>
      <c r="V52" s="46">
        <f t="shared" si="6"/>
        <v>3</v>
      </c>
      <c r="W52" s="30">
        <f t="shared" si="9"/>
        <v>48</v>
      </c>
    </row>
    <row r="53">
      <c r="A53" s="30">
        <f t="shared" si="7"/>
        <v>49</v>
      </c>
      <c r="B53" s="43" t="s">
        <v>131</v>
      </c>
      <c r="C53" s="31">
        <v>53.0</v>
      </c>
      <c r="D53" s="31">
        <v>1.0</v>
      </c>
      <c r="E53" s="36">
        <f t="shared" si="2"/>
        <v>8.5</v>
      </c>
      <c r="F53" s="102">
        <v>3.0</v>
      </c>
      <c r="G53" s="46">
        <v>0.0</v>
      </c>
      <c r="H53" s="47">
        <v>9.0</v>
      </c>
      <c r="I53" s="46">
        <v>0.0</v>
      </c>
      <c r="J53" s="46">
        <v>0.0</v>
      </c>
      <c r="K53" s="46">
        <v>0.0</v>
      </c>
      <c r="L53" s="103">
        <v>9.0</v>
      </c>
      <c r="M53" s="46">
        <v>0.0</v>
      </c>
      <c r="N53" s="31">
        <f t="shared" ref="N53:O53" si="55">C53+L53</f>
        <v>62</v>
      </c>
      <c r="O53" s="31">
        <f t="shared" si="55"/>
        <v>1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4</v>
      </c>
      <c r="V53" s="46">
        <f t="shared" si="6"/>
        <v>-5</v>
      </c>
      <c r="W53" s="30">
        <f t="shared" si="9"/>
        <v>49</v>
      </c>
    </row>
    <row r="54">
      <c r="A54" s="30">
        <f t="shared" si="7"/>
        <v>50</v>
      </c>
      <c r="B54" s="43" t="s">
        <v>136</v>
      </c>
      <c r="C54" s="31">
        <v>51.0</v>
      </c>
      <c r="D54" s="31">
        <v>5.0</v>
      </c>
      <c r="E54" s="36">
        <f t="shared" si="2"/>
        <v>8.4</v>
      </c>
      <c r="F54" s="102">
        <v>1.0</v>
      </c>
      <c r="G54" s="46">
        <v>5.0</v>
      </c>
      <c r="H54" s="47">
        <v>0.0</v>
      </c>
      <c r="I54" s="46">
        <v>3.0</v>
      </c>
      <c r="J54" s="46">
        <v>0.0</v>
      </c>
      <c r="K54" s="46">
        <v>6.0</v>
      </c>
      <c r="L54" s="103">
        <v>9.0</v>
      </c>
      <c r="M54" s="46">
        <v>1.0</v>
      </c>
      <c r="N54" s="31">
        <f t="shared" ref="N54:O54" si="56">C54+L54</f>
        <v>60</v>
      </c>
      <c r="O54" s="31">
        <f t="shared" si="56"/>
        <v>6</v>
      </c>
      <c r="P54" s="45" t="s">
        <v>58</v>
      </c>
      <c r="Q54" s="45" t="s">
        <v>58</v>
      </c>
      <c r="R54" s="45"/>
      <c r="S54" s="46">
        <f t="shared" si="4"/>
        <v>0</v>
      </c>
      <c r="T54" s="46"/>
      <c r="U54" s="46">
        <f t="shared" si="5"/>
        <v>1</v>
      </c>
      <c r="V54" s="46">
        <f t="shared" si="6"/>
        <v>-2</v>
      </c>
      <c r="W54" s="30">
        <f t="shared" si="9"/>
        <v>50</v>
      </c>
    </row>
    <row r="55">
      <c r="A55" s="30">
        <f t="shared" si="7"/>
        <v>51</v>
      </c>
      <c r="B55" s="43" t="s">
        <v>61</v>
      </c>
      <c r="C55" s="47">
        <v>51.0</v>
      </c>
      <c r="D55" s="31">
        <v>5.0</v>
      </c>
      <c r="E55" s="36">
        <f t="shared" si="2"/>
        <v>8.5</v>
      </c>
      <c r="F55" s="102">
        <v>1.0</v>
      </c>
      <c r="G55" s="46">
        <v>5.0</v>
      </c>
      <c r="H55" s="47">
        <v>0.0</v>
      </c>
      <c r="I55" s="46">
        <v>6.0</v>
      </c>
      <c r="J55" s="46">
        <v>6.0</v>
      </c>
      <c r="K55" s="46">
        <v>6.0</v>
      </c>
      <c r="L55" s="103">
        <v>18.0</v>
      </c>
      <c r="M55" s="46">
        <v>3.0</v>
      </c>
      <c r="N55" s="47">
        <f t="shared" ref="N55:O55" si="57">C55+L55</f>
        <v>69</v>
      </c>
      <c r="O55" s="31">
        <f t="shared" si="57"/>
        <v>8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0</v>
      </c>
      <c r="V55" s="46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43" t="s">
        <v>138</v>
      </c>
      <c r="C56" s="47">
        <v>49.0</v>
      </c>
      <c r="D56" s="31">
        <v>4.0</v>
      </c>
      <c r="E56" s="36">
        <f t="shared" si="2"/>
        <v>7.75</v>
      </c>
      <c r="F56" s="102">
        <v>1.0</v>
      </c>
      <c r="G56" s="46">
        <v>5.0</v>
      </c>
      <c r="H56" s="47">
        <v>0.0</v>
      </c>
      <c r="I56" s="46">
        <v>6.0</v>
      </c>
      <c r="J56" s="46">
        <v>0.0</v>
      </c>
      <c r="K56" s="46">
        <v>1.0</v>
      </c>
      <c r="L56" s="103">
        <v>7.0</v>
      </c>
      <c r="M56" s="46">
        <v>1.0</v>
      </c>
      <c r="N56" s="47">
        <f t="shared" ref="N56:O56" si="58">C56+L56</f>
        <v>56</v>
      </c>
      <c r="O56" s="31">
        <f t="shared" si="58"/>
        <v>5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2</v>
      </c>
      <c r="V56" s="46">
        <f t="shared" si="6"/>
        <v>5</v>
      </c>
      <c r="W56" s="30">
        <f t="shared" si="9"/>
        <v>52</v>
      </c>
    </row>
    <row r="57">
      <c r="A57" s="30">
        <f t="shared" si="7"/>
        <v>53</v>
      </c>
      <c r="B57" s="28" t="s">
        <v>80</v>
      </c>
      <c r="C57" s="31">
        <v>49.0</v>
      </c>
      <c r="D57" s="31">
        <v>0.0</v>
      </c>
      <c r="E57" s="36">
        <f t="shared" si="2"/>
        <v>0</v>
      </c>
      <c r="F57" s="102">
        <v>3.0</v>
      </c>
      <c r="G57" s="46">
        <v>0.0</v>
      </c>
      <c r="H57" s="47">
        <v>9.0</v>
      </c>
      <c r="I57" s="46">
        <v>0.0</v>
      </c>
      <c r="J57" s="46">
        <v>0.0</v>
      </c>
      <c r="K57" s="46">
        <v>0.0</v>
      </c>
      <c r="L57" s="103">
        <v>9.0</v>
      </c>
      <c r="M57" s="46">
        <v>0.0</v>
      </c>
      <c r="N57" s="31">
        <f t="shared" ref="N57:O57" si="59">C57+L57</f>
        <v>58</v>
      </c>
      <c r="O57" s="31">
        <f t="shared" si="59"/>
        <v>0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5</v>
      </c>
      <c r="V57" s="46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28" t="s">
        <v>72</v>
      </c>
      <c r="C58" s="31">
        <v>49.0</v>
      </c>
      <c r="D58" s="31">
        <v>0.0</v>
      </c>
      <c r="E58" s="36">
        <f t="shared" si="2"/>
        <v>0</v>
      </c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60">C58+L58</f>
        <v>58</v>
      </c>
      <c r="O58" s="31">
        <f t="shared" si="60"/>
        <v>0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5</v>
      </c>
      <c r="V58" s="46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28" t="s">
        <v>102</v>
      </c>
      <c r="C59" s="31">
        <v>49.0</v>
      </c>
      <c r="D59" s="31">
        <v>0.0</v>
      </c>
      <c r="E59" s="36">
        <f t="shared" si="2"/>
        <v>0</v>
      </c>
      <c r="F59" s="102">
        <v>1.0</v>
      </c>
      <c r="G59" s="46">
        <v>10.0</v>
      </c>
      <c r="H59" s="47">
        <v>0.0</v>
      </c>
      <c r="I59" s="46">
        <v>6.0</v>
      </c>
      <c r="J59" s="46">
        <v>6.0</v>
      </c>
      <c r="K59" s="46">
        <v>6.0</v>
      </c>
      <c r="L59" s="103">
        <v>18.0</v>
      </c>
      <c r="M59" s="46">
        <v>3.0</v>
      </c>
      <c r="N59" s="31">
        <f t="shared" ref="N59:O59" si="61">C59+L59</f>
        <v>67</v>
      </c>
      <c r="O59" s="31">
        <f t="shared" si="61"/>
        <v>3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4</v>
      </c>
      <c r="V59" s="46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48" t="s">
        <v>103</v>
      </c>
      <c r="C60" s="31">
        <v>48.0</v>
      </c>
      <c r="D60" s="31">
        <v>2.0</v>
      </c>
      <c r="E60" s="36">
        <f t="shared" si="2"/>
        <v>6</v>
      </c>
      <c r="F60" s="102">
        <v>1.0</v>
      </c>
      <c r="G60" s="46">
        <v>10.0</v>
      </c>
      <c r="H60" s="47">
        <v>0.0</v>
      </c>
      <c r="I60" s="46">
        <v>6.0</v>
      </c>
      <c r="J60" s="46">
        <v>1.0</v>
      </c>
      <c r="K60" s="46">
        <v>0.0</v>
      </c>
      <c r="L60" s="103">
        <v>7.0</v>
      </c>
      <c r="M60" s="46">
        <v>1.0</v>
      </c>
      <c r="N60" s="31">
        <f t="shared" ref="N60:O60" si="62">C60+L60</f>
        <v>55</v>
      </c>
      <c r="O60" s="31">
        <f t="shared" si="62"/>
        <v>3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4</v>
      </c>
      <c r="V60" s="46">
        <f t="shared" si="6"/>
        <v>4</v>
      </c>
      <c r="W60" s="30">
        <f t="shared" si="9"/>
        <v>56</v>
      </c>
    </row>
    <row r="61">
      <c r="A61" s="30">
        <f t="shared" si="7"/>
        <v>57</v>
      </c>
      <c r="B61" s="28" t="s">
        <v>141</v>
      </c>
      <c r="C61" s="31">
        <v>48.0</v>
      </c>
      <c r="D61" s="31">
        <v>1.0</v>
      </c>
      <c r="E61" s="36">
        <f t="shared" si="2"/>
        <v>-1</v>
      </c>
      <c r="F61" s="102">
        <v>3.0</v>
      </c>
      <c r="G61" s="46">
        <v>0.0</v>
      </c>
      <c r="H61" s="47">
        <v>9.0</v>
      </c>
      <c r="I61" s="46">
        <v>0.0</v>
      </c>
      <c r="J61" s="46">
        <v>0.0</v>
      </c>
      <c r="K61" s="46">
        <v>0.0</v>
      </c>
      <c r="L61" s="103">
        <v>9.0</v>
      </c>
      <c r="M61" s="46">
        <v>0.0</v>
      </c>
      <c r="N61" s="31">
        <f t="shared" ref="N61:O61" si="63">C61+L61</f>
        <v>57</v>
      </c>
      <c r="O61" s="31">
        <f t="shared" si="63"/>
        <v>1</v>
      </c>
      <c r="P61" s="45" t="s">
        <v>58</v>
      </c>
      <c r="Q61" s="45" t="s">
        <v>58</v>
      </c>
      <c r="R61" s="45"/>
      <c r="S61" s="46">
        <f t="shared" si="4"/>
        <v>1</v>
      </c>
      <c r="T61" s="46"/>
      <c r="U61" s="46">
        <f t="shared" si="5"/>
        <v>4</v>
      </c>
      <c r="V61" s="46">
        <f t="shared" si="6"/>
        <v>-2</v>
      </c>
      <c r="W61" s="30">
        <f t="shared" si="9"/>
        <v>57</v>
      </c>
    </row>
    <row r="62">
      <c r="A62" s="30">
        <f t="shared" si="7"/>
        <v>58</v>
      </c>
      <c r="B62" s="43" t="s">
        <v>118</v>
      </c>
      <c r="C62" s="47">
        <v>45.0</v>
      </c>
      <c r="D62" s="31">
        <v>2.0</v>
      </c>
      <c r="E62" s="36">
        <f t="shared" si="2"/>
        <v>6</v>
      </c>
      <c r="F62" s="102">
        <v>3.0</v>
      </c>
      <c r="G62" s="46">
        <v>0.0</v>
      </c>
      <c r="H62" s="47">
        <v>9.0</v>
      </c>
      <c r="I62" s="46">
        <v>0.0</v>
      </c>
      <c r="J62" s="46">
        <v>0.0</v>
      </c>
      <c r="K62" s="46">
        <v>0.0</v>
      </c>
      <c r="L62" s="103">
        <v>9.0</v>
      </c>
      <c r="M62" s="46">
        <v>0.0</v>
      </c>
      <c r="N62" s="47">
        <f t="shared" ref="N62:O62" si="64">C62+L62</f>
        <v>54</v>
      </c>
      <c r="O62" s="31">
        <f t="shared" si="64"/>
        <v>2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3</v>
      </c>
      <c r="V62" s="46">
        <f t="shared" si="6"/>
        <v>-2</v>
      </c>
      <c r="W62" s="30">
        <f t="shared" si="9"/>
        <v>58</v>
      </c>
    </row>
    <row r="63">
      <c r="A63" s="30">
        <f t="shared" si="7"/>
        <v>59</v>
      </c>
      <c r="B63" s="43" t="s">
        <v>76</v>
      </c>
      <c r="C63" s="31">
        <v>45.0</v>
      </c>
      <c r="D63" s="31">
        <v>0.0</v>
      </c>
      <c r="E63" s="36">
        <f t="shared" si="2"/>
        <v>0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54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6</v>
      </c>
      <c r="V63" s="46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43" t="s">
        <v>126</v>
      </c>
      <c r="C64" s="31">
        <v>45.0</v>
      </c>
      <c r="D64" s="31">
        <v>0.0</v>
      </c>
      <c r="E64" s="36">
        <f t="shared" si="2"/>
        <v>0</v>
      </c>
      <c r="F64" s="102">
        <v>3.0</v>
      </c>
      <c r="G64" s="46">
        <v>0.0</v>
      </c>
      <c r="H64" s="47">
        <v>9.0</v>
      </c>
      <c r="I64" s="46">
        <v>0.0</v>
      </c>
      <c r="J64" s="46">
        <v>0.0</v>
      </c>
      <c r="K64" s="46">
        <v>0.0</v>
      </c>
      <c r="L64" s="103">
        <v>9.0</v>
      </c>
      <c r="M64" s="46">
        <v>0.0</v>
      </c>
      <c r="N64" s="31">
        <f t="shared" ref="N64:O64" si="66">C64+L64</f>
        <v>54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6</v>
      </c>
      <c r="V64" s="46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48" t="s">
        <v>139</v>
      </c>
      <c r="C65" s="31">
        <v>45.0</v>
      </c>
      <c r="D65" s="31">
        <v>0.0</v>
      </c>
      <c r="E65" s="36">
        <f t="shared" si="2"/>
        <v>0</v>
      </c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31">
        <f t="shared" ref="N65:O65" si="67">C65+L65</f>
        <v>54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6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142</v>
      </c>
      <c r="C66" s="47">
        <v>44.0</v>
      </c>
      <c r="D66" s="31">
        <v>1.0</v>
      </c>
      <c r="E66" s="36">
        <f t="shared" si="2"/>
        <v>4</v>
      </c>
      <c r="F66" s="102">
        <v>1.0</v>
      </c>
      <c r="G66" s="46">
        <v>10.0</v>
      </c>
      <c r="H66" s="47">
        <v>0.0</v>
      </c>
      <c r="I66" s="46">
        <v>1.0</v>
      </c>
      <c r="J66" s="46">
        <v>6.0</v>
      </c>
      <c r="K66" s="46">
        <v>0.0</v>
      </c>
      <c r="L66" s="103">
        <v>7.0</v>
      </c>
      <c r="M66" s="46">
        <v>1.0</v>
      </c>
      <c r="N66" s="47">
        <f t="shared" ref="N66:O66" si="68">C66+L66</f>
        <v>51</v>
      </c>
      <c r="O66" s="31">
        <f t="shared" si="68"/>
        <v>2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4</v>
      </c>
      <c r="V66" s="46">
        <f t="shared" si="6"/>
        <v>1</v>
      </c>
      <c r="W66" s="30">
        <f t="shared" si="9"/>
        <v>62</v>
      </c>
    </row>
    <row r="67">
      <c r="A67" s="30">
        <f t="shared" si="7"/>
        <v>63</v>
      </c>
      <c r="B67" s="43" t="s">
        <v>100</v>
      </c>
      <c r="C67" s="31">
        <v>41.0</v>
      </c>
      <c r="D67" s="31">
        <v>3.0</v>
      </c>
      <c r="E67" s="36">
        <f t="shared" si="2"/>
        <v>5.75</v>
      </c>
      <c r="F67" s="102">
        <v>1.0</v>
      </c>
      <c r="G67" s="46">
        <v>10.0</v>
      </c>
      <c r="H67" s="47">
        <v>0.0</v>
      </c>
      <c r="I67" s="46">
        <v>1.0</v>
      </c>
      <c r="J67" s="46">
        <v>1.0</v>
      </c>
      <c r="K67" s="46">
        <v>6.0</v>
      </c>
      <c r="L67" s="103">
        <v>8.0</v>
      </c>
      <c r="M67" s="46">
        <v>1.0</v>
      </c>
      <c r="N67" s="31">
        <f t="shared" ref="N67:O67" si="69">C67+L67</f>
        <v>49</v>
      </c>
      <c r="O67" s="31">
        <f t="shared" si="69"/>
        <v>4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2</v>
      </c>
      <c r="V67" s="46">
        <f t="shared" si="6"/>
        <v>1</v>
      </c>
      <c r="W67" s="30">
        <f t="shared" si="9"/>
        <v>63</v>
      </c>
    </row>
    <row r="68">
      <c r="A68" s="30">
        <f t="shared" si="7"/>
        <v>64</v>
      </c>
      <c r="B68" s="43" t="s">
        <v>135</v>
      </c>
      <c r="C68" s="31">
        <v>40.0</v>
      </c>
      <c r="D68" s="31">
        <v>1.0</v>
      </c>
      <c r="E68" s="36">
        <f t="shared" si="2"/>
        <v>4.333333333</v>
      </c>
      <c r="F68" s="102">
        <v>3.0</v>
      </c>
      <c r="G68" s="46">
        <v>0.0</v>
      </c>
      <c r="H68" s="47">
        <v>9.0</v>
      </c>
      <c r="I68" s="46">
        <v>0.0</v>
      </c>
      <c r="J68" s="46">
        <v>0.0</v>
      </c>
      <c r="K68" s="46">
        <v>0.0</v>
      </c>
      <c r="L68" s="103">
        <v>9.0</v>
      </c>
      <c r="M68" s="46">
        <v>0.0</v>
      </c>
      <c r="N68" s="31">
        <f t="shared" ref="N68:O68" si="70">C68+L68</f>
        <v>49</v>
      </c>
      <c r="O68" s="31">
        <f t="shared" si="70"/>
        <v>1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3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37.0</v>
      </c>
      <c r="D69" s="31">
        <v>1.0</v>
      </c>
      <c r="E69" s="36">
        <f t="shared" si="2"/>
        <v>3.333333333</v>
      </c>
      <c r="F69" s="102">
        <v>3.0</v>
      </c>
      <c r="G69" s="46">
        <v>0.0</v>
      </c>
      <c r="H69" s="47">
        <v>9.0</v>
      </c>
      <c r="I69" s="46">
        <v>0.0</v>
      </c>
      <c r="J69" s="46">
        <v>0.0</v>
      </c>
      <c r="K69" s="46">
        <v>0.0</v>
      </c>
      <c r="L69" s="103">
        <v>9.0</v>
      </c>
      <c r="M69" s="46">
        <v>0.0</v>
      </c>
      <c r="N69" s="47">
        <f t="shared" ref="N69:O69" si="71">C69+L69</f>
        <v>46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3</v>
      </c>
      <c r="V69" s="46">
        <f t="shared" si="6"/>
        <v>-3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desc"",0)"),"Naveen Raj")</f>
        <v>Naveen Raj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IFERROR(__xludf.DUMMYFUNCTION("""COMPUTED_VALUE"""),8.0)</f>
        <v>8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IFERROR(__xludf.DUMMYFUNCTION("""COMPUTED_VALUE"""),"Robert Chang")</f>
        <v>Robert Chang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IFERROR(__xludf.DUMMYFUNCTION("""COMPUTED_VALUE"""),1.0)</f>
        <v>1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IFERROR(__xludf.DUMMYFUNCTION("""COMPUTED_VALUE"""),"Alejandro Mejia")</f>
        <v>Alejandro Mejia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IFERROR(__xludf.DUMMYFUNCTION("""COMPUTED_VALUE"""),2.0)</f>
        <v>2</v>
      </c>
      <c r="F78" s="1"/>
    </row>
    <row r="79">
      <c r="A79" s="1"/>
      <c r="B79" s="43" t="str">
        <f>IFERROR(__xludf.DUMMYFUNCTION("""COMPUTED_VALUE"""),"Cid Macaraeg")</f>
        <v>Cid Macaraeg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IFERROR(__xludf.DUMMYFUNCTION("""COMPUTED_VALUE"""),6.0)</f>
        <v>6</v>
      </c>
      <c r="F79" s="1"/>
      <c r="P79" s="33" t="s">
        <v>172</v>
      </c>
    </row>
    <row r="80">
      <c r="A80" s="1"/>
      <c r="B80" s="43" t="str">
        <f>IFERROR(__xludf.DUMMYFUNCTION("""COMPUTED_VALUE"""),"Susanta Mishra")</f>
        <v>Susanta Mishra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IFERROR(__xludf.DUMMYFUNCTION("""COMPUTED_VALUE"""),7.0)</f>
        <v>7</v>
      </c>
      <c r="F80" s="1"/>
      <c r="L80" s="33"/>
    </row>
    <row r="81">
      <c r="A81" s="1"/>
      <c r="B81" s="43" t="str">
        <f>IFERROR(__xludf.DUMMYFUNCTION("""COMPUTED_VALUE"""),"Allen Zhang")</f>
        <v>Allen Zhang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IFERROR(__xludf.DUMMYFUNCTION("""COMPUTED_VALUE"""),"Eric Pan")</f>
        <v>Eric Pan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IFERROR(__xludf.DUMMYFUNCTION("""COMPUTED_VALUE"""),10.0)</f>
        <v>10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10"")"),"Oscar Bonilla")</f>
        <v>Oscar Bonilla</v>
      </c>
      <c r="C90" s="84">
        <f>IFERROR(__xludf.DUMMYFUNCTION("""COMPUTED_VALUE"""),19.0)</f>
        <v>19</v>
      </c>
      <c r="D90" s="84">
        <f t="shared" ref="D90:D99" si="72">VLOOKUP(B90,indirect($AB$2&amp;"!B$5:w$70"),22, false)</f>
        <v>40</v>
      </c>
      <c r="E90" s="84">
        <f t="shared" ref="E90:E99" si="73">VLOOKUP(B90,B$5:W$69,22, false)</f>
        <v>21</v>
      </c>
      <c r="F90" s="84">
        <f t="shared" ref="F90:F99" si="74">VLOOKUP(B90,indirect($AB$2&amp;"!B$5:U$70"),11, false)</f>
        <v>19</v>
      </c>
      <c r="G90" s="84">
        <f t="shared" ref="G90:G99" si="75">VLOOKUP(B90,indirect($AB$2&amp;"!B$5:U$70"),6, false)</f>
        <v>6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IFERROR(__xludf.DUMMYFUNCTION("""COMPUTED_VALUE"""),"Lloyd Sagar")</f>
        <v>Lloyd Sagar</v>
      </c>
      <c r="C91" s="84">
        <f>IFERROR(__xludf.DUMMYFUNCTION("""COMPUTED_VALUE"""),19.0)</f>
        <v>19</v>
      </c>
      <c r="D91" s="84">
        <f t="shared" si="72"/>
        <v>45</v>
      </c>
      <c r="E91" s="84">
        <f t="shared" si="73"/>
        <v>26</v>
      </c>
      <c r="F91" s="84">
        <f t="shared" si="74"/>
        <v>20</v>
      </c>
      <c r="G91" s="84">
        <f t="shared" si="75"/>
        <v>7</v>
      </c>
      <c r="L91" s="84" t="str">
        <f t="shared" si="76"/>
        <v>ok</v>
      </c>
    </row>
    <row r="92">
      <c r="A92" s="1"/>
      <c r="B92" s="43" t="str">
        <f>IFERROR(__xludf.DUMMYFUNCTION("""COMPUTED_VALUE"""),"Matthew Huang")</f>
        <v>Matthew Huang</v>
      </c>
      <c r="C92" s="84">
        <f>IFERROR(__xludf.DUMMYFUNCTION("""COMPUTED_VALUE"""),18.0)</f>
        <v>18</v>
      </c>
      <c r="D92" s="84">
        <f t="shared" si="72"/>
        <v>33</v>
      </c>
      <c r="E92" s="84">
        <f t="shared" si="73"/>
        <v>15</v>
      </c>
      <c r="F92" s="84">
        <f t="shared" si="74"/>
        <v>18</v>
      </c>
      <c r="G92" s="84">
        <f t="shared" si="75"/>
        <v>5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IFERROR(__xludf.DUMMYFUNCTION("""COMPUTED_VALUE"""),"Suleman Alidina")</f>
        <v>Suleman Alidina</v>
      </c>
      <c r="C93" s="84">
        <f>IFERROR(__xludf.DUMMYFUNCTION("""COMPUTED_VALUE"""),17.0)</f>
        <v>17</v>
      </c>
      <c r="D93" s="84">
        <f t="shared" si="72"/>
        <v>36</v>
      </c>
      <c r="E93" s="84">
        <f t="shared" si="73"/>
        <v>19</v>
      </c>
      <c r="F93" s="84">
        <f t="shared" si="74"/>
        <v>17</v>
      </c>
      <c r="G93" s="84">
        <f t="shared" si="75"/>
        <v>5</v>
      </c>
      <c r="L93" s="84" t="str">
        <f t="shared" si="76"/>
        <v>ok</v>
      </c>
    </row>
    <row r="94">
      <c r="A94" s="1"/>
      <c r="B94" s="43" t="str">
        <f>IFERROR(__xludf.DUMMYFUNCTION("""COMPUTED_VALUE"""),"Jim Miao")</f>
        <v>Jim Miao</v>
      </c>
      <c r="C94" s="84">
        <f>IFERROR(__xludf.DUMMYFUNCTION("""COMPUTED_VALUE"""),15.0)</f>
        <v>15</v>
      </c>
      <c r="D94" s="84">
        <f t="shared" si="72"/>
        <v>27</v>
      </c>
      <c r="E94" s="84">
        <f t="shared" si="73"/>
        <v>12</v>
      </c>
      <c r="F94" s="84">
        <f t="shared" si="74"/>
        <v>18</v>
      </c>
      <c r="G94" s="84">
        <f t="shared" si="75"/>
        <v>4</v>
      </c>
      <c r="L94" s="84" t="str">
        <f t="shared" si="76"/>
        <v>ok</v>
      </c>
    </row>
    <row r="95">
      <c r="A95" s="1"/>
      <c r="B95" s="43" t="str">
        <f>IFERROR(__xludf.DUMMYFUNCTION("""COMPUTED_VALUE"""),"Herman Au")</f>
        <v>Herman Au</v>
      </c>
      <c r="C95" s="84">
        <f>IFERROR(__xludf.DUMMYFUNCTION("""COMPUTED_VALUE"""),12.0)</f>
        <v>12</v>
      </c>
      <c r="D95" s="84">
        <f t="shared" si="72"/>
        <v>42</v>
      </c>
      <c r="E95" s="84">
        <f t="shared" si="73"/>
        <v>30</v>
      </c>
      <c r="F95" s="84">
        <f t="shared" si="74"/>
        <v>18</v>
      </c>
      <c r="G95" s="84">
        <f t="shared" si="75"/>
        <v>7</v>
      </c>
      <c r="L95" s="84" t="str">
        <f t="shared" si="76"/>
        <v>ok</v>
      </c>
    </row>
    <row r="96">
      <c r="A96" s="1"/>
      <c r="B96" s="43" t="str">
        <f>IFERROR(__xludf.DUMMYFUNCTION("""COMPUTED_VALUE"""),"Ramesh Bandaru")</f>
        <v>Ramesh Bandaru</v>
      </c>
      <c r="C96" s="84">
        <f>IFERROR(__xludf.DUMMYFUNCTION("""COMPUTED_VALUE"""),9.0)</f>
        <v>9</v>
      </c>
      <c r="D96" s="84">
        <f t="shared" si="72"/>
        <v>47</v>
      </c>
      <c r="E96" s="84">
        <f t="shared" si="73"/>
        <v>38</v>
      </c>
      <c r="F96" s="84">
        <f t="shared" si="74"/>
        <v>16</v>
      </c>
      <c r="G96" s="84">
        <f t="shared" si="75"/>
        <v>8</v>
      </c>
      <c r="L96" s="84" t="str">
        <f t="shared" si="76"/>
        <v>ok</v>
      </c>
    </row>
    <row r="97">
      <c r="A97" s="1"/>
      <c r="B97" s="43" t="str">
        <f>IFERROR(__xludf.DUMMYFUNCTION("""COMPUTED_VALUE"""),"Elayaraja Thangaraj ")</f>
        <v>Elayaraja Thangaraj </v>
      </c>
      <c r="C97" s="84">
        <f>IFERROR(__xludf.DUMMYFUNCTION("""COMPUTED_VALUE"""),7.0)</f>
        <v>7</v>
      </c>
      <c r="D97" s="84">
        <f t="shared" si="72"/>
        <v>46</v>
      </c>
      <c r="E97" s="84">
        <f t="shared" si="73"/>
        <v>39</v>
      </c>
      <c r="F97" s="84">
        <f t="shared" si="74"/>
        <v>16</v>
      </c>
      <c r="G97" s="84">
        <f t="shared" si="75"/>
        <v>8</v>
      </c>
      <c r="L97" s="84" t="str">
        <f t="shared" si="76"/>
        <v>ok</v>
      </c>
    </row>
    <row r="98">
      <c r="A98" s="1"/>
      <c r="B98" s="43" t="str">
        <f>IFERROR(__xludf.DUMMYFUNCTION("""COMPUTED_VALUE"""),"Alex Hou")</f>
        <v>Alex Hou</v>
      </c>
      <c r="C98" s="84">
        <f>IFERROR(__xludf.DUMMYFUNCTION("""COMPUTED_VALUE"""),6.0)</f>
        <v>6</v>
      </c>
      <c r="D98" s="84">
        <f t="shared" si="72"/>
        <v>20</v>
      </c>
      <c r="E98" s="84">
        <f t="shared" si="73"/>
        <v>14</v>
      </c>
      <c r="F98" s="84">
        <f t="shared" si="74"/>
        <v>15</v>
      </c>
      <c r="G98" s="84">
        <f t="shared" si="75"/>
        <v>4</v>
      </c>
      <c r="L98" s="84" t="str">
        <f t="shared" si="76"/>
        <v>ok</v>
      </c>
    </row>
    <row r="99">
      <c r="A99" s="1"/>
      <c r="B99" s="43" t="str">
        <f>IFERROR(__xludf.DUMMYFUNCTION("""COMPUTED_VALUE"""),"Rajasekar Ramasamy")</f>
        <v>Rajasekar Ramasamy</v>
      </c>
      <c r="C99" s="84">
        <f>IFERROR(__xludf.DUMMYFUNCTION("""COMPUTED_VALUE"""),6.0)</f>
        <v>6</v>
      </c>
      <c r="D99" s="84">
        <f t="shared" si="72"/>
        <v>28</v>
      </c>
      <c r="E99" s="84">
        <f t="shared" si="73"/>
        <v>22</v>
      </c>
      <c r="F99" s="84">
        <f t="shared" si="74"/>
        <v>13</v>
      </c>
      <c r="G99" s="84">
        <f t="shared" si="75"/>
        <v>0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10"")"),"Adrian Tay")</f>
        <v>Adrian Tay</v>
      </c>
      <c r="C103" s="84">
        <f>IFERROR(__xludf.DUMMYFUNCTION("""COMPUTED_VALUE"""),-12.0)</f>
        <v>-12</v>
      </c>
      <c r="D103" s="84">
        <f t="shared" ref="D103:D112" si="77">VLOOKUP(B103,indirect($AB$2&amp;"!B$5:w$70"),22, false)</f>
        <v>13</v>
      </c>
      <c r="E103" s="84">
        <f t="shared" ref="E103:E112" si="78">VLOOKUP(B103,B$5:W$69,22, false)</f>
        <v>25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0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IFERROR(__xludf.DUMMYFUNCTION("""COMPUTED_VALUE"""),"Lam Bui")</f>
        <v>Lam Bui</v>
      </c>
      <c r="C104" s="84">
        <f>IFERROR(__xludf.DUMMYFUNCTION("""COMPUTED_VALUE"""),-12.0)</f>
        <v>-12</v>
      </c>
      <c r="D104" s="84">
        <f t="shared" si="77"/>
        <v>15</v>
      </c>
      <c r="E104" s="84">
        <f t="shared" si="78"/>
        <v>27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IFERROR(__xludf.DUMMYFUNCTION("""COMPUTED_VALUE"""),"James Phan")</f>
        <v>James Phan</v>
      </c>
      <c r="C105" s="84">
        <f>IFERROR(__xludf.DUMMYFUNCTION("""COMPUTED_VALUE"""),-11.0)</f>
        <v>-11</v>
      </c>
      <c r="D105" s="84">
        <f t="shared" si="77"/>
        <v>17</v>
      </c>
      <c r="E105" s="84">
        <f t="shared" si="78"/>
        <v>28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IFERROR(__xludf.DUMMYFUNCTION("""COMPUTED_VALUE"""),"Chinna Ponnaganti")</f>
        <v>Chinna Ponnaganti</v>
      </c>
      <c r="C106" s="84">
        <f>IFERROR(__xludf.DUMMYFUNCTION("""COMPUTED_VALUE"""),-11.0)</f>
        <v>-11</v>
      </c>
      <c r="D106" s="84">
        <f t="shared" si="77"/>
        <v>18</v>
      </c>
      <c r="E106" s="84">
        <f t="shared" si="78"/>
        <v>29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IFERROR(__xludf.DUMMYFUNCTION("""COMPUTED_VALUE"""),"Tom Le")</f>
        <v>Tom Le</v>
      </c>
      <c r="C107" s="84">
        <f>IFERROR(__xludf.DUMMYFUNCTION("""COMPUTED_VALUE"""),-10.0)</f>
        <v>-10</v>
      </c>
      <c r="D107" s="84">
        <f t="shared" si="77"/>
        <v>21</v>
      </c>
      <c r="E107" s="84">
        <f t="shared" si="78"/>
        <v>31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IFERROR(__xludf.DUMMYFUNCTION("""COMPUTED_VALUE"""),"Cid Macaraeg")</f>
        <v>Cid Macaraeg</v>
      </c>
      <c r="C108" s="84">
        <f>IFERROR(__xludf.DUMMYFUNCTION("""COMPUTED_VALUE"""),-10.0)</f>
        <v>-10</v>
      </c>
      <c r="D108" s="84">
        <f t="shared" si="77"/>
        <v>22</v>
      </c>
      <c r="E108" s="84">
        <f t="shared" si="78"/>
        <v>32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IFERROR(__xludf.DUMMYFUNCTION("""COMPUTED_VALUE"""),"Basudev Thoppai Vidyasankar")</f>
        <v>Basudev Thoppai Vidyasankar</v>
      </c>
      <c r="C109" s="84">
        <f>IFERROR(__xludf.DUMMYFUNCTION("""COMPUTED_VALUE"""),-8.0)</f>
        <v>-8</v>
      </c>
      <c r="D109" s="84">
        <f t="shared" si="77"/>
        <v>8</v>
      </c>
      <c r="E109" s="84">
        <f t="shared" si="78"/>
        <v>16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IFERROR(__xludf.DUMMYFUNCTION("""COMPUTED_VALUE"""),"Erik Hoeckmann")</f>
        <v>Erik Hoeckmann</v>
      </c>
      <c r="C110" s="84">
        <f>IFERROR(__xludf.DUMMYFUNCTION("""COMPUTED_VALUE"""),-8.0)</f>
        <v>-8</v>
      </c>
      <c r="D110" s="84">
        <f t="shared" si="77"/>
        <v>25</v>
      </c>
      <c r="E110" s="84">
        <f t="shared" si="78"/>
        <v>33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IFERROR(__xludf.DUMMYFUNCTION("""COMPUTED_VALUE"""),"Scott Li")</f>
        <v>Scott Li</v>
      </c>
      <c r="C111" s="84">
        <f>IFERROR(__xludf.DUMMYFUNCTION("""COMPUTED_VALUE"""),-8.0)</f>
        <v>-8</v>
      </c>
      <c r="D111" s="84">
        <f t="shared" si="77"/>
        <v>26</v>
      </c>
      <c r="E111" s="84">
        <f t="shared" si="78"/>
        <v>34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IFERROR(__xludf.DUMMYFUNCTION("""COMPUTED_VALUE"""),"Andrew Wen")</f>
        <v>Andrew Wen</v>
      </c>
      <c r="C112" s="84">
        <f>IFERROR(__xludf.DUMMYFUNCTION("""COMPUTED_VALUE"""),-8.0)</f>
        <v>-8</v>
      </c>
      <c r="D112" s="84">
        <f t="shared" si="77"/>
        <v>29</v>
      </c>
      <c r="E112" s="84">
        <f t="shared" si="78"/>
        <v>37</v>
      </c>
      <c r="F112" s="84">
        <f t="shared" si="79"/>
        <v>9</v>
      </c>
      <c r="G112" s="84">
        <f t="shared" si="80"/>
        <v>4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104">
        <v>45689.0</v>
      </c>
      <c r="G1" s="8"/>
      <c r="H1" s="8"/>
      <c r="I1" s="8"/>
      <c r="L1" s="8"/>
      <c r="N1" s="8"/>
      <c r="V1" s="105"/>
    </row>
    <row r="2">
      <c r="A2" s="1"/>
      <c r="B2" s="12" t="s">
        <v>15</v>
      </c>
      <c r="D2" s="17">
        <v>5.0</v>
      </c>
      <c r="E2" s="1"/>
      <c r="F2" s="1"/>
      <c r="R2" s="19"/>
      <c r="AB2" s="20" t="str">
        <f>text(C1-7,"mm/dd/yy")</f>
        <v>01/25/25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117</v>
      </c>
      <c r="C5" s="31">
        <v>66.0</v>
      </c>
      <c r="D5" s="31">
        <v>8.0</v>
      </c>
      <c r="E5" s="36">
        <f t="shared" ref="E5:E69" si="2">if(($D$2-U5-S5)&lt;&gt;0,(C5-(U5*9)-(S5*13))/($D$2-U5-S5),0)</f>
        <v>14.66666667</v>
      </c>
      <c r="F5" s="102">
        <v>3.0</v>
      </c>
      <c r="G5" s="46">
        <v>0.0</v>
      </c>
      <c r="H5" s="47">
        <v>9.0</v>
      </c>
      <c r="I5" s="46">
        <v>0.0</v>
      </c>
      <c r="J5" s="46">
        <v>0.0</v>
      </c>
      <c r="K5" s="46">
        <v>0.0</v>
      </c>
      <c r="L5" s="103">
        <v>9.0</v>
      </c>
      <c r="M5" s="46">
        <v>0.0</v>
      </c>
      <c r="N5" s="31">
        <f t="shared" ref="N5:O5" si="1">C5+L5</f>
        <v>75</v>
      </c>
      <c r="O5" s="31">
        <f t="shared" si="1"/>
        <v>8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1</v>
      </c>
      <c r="T5" s="46"/>
      <c r="U5" s="46">
        <f t="shared" ref="U5:U69" si="5">if(H5=9,1,0)+VLOOKUP(B5,indirect($AB$2&amp;"!B:U"),20,false)</f>
        <v>1</v>
      </c>
      <c r="V5" s="46">
        <f t="shared" ref="V5:V69" si="6">VLOOKUP(B5,indirect($AB$2&amp;"!B$5:w$70"),22,false)-A5</f>
        <v>2</v>
      </c>
      <c r="W5" s="30">
        <v>1.0</v>
      </c>
    </row>
    <row r="6">
      <c r="A6" s="30">
        <f t="shared" ref="A6:A69" si="7">A5+1</f>
        <v>2</v>
      </c>
      <c r="B6" s="43" t="s">
        <v>88</v>
      </c>
      <c r="C6" s="47">
        <v>64.0</v>
      </c>
      <c r="D6" s="31">
        <v>6.0</v>
      </c>
      <c r="E6" s="36">
        <f t="shared" si="2"/>
        <v>12.8</v>
      </c>
      <c r="F6" s="102">
        <v>1.0</v>
      </c>
      <c r="G6" s="46">
        <v>1.0</v>
      </c>
      <c r="H6" s="47">
        <v>0.0</v>
      </c>
      <c r="I6" s="46">
        <v>6.0</v>
      </c>
      <c r="J6" s="46">
        <v>6.0</v>
      </c>
      <c r="K6" s="46">
        <v>6.0</v>
      </c>
      <c r="L6" s="103">
        <v>18.0</v>
      </c>
      <c r="M6" s="46">
        <v>3.0</v>
      </c>
      <c r="N6" s="47">
        <f t="shared" ref="N6:O6" si="3">C6+L6</f>
        <v>82</v>
      </c>
      <c r="O6" s="31">
        <f t="shared" si="3"/>
        <v>9</v>
      </c>
      <c r="P6" s="45" t="s">
        <v>58</v>
      </c>
      <c r="Q6" s="45" t="s">
        <v>58</v>
      </c>
      <c r="R6" s="45"/>
      <c r="S6" s="46">
        <f t="shared" si="4"/>
        <v>0</v>
      </c>
      <c r="T6" s="46"/>
      <c r="U6" s="46">
        <f t="shared" si="5"/>
        <v>0</v>
      </c>
      <c r="V6" s="46">
        <f t="shared" si="6"/>
        <v>6</v>
      </c>
      <c r="W6" s="30">
        <f t="shared" ref="W6:W68" si="9">W5+1</f>
        <v>2</v>
      </c>
    </row>
    <row r="7">
      <c r="A7" s="30">
        <f t="shared" si="7"/>
        <v>3</v>
      </c>
      <c r="B7" s="28" t="s">
        <v>74</v>
      </c>
      <c r="C7" s="31">
        <v>62.0</v>
      </c>
      <c r="D7" s="31">
        <v>9.0</v>
      </c>
      <c r="E7" s="36">
        <f t="shared" si="2"/>
        <v>12.4</v>
      </c>
      <c r="F7" s="102">
        <v>1.0</v>
      </c>
      <c r="G7" s="46">
        <v>1.0</v>
      </c>
      <c r="H7" s="47">
        <v>0.0</v>
      </c>
      <c r="I7" s="46">
        <v>6.0</v>
      </c>
      <c r="J7" s="46">
        <v>3.0</v>
      </c>
      <c r="K7" s="46">
        <v>4.0</v>
      </c>
      <c r="L7" s="103">
        <v>13.0</v>
      </c>
      <c r="M7" s="46">
        <v>1.0</v>
      </c>
      <c r="N7" s="31">
        <f t="shared" ref="N7:O7" si="8">C7+L7</f>
        <v>75</v>
      </c>
      <c r="O7" s="31">
        <f t="shared" si="8"/>
        <v>10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0</v>
      </c>
      <c r="V7" s="46">
        <f t="shared" si="6"/>
        <v>8</v>
      </c>
      <c r="W7" s="30">
        <f t="shared" si="9"/>
        <v>3</v>
      </c>
    </row>
    <row r="8">
      <c r="A8" s="30">
        <f t="shared" si="7"/>
        <v>4</v>
      </c>
      <c r="B8" s="28" t="s">
        <v>95</v>
      </c>
      <c r="C8" s="31">
        <v>62.0</v>
      </c>
      <c r="D8" s="31">
        <v>7.0</v>
      </c>
      <c r="E8" s="36">
        <f t="shared" si="2"/>
        <v>12.4</v>
      </c>
      <c r="F8" s="102">
        <v>1.0</v>
      </c>
      <c r="G8" s="46">
        <v>1.0</v>
      </c>
      <c r="H8" s="47">
        <v>0.0</v>
      </c>
      <c r="I8" s="46">
        <v>4.0</v>
      </c>
      <c r="J8" s="46">
        <v>6.0</v>
      </c>
      <c r="K8" s="46">
        <v>4.0</v>
      </c>
      <c r="L8" s="103">
        <v>14.0</v>
      </c>
      <c r="M8" s="46">
        <v>1.0</v>
      </c>
      <c r="N8" s="31">
        <f t="shared" ref="N8:O8" si="10">C8+L8</f>
        <v>76</v>
      </c>
      <c r="O8" s="31">
        <f t="shared" si="10"/>
        <v>8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0</v>
      </c>
      <c r="V8" s="46">
        <f t="shared" si="6"/>
        <v>-3</v>
      </c>
      <c r="W8" s="30">
        <f t="shared" si="9"/>
        <v>4</v>
      </c>
    </row>
    <row r="9">
      <c r="A9" s="30">
        <f t="shared" si="7"/>
        <v>5</v>
      </c>
      <c r="B9" s="28" t="s">
        <v>101</v>
      </c>
      <c r="C9" s="31">
        <v>61.0</v>
      </c>
      <c r="D9" s="31">
        <v>7.0</v>
      </c>
      <c r="E9" s="36">
        <f t="shared" si="2"/>
        <v>12</v>
      </c>
      <c r="F9" s="102">
        <v>1.0</v>
      </c>
      <c r="G9" s="46">
        <v>1.0</v>
      </c>
      <c r="H9" s="47">
        <v>0.0</v>
      </c>
      <c r="I9" s="46">
        <v>4.0</v>
      </c>
      <c r="J9" s="46">
        <v>3.0</v>
      </c>
      <c r="K9" s="46">
        <v>6.0</v>
      </c>
      <c r="L9" s="103">
        <v>13.0</v>
      </c>
      <c r="M9" s="46">
        <v>1.0</v>
      </c>
      <c r="N9" s="31">
        <f t="shared" ref="N9:O9" si="11">C9+L9</f>
        <v>74</v>
      </c>
      <c r="O9" s="31">
        <f t="shared" si="11"/>
        <v>8</v>
      </c>
      <c r="P9" s="45" t="s">
        <v>58</v>
      </c>
      <c r="Q9" s="45" t="s">
        <v>58</v>
      </c>
      <c r="R9" s="45"/>
      <c r="S9" s="46">
        <f t="shared" si="4"/>
        <v>1</v>
      </c>
      <c r="T9" s="46"/>
      <c r="U9" s="46">
        <f t="shared" si="5"/>
        <v>0</v>
      </c>
      <c r="V9" s="46">
        <f t="shared" si="6"/>
        <v>2</v>
      </c>
      <c r="W9" s="30">
        <f t="shared" si="9"/>
        <v>5</v>
      </c>
    </row>
    <row r="10">
      <c r="A10" s="30">
        <f t="shared" si="7"/>
        <v>6</v>
      </c>
      <c r="B10" s="28" t="s">
        <v>92</v>
      </c>
      <c r="C10" s="31">
        <v>60.0</v>
      </c>
      <c r="D10" s="31">
        <v>8.0</v>
      </c>
      <c r="E10" s="36">
        <f t="shared" si="2"/>
        <v>12</v>
      </c>
      <c r="F10" s="102">
        <v>1.0</v>
      </c>
      <c r="G10" s="46">
        <v>2.0</v>
      </c>
      <c r="H10" s="47">
        <v>0.0</v>
      </c>
      <c r="I10" s="46">
        <v>7.0</v>
      </c>
      <c r="J10" s="46">
        <v>3.0</v>
      </c>
      <c r="K10" s="46">
        <v>7.0</v>
      </c>
      <c r="L10" s="103">
        <v>17.0</v>
      </c>
      <c r="M10" s="46">
        <v>2.0</v>
      </c>
      <c r="N10" s="31">
        <f t="shared" ref="N10:O10" si="12">C10+L10</f>
        <v>77</v>
      </c>
      <c r="O10" s="31">
        <f t="shared" si="12"/>
        <v>10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0</v>
      </c>
      <c r="V10" s="46">
        <f t="shared" si="6"/>
        <v>0</v>
      </c>
      <c r="W10" s="30">
        <f t="shared" si="9"/>
        <v>6</v>
      </c>
    </row>
    <row r="11">
      <c r="A11" s="30">
        <f t="shared" si="7"/>
        <v>7</v>
      </c>
      <c r="B11" s="28" t="s">
        <v>98</v>
      </c>
      <c r="C11" s="31">
        <v>59.0</v>
      </c>
      <c r="D11" s="31">
        <v>7.0</v>
      </c>
      <c r="E11" s="36">
        <f t="shared" si="2"/>
        <v>12.5</v>
      </c>
      <c r="F11" s="102">
        <v>1.0</v>
      </c>
      <c r="G11" s="46">
        <v>2.0</v>
      </c>
      <c r="H11" s="47">
        <v>0.0</v>
      </c>
      <c r="I11" s="46">
        <v>5.0</v>
      </c>
      <c r="J11" s="46">
        <v>3.0</v>
      </c>
      <c r="K11" s="46">
        <v>5.0</v>
      </c>
      <c r="L11" s="103">
        <v>13.0</v>
      </c>
      <c r="M11" s="46">
        <v>0.0</v>
      </c>
      <c r="N11" s="31">
        <f t="shared" ref="N11:O11" si="13">C11+L11</f>
        <v>72</v>
      </c>
      <c r="O11" s="31">
        <f t="shared" si="13"/>
        <v>7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1</v>
      </c>
      <c r="V11" s="46">
        <f t="shared" si="6"/>
        <v>11</v>
      </c>
      <c r="W11" s="30">
        <f t="shared" si="9"/>
        <v>7</v>
      </c>
    </row>
    <row r="12">
      <c r="A12" s="30">
        <f t="shared" si="7"/>
        <v>8</v>
      </c>
      <c r="B12" s="43" t="s">
        <v>87</v>
      </c>
      <c r="C12" s="47">
        <v>58.0</v>
      </c>
      <c r="D12" s="31">
        <v>6.0</v>
      </c>
      <c r="E12" s="36">
        <f t="shared" si="2"/>
        <v>12.25</v>
      </c>
      <c r="F12" s="102">
        <v>3.0</v>
      </c>
      <c r="G12" s="46">
        <v>0.0</v>
      </c>
      <c r="H12" s="47">
        <v>9.0</v>
      </c>
      <c r="I12" s="46">
        <v>0.0</v>
      </c>
      <c r="J12" s="46">
        <v>0.0</v>
      </c>
      <c r="K12" s="46">
        <v>0.0</v>
      </c>
      <c r="L12" s="103">
        <v>9.0</v>
      </c>
      <c r="M12" s="46">
        <v>0.0</v>
      </c>
      <c r="N12" s="47">
        <f t="shared" ref="N12:O12" si="14">C12+L12</f>
        <v>67</v>
      </c>
      <c r="O12" s="31">
        <f t="shared" si="14"/>
        <v>6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1</v>
      </c>
      <c r="V12" s="46">
        <f t="shared" si="6"/>
        <v>-6</v>
      </c>
      <c r="W12" s="30">
        <f t="shared" si="9"/>
        <v>8</v>
      </c>
    </row>
    <row r="13">
      <c r="A13" s="30">
        <f t="shared" si="7"/>
        <v>9</v>
      </c>
      <c r="B13" s="28" t="s">
        <v>45</v>
      </c>
      <c r="C13" s="31">
        <v>58.0</v>
      </c>
      <c r="D13" s="31">
        <v>5.0</v>
      </c>
      <c r="E13" s="36">
        <f t="shared" si="2"/>
        <v>11.25</v>
      </c>
      <c r="F13" s="102">
        <v>2.0</v>
      </c>
      <c r="G13" s="46">
        <v>2.0</v>
      </c>
      <c r="H13" s="47">
        <v>0.0</v>
      </c>
      <c r="I13" s="46">
        <v>5.0</v>
      </c>
      <c r="J13" s="46">
        <v>6.0</v>
      </c>
      <c r="K13" s="46">
        <v>7.0</v>
      </c>
      <c r="L13" s="103">
        <v>18.0</v>
      </c>
      <c r="M13" s="46">
        <v>2.0</v>
      </c>
      <c r="N13" s="31">
        <f t="shared" ref="N13:O13" si="15">C13+L13</f>
        <v>76</v>
      </c>
      <c r="O13" s="31">
        <f t="shared" si="15"/>
        <v>7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0</v>
      </c>
      <c r="V13" s="46">
        <f t="shared" si="6"/>
        <v>-5</v>
      </c>
      <c r="W13" s="30">
        <f t="shared" si="9"/>
        <v>9</v>
      </c>
    </row>
    <row r="14">
      <c r="A14" s="30">
        <f t="shared" si="7"/>
        <v>10</v>
      </c>
      <c r="B14" s="28" t="s">
        <v>137</v>
      </c>
      <c r="C14" s="31">
        <v>58.0</v>
      </c>
      <c r="D14" s="31">
        <v>5.0</v>
      </c>
      <c r="E14" s="36">
        <f t="shared" si="2"/>
        <v>12</v>
      </c>
      <c r="F14" s="102">
        <v>3.0</v>
      </c>
      <c r="G14" s="46">
        <v>0.0</v>
      </c>
      <c r="H14" s="47">
        <v>9.0</v>
      </c>
      <c r="I14" s="46">
        <v>0.0</v>
      </c>
      <c r="J14" s="46">
        <v>0.0</v>
      </c>
      <c r="K14" s="46">
        <v>0.0</v>
      </c>
      <c r="L14" s="103">
        <v>9.0</v>
      </c>
      <c r="M14" s="46">
        <v>0.0</v>
      </c>
      <c r="N14" s="31">
        <f t="shared" ref="N14:O14" si="16">C14+L14</f>
        <v>67</v>
      </c>
      <c r="O14" s="31">
        <f t="shared" si="16"/>
        <v>5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1</v>
      </c>
      <c r="V14" s="46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43" t="s">
        <v>130</v>
      </c>
      <c r="C15" s="31">
        <v>56.0</v>
      </c>
      <c r="D15" s="31">
        <v>7.0</v>
      </c>
      <c r="E15" s="36">
        <f t="shared" si="2"/>
        <v>11.75</v>
      </c>
      <c r="F15" s="102">
        <v>1.0</v>
      </c>
      <c r="G15" s="46">
        <v>2.0</v>
      </c>
      <c r="H15" s="47">
        <v>0.0</v>
      </c>
      <c r="I15" s="46">
        <v>7.0</v>
      </c>
      <c r="J15" s="46">
        <v>6.0</v>
      </c>
      <c r="K15" s="46">
        <v>5.0</v>
      </c>
      <c r="L15" s="103">
        <v>18.0</v>
      </c>
      <c r="M15" s="46">
        <v>2.0</v>
      </c>
      <c r="N15" s="31">
        <f t="shared" ref="N15:O15" si="17">C15+L15</f>
        <v>74</v>
      </c>
      <c r="O15" s="31">
        <f t="shared" si="17"/>
        <v>9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1</v>
      </c>
      <c r="V15" s="46">
        <f t="shared" si="6"/>
        <v>20</v>
      </c>
      <c r="W15" s="30">
        <f t="shared" si="9"/>
        <v>11</v>
      </c>
    </row>
    <row r="16">
      <c r="A16" s="30">
        <f t="shared" si="7"/>
        <v>12</v>
      </c>
      <c r="B16" s="28" t="s">
        <v>44</v>
      </c>
      <c r="C16" s="31">
        <v>56.0</v>
      </c>
      <c r="D16" s="31">
        <v>6.0</v>
      </c>
      <c r="E16" s="36">
        <f t="shared" si="2"/>
        <v>12.66666667</v>
      </c>
      <c r="F16" s="102">
        <v>1.0</v>
      </c>
      <c r="G16" s="46">
        <v>9.0</v>
      </c>
      <c r="H16" s="47">
        <v>0.0</v>
      </c>
      <c r="I16" s="46">
        <v>6.0</v>
      </c>
      <c r="J16" s="46">
        <v>6.0</v>
      </c>
      <c r="K16" s="46">
        <v>6.0</v>
      </c>
      <c r="L16" s="103">
        <v>18.0</v>
      </c>
      <c r="M16" s="46">
        <v>2.0</v>
      </c>
      <c r="N16" s="31">
        <f t="shared" ref="N16:O16" si="18">C16+L16</f>
        <v>74</v>
      </c>
      <c r="O16" s="31">
        <f t="shared" si="18"/>
        <v>8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2</v>
      </c>
      <c r="V16" s="46">
        <f t="shared" si="6"/>
        <v>-7</v>
      </c>
      <c r="W16" s="30">
        <f t="shared" si="9"/>
        <v>12</v>
      </c>
    </row>
    <row r="17">
      <c r="A17" s="30">
        <f t="shared" si="7"/>
        <v>13</v>
      </c>
      <c r="B17" s="28" t="s">
        <v>34</v>
      </c>
      <c r="C17" s="31">
        <v>54.0</v>
      </c>
      <c r="D17" s="31">
        <v>6.0</v>
      </c>
      <c r="E17" s="36">
        <f t="shared" si="2"/>
        <v>13.5</v>
      </c>
      <c r="F17" s="102">
        <v>3.0</v>
      </c>
      <c r="G17" s="46">
        <v>0.0</v>
      </c>
      <c r="H17" s="47">
        <v>9.0</v>
      </c>
      <c r="I17" s="46">
        <v>0.0</v>
      </c>
      <c r="J17" s="46">
        <v>0.0</v>
      </c>
      <c r="K17" s="46">
        <v>0.0</v>
      </c>
      <c r="L17" s="103">
        <v>9.0</v>
      </c>
      <c r="M17" s="46">
        <v>0.0</v>
      </c>
      <c r="N17" s="31">
        <f t="shared" ref="N17:O17" si="19">C17+L17</f>
        <v>63</v>
      </c>
      <c r="O17" s="31">
        <f t="shared" si="19"/>
        <v>6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3</v>
      </c>
      <c r="V17" s="46">
        <f t="shared" si="6"/>
        <v>24</v>
      </c>
      <c r="W17" s="30">
        <f t="shared" si="9"/>
        <v>13</v>
      </c>
    </row>
    <row r="18">
      <c r="A18" s="30">
        <f t="shared" si="7"/>
        <v>14</v>
      </c>
      <c r="B18" s="43" t="s">
        <v>129</v>
      </c>
      <c r="C18" s="47">
        <v>54.0</v>
      </c>
      <c r="D18" s="31">
        <v>6.0</v>
      </c>
      <c r="E18" s="36">
        <f t="shared" si="2"/>
        <v>10.8</v>
      </c>
      <c r="F18" s="102">
        <v>1.0</v>
      </c>
      <c r="G18" s="46">
        <v>9.0</v>
      </c>
      <c r="H18" s="47">
        <v>0.0</v>
      </c>
      <c r="I18" s="46">
        <v>7.0</v>
      </c>
      <c r="J18" s="46">
        <v>1.0</v>
      </c>
      <c r="K18" s="46">
        <v>6.0</v>
      </c>
      <c r="L18" s="103">
        <v>14.0</v>
      </c>
      <c r="M18" s="46">
        <v>2.0</v>
      </c>
      <c r="N18" s="47">
        <f t="shared" ref="N18:O18" si="20">C18+L18</f>
        <v>68</v>
      </c>
      <c r="O18" s="31">
        <f t="shared" si="20"/>
        <v>8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0</v>
      </c>
      <c r="V18" s="46">
        <f t="shared" si="6"/>
        <v>1</v>
      </c>
      <c r="W18" s="30">
        <f t="shared" si="9"/>
        <v>14</v>
      </c>
    </row>
    <row r="19">
      <c r="A19" s="30">
        <f t="shared" si="7"/>
        <v>15</v>
      </c>
      <c r="B19" s="28" t="s">
        <v>116</v>
      </c>
      <c r="C19" s="31">
        <v>54.0</v>
      </c>
      <c r="D19" s="31">
        <v>5.0</v>
      </c>
      <c r="E19" s="36">
        <f t="shared" si="2"/>
        <v>10.66666667</v>
      </c>
      <c r="F19" s="102">
        <v>3.0</v>
      </c>
      <c r="G19" s="46">
        <v>0.0</v>
      </c>
      <c r="H19" s="47">
        <v>9.0</v>
      </c>
      <c r="I19" s="46">
        <v>0.0</v>
      </c>
      <c r="J19" s="46">
        <v>0.0</v>
      </c>
      <c r="K19" s="46">
        <v>0.0</v>
      </c>
      <c r="L19" s="103">
        <v>9.0</v>
      </c>
      <c r="M19" s="46">
        <v>0.0</v>
      </c>
      <c r="N19" s="31">
        <f t="shared" ref="N19:O19" si="21">C19+L19</f>
        <v>63</v>
      </c>
      <c r="O19" s="31">
        <f t="shared" si="21"/>
        <v>5</v>
      </c>
      <c r="P19" s="45" t="s">
        <v>58</v>
      </c>
      <c r="Q19" s="45" t="s">
        <v>58</v>
      </c>
      <c r="R19" s="45"/>
      <c r="S19" s="46">
        <f t="shared" si="4"/>
        <v>1</v>
      </c>
      <c r="T19" s="46"/>
      <c r="U19" s="46">
        <f t="shared" si="5"/>
        <v>1</v>
      </c>
      <c r="V19" s="46">
        <f t="shared" si="6"/>
        <v>8</v>
      </c>
      <c r="W19" s="30">
        <f t="shared" si="9"/>
        <v>15</v>
      </c>
    </row>
    <row r="20">
      <c r="A20" s="30">
        <f t="shared" si="7"/>
        <v>16</v>
      </c>
      <c r="B20" s="28" t="s">
        <v>104</v>
      </c>
      <c r="C20" s="31">
        <v>54.0</v>
      </c>
      <c r="D20" s="31">
        <v>5.0</v>
      </c>
      <c r="E20" s="36">
        <f t="shared" si="2"/>
        <v>10.25</v>
      </c>
      <c r="F20" s="102">
        <v>1.0</v>
      </c>
      <c r="G20" s="46">
        <v>9.0</v>
      </c>
      <c r="H20" s="47">
        <v>0.0</v>
      </c>
      <c r="I20" s="46">
        <v>7.0</v>
      </c>
      <c r="J20" s="46">
        <v>6.0</v>
      </c>
      <c r="K20" s="46">
        <v>3.0</v>
      </c>
      <c r="L20" s="103">
        <v>16.0</v>
      </c>
      <c r="M20" s="46">
        <v>2.0</v>
      </c>
      <c r="N20" s="31">
        <f t="shared" ref="N20:O20" si="22">C20+L20</f>
        <v>70</v>
      </c>
      <c r="O20" s="31">
        <f t="shared" si="22"/>
        <v>7</v>
      </c>
      <c r="P20" s="45" t="s">
        <v>58</v>
      </c>
      <c r="Q20" s="45" t="s">
        <v>58</v>
      </c>
      <c r="R20" s="45"/>
      <c r="S20" s="46">
        <f t="shared" si="4"/>
        <v>1</v>
      </c>
      <c r="T20" s="46"/>
      <c r="U20" s="46">
        <f t="shared" si="5"/>
        <v>0</v>
      </c>
      <c r="V20" s="46">
        <f t="shared" si="6"/>
        <v>17</v>
      </c>
      <c r="W20" s="30">
        <f t="shared" si="9"/>
        <v>16</v>
      </c>
    </row>
    <row r="21">
      <c r="A21" s="30">
        <f t="shared" si="7"/>
        <v>17</v>
      </c>
      <c r="B21" s="43" t="s">
        <v>121</v>
      </c>
      <c r="C21" s="31">
        <v>54.0</v>
      </c>
      <c r="D21" s="31">
        <v>4.0</v>
      </c>
      <c r="E21" s="36">
        <f t="shared" si="2"/>
        <v>11.5</v>
      </c>
      <c r="F21" s="102">
        <v>3.0</v>
      </c>
      <c r="G21" s="46">
        <v>0.0</v>
      </c>
      <c r="H21" s="47">
        <v>9.0</v>
      </c>
      <c r="I21" s="46">
        <v>0.0</v>
      </c>
      <c r="J21" s="46">
        <v>0.0</v>
      </c>
      <c r="K21" s="46">
        <v>0.0</v>
      </c>
      <c r="L21" s="103">
        <v>9.0</v>
      </c>
      <c r="M21" s="46">
        <v>0.0</v>
      </c>
      <c r="N21" s="31">
        <f t="shared" ref="N21:O21" si="23">C21+L21</f>
        <v>63</v>
      </c>
      <c r="O21" s="31">
        <f t="shared" si="23"/>
        <v>4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2</v>
      </c>
      <c r="V21" s="46">
        <f t="shared" si="6"/>
        <v>9</v>
      </c>
      <c r="W21" s="30">
        <f t="shared" si="9"/>
        <v>17</v>
      </c>
    </row>
    <row r="22">
      <c r="A22" s="30">
        <f t="shared" si="7"/>
        <v>18</v>
      </c>
      <c r="B22" s="43" t="s">
        <v>90</v>
      </c>
      <c r="C22" s="31">
        <v>54.0</v>
      </c>
      <c r="D22" s="31">
        <v>4.0</v>
      </c>
      <c r="E22" s="36">
        <f t="shared" si="2"/>
        <v>9.5</v>
      </c>
      <c r="F22" s="102">
        <v>3.0</v>
      </c>
      <c r="G22" s="46">
        <v>0.0</v>
      </c>
      <c r="H22" s="47">
        <v>9.0</v>
      </c>
      <c r="I22" s="46">
        <v>0.0</v>
      </c>
      <c r="J22" s="46">
        <v>0.0</v>
      </c>
      <c r="K22" s="46">
        <v>0.0</v>
      </c>
      <c r="L22" s="103">
        <v>9.0</v>
      </c>
      <c r="M22" s="46">
        <v>0.0</v>
      </c>
      <c r="N22" s="31">
        <f t="shared" ref="N22:O22" si="24">C22+L22</f>
        <v>63</v>
      </c>
      <c r="O22" s="31">
        <f t="shared" si="24"/>
        <v>4</v>
      </c>
      <c r="P22" s="45" t="s">
        <v>58</v>
      </c>
      <c r="Q22" s="45" t="s">
        <v>58</v>
      </c>
      <c r="R22" s="45"/>
      <c r="S22" s="46">
        <f t="shared" si="4"/>
        <v>2</v>
      </c>
      <c r="T22" s="46"/>
      <c r="U22" s="46">
        <f t="shared" si="5"/>
        <v>1</v>
      </c>
      <c r="V22" s="46">
        <f t="shared" si="6"/>
        <v>-4</v>
      </c>
      <c r="W22" s="30">
        <f t="shared" si="9"/>
        <v>18</v>
      </c>
    </row>
    <row r="23">
      <c r="A23" s="30">
        <f t="shared" si="7"/>
        <v>19</v>
      </c>
      <c r="B23" s="43" t="s">
        <v>79</v>
      </c>
      <c r="C23" s="31">
        <v>54.0</v>
      </c>
      <c r="D23" s="31">
        <v>4.0</v>
      </c>
      <c r="E23" s="36">
        <f t="shared" si="2"/>
        <v>10.8</v>
      </c>
      <c r="F23" s="102">
        <v>1.0</v>
      </c>
      <c r="G23" s="46">
        <v>9.0</v>
      </c>
      <c r="H23" s="47">
        <v>0.0</v>
      </c>
      <c r="I23" s="46">
        <v>6.0</v>
      </c>
      <c r="J23" s="46">
        <v>1.0</v>
      </c>
      <c r="K23" s="46">
        <v>3.0</v>
      </c>
      <c r="L23" s="103">
        <v>10.0</v>
      </c>
      <c r="M23" s="46">
        <v>0.0</v>
      </c>
      <c r="N23" s="31">
        <f t="shared" ref="N23:O23" si="25">C23+L23</f>
        <v>64</v>
      </c>
      <c r="O23" s="31">
        <f t="shared" si="25"/>
        <v>4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0</v>
      </c>
      <c r="V23" s="46">
        <f t="shared" si="6"/>
        <v>-9</v>
      </c>
      <c r="W23" s="30">
        <f t="shared" si="9"/>
        <v>19</v>
      </c>
    </row>
    <row r="24">
      <c r="A24" s="30">
        <f t="shared" si="7"/>
        <v>20</v>
      </c>
      <c r="B24" s="43" t="s">
        <v>56</v>
      </c>
      <c r="C24" s="31">
        <v>53.0</v>
      </c>
      <c r="D24" s="31">
        <v>6.0</v>
      </c>
      <c r="E24" s="36">
        <f t="shared" si="2"/>
        <v>10.6</v>
      </c>
      <c r="F24" s="102">
        <v>1.0</v>
      </c>
      <c r="G24" s="46">
        <v>4.0</v>
      </c>
      <c r="H24" s="47">
        <v>0.0</v>
      </c>
      <c r="I24" s="46">
        <v>2.0</v>
      </c>
      <c r="J24" s="46">
        <v>7.0</v>
      </c>
      <c r="K24" s="46">
        <v>6.0</v>
      </c>
      <c r="L24" s="103">
        <v>15.0</v>
      </c>
      <c r="M24" s="46">
        <v>2.0</v>
      </c>
      <c r="N24" s="31">
        <f t="shared" ref="N24:O24" si="26">C24+L24</f>
        <v>68</v>
      </c>
      <c r="O24" s="31">
        <f t="shared" si="26"/>
        <v>8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-3</v>
      </c>
      <c r="W24" s="30">
        <f t="shared" si="9"/>
        <v>20</v>
      </c>
    </row>
    <row r="25">
      <c r="A25" s="30">
        <f t="shared" si="7"/>
        <v>21</v>
      </c>
      <c r="B25" s="28" t="s">
        <v>120</v>
      </c>
      <c r="C25" s="31">
        <v>53.0</v>
      </c>
      <c r="D25" s="31">
        <v>5.0</v>
      </c>
      <c r="E25" s="36">
        <f t="shared" si="2"/>
        <v>11</v>
      </c>
      <c r="F25" s="102">
        <v>3.0</v>
      </c>
      <c r="G25" s="46">
        <v>0.0</v>
      </c>
      <c r="H25" s="47">
        <v>9.0</v>
      </c>
      <c r="I25" s="46">
        <v>0.0</v>
      </c>
      <c r="J25" s="46">
        <v>0.0</v>
      </c>
      <c r="K25" s="46">
        <v>0.0</v>
      </c>
      <c r="L25" s="103">
        <v>9.0</v>
      </c>
      <c r="M25" s="46">
        <v>0.0</v>
      </c>
      <c r="N25" s="31">
        <f t="shared" ref="N25:O25" si="27">C25+L25</f>
        <v>62</v>
      </c>
      <c r="O25" s="31">
        <f t="shared" si="27"/>
        <v>5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2</v>
      </c>
      <c r="V25" s="46">
        <f t="shared" si="6"/>
        <v>-9</v>
      </c>
      <c r="W25" s="30">
        <f t="shared" si="9"/>
        <v>21</v>
      </c>
    </row>
    <row r="26">
      <c r="A26" s="30">
        <f t="shared" si="7"/>
        <v>22</v>
      </c>
      <c r="B26" s="43" t="s">
        <v>94</v>
      </c>
      <c r="C26" s="31">
        <v>53.0</v>
      </c>
      <c r="D26" s="31">
        <v>4.0</v>
      </c>
      <c r="E26" s="36">
        <f t="shared" si="2"/>
        <v>11</v>
      </c>
      <c r="F26" s="102">
        <v>3.0</v>
      </c>
      <c r="G26" s="46">
        <v>0.0</v>
      </c>
      <c r="H26" s="47">
        <v>9.0</v>
      </c>
      <c r="I26" s="46">
        <v>0.0</v>
      </c>
      <c r="J26" s="46">
        <v>0.0</v>
      </c>
      <c r="K26" s="46">
        <v>0.0</v>
      </c>
      <c r="L26" s="103">
        <v>9.0</v>
      </c>
      <c r="M26" s="46">
        <v>0.0</v>
      </c>
      <c r="N26" s="31">
        <f t="shared" ref="N26:O26" si="28">C26+L26</f>
        <v>62</v>
      </c>
      <c r="O26" s="31">
        <f t="shared" si="28"/>
        <v>4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2</v>
      </c>
      <c r="V26" s="46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43" t="s">
        <v>132</v>
      </c>
      <c r="C27" s="31">
        <v>52.0</v>
      </c>
      <c r="D27" s="31">
        <v>6.0</v>
      </c>
      <c r="E27" s="36">
        <f t="shared" si="2"/>
        <v>10.4</v>
      </c>
      <c r="F27" s="102">
        <v>1.0</v>
      </c>
      <c r="G27" s="46">
        <v>4.0</v>
      </c>
      <c r="H27" s="47">
        <v>0.0</v>
      </c>
      <c r="I27" s="46">
        <v>6.0</v>
      </c>
      <c r="J27" s="46">
        <v>7.0</v>
      </c>
      <c r="K27" s="46">
        <v>1.0</v>
      </c>
      <c r="L27" s="103">
        <v>14.0</v>
      </c>
      <c r="M27" s="46">
        <v>2.0</v>
      </c>
      <c r="N27" s="31">
        <f t="shared" ref="N27:O27" si="29">C27+L27</f>
        <v>66</v>
      </c>
      <c r="O27" s="31">
        <f t="shared" si="29"/>
        <v>8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0</v>
      </c>
      <c r="V27" s="46">
        <f t="shared" si="6"/>
        <v>-10</v>
      </c>
      <c r="W27" s="30">
        <f t="shared" si="9"/>
        <v>23</v>
      </c>
    </row>
    <row r="28">
      <c r="A28" s="30">
        <f t="shared" si="7"/>
        <v>24</v>
      </c>
      <c r="B28" s="28" t="s">
        <v>97</v>
      </c>
      <c r="C28" s="31">
        <v>52.0</v>
      </c>
      <c r="D28" s="31">
        <v>4.0</v>
      </c>
      <c r="E28" s="36">
        <f t="shared" si="2"/>
        <v>8.666666667</v>
      </c>
      <c r="F28" s="102">
        <v>5.0</v>
      </c>
      <c r="G28" s="46">
        <v>0.0</v>
      </c>
      <c r="H28" s="47">
        <v>13.0</v>
      </c>
      <c r="I28" s="46">
        <v>0.0</v>
      </c>
      <c r="J28" s="46">
        <v>0.0</v>
      </c>
      <c r="K28" s="46">
        <v>0.0</v>
      </c>
      <c r="L28" s="103">
        <v>13.0</v>
      </c>
      <c r="M28" s="46">
        <v>0.0</v>
      </c>
      <c r="N28" s="31">
        <f t="shared" ref="N28:O28" si="30">C28+L28</f>
        <v>65</v>
      </c>
      <c r="O28" s="31">
        <f t="shared" si="30"/>
        <v>4</v>
      </c>
      <c r="P28" s="45" t="s">
        <v>58</v>
      </c>
      <c r="Q28" s="45" t="s">
        <v>58</v>
      </c>
      <c r="R28" s="45"/>
      <c r="S28" s="46">
        <f t="shared" si="4"/>
        <v>2</v>
      </c>
      <c r="T28" s="46"/>
      <c r="U28" s="46">
        <f t="shared" si="5"/>
        <v>0</v>
      </c>
      <c r="V28" s="46">
        <f t="shared" si="6"/>
        <v>1</v>
      </c>
      <c r="W28" s="30">
        <f t="shared" si="9"/>
        <v>24</v>
      </c>
    </row>
    <row r="29">
      <c r="A29" s="30">
        <f t="shared" si="7"/>
        <v>25</v>
      </c>
      <c r="B29" s="28" t="s">
        <v>105</v>
      </c>
      <c r="C29" s="31">
        <v>52.0</v>
      </c>
      <c r="D29" s="31">
        <v>4.0</v>
      </c>
      <c r="E29" s="36">
        <f t="shared" si="2"/>
        <v>10</v>
      </c>
      <c r="F29" s="102">
        <v>3.0</v>
      </c>
      <c r="G29" s="46">
        <v>0.0</v>
      </c>
      <c r="H29" s="47">
        <v>9.0</v>
      </c>
      <c r="I29" s="46">
        <v>0.0</v>
      </c>
      <c r="J29" s="46">
        <v>0.0</v>
      </c>
      <c r="K29" s="46">
        <v>0.0</v>
      </c>
      <c r="L29" s="103">
        <v>9.0</v>
      </c>
      <c r="M29" s="46">
        <v>0.0</v>
      </c>
      <c r="N29" s="31">
        <f t="shared" ref="N29:O29" si="31">C29+L29</f>
        <v>61</v>
      </c>
      <c r="O29" s="31">
        <f t="shared" si="31"/>
        <v>4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1</v>
      </c>
      <c r="V29" s="46">
        <f t="shared" si="6"/>
        <v>9</v>
      </c>
      <c r="W29" s="30">
        <f t="shared" si="9"/>
        <v>25</v>
      </c>
    </row>
    <row r="30">
      <c r="A30" s="30">
        <f t="shared" si="7"/>
        <v>26</v>
      </c>
      <c r="B30" s="48" t="s">
        <v>82</v>
      </c>
      <c r="C30" s="31">
        <v>51.0</v>
      </c>
      <c r="D30" s="31">
        <v>5.0</v>
      </c>
      <c r="E30" s="36">
        <f t="shared" si="2"/>
        <v>11</v>
      </c>
      <c r="F30" s="102">
        <v>3.0</v>
      </c>
      <c r="G30" s="46">
        <v>0.0</v>
      </c>
      <c r="H30" s="47">
        <v>9.0</v>
      </c>
      <c r="I30" s="46">
        <v>0.0</v>
      </c>
      <c r="J30" s="46">
        <v>0.0</v>
      </c>
      <c r="K30" s="46">
        <v>0.0</v>
      </c>
      <c r="L30" s="103">
        <v>9.0</v>
      </c>
      <c r="M30" s="46">
        <v>0.0</v>
      </c>
      <c r="N30" s="31">
        <f t="shared" ref="N30:O30" si="32">C30+L30</f>
        <v>60</v>
      </c>
      <c r="O30" s="31">
        <f t="shared" si="32"/>
        <v>5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2</v>
      </c>
      <c r="V30" s="46">
        <f t="shared" si="6"/>
        <v>-10</v>
      </c>
      <c r="W30" s="30">
        <f t="shared" si="9"/>
        <v>26</v>
      </c>
    </row>
    <row r="31">
      <c r="A31" s="30">
        <f t="shared" si="7"/>
        <v>27</v>
      </c>
      <c r="B31" s="43" t="s">
        <v>122</v>
      </c>
      <c r="C31" s="31">
        <v>51.0</v>
      </c>
      <c r="D31" s="31">
        <v>4.0</v>
      </c>
      <c r="E31" s="36">
        <f t="shared" si="2"/>
        <v>11</v>
      </c>
      <c r="F31" s="102">
        <v>1.0</v>
      </c>
      <c r="G31" s="46">
        <v>4.0</v>
      </c>
      <c r="H31" s="47">
        <v>0.0</v>
      </c>
      <c r="I31" s="46">
        <v>6.0</v>
      </c>
      <c r="J31" s="46">
        <v>6.0</v>
      </c>
      <c r="K31" s="46">
        <v>6.0</v>
      </c>
      <c r="L31" s="103">
        <v>18.0</v>
      </c>
      <c r="M31" s="46">
        <v>2.0</v>
      </c>
      <c r="N31" s="31">
        <f t="shared" ref="N31:O31" si="33">C31+L31</f>
        <v>69</v>
      </c>
      <c r="O31" s="31">
        <f t="shared" si="33"/>
        <v>6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2</v>
      </c>
      <c r="V31" s="46">
        <f t="shared" si="6"/>
        <v>19</v>
      </c>
      <c r="W31" s="30">
        <f t="shared" si="9"/>
        <v>27</v>
      </c>
    </row>
    <row r="32">
      <c r="A32" s="30">
        <f t="shared" si="7"/>
        <v>28</v>
      </c>
      <c r="B32" s="28" t="s">
        <v>89</v>
      </c>
      <c r="C32" s="31">
        <v>51.0</v>
      </c>
      <c r="D32" s="31">
        <v>4.0</v>
      </c>
      <c r="E32" s="36">
        <f t="shared" si="2"/>
        <v>8</v>
      </c>
      <c r="F32" s="102">
        <v>5.0</v>
      </c>
      <c r="G32" s="46">
        <v>0.0</v>
      </c>
      <c r="H32" s="47">
        <v>13.0</v>
      </c>
      <c r="I32" s="46">
        <v>0.0</v>
      </c>
      <c r="J32" s="46">
        <v>0.0</v>
      </c>
      <c r="K32" s="46">
        <v>0.0</v>
      </c>
      <c r="L32" s="103">
        <v>13.0</v>
      </c>
      <c r="M32" s="46">
        <v>0.0</v>
      </c>
      <c r="N32" s="31">
        <f t="shared" ref="N32:O32" si="34">C32+L32</f>
        <v>64</v>
      </c>
      <c r="O32" s="31">
        <f t="shared" si="34"/>
        <v>4</v>
      </c>
      <c r="P32" s="45" t="s">
        <v>58</v>
      </c>
      <c r="Q32" s="45" t="s">
        <v>58</v>
      </c>
      <c r="R32" s="45"/>
      <c r="S32" s="46">
        <f t="shared" si="4"/>
        <v>2</v>
      </c>
      <c r="T32" s="46"/>
      <c r="U32" s="46">
        <f t="shared" si="5"/>
        <v>1</v>
      </c>
      <c r="V32" s="46">
        <f t="shared" si="6"/>
        <v>-7</v>
      </c>
      <c r="W32" s="30">
        <f t="shared" si="9"/>
        <v>28</v>
      </c>
    </row>
    <row r="33">
      <c r="A33" s="30">
        <f t="shared" si="7"/>
        <v>29</v>
      </c>
      <c r="B33" s="48" t="s">
        <v>70</v>
      </c>
      <c r="C33" s="31">
        <v>51.0</v>
      </c>
      <c r="D33" s="31">
        <v>3.0</v>
      </c>
      <c r="E33" s="36">
        <f t="shared" si="2"/>
        <v>9.5</v>
      </c>
      <c r="F33" s="102">
        <v>2.0</v>
      </c>
      <c r="G33" s="46">
        <v>4.0</v>
      </c>
      <c r="H33" s="47">
        <v>0.0</v>
      </c>
      <c r="I33" s="46">
        <v>2.0</v>
      </c>
      <c r="J33" s="46">
        <v>6.0</v>
      </c>
      <c r="K33" s="46">
        <v>1.0</v>
      </c>
      <c r="L33" s="103">
        <v>9.0</v>
      </c>
      <c r="M33" s="46">
        <v>0.0</v>
      </c>
      <c r="N33" s="31">
        <f t="shared" ref="N33:O33" si="35">C33+L33</f>
        <v>60</v>
      </c>
      <c r="O33" s="31">
        <f t="shared" si="35"/>
        <v>3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0</v>
      </c>
      <c r="V33" s="46">
        <f t="shared" si="6"/>
        <v>1</v>
      </c>
      <c r="W33" s="30">
        <f t="shared" si="9"/>
        <v>29</v>
      </c>
    </row>
    <row r="34">
      <c r="A34" s="30">
        <f t="shared" si="7"/>
        <v>30</v>
      </c>
      <c r="B34" s="28" t="s">
        <v>119</v>
      </c>
      <c r="C34" s="31">
        <v>50.0</v>
      </c>
      <c r="D34" s="31">
        <v>5.0</v>
      </c>
      <c r="E34" s="36">
        <f t="shared" si="2"/>
        <v>9.25</v>
      </c>
      <c r="F34" s="102">
        <v>1.0</v>
      </c>
      <c r="G34" s="46">
        <v>5.0</v>
      </c>
      <c r="H34" s="47">
        <v>0.0</v>
      </c>
      <c r="I34" s="46">
        <v>0.0</v>
      </c>
      <c r="J34" s="46">
        <v>7.0</v>
      </c>
      <c r="K34" s="46">
        <v>6.0</v>
      </c>
      <c r="L34" s="103">
        <v>13.0</v>
      </c>
      <c r="M34" s="46">
        <v>2.0</v>
      </c>
      <c r="N34" s="31">
        <f t="shared" ref="N34:O34" si="36">C34+L34</f>
        <v>63</v>
      </c>
      <c r="O34" s="31">
        <f t="shared" si="36"/>
        <v>7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0</v>
      </c>
      <c r="V34" s="46">
        <f t="shared" si="6"/>
        <v>5</v>
      </c>
      <c r="W34" s="30">
        <f t="shared" si="9"/>
        <v>30</v>
      </c>
    </row>
    <row r="35">
      <c r="A35" s="30">
        <f t="shared" si="7"/>
        <v>31</v>
      </c>
      <c r="B35" s="43" t="s">
        <v>64</v>
      </c>
      <c r="C35" s="47">
        <v>50.0</v>
      </c>
      <c r="D35" s="31">
        <v>4.0</v>
      </c>
      <c r="E35" s="36">
        <f t="shared" si="2"/>
        <v>10.66666667</v>
      </c>
      <c r="F35" s="102">
        <v>1.0</v>
      </c>
      <c r="G35" s="46">
        <v>5.0</v>
      </c>
      <c r="H35" s="47">
        <v>0.0</v>
      </c>
      <c r="I35" s="46">
        <v>0.0</v>
      </c>
      <c r="J35" s="46">
        <v>6.0</v>
      </c>
      <c r="K35" s="46">
        <v>4.0</v>
      </c>
      <c r="L35" s="103">
        <v>10.0</v>
      </c>
      <c r="M35" s="46">
        <v>0.0</v>
      </c>
      <c r="N35" s="47">
        <f t="shared" ref="N35:O35" si="37">C35+L35</f>
        <v>60</v>
      </c>
      <c r="O35" s="31">
        <f t="shared" si="37"/>
        <v>4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2</v>
      </c>
      <c r="V35" s="46">
        <f t="shared" si="6"/>
        <v>-12</v>
      </c>
      <c r="W35" s="30">
        <f t="shared" si="9"/>
        <v>31</v>
      </c>
    </row>
    <row r="36">
      <c r="A36" s="30">
        <f t="shared" si="7"/>
        <v>32</v>
      </c>
      <c r="B36" s="43" t="s">
        <v>133</v>
      </c>
      <c r="C36" s="31">
        <v>50.0</v>
      </c>
      <c r="D36" s="31">
        <v>4.0</v>
      </c>
      <c r="E36" s="36">
        <f t="shared" si="2"/>
        <v>10.25</v>
      </c>
      <c r="F36" s="102">
        <v>3.0</v>
      </c>
      <c r="G36" s="46">
        <v>0.0</v>
      </c>
      <c r="H36" s="47">
        <v>9.0</v>
      </c>
      <c r="I36" s="46">
        <v>0.0</v>
      </c>
      <c r="J36" s="46">
        <v>0.0</v>
      </c>
      <c r="K36" s="46">
        <v>0.0</v>
      </c>
      <c r="L36" s="103">
        <v>9.0</v>
      </c>
      <c r="M36" s="46">
        <v>0.0</v>
      </c>
      <c r="N36" s="31">
        <f t="shared" ref="N36:O36" si="38">C36+L36</f>
        <v>59</v>
      </c>
      <c r="O36" s="31">
        <f t="shared" si="38"/>
        <v>4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1</v>
      </c>
      <c r="V36" s="46">
        <f t="shared" si="6"/>
        <v>-3</v>
      </c>
      <c r="W36" s="30">
        <f t="shared" si="9"/>
        <v>32</v>
      </c>
    </row>
    <row r="37">
      <c r="A37" s="30">
        <f t="shared" si="7"/>
        <v>33</v>
      </c>
      <c r="B37" s="28" t="s">
        <v>127</v>
      </c>
      <c r="C37" s="31">
        <v>50.0</v>
      </c>
      <c r="D37" s="31">
        <v>2.0</v>
      </c>
      <c r="E37" s="36">
        <f t="shared" si="2"/>
        <v>9.5</v>
      </c>
      <c r="F37" s="102">
        <v>1.0</v>
      </c>
      <c r="G37" s="46">
        <v>5.0</v>
      </c>
      <c r="H37" s="47">
        <v>0.0</v>
      </c>
      <c r="I37" s="46">
        <v>6.0</v>
      </c>
      <c r="J37" s="46">
        <v>6.0</v>
      </c>
      <c r="K37" s="46">
        <v>6.0</v>
      </c>
      <c r="L37" s="103">
        <v>18.0</v>
      </c>
      <c r="M37" s="46">
        <v>2.0</v>
      </c>
      <c r="N37" s="31">
        <f t="shared" ref="N37:O37" si="39">C37+L37</f>
        <v>68</v>
      </c>
      <c r="O37" s="31">
        <f t="shared" si="39"/>
        <v>4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2</v>
      </c>
      <c r="V37" s="46">
        <f t="shared" si="6"/>
        <v>-11</v>
      </c>
      <c r="W37" s="30">
        <f t="shared" si="9"/>
        <v>33</v>
      </c>
    </row>
    <row r="38">
      <c r="A38" s="30">
        <f t="shared" si="7"/>
        <v>34</v>
      </c>
      <c r="B38" s="28" t="s">
        <v>67</v>
      </c>
      <c r="C38" s="31">
        <v>49.0</v>
      </c>
      <c r="D38" s="31">
        <v>3.0</v>
      </c>
      <c r="E38" s="36">
        <f t="shared" si="2"/>
        <v>9</v>
      </c>
      <c r="F38" s="102">
        <v>3.0</v>
      </c>
      <c r="G38" s="46">
        <v>0.0</v>
      </c>
      <c r="H38" s="47">
        <v>9.0</v>
      </c>
      <c r="I38" s="46">
        <v>0.0</v>
      </c>
      <c r="J38" s="46">
        <v>0.0</v>
      </c>
      <c r="K38" s="46">
        <v>0.0</v>
      </c>
      <c r="L38" s="103">
        <v>9.0</v>
      </c>
      <c r="M38" s="46">
        <v>0.0</v>
      </c>
      <c r="N38" s="31">
        <f t="shared" ref="N38:O38" si="40">C38+L38</f>
        <v>58</v>
      </c>
      <c r="O38" s="31">
        <f t="shared" si="40"/>
        <v>3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3</v>
      </c>
      <c r="V38" s="46">
        <f t="shared" si="6"/>
        <v>-10</v>
      </c>
      <c r="W38" s="30">
        <f t="shared" si="9"/>
        <v>34</v>
      </c>
    </row>
    <row r="39">
      <c r="A39" s="30">
        <f t="shared" si="7"/>
        <v>35</v>
      </c>
      <c r="B39" s="43" t="s">
        <v>111</v>
      </c>
      <c r="C39" s="47">
        <v>48.0</v>
      </c>
      <c r="D39" s="31">
        <v>5.0</v>
      </c>
      <c r="E39" s="36">
        <f t="shared" si="2"/>
        <v>9.75</v>
      </c>
      <c r="F39" s="102">
        <v>3.0</v>
      </c>
      <c r="G39" s="46">
        <v>0.0</v>
      </c>
      <c r="H39" s="47">
        <v>9.0</v>
      </c>
      <c r="I39" s="46">
        <v>0.0</v>
      </c>
      <c r="J39" s="46">
        <v>0.0</v>
      </c>
      <c r="K39" s="46">
        <v>0.0</v>
      </c>
      <c r="L39" s="103">
        <v>9.0</v>
      </c>
      <c r="M39" s="46">
        <v>0.0</v>
      </c>
      <c r="N39" s="47">
        <f t="shared" ref="N39:O39" si="41">C39+L39</f>
        <v>57</v>
      </c>
      <c r="O39" s="31">
        <f t="shared" si="41"/>
        <v>5</v>
      </c>
      <c r="P39" s="45" t="s">
        <v>58</v>
      </c>
      <c r="Q39" s="45" t="s">
        <v>58</v>
      </c>
      <c r="R39" s="45"/>
      <c r="S39" s="46">
        <f t="shared" si="4"/>
        <v>0</v>
      </c>
      <c r="T39" s="46"/>
      <c r="U39" s="46">
        <f t="shared" si="5"/>
        <v>1</v>
      </c>
      <c r="V39" s="46">
        <f t="shared" si="6"/>
        <v>-3</v>
      </c>
      <c r="W39" s="30">
        <f t="shared" si="9"/>
        <v>35</v>
      </c>
    </row>
    <row r="40">
      <c r="A40" s="30">
        <f t="shared" si="7"/>
        <v>36</v>
      </c>
      <c r="B40" s="43" t="s">
        <v>62</v>
      </c>
      <c r="C40" s="31">
        <v>48.0</v>
      </c>
      <c r="D40" s="31">
        <v>4.0</v>
      </c>
      <c r="E40" s="36">
        <f t="shared" si="2"/>
        <v>9.75</v>
      </c>
      <c r="F40" s="102">
        <v>1.0</v>
      </c>
      <c r="G40" s="46">
        <v>5.0</v>
      </c>
      <c r="H40" s="47">
        <v>0.0</v>
      </c>
      <c r="I40" s="46">
        <v>6.0</v>
      </c>
      <c r="J40" s="46">
        <v>7.0</v>
      </c>
      <c r="K40" s="46">
        <v>4.0</v>
      </c>
      <c r="L40" s="103">
        <v>17.0</v>
      </c>
      <c r="M40" s="46">
        <v>2.0</v>
      </c>
      <c r="N40" s="31">
        <f t="shared" ref="N40:O40" si="42">C40+L40</f>
        <v>65</v>
      </c>
      <c r="O40" s="31">
        <f t="shared" si="42"/>
        <v>6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</v>
      </c>
      <c r="V40" s="46">
        <f t="shared" si="6"/>
        <v>-9</v>
      </c>
      <c r="W40" s="30">
        <f t="shared" si="9"/>
        <v>36</v>
      </c>
    </row>
    <row r="41">
      <c r="A41" s="30">
        <f t="shared" si="7"/>
        <v>37</v>
      </c>
      <c r="B41" s="48" t="s">
        <v>54</v>
      </c>
      <c r="C41" s="31">
        <v>46.0</v>
      </c>
      <c r="D41" s="31">
        <v>3.0</v>
      </c>
      <c r="E41" s="36">
        <f t="shared" si="2"/>
        <v>8.25</v>
      </c>
      <c r="F41" s="102">
        <v>1.0</v>
      </c>
      <c r="G41" s="46">
        <v>6.0</v>
      </c>
      <c r="H41" s="47">
        <v>0.0</v>
      </c>
      <c r="I41" s="46">
        <v>3.0</v>
      </c>
      <c r="J41" s="46">
        <v>5.0</v>
      </c>
      <c r="K41" s="46">
        <v>6.0</v>
      </c>
      <c r="L41" s="103">
        <v>14.0</v>
      </c>
      <c r="M41" s="46">
        <v>1.0</v>
      </c>
      <c r="N41" s="31">
        <f t="shared" ref="N41:O41" si="43">C41+L41</f>
        <v>60</v>
      </c>
      <c r="O41" s="31">
        <f t="shared" si="43"/>
        <v>4</v>
      </c>
      <c r="P41" s="45" t="s">
        <v>58</v>
      </c>
      <c r="Q41" s="45" t="s">
        <v>58</v>
      </c>
      <c r="R41" s="45"/>
      <c r="S41" s="46">
        <f t="shared" si="4"/>
        <v>1</v>
      </c>
      <c r="T41" s="46"/>
      <c r="U41" s="46">
        <f t="shared" si="5"/>
        <v>0</v>
      </c>
      <c r="V41" s="46">
        <f t="shared" si="6"/>
        <v>8</v>
      </c>
      <c r="W41" s="30">
        <f t="shared" si="9"/>
        <v>37</v>
      </c>
    </row>
    <row r="42">
      <c r="A42" s="30">
        <f t="shared" si="7"/>
        <v>38</v>
      </c>
      <c r="B42" s="43" t="s">
        <v>96</v>
      </c>
      <c r="C42" s="31">
        <v>46.0</v>
      </c>
      <c r="D42" s="31">
        <v>2.0</v>
      </c>
      <c r="E42" s="36">
        <f t="shared" si="2"/>
        <v>8.25</v>
      </c>
      <c r="F42" s="102">
        <v>1.0</v>
      </c>
      <c r="G42" s="46">
        <v>6.0</v>
      </c>
      <c r="H42" s="47">
        <v>0.0</v>
      </c>
      <c r="I42" s="46">
        <v>6.0</v>
      </c>
      <c r="J42" s="46">
        <v>5.0</v>
      </c>
      <c r="K42" s="46">
        <v>0.0</v>
      </c>
      <c r="L42" s="103">
        <v>11.0</v>
      </c>
      <c r="M42" s="46">
        <v>1.0</v>
      </c>
      <c r="N42" s="31">
        <f t="shared" ref="N42:O42" si="44">C42+L42</f>
        <v>57</v>
      </c>
      <c r="O42" s="31">
        <f t="shared" si="44"/>
        <v>3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0</v>
      </c>
      <c r="V42" s="46">
        <f t="shared" si="6"/>
        <v>5</v>
      </c>
      <c r="W42" s="30">
        <f t="shared" si="9"/>
        <v>38</v>
      </c>
    </row>
    <row r="43">
      <c r="A43" s="30">
        <f t="shared" si="7"/>
        <v>39</v>
      </c>
      <c r="B43" s="28" t="s">
        <v>84</v>
      </c>
      <c r="C43" s="31">
        <v>45.0</v>
      </c>
      <c r="D43" s="31">
        <v>4.0</v>
      </c>
      <c r="E43" s="36">
        <f t="shared" si="2"/>
        <v>9</v>
      </c>
      <c r="F43" s="102">
        <v>1.0</v>
      </c>
      <c r="G43" s="46">
        <v>6.0</v>
      </c>
      <c r="H43" s="47">
        <v>0.0</v>
      </c>
      <c r="I43" s="46">
        <v>3.0</v>
      </c>
      <c r="J43" s="46">
        <v>7.0</v>
      </c>
      <c r="K43" s="46">
        <v>0.0</v>
      </c>
      <c r="L43" s="103">
        <v>10.0</v>
      </c>
      <c r="M43" s="46">
        <v>1.0</v>
      </c>
      <c r="N43" s="31">
        <f t="shared" ref="N43:O43" si="45">C43+L43</f>
        <v>55</v>
      </c>
      <c r="O43" s="31">
        <f t="shared" si="45"/>
        <v>5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1</v>
      </c>
      <c r="V43" s="46">
        <f t="shared" si="6"/>
        <v>2</v>
      </c>
      <c r="W43" s="30">
        <f t="shared" si="9"/>
        <v>39</v>
      </c>
    </row>
    <row r="44">
      <c r="A44" s="30">
        <f t="shared" si="7"/>
        <v>40</v>
      </c>
      <c r="B44" s="28" t="s">
        <v>128</v>
      </c>
      <c r="C44" s="31">
        <v>45.0</v>
      </c>
      <c r="D44" s="31">
        <v>3.0</v>
      </c>
      <c r="E44" s="36">
        <f t="shared" si="2"/>
        <v>9</v>
      </c>
      <c r="F44" s="102">
        <v>1.0</v>
      </c>
      <c r="G44" s="46">
        <v>6.0</v>
      </c>
      <c r="H44" s="47">
        <v>0.0</v>
      </c>
      <c r="I44" s="46">
        <v>6.0</v>
      </c>
      <c r="J44" s="46">
        <v>7.0</v>
      </c>
      <c r="K44" s="46">
        <v>6.0</v>
      </c>
      <c r="L44" s="103">
        <v>19.0</v>
      </c>
      <c r="M44" s="46">
        <v>3.0</v>
      </c>
      <c r="N44" s="31">
        <f t="shared" ref="N44:O44" si="46">C44+L44</f>
        <v>64</v>
      </c>
      <c r="O44" s="31">
        <f t="shared" si="46"/>
        <v>6</v>
      </c>
      <c r="P44" s="45" t="s">
        <v>58</v>
      </c>
      <c r="Q44" s="45" t="s">
        <v>58</v>
      </c>
      <c r="R44" s="45"/>
      <c r="S44" s="46">
        <f t="shared" si="4"/>
        <v>0</v>
      </c>
      <c r="T44" s="46"/>
      <c r="U44" s="46">
        <f t="shared" si="5"/>
        <v>3</v>
      </c>
      <c r="V44" s="46">
        <f t="shared" si="6"/>
        <v>20</v>
      </c>
      <c r="W44" s="30">
        <f t="shared" si="9"/>
        <v>40</v>
      </c>
    </row>
    <row r="45">
      <c r="A45" s="30">
        <f t="shared" si="7"/>
        <v>41</v>
      </c>
      <c r="B45" s="28" t="s">
        <v>49</v>
      </c>
      <c r="C45" s="31">
        <v>45.0</v>
      </c>
      <c r="D45" s="31">
        <v>3.0</v>
      </c>
      <c r="E45" s="36">
        <f t="shared" si="2"/>
        <v>8</v>
      </c>
      <c r="F45" s="102">
        <v>1.0</v>
      </c>
      <c r="G45" s="46">
        <v>7.0</v>
      </c>
      <c r="H45" s="47">
        <v>0.0</v>
      </c>
      <c r="I45" s="46">
        <v>7.0</v>
      </c>
      <c r="J45" s="46">
        <v>6.0</v>
      </c>
      <c r="K45" s="46">
        <v>0.0</v>
      </c>
      <c r="L45" s="103">
        <v>13.0</v>
      </c>
      <c r="M45" s="46">
        <v>1.0</v>
      </c>
      <c r="N45" s="31">
        <f t="shared" ref="N45:O45" si="47">C45+L45</f>
        <v>58</v>
      </c>
      <c r="O45" s="31">
        <f t="shared" si="47"/>
        <v>4</v>
      </c>
      <c r="P45" s="45" t="s">
        <v>58</v>
      </c>
      <c r="Q45" s="45" t="s">
        <v>58</v>
      </c>
      <c r="R45" s="45" t="s">
        <v>58</v>
      </c>
      <c r="S45" s="46">
        <f t="shared" si="4"/>
        <v>1</v>
      </c>
      <c r="T45" s="46"/>
      <c r="U45" s="46">
        <f t="shared" si="5"/>
        <v>0</v>
      </c>
      <c r="V45" s="46">
        <f t="shared" si="6"/>
        <v>-3</v>
      </c>
      <c r="W45" s="30">
        <f t="shared" si="9"/>
        <v>41</v>
      </c>
    </row>
    <row r="46">
      <c r="A46" s="30">
        <f t="shared" si="7"/>
        <v>42</v>
      </c>
      <c r="B46" s="43" t="s">
        <v>107</v>
      </c>
      <c r="C46" s="31">
        <v>45.0</v>
      </c>
      <c r="D46" s="31">
        <v>1.0</v>
      </c>
      <c r="E46" s="36">
        <f t="shared" si="2"/>
        <v>7.666666667</v>
      </c>
      <c r="F46" s="102">
        <v>2.0</v>
      </c>
      <c r="G46" s="46">
        <v>7.0</v>
      </c>
      <c r="H46" s="47">
        <v>0.0</v>
      </c>
      <c r="I46" s="46">
        <v>6.0</v>
      </c>
      <c r="J46" s="46">
        <v>6.0</v>
      </c>
      <c r="K46" s="46">
        <v>6.0</v>
      </c>
      <c r="L46" s="103">
        <v>18.0</v>
      </c>
      <c r="M46" s="46">
        <v>1.0</v>
      </c>
      <c r="N46" s="31">
        <f t="shared" ref="N46:O46" si="48">C46+L46</f>
        <v>63</v>
      </c>
      <c r="O46" s="31">
        <f t="shared" si="48"/>
        <v>2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1</v>
      </c>
      <c r="V46" s="46">
        <f t="shared" si="6"/>
        <v>-2</v>
      </c>
      <c r="W46" s="30">
        <f t="shared" si="9"/>
        <v>42</v>
      </c>
    </row>
    <row r="47">
      <c r="A47" s="30">
        <f t="shared" si="7"/>
        <v>43</v>
      </c>
      <c r="B47" s="48" t="s">
        <v>125</v>
      </c>
      <c r="C47" s="31">
        <v>44.0</v>
      </c>
      <c r="D47" s="31">
        <v>3.0</v>
      </c>
      <c r="E47" s="36">
        <f t="shared" si="2"/>
        <v>8.8</v>
      </c>
      <c r="F47" s="102">
        <v>1.0</v>
      </c>
      <c r="G47" s="46">
        <v>7.0</v>
      </c>
      <c r="H47" s="47">
        <v>0.0</v>
      </c>
      <c r="I47" s="46">
        <v>6.0</v>
      </c>
      <c r="J47" s="46">
        <v>7.0</v>
      </c>
      <c r="K47" s="46">
        <v>0.0</v>
      </c>
      <c r="L47" s="103">
        <v>13.0</v>
      </c>
      <c r="M47" s="46">
        <v>1.0</v>
      </c>
      <c r="N47" s="31">
        <f t="shared" ref="N47:O47" si="49">C47+L47</f>
        <v>57</v>
      </c>
      <c r="O47" s="31">
        <f t="shared" si="49"/>
        <v>4</v>
      </c>
      <c r="P47" s="45" t="s">
        <v>58</v>
      </c>
      <c r="Q47" s="45" t="s">
        <v>58</v>
      </c>
      <c r="R47" s="45"/>
      <c r="S47" s="46">
        <f t="shared" si="4"/>
        <v>0</v>
      </c>
      <c r="T47" s="46"/>
      <c r="U47" s="46">
        <f t="shared" si="5"/>
        <v>0</v>
      </c>
      <c r="V47" s="46">
        <f t="shared" si="6"/>
        <v>-7</v>
      </c>
      <c r="W47" s="30">
        <f t="shared" si="9"/>
        <v>43</v>
      </c>
    </row>
    <row r="48">
      <c r="A48" s="30">
        <f t="shared" si="7"/>
        <v>44</v>
      </c>
      <c r="B48" s="43" t="s">
        <v>131</v>
      </c>
      <c r="C48" s="31">
        <v>44.0</v>
      </c>
      <c r="D48" s="31">
        <v>1.0</v>
      </c>
      <c r="E48" s="36">
        <f t="shared" si="2"/>
        <v>8.5</v>
      </c>
      <c r="F48" s="102">
        <v>3.0</v>
      </c>
      <c r="G48" s="46">
        <v>0.0</v>
      </c>
      <c r="H48" s="47">
        <v>9.0</v>
      </c>
      <c r="I48" s="46">
        <v>0.0</v>
      </c>
      <c r="J48" s="46">
        <v>0.0</v>
      </c>
      <c r="K48" s="46">
        <v>0.0</v>
      </c>
      <c r="L48" s="103">
        <v>9.0</v>
      </c>
      <c r="M48" s="46">
        <v>0.0</v>
      </c>
      <c r="N48" s="31">
        <f t="shared" ref="N48:O48" si="50">C48+L48</f>
        <v>53</v>
      </c>
      <c r="O48" s="31">
        <f t="shared" si="50"/>
        <v>1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3</v>
      </c>
      <c r="V48" s="46">
        <f t="shared" si="6"/>
        <v>-5</v>
      </c>
      <c r="W48" s="30">
        <f t="shared" si="9"/>
        <v>44</v>
      </c>
    </row>
    <row r="49">
      <c r="A49" s="30">
        <f t="shared" si="7"/>
        <v>45</v>
      </c>
      <c r="B49" s="43" t="s">
        <v>106</v>
      </c>
      <c r="C49" s="31">
        <v>43.0</v>
      </c>
      <c r="D49" s="31">
        <v>3.0</v>
      </c>
      <c r="E49" s="36">
        <f t="shared" si="2"/>
        <v>8.5</v>
      </c>
      <c r="F49" s="102">
        <v>1.0</v>
      </c>
      <c r="G49" s="46">
        <v>7.0</v>
      </c>
      <c r="H49" s="47">
        <v>0.0</v>
      </c>
      <c r="I49" s="46">
        <v>7.0</v>
      </c>
      <c r="J49" s="46">
        <v>7.0</v>
      </c>
      <c r="K49" s="46">
        <v>6.0</v>
      </c>
      <c r="L49" s="103">
        <v>20.0</v>
      </c>
      <c r="M49" s="46">
        <v>3.0</v>
      </c>
      <c r="N49" s="31">
        <f t="shared" ref="N49:O49" si="51">C49+L49</f>
        <v>63</v>
      </c>
      <c r="O49" s="31">
        <f t="shared" si="51"/>
        <v>6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1</v>
      </c>
      <c r="V49" s="46">
        <f t="shared" si="6"/>
        <v>-17</v>
      </c>
      <c r="W49" s="30">
        <f t="shared" si="9"/>
        <v>45</v>
      </c>
    </row>
    <row r="50">
      <c r="A50" s="30">
        <f t="shared" si="7"/>
        <v>46</v>
      </c>
      <c r="B50" s="43" t="s">
        <v>99</v>
      </c>
      <c r="C50" s="31">
        <v>43.0</v>
      </c>
      <c r="D50" s="31">
        <v>2.0</v>
      </c>
      <c r="E50" s="36">
        <f t="shared" si="2"/>
        <v>8.333333333</v>
      </c>
      <c r="F50" s="102">
        <v>1.0</v>
      </c>
      <c r="G50" s="46">
        <v>8.0</v>
      </c>
      <c r="H50" s="47">
        <v>0.0</v>
      </c>
      <c r="I50" s="46">
        <v>6.0</v>
      </c>
      <c r="J50" s="46">
        <v>4.0</v>
      </c>
      <c r="K50" s="46">
        <v>6.0</v>
      </c>
      <c r="L50" s="103">
        <v>16.0</v>
      </c>
      <c r="M50" s="46">
        <v>2.0</v>
      </c>
      <c r="N50" s="31">
        <f t="shared" ref="N50:O50" si="52">C50+L50</f>
        <v>59</v>
      </c>
      <c r="O50" s="31">
        <f t="shared" si="52"/>
        <v>4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2</v>
      </c>
      <c r="V50" s="46">
        <f t="shared" si="6"/>
        <v>-4</v>
      </c>
      <c r="W50" s="30">
        <f t="shared" si="9"/>
        <v>46</v>
      </c>
    </row>
    <row r="51">
      <c r="A51" s="30">
        <f t="shared" si="7"/>
        <v>47</v>
      </c>
      <c r="B51" s="48" t="s">
        <v>134</v>
      </c>
      <c r="C51" s="31">
        <v>43.0</v>
      </c>
      <c r="D51" s="31">
        <v>2.0</v>
      </c>
      <c r="E51" s="36">
        <f t="shared" si="2"/>
        <v>6</v>
      </c>
      <c r="F51" s="102">
        <v>1.0</v>
      </c>
      <c r="G51" s="46">
        <v>8.0</v>
      </c>
      <c r="H51" s="47">
        <v>0.0</v>
      </c>
      <c r="I51" s="46">
        <v>6.0</v>
      </c>
      <c r="J51" s="46">
        <v>6.0</v>
      </c>
      <c r="K51" s="46">
        <v>4.0</v>
      </c>
      <c r="L51" s="103">
        <v>16.0</v>
      </c>
      <c r="M51" s="46">
        <v>2.0</v>
      </c>
      <c r="N51" s="31">
        <f t="shared" ref="N51:O51" si="53">C51+L51</f>
        <v>59</v>
      </c>
      <c r="O51" s="31">
        <f t="shared" si="53"/>
        <v>4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2</v>
      </c>
      <c r="V51" s="46">
        <f t="shared" si="6"/>
        <v>1</v>
      </c>
      <c r="W51" s="30">
        <f t="shared" si="9"/>
        <v>47</v>
      </c>
    </row>
    <row r="52">
      <c r="A52" s="30">
        <f t="shared" si="7"/>
        <v>48</v>
      </c>
      <c r="B52" s="43" t="s">
        <v>136</v>
      </c>
      <c r="C52" s="31">
        <v>42.0</v>
      </c>
      <c r="D52" s="31">
        <v>5.0</v>
      </c>
      <c r="E52" s="36">
        <f t="shared" si="2"/>
        <v>8.25</v>
      </c>
      <c r="F52" s="102">
        <v>3.0</v>
      </c>
      <c r="G52" s="46">
        <v>0.0</v>
      </c>
      <c r="H52" s="47">
        <v>9.0</v>
      </c>
      <c r="I52" s="46">
        <v>0.0</v>
      </c>
      <c r="J52" s="46">
        <v>0.0</v>
      </c>
      <c r="K52" s="46">
        <v>0.0</v>
      </c>
      <c r="L52" s="103">
        <v>9.0</v>
      </c>
      <c r="M52" s="46">
        <v>0.0</v>
      </c>
      <c r="N52" s="31">
        <f t="shared" ref="N52:O52" si="54">C52+L52</f>
        <v>51</v>
      </c>
      <c r="O52" s="31">
        <f t="shared" si="54"/>
        <v>5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1</v>
      </c>
      <c r="V52" s="46">
        <f t="shared" si="6"/>
        <v>4</v>
      </c>
      <c r="W52" s="30">
        <f t="shared" si="9"/>
        <v>48</v>
      </c>
    </row>
    <row r="53">
      <c r="A53" s="30">
        <f t="shared" si="7"/>
        <v>49</v>
      </c>
      <c r="B53" s="28" t="s">
        <v>93</v>
      </c>
      <c r="C53" s="31">
        <v>42.0</v>
      </c>
      <c r="D53" s="31">
        <v>2.0</v>
      </c>
      <c r="E53" s="36">
        <f t="shared" si="2"/>
        <v>8</v>
      </c>
      <c r="F53" s="102">
        <v>1.0</v>
      </c>
      <c r="G53" s="46">
        <v>8.0</v>
      </c>
      <c r="H53" s="47">
        <v>0.0</v>
      </c>
      <c r="I53" s="46">
        <v>2.0</v>
      </c>
      <c r="J53" s="46">
        <v>6.0</v>
      </c>
      <c r="K53" s="46">
        <v>6.0</v>
      </c>
      <c r="L53" s="103">
        <v>14.0</v>
      </c>
      <c r="M53" s="46">
        <v>2.0</v>
      </c>
      <c r="N53" s="31">
        <f t="shared" ref="N53:O53" si="55">C53+L53</f>
        <v>56</v>
      </c>
      <c r="O53" s="31">
        <f t="shared" si="55"/>
        <v>4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2</v>
      </c>
      <c r="V53" s="46">
        <f t="shared" si="6"/>
        <v>-2</v>
      </c>
      <c r="W53" s="30">
        <f t="shared" si="9"/>
        <v>49</v>
      </c>
    </row>
    <row r="54">
      <c r="A54" s="30">
        <f t="shared" si="7"/>
        <v>50</v>
      </c>
      <c r="B54" s="43" t="s">
        <v>61</v>
      </c>
      <c r="C54" s="47">
        <v>41.0</v>
      </c>
      <c r="D54" s="31">
        <v>5.0</v>
      </c>
      <c r="E54" s="36">
        <f t="shared" si="2"/>
        <v>8.2</v>
      </c>
      <c r="F54" s="102">
        <v>1.0</v>
      </c>
      <c r="G54" s="46">
        <v>8.0</v>
      </c>
      <c r="H54" s="47">
        <v>0.0</v>
      </c>
      <c r="I54" s="46">
        <v>2.0</v>
      </c>
      <c r="J54" s="46">
        <v>4.0</v>
      </c>
      <c r="K54" s="46">
        <v>4.0</v>
      </c>
      <c r="L54" s="103">
        <v>10.0</v>
      </c>
      <c r="M54" s="46">
        <v>0.0</v>
      </c>
      <c r="N54" s="47">
        <f t="shared" ref="N54:O54" si="56">C54+L54</f>
        <v>51</v>
      </c>
      <c r="O54" s="31">
        <f t="shared" si="56"/>
        <v>5</v>
      </c>
      <c r="P54" s="45" t="s">
        <v>58</v>
      </c>
      <c r="Q54" s="45" t="s">
        <v>58</v>
      </c>
      <c r="R54" s="45"/>
      <c r="S54" s="46">
        <f t="shared" si="4"/>
        <v>0</v>
      </c>
      <c r="T54" s="46"/>
      <c r="U54" s="46">
        <f t="shared" si="5"/>
        <v>0</v>
      </c>
      <c r="V54" s="46">
        <f t="shared" si="6"/>
        <v>5</v>
      </c>
      <c r="W54" s="30">
        <f t="shared" si="9"/>
        <v>50</v>
      </c>
    </row>
    <row r="55">
      <c r="A55" s="30">
        <f t="shared" si="7"/>
        <v>51</v>
      </c>
      <c r="B55" s="43" t="s">
        <v>140</v>
      </c>
      <c r="C55" s="31">
        <v>41.0</v>
      </c>
      <c r="D55" s="31">
        <v>3.0</v>
      </c>
      <c r="E55" s="36">
        <f t="shared" si="2"/>
        <v>7.666666667</v>
      </c>
      <c r="F55" s="102">
        <v>1.0</v>
      </c>
      <c r="G55" s="46">
        <v>3.0</v>
      </c>
      <c r="H55" s="47">
        <v>0.0</v>
      </c>
      <c r="I55" s="46">
        <v>6.0</v>
      </c>
      <c r="J55" s="46">
        <v>1.0</v>
      </c>
      <c r="K55" s="46">
        <v>6.0</v>
      </c>
      <c r="L55" s="103">
        <v>13.0</v>
      </c>
      <c r="M55" s="46">
        <v>2.0</v>
      </c>
      <c r="N55" s="31">
        <f t="shared" ref="N55:O55" si="57">C55+L55</f>
        <v>54</v>
      </c>
      <c r="O55" s="31">
        <f t="shared" si="57"/>
        <v>5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2</v>
      </c>
      <c r="V55" s="46">
        <f t="shared" si="6"/>
        <v>-7</v>
      </c>
      <c r="W55" s="30">
        <f t="shared" si="9"/>
        <v>51</v>
      </c>
    </row>
    <row r="56">
      <c r="A56" s="30">
        <f t="shared" si="7"/>
        <v>52</v>
      </c>
      <c r="B56" s="28" t="s">
        <v>80</v>
      </c>
      <c r="C56" s="31">
        <v>40.0</v>
      </c>
      <c r="D56" s="31">
        <v>0.0</v>
      </c>
      <c r="E56" s="36">
        <f t="shared" si="2"/>
        <v>0</v>
      </c>
      <c r="F56" s="102">
        <v>3.0</v>
      </c>
      <c r="G56" s="46">
        <v>0.0</v>
      </c>
      <c r="H56" s="47">
        <v>9.0</v>
      </c>
      <c r="I56" s="46">
        <v>0.0</v>
      </c>
      <c r="J56" s="46">
        <v>0.0</v>
      </c>
      <c r="K56" s="46">
        <v>0.0</v>
      </c>
      <c r="L56" s="103">
        <v>9.0</v>
      </c>
      <c r="M56" s="46">
        <v>0.0</v>
      </c>
      <c r="N56" s="31">
        <f t="shared" ref="N56:O56" si="58">C56+L56</f>
        <v>49</v>
      </c>
      <c r="O56" s="31">
        <f t="shared" si="58"/>
        <v>0</v>
      </c>
      <c r="P56" s="45" t="s">
        <v>58</v>
      </c>
      <c r="Q56" s="45" t="s">
        <v>58</v>
      </c>
      <c r="R56" s="45"/>
      <c r="S56" s="46">
        <f t="shared" si="4"/>
        <v>1</v>
      </c>
      <c r="T56" s="46"/>
      <c r="U56" s="46">
        <f t="shared" si="5"/>
        <v>4</v>
      </c>
      <c r="V56" s="46">
        <f t="shared" si="6"/>
        <v>-3</v>
      </c>
      <c r="W56" s="30">
        <f t="shared" si="9"/>
        <v>52</v>
      </c>
    </row>
    <row r="57">
      <c r="A57" s="30">
        <f t="shared" si="7"/>
        <v>53</v>
      </c>
      <c r="B57" s="28" t="s">
        <v>72</v>
      </c>
      <c r="C57" s="31">
        <v>40.0</v>
      </c>
      <c r="D57" s="31">
        <v>0.0</v>
      </c>
      <c r="E57" s="36">
        <f t="shared" si="2"/>
        <v>0</v>
      </c>
      <c r="F57" s="102">
        <v>3.0</v>
      </c>
      <c r="G57" s="46">
        <v>0.0</v>
      </c>
      <c r="H57" s="47">
        <v>9.0</v>
      </c>
      <c r="I57" s="46">
        <v>0.0</v>
      </c>
      <c r="J57" s="46">
        <v>0.0</v>
      </c>
      <c r="K57" s="46">
        <v>0.0</v>
      </c>
      <c r="L57" s="103">
        <v>9.0</v>
      </c>
      <c r="M57" s="46">
        <v>0.0</v>
      </c>
      <c r="N57" s="31">
        <f t="shared" ref="N57:O57" si="59">C57+L57</f>
        <v>49</v>
      </c>
      <c r="O57" s="31">
        <f t="shared" si="59"/>
        <v>0</v>
      </c>
      <c r="P57" s="45" t="s">
        <v>58</v>
      </c>
      <c r="Q57" s="45" t="s">
        <v>58</v>
      </c>
      <c r="R57" s="45"/>
      <c r="S57" s="46">
        <f t="shared" si="4"/>
        <v>1</v>
      </c>
      <c r="T57" s="46"/>
      <c r="U57" s="46">
        <f t="shared" si="5"/>
        <v>4</v>
      </c>
      <c r="V57" s="46">
        <f t="shared" si="6"/>
        <v>-3</v>
      </c>
      <c r="W57" s="30">
        <f t="shared" si="9"/>
        <v>53</v>
      </c>
    </row>
    <row r="58">
      <c r="A58" s="30">
        <f t="shared" si="7"/>
        <v>54</v>
      </c>
      <c r="B58" s="28" t="s">
        <v>102</v>
      </c>
      <c r="C58" s="31">
        <v>40.0</v>
      </c>
      <c r="D58" s="31">
        <v>0.0</v>
      </c>
      <c r="E58" s="36">
        <f t="shared" si="2"/>
        <v>0</v>
      </c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60">C58+L58</f>
        <v>49</v>
      </c>
      <c r="O58" s="31">
        <f t="shared" si="60"/>
        <v>0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4</v>
      </c>
      <c r="V58" s="46">
        <f t="shared" si="6"/>
        <v>-3</v>
      </c>
      <c r="W58" s="30">
        <f t="shared" si="9"/>
        <v>54</v>
      </c>
    </row>
    <row r="59">
      <c r="A59" s="30">
        <f t="shared" si="7"/>
        <v>55</v>
      </c>
      <c r="B59" s="28" t="s">
        <v>141</v>
      </c>
      <c r="C59" s="31">
        <v>39.0</v>
      </c>
      <c r="D59" s="31">
        <v>1.0</v>
      </c>
      <c r="E59" s="36">
        <f t="shared" si="2"/>
        <v>-1</v>
      </c>
      <c r="F59" s="102">
        <v>3.0</v>
      </c>
      <c r="G59" s="46">
        <v>0.0</v>
      </c>
      <c r="H59" s="47">
        <v>9.0</v>
      </c>
      <c r="I59" s="46">
        <v>0.0</v>
      </c>
      <c r="J59" s="46">
        <v>0.0</v>
      </c>
      <c r="K59" s="46">
        <v>0.0</v>
      </c>
      <c r="L59" s="103">
        <v>9.0</v>
      </c>
      <c r="M59" s="46">
        <v>0.0</v>
      </c>
      <c r="N59" s="31">
        <f t="shared" ref="N59:O59" si="61">C59+L59</f>
        <v>48</v>
      </c>
      <c r="O59" s="31">
        <f t="shared" si="61"/>
        <v>1</v>
      </c>
      <c r="P59" s="45" t="s">
        <v>58</v>
      </c>
      <c r="Q59" s="45" t="s">
        <v>58</v>
      </c>
      <c r="R59" s="45"/>
      <c r="S59" s="46">
        <f t="shared" si="4"/>
        <v>1</v>
      </c>
      <c r="T59" s="46"/>
      <c r="U59" s="46">
        <f t="shared" si="5"/>
        <v>3</v>
      </c>
      <c r="V59" s="46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43" t="s">
        <v>118</v>
      </c>
      <c r="C60" s="47">
        <v>36.0</v>
      </c>
      <c r="D60" s="31">
        <v>2.0</v>
      </c>
      <c r="E60" s="36">
        <f t="shared" si="2"/>
        <v>6</v>
      </c>
      <c r="F60" s="102">
        <v>3.0</v>
      </c>
      <c r="G60" s="46">
        <v>0.0</v>
      </c>
      <c r="H60" s="47">
        <v>9.0</v>
      </c>
      <c r="I60" s="46">
        <v>0.0</v>
      </c>
      <c r="J60" s="46">
        <v>0.0</v>
      </c>
      <c r="K60" s="46">
        <v>0.0</v>
      </c>
      <c r="L60" s="103">
        <v>9.0</v>
      </c>
      <c r="M60" s="46">
        <v>0.0</v>
      </c>
      <c r="N60" s="47">
        <f t="shared" ref="N60:O60" si="62">C60+L60</f>
        <v>45</v>
      </c>
      <c r="O60" s="31">
        <f t="shared" si="62"/>
        <v>2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2</v>
      </c>
      <c r="V60" s="46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43" t="s">
        <v>138</v>
      </c>
      <c r="C61" s="47">
        <v>36.0</v>
      </c>
      <c r="D61" s="31">
        <v>2.0</v>
      </c>
      <c r="E61" s="36">
        <f t="shared" si="2"/>
        <v>6</v>
      </c>
      <c r="F61" s="102">
        <v>1.0</v>
      </c>
      <c r="G61" s="46">
        <v>3.0</v>
      </c>
      <c r="H61" s="47">
        <v>0.0</v>
      </c>
      <c r="I61" s="46">
        <v>1.0</v>
      </c>
      <c r="J61" s="46">
        <v>6.0</v>
      </c>
      <c r="K61" s="46">
        <v>6.0</v>
      </c>
      <c r="L61" s="103">
        <v>13.0</v>
      </c>
      <c r="M61" s="46">
        <v>2.0</v>
      </c>
      <c r="N61" s="47">
        <f t="shared" ref="N61:O61" si="63">C61+L61</f>
        <v>49</v>
      </c>
      <c r="O61" s="31">
        <f t="shared" si="63"/>
        <v>4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2</v>
      </c>
      <c r="V61" s="46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43" t="s">
        <v>76</v>
      </c>
      <c r="C62" s="31">
        <v>36.0</v>
      </c>
      <c r="D62" s="31">
        <v>0.0</v>
      </c>
      <c r="E62" s="36">
        <f t="shared" si="2"/>
        <v>0</v>
      </c>
      <c r="F62" s="102">
        <v>3.0</v>
      </c>
      <c r="G62" s="46">
        <v>0.0</v>
      </c>
      <c r="H62" s="47">
        <v>9.0</v>
      </c>
      <c r="I62" s="46">
        <v>0.0</v>
      </c>
      <c r="J62" s="46">
        <v>0.0</v>
      </c>
      <c r="K62" s="46">
        <v>0.0</v>
      </c>
      <c r="L62" s="103">
        <v>9.0</v>
      </c>
      <c r="M62" s="46">
        <v>0.0</v>
      </c>
      <c r="N62" s="31">
        <f t="shared" ref="N62:O62" si="64">C62+L62</f>
        <v>45</v>
      </c>
      <c r="O62" s="31">
        <f t="shared" si="64"/>
        <v>0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5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126</v>
      </c>
      <c r="C63" s="31">
        <v>36.0</v>
      </c>
      <c r="D63" s="31">
        <v>0.0</v>
      </c>
      <c r="E63" s="36">
        <f t="shared" si="2"/>
        <v>0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45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5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48" t="s">
        <v>103</v>
      </c>
      <c r="C64" s="31">
        <v>36.0</v>
      </c>
      <c r="D64" s="31">
        <v>0.0</v>
      </c>
      <c r="E64" s="36">
        <f t="shared" si="2"/>
        <v>0</v>
      </c>
      <c r="F64" s="102">
        <v>1.0</v>
      </c>
      <c r="G64" s="46">
        <v>3.0</v>
      </c>
      <c r="H64" s="47">
        <v>0.0</v>
      </c>
      <c r="I64" s="46">
        <v>6.0</v>
      </c>
      <c r="J64" s="46">
        <v>6.0</v>
      </c>
      <c r="K64" s="46">
        <v>0.0</v>
      </c>
      <c r="L64" s="103">
        <v>12.0</v>
      </c>
      <c r="M64" s="46">
        <v>2.0</v>
      </c>
      <c r="N64" s="31">
        <f t="shared" ref="N64:O64" si="66">C64+L64</f>
        <v>48</v>
      </c>
      <c r="O64" s="31">
        <f t="shared" si="66"/>
        <v>2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4</v>
      </c>
      <c r="V64" s="46">
        <f t="shared" si="6"/>
        <v>1</v>
      </c>
      <c r="W64" s="30">
        <f t="shared" si="9"/>
        <v>60</v>
      </c>
    </row>
    <row r="65">
      <c r="A65" s="30">
        <f t="shared" si="7"/>
        <v>61</v>
      </c>
      <c r="B65" s="48" t="s">
        <v>139</v>
      </c>
      <c r="C65" s="31">
        <v>36.0</v>
      </c>
      <c r="D65" s="31">
        <v>0.0</v>
      </c>
      <c r="E65" s="36">
        <f t="shared" si="2"/>
        <v>0</v>
      </c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31">
        <f t="shared" ref="N65:O65" si="67">C65+L65</f>
        <v>45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5</v>
      </c>
      <c r="V65" s="46">
        <f t="shared" si="6"/>
        <v>1</v>
      </c>
      <c r="W65" s="30">
        <f t="shared" si="9"/>
        <v>61</v>
      </c>
    </row>
    <row r="66">
      <c r="A66" s="30">
        <f t="shared" si="7"/>
        <v>62</v>
      </c>
      <c r="B66" s="43" t="s">
        <v>78</v>
      </c>
      <c r="C66" s="47">
        <v>35.0</v>
      </c>
      <c r="D66" s="31">
        <v>1.0</v>
      </c>
      <c r="E66" s="36">
        <f t="shared" si="2"/>
        <v>5.666666667</v>
      </c>
      <c r="F66" s="102">
        <v>1.0</v>
      </c>
      <c r="G66" s="46">
        <v>3.0</v>
      </c>
      <c r="H66" s="47">
        <v>0.0</v>
      </c>
      <c r="I66" s="46">
        <v>1.0</v>
      </c>
      <c r="J66" s="46">
        <v>1.0</v>
      </c>
      <c r="K66" s="46">
        <v>0.0</v>
      </c>
      <c r="L66" s="103">
        <v>2.0</v>
      </c>
      <c r="M66" s="46">
        <v>0.0</v>
      </c>
      <c r="N66" s="47">
        <f t="shared" ref="N66:O66" si="68">C66+L66</f>
        <v>37</v>
      </c>
      <c r="O66" s="31">
        <f t="shared" si="68"/>
        <v>1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2</v>
      </c>
      <c r="V66" s="46">
        <f t="shared" si="6"/>
        <v>2</v>
      </c>
      <c r="W66" s="30">
        <f t="shared" si="9"/>
        <v>62</v>
      </c>
    </row>
    <row r="67">
      <c r="A67" s="30">
        <f t="shared" si="7"/>
        <v>63</v>
      </c>
      <c r="B67" s="43" t="s">
        <v>142</v>
      </c>
      <c r="C67" s="47">
        <v>35.0</v>
      </c>
      <c r="D67" s="31">
        <v>1.0</v>
      </c>
      <c r="E67" s="36">
        <f t="shared" si="2"/>
        <v>-1</v>
      </c>
      <c r="F67" s="102">
        <v>3.0</v>
      </c>
      <c r="G67" s="46">
        <v>0.0</v>
      </c>
      <c r="H67" s="47">
        <v>9.0</v>
      </c>
      <c r="I67" s="46">
        <v>0.0</v>
      </c>
      <c r="J67" s="46">
        <v>0.0</v>
      </c>
      <c r="K67" s="46">
        <v>0.0</v>
      </c>
      <c r="L67" s="103">
        <v>9.0</v>
      </c>
      <c r="M67" s="46">
        <v>0.0</v>
      </c>
      <c r="N67" s="47">
        <f t="shared" ref="N67:O67" si="69">C67+L67</f>
        <v>44</v>
      </c>
      <c r="O67" s="31">
        <f t="shared" si="69"/>
        <v>1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4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100</v>
      </c>
      <c r="C68" s="31">
        <v>32.0</v>
      </c>
      <c r="D68" s="31">
        <v>3.0</v>
      </c>
      <c r="E68" s="36">
        <f t="shared" si="2"/>
        <v>4.666666667</v>
      </c>
      <c r="F68" s="102">
        <v>3.0</v>
      </c>
      <c r="G68" s="46">
        <v>0.0</v>
      </c>
      <c r="H68" s="47">
        <v>9.0</v>
      </c>
      <c r="I68" s="46">
        <v>0.0</v>
      </c>
      <c r="J68" s="46">
        <v>0.0</v>
      </c>
      <c r="K68" s="46">
        <v>0.0</v>
      </c>
      <c r="L68" s="103">
        <v>9.0</v>
      </c>
      <c r="M68" s="46">
        <v>0.0</v>
      </c>
      <c r="N68" s="31">
        <f t="shared" ref="N68:O68" si="70">C68+L68</f>
        <v>41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2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135</v>
      </c>
      <c r="C69" s="31">
        <v>31.0</v>
      </c>
      <c r="D69" s="31">
        <v>1.0</v>
      </c>
      <c r="E69" s="36">
        <f t="shared" si="2"/>
        <v>4.333333333</v>
      </c>
      <c r="F69" s="102">
        <v>3.0</v>
      </c>
      <c r="G69" s="46">
        <v>0.0</v>
      </c>
      <c r="H69" s="47">
        <v>9.0</v>
      </c>
      <c r="I69" s="46">
        <v>0.0</v>
      </c>
      <c r="J69" s="46">
        <v>0.0</v>
      </c>
      <c r="K69" s="46">
        <v>0.0</v>
      </c>
      <c r="L69" s="103">
        <v>9.0</v>
      </c>
      <c r="M69" s="46">
        <v>0.0</v>
      </c>
      <c r="N69" s="31">
        <f t="shared" ref="N69:O69" si="71">C69+L69</f>
        <v>40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2</v>
      </c>
      <c r="V69" s="46">
        <f t="shared" si="6"/>
        <v>-12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desc"",0)"),"Lloyd Sagar")</f>
        <v>Lloyd Sagar</v>
      </c>
      <c r="C76" s="84">
        <f>IFERROR(__xludf.DUMMYFUNCTION("""COMPUTED_VALUE"""),20.0)</f>
        <v>20</v>
      </c>
      <c r="D76" s="84">
        <f>IFERROR(__xludf.DUMMYFUNCTION("""COMPUTED_VALUE"""),3.0)</f>
        <v>3</v>
      </c>
      <c r="E76" s="84">
        <f>IFERROR(__xludf.DUMMYFUNCTION("""COMPUTED_VALUE"""),7.0)</f>
        <v>7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IFERROR(__xludf.DUMMYFUNCTION("""COMPUTED_VALUE"""),"Oscar Bonilla")</f>
        <v>Oscar Bonilla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IFERROR(__xludf.DUMMYFUNCTION("""COMPUTED_VALUE"""),6.0)</f>
        <v>6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IFERROR(__xludf.DUMMYFUNCTION("""COMPUTED_VALUE"""),"Sandeep Kamalon")</f>
        <v>Sandeep Kamalon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IFERROR(__xludf.DUMMYFUNCTION("""COMPUTED_VALUE"""),1.0)</f>
        <v>1</v>
      </c>
      <c r="F78" s="1"/>
    </row>
    <row r="79">
      <c r="A79" s="1"/>
      <c r="B79" s="43" t="str">
        <f>IFERROR(__xludf.DUMMYFUNCTION("""COMPUTED_VALUE"""),"Pulkit Mathur")</f>
        <v>Pulkit Mathur</v>
      </c>
      <c r="C79" s="84">
        <f>IFERROR(__xludf.DUMMYFUNCTION("""COMPUTED_VALUE"""),18.0)</f>
        <v>18</v>
      </c>
      <c r="D79" s="84">
        <f>IFERROR(__xludf.DUMMYFUNCTION("""COMPUTED_VALUE"""),2.0)</f>
        <v>2</v>
      </c>
      <c r="E79" s="84">
        <f>IFERROR(__xludf.DUMMYFUNCTION("""COMPUTED_VALUE"""),2.0)</f>
        <v>2</v>
      </c>
      <c r="F79" s="1"/>
      <c r="P79" s="33" t="s">
        <v>172</v>
      </c>
    </row>
    <row r="80">
      <c r="A80" s="1"/>
      <c r="B80" s="43" t="str">
        <f>IFERROR(__xludf.DUMMYFUNCTION("""COMPUTED_VALUE"""),"Troy Wong")</f>
        <v>Troy Wong</v>
      </c>
      <c r="C80" s="84">
        <f>IFERROR(__xludf.DUMMYFUNCTION("""COMPUTED_VALUE"""),18.0)</f>
        <v>18</v>
      </c>
      <c r="D80" s="84">
        <f>IFERROR(__xludf.DUMMYFUNCTION("""COMPUTED_VALUE"""),2.0)</f>
        <v>2</v>
      </c>
      <c r="E80" s="84">
        <f>IFERROR(__xludf.DUMMYFUNCTION("""COMPUTED_VALUE"""),2.0)</f>
        <v>2</v>
      </c>
      <c r="F80" s="1"/>
      <c r="L80" s="33"/>
    </row>
    <row r="81">
      <c r="A81" s="1"/>
      <c r="B81" s="43" t="str">
        <f>IFERROR(__xludf.DUMMYFUNCTION("""COMPUTED_VALUE"""),"Alejandro Mejia")</f>
        <v>Alejandro Mejia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IFERROR(__xludf.DUMMYFUNCTION("""COMPUTED_VALUE"""),9.0)</f>
        <v>9</v>
      </c>
      <c r="F81" s="1"/>
      <c r="L81" s="33"/>
    </row>
    <row r="82">
      <c r="A82" s="1"/>
      <c r="B82" s="43" t="str">
        <f>IFERROR(__xludf.DUMMYFUNCTION("""COMPUTED_VALUE"""),"Jim Miao")</f>
        <v>Jim Miao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IFERROR(__xludf.DUMMYFUNCTION("""COMPUTED_VALUE"""),4.0)</f>
        <v>4</v>
      </c>
      <c r="F82" s="1"/>
      <c r="L82" s="33"/>
    </row>
    <row r="83">
      <c r="A83" s="1"/>
      <c r="B83" s="43" t="str">
        <f>IFERROR(__xludf.DUMMYFUNCTION("""COMPUTED_VALUE"""),"Matthew Huang")</f>
        <v>Matthew Huang</v>
      </c>
      <c r="C83" s="84">
        <f>IFERROR(__xludf.DUMMYFUNCTION("""COMPUTED_VALUE"""),18.0)</f>
        <v>18</v>
      </c>
      <c r="D83" s="84">
        <f>IFERROR(__xludf.DUMMYFUNCTION("""COMPUTED_VALUE"""),2.0)</f>
        <v>2</v>
      </c>
      <c r="E83" s="84">
        <f>IFERROR(__xludf.DUMMYFUNCTION("""COMPUTED_VALUE"""),5.0)</f>
        <v>5</v>
      </c>
      <c r="F83" s="1"/>
      <c r="L83" s="33"/>
    </row>
    <row r="84">
      <c r="A84" s="1"/>
      <c r="B84" s="43" t="str">
        <f>IFERROR(__xludf.DUMMYFUNCTION("""COMPUTED_VALUE"""),"Herman Au")</f>
        <v>Herman Au</v>
      </c>
      <c r="C84" s="84">
        <f>IFERROR(__xludf.DUMMYFUNCTION("""COMPUTED_VALUE"""),18.0)</f>
        <v>18</v>
      </c>
      <c r="D84" s="84">
        <f>IFERROR(__xludf.DUMMYFUNCTION("""COMPUTED_VALUE"""),1.0)</f>
        <v>1</v>
      </c>
      <c r="E84" s="84">
        <f>IFERROR(__xludf.DUMMYFUNCTION("""COMPUTED_VALUE"""),7.0)</f>
        <v>7</v>
      </c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10"")"),"Adrian Tay")</f>
        <v>Adrian Tay</v>
      </c>
      <c r="C90" s="84">
        <f>IFERROR(__xludf.DUMMYFUNCTION("""COMPUTED_VALUE"""),24.0)</f>
        <v>24</v>
      </c>
      <c r="D90" s="84">
        <f t="shared" ref="D90:D99" si="72">VLOOKUP(B90,indirect($AB$2&amp;"!B$5:w$70"),22, false)</f>
        <v>37</v>
      </c>
      <c r="E90" s="84">
        <f t="shared" ref="E90:E99" si="73">VLOOKUP(B90,B$5:W$69,22, false)</f>
        <v>13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5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IFERROR(__xludf.DUMMYFUNCTION("""COMPUTED_VALUE"""),"Troy Wong")</f>
        <v>Troy Wong</v>
      </c>
      <c r="C91" s="84">
        <f>IFERROR(__xludf.DUMMYFUNCTION("""COMPUTED_VALUE"""),20.0)</f>
        <v>20</v>
      </c>
      <c r="D91" s="84">
        <f t="shared" si="72"/>
        <v>31</v>
      </c>
      <c r="E91" s="84">
        <f t="shared" si="73"/>
        <v>11</v>
      </c>
      <c r="F91" s="84">
        <f t="shared" si="74"/>
        <v>18</v>
      </c>
      <c r="G91" s="84">
        <f t="shared" si="75"/>
        <v>3</v>
      </c>
      <c r="L91" s="84" t="str">
        <f t="shared" si="76"/>
        <v>ok</v>
      </c>
    </row>
    <row r="92">
      <c r="A92" s="1"/>
      <c r="B92" s="43" t="str">
        <f>IFERROR(__xludf.DUMMYFUNCTION("""COMPUTED_VALUE"""),"Oscar Bonilla")</f>
        <v>Oscar Bonilla</v>
      </c>
      <c r="C92" s="84">
        <f>IFERROR(__xludf.DUMMYFUNCTION("""COMPUTED_VALUE"""),20.0)</f>
        <v>20</v>
      </c>
      <c r="D92" s="84">
        <f t="shared" si="72"/>
        <v>60</v>
      </c>
      <c r="E92" s="84">
        <f t="shared" si="73"/>
        <v>40</v>
      </c>
      <c r="F92" s="84">
        <f t="shared" si="74"/>
        <v>18</v>
      </c>
      <c r="G92" s="84">
        <f t="shared" si="75"/>
        <v>8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IFERROR(__xludf.DUMMYFUNCTION("""COMPUTED_VALUE"""),"Jim Miao")</f>
        <v>Jim Miao</v>
      </c>
      <c r="C93" s="84">
        <f>IFERROR(__xludf.DUMMYFUNCTION("""COMPUTED_VALUE"""),19.0)</f>
        <v>19</v>
      </c>
      <c r="D93" s="84">
        <f t="shared" si="72"/>
        <v>46</v>
      </c>
      <c r="E93" s="84">
        <f t="shared" si="73"/>
        <v>27</v>
      </c>
      <c r="F93" s="84">
        <f t="shared" si="74"/>
        <v>19</v>
      </c>
      <c r="G93" s="84">
        <f t="shared" si="75"/>
        <v>6</v>
      </c>
      <c r="L93" s="84" t="str">
        <f t="shared" si="76"/>
        <v>ok</v>
      </c>
    </row>
    <row r="94">
      <c r="A94" s="1"/>
      <c r="B94" s="43" t="str">
        <f>IFERROR(__xludf.DUMMYFUNCTION("""COMPUTED_VALUE"""),"Joe Luzzi")</f>
        <v>Joe Luzzi</v>
      </c>
      <c r="C94" s="84">
        <f>IFERROR(__xludf.DUMMYFUNCTION("""COMPUTED_VALUE"""),17.0)</f>
        <v>17</v>
      </c>
      <c r="D94" s="84">
        <f t="shared" si="72"/>
        <v>33</v>
      </c>
      <c r="E94" s="84">
        <f t="shared" si="73"/>
        <v>16</v>
      </c>
      <c r="F94" s="84">
        <f t="shared" si="74"/>
        <v>17</v>
      </c>
      <c r="G94" s="84">
        <f t="shared" si="75"/>
        <v>4</v>
      </c>
      <c r="L94" s="84" t="str">
        <f t="shared" si="76"/>
        <v>ok</v>
      </c>
    </row>
    <row r="95">
      <c r="A95" s="1"/>
      <c r="B95" s="43" t="str">
        <f>IFERROR(__xludf.DUMMYFUNCTION("""COMPUTED_VALUE"""),"Mauricio Palacios")</f>
        <v>Mauricio Palacios</v>
      </c>
      <c r="C95" s="84">
        <f>IFERROR(__xludf.DUMMYFUNCTION("""COMPUTED_VALUE"""),11.0)</f>
        <v>11</v>
      </c>
      <c r="D95" s="84">
        <f t="shared" si="72"/>
        <v>18</v>
      </c>
      <c r="E95" s="84">
        <f t="shared" si="73"/>
        <v>7</v>
      </c>
      <c r="F95" s="84">
        <f t="shared" si="74"/>
        <v>18</v>
      </c>
      <c r="G95" s="84">
        <f t="shared" si="75"/>
        <v>2</v>
      </c>
      <c r="L95" s="84" t="str">
        <f t="shared" si="76"/>
        <v>ok</v>
      </c>
    </row>
    <row r="96">
      <c r="A96" s="1"/>
      <c r="B96" s="43" t="str">
        <f>IFERROR(__xludf.DUMMYFUNCTION("""COMPUTED_VALUE"""),"James Phan")</f>
        <v>James Phan</v>
      </c>
      <c r="C96" s="84">
        <f>IFERROR(__xludf.DUMMYFUNCTION("""COMPUTED_VALUE"""),9.0)</f>
        <v>9</v>
      </c>
      <c r="D96" s="84">
        <f t="shared" si="72"/>
        <v>26</v>
      </c>
      <c r="E96" s="84">
        <f t="shared" si="73"/>
        <v>17</v>
      </c>
      <c r="F96" s="84">
        <f t="shared" si="74"/>
        <v>14</v>
      </c>
      <c r="G96" s="84">
        <f t="shared" si="75"/>
        <v>11</v>
      </c>
      <c r="L96" s="84" t="str">
        <f t="shared" si="76"/>
        <v>ok</v>
      </c>
    </row>
    <row r="97">
      <c r="A97" s="1"/>
      <c r="B97" s="43" t="str">
        <f>IFERROR(__xludf.DUMMYFUNCTION("""COMPUTED_VALUE"""),"Erik Hoeckmann")</f>
        <v>Erik Hoeckmann</v>
      </c>
      <c r="C97" s="84">
        <f>IFERROR(__xludf.DUMMYFUNCTION("""COMPUTED_VALUE"""),9.0)</f>
        <v>9</v>
      </c>
      <c r="D97" s="84">
        <f t="shared" si="72"/>
        <v>34</v>
      </c>
      <c r="E97" s="84">
        <f t="shared" si="73"/>
        <v>25</v>
      </c>
      <c r="F97" s="84">
        <f t="shared" si="74"/>
        <v>15</v>
      </c>
      <c r="G97" s="84">
        <f t="shared" si="75"/>
        <v>4</v>
      </c>
      <c r="L97" s="84" t="str">
        <f t="shared" si="76"/>
        <v>ok</v>
      </c>
    </row>
    <row r="98">
      <c r="A98" s="1"/>
      <c r="B98" s="43" t="str">
        <f>IFERROR(__xludf.DUMMYFUNCTION("""COMPUTED_VALUE"""),"Pavan Akkimsetty")</f>
        <v>Pavan Akkimsetty</v>
      </c>
      <c r="C98" s="84">
        <f>IFERROR(__xludf.DUMMYFUNCTION("""COMPUTED_VALUE"""),8.0)</f>
        <v>8</v>
      </c>
      <c r="D98" s="84">
        <f t="shared" si="72"/>
        <v>11</v>
      </c>
      <c r="E98" s="84">
        <f t="shared" si="73"/>
        <v>3</v>
      </c>
      <c r="F98" s="84">
        <f t="shared" si="74"/>
        <v>18</v>
      </c>
      <c r="G98" s="84">
        <f t="shared" si="75"/>
        <v>1</v>
      </c>
      <c r="L98" s="84" t="str">
        <f t="shared" si="76"/>
        <v>ok</v>
      </c>
    </row>
    <row r="99">
      <c r="A99" s="1"/>
      <c r="B99" s="43" t="str">
        <f>IFERROR(__xludf.DUMMYFUNCTION("""COMPUTED_VALUE"""),"Lam Bui")</f>
        <v>Lam Bui</v>
      </c>
      <c r="C99" s="84">
        <f>IFERROR(__xludf.DUMMYFUNCTION("""COMPUTED_VALUE"""),8.0)</f>
        <v>8</v>
      </c>
      <c r="D99" s="84">
        <f t="shared" si="72"/>
        <v>23</v>
      </c>
      <c r="E99" s="84">
        <f t="shared" si="73"/>
        <v>15</v>
      </c>
      <c r="F99" s="84">
        <f t="shared" si="74"/>
        <v>14</v>
      </c>
      <c r="G99" s="84">
        <f t="shared" si="75"/>
        <v>11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10"")"),"Lloyd Sagar")</f>
        <v>Lloyd Sagar</v>
      </c>
      <c r="C103" s="84">
        <f>IFERROR(__xludf.DUMMYFUNCTION("""COMPUTED_VALUE"""),-17.0)</f>
        <v>-17</v>
      </c>
      <c r="D103" s="84">
        <f t="shared" ref="D103:D112" si="77">VLOOKUP(B103,indirect($AB$2&amp;"!B$5:w$70"),22, false)</f>
        <v>28</v>
      </c>
      <c r="E103" s="84">
        <f t="shared" ref="E103:E112" si="78">VLOOKUP(B103,B$5:W$69,22, false)</f>
        <v>45</v>
      </c>
      <c r="F103" s="84">
        <f t="shared" ref="F103:F112" si="79">VLOOKUP(B103,indirect($AB$2&amp;"!B$5:U$70"),11, false)</f>
        <v>4</v>
      </c>
      <c r="G103" s="84">
        <f t="shared" ref="G103:G112" si="80">VLOOKUP(B103,indirect($AB$2&amp;"!B$5:U$70"),6, false)</f>
        <v>11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IFERROR(__xludf.DUMMYFUNCTION("""COMPUTED_VALUE"""),"Ethan Gu")</f>
        <v>Ethan Gu</v>
      </c>
      <c r="C104" s="84">
        <f>IFERROR(__xludf.DUMMYFUNCTION("""COMPUTED_VALUE"""),-12.0)</f>
        <v>-12</v>
      </c>
      <c r="D104" s="84">
        <f t="shared" si="77"/>
        <v>19</v>
      </c>
      <c r="E104" s="84">
        <f t="shared" si="78"/>
        <v>31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IFERROR(__xludf.DUMMYFUNCTION("""COMPUTED_VALUE"""),"Rajesh Dorairaj")</f>
        <v>Rajesh Dorairaj</v>
      </c>
      <c r="C105" s="84">
        <f>IFERROR(__xludf.DUMMYFUNCTION("""COMPUTED_VALUE"""),-12.0)</f>
        <v>-12</v>
      </c>
      <c r="D105" s="84">
        <f t="shared" si="77"/>
        <v>53</v>
      </c>
      <c r="E105" s="84">
        <f t="shared" si="78"/>
        <v>64</v>
      </c>
      <c r="F105" s="84">
        <f t="shared" si="79"/>
        <v>1</v>
      </c>
      <c r="G105" s="84">
        <f t="shared" si="80"/>
        <v>7</v>
      </c>
      <c r="L105" s="84" t="str">
        <f t="shared" si="81"/>
        <v>Error</v>
      </c>
    </row>
    <row r="106">
      <c r="A106" s="1"/>
      <c r="B106" s="43" t="str">
        <f>IFERROR(__xludf.DUMMYFUNCTION("""COMPUTED_VALUE"""),"Matthew Huang")</f>
        <v>Matthew Huang</v>
      </c>
      <c r="C106" s="84">
        <f>IFERROR(__xludf.DUMMYFUNCTION("""COMPUTED_VALUE"""),-11.0)</f>
        <v>-11</v>
      </c>
      <c r="D106" s="84">
        <f t="shared" si="77"/>
        <v>22</v>
      </c>
      <c r="E106" s="84">
        <f t="shared" si="78"/>
        <v>33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IFERROR(__xludf.DUMMYFUNCTION("""COMPUTED_VALUE"""),"Wayne Liu")</f>
        <v>Wayne Liu</v>
      </c>
      <c r="C107" s="84">
        <f>IFERROR(__xludf.DUMMYFUNCTION("""COMPUTED_VALUE"""),-10.0)</f>
        <v>-10</v>
      </c>
      <c r="D107" s="84">
        <f t="shared" si="77"/>
        <v>13</v>
      </c>
      <c r="E107" s="84">
        <f t="shared" si="78"/>
        <v>23</v>
      </c>
      <c r="F107" s="84">
        <f t="shared" si="79"/>
        <v>8</v>
      </c>
      <c r="G107" s="84">
        <f t="shared" si="80"/>
        <v>1</v>
      </c>
      <c r="L107" s="84" t="str">
        <f t="shared" si="81"/>
        <v>ok</v>
      </c>
    </row>
    <row r="108">
      <c r="A108" s="1"/>
      <c r="B108" s="43" t="str">
        <f>IFERROR(__xludf.DUMMYFUNCTION("""COMPUTED_VALUE"""),"Scott Li")</f>
        <v>Scott Li</v>
      </c>
      <c r="C108" s="84">
        <f>IFERROR(__xludf.DUMMYFUNCTION("""COMPUTED_VALUE"""),-10.0)</f>
        <v>-10</v>
      </c>
      <c r="D108" s="84">
        <f t="shared" si="77"/>
        <v>16</v>
      </c>
      <c r="E108" s="84">
        <f t="shared" si="78"/>
        <v>26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IFERROR(__xludf.DUMMYFUNCTION("""COMPUTED_VALUE"""),"Susanta Mishra")</f>
        <v>Susanta Mishra</v>
      </c>
      <c r="C109" s="84">
        <f>IFERROR(__xludf.DUMMYFUNCTION("""COMPUTED_VALUE"""),-10.0)</f>
        <v>-10</v>
      </c>
      <c r="D109" s="84">
        <f t="shared" si="77"/>
        <v>24</v>
      </c>
      <c r="E109" s="84">
        <f t="shared" si="78"/>
        <v>34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IFERROR(__xludf.DUMMYFUNCTION("""COMPUTED_VALUE"""),"Leigh-Anh Nguyen")</f>
        <v>Leigh-Anh Nguyen</v>
      </c>
      <c r="C110" s="84">
        <f>IFERROR(__xludf.DUMMYFUNCTION("""COMPUTED_VALUE"""),-9.0)</f>
        <v>-9</v>
      </c>
      <c r="D110" s="84">
        <f t="shared" si="77"/>
        <v>10</v>
      </c>
      <c r="E110" s="84">
        <f t="shared" si="78"/>
        <v>19</v>
      </c>
      <c r="F110" s="84">
        <f t="shared" si="79"/>
        <v>9</v>
      </c>
      <c r="G110" s="84">
        <f t="shared" si="80"/>
        <v>10</v>
      </c>
      <c r="L110" s="84" t="str">
        <f t="shared" si="81"/>
        <v>ok</v>
      </c>
    </row>
    <row r="111">
      <c r="A111" s="1"/>
      <c r="B111" s="43" t="str">
        <f>IFERROR(__xludf.DUMMYFUNCTION("""COMPUTED_VALUE"""),"Tom Le")</f>
        <v>Tom Le</v>
      </c>
      <c r="C111" s="84">
        <f>IFERROR(__xludf.DUMMYFUNCTION("""COMPUTED_VALUE"""),-9.0)</f>
        <v>-9</v>
      </c>
      <c r="D111" s="84">
        <f t="shared" si="77"/>
        <v>12</v>
      </c>
      <c r="E111" s="84">
        <f t="shared" si="78"/>
        <v>21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IFERROR(__xludf.DUMMYFUNCTION("""COMPUTED_VALUE"""),"Suleman Alidina")</f>
        <v>Suleman Alidina</v>
      </c>
      <c r="C112" s="84">
        <f>IFERROR(__xludf.DUMMYFUNCTION("""COMPUTED_VALUE"""),-9.0)</f>
        <v>-9</v>
      </c>
      <c r="D112" s="84">
        <f t="shared" si="77"/>
        <v>27</v>
      </c>
      <c r="E112" s="84">
        <f t="shared" si="78"/>
        <v>36</v>
      </c>
      <c r="F112" s="84">
        <f t="shared" si="79"/>
        <v>9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104">
        <v>45682.0</v>
      </c>
      <c r="G1" s="8"/>
      <c r="H1" s="8"/>
      <c r="I1" s="8"/>
      <c r="L1" s="8"/>
      <c r="N1" s="8"/>
      <c r="V1" s="105"/>
    </row>
    <row r="2">
      <c r="A2" s="1"/>
      <c r="B2" s="12" t="s">
        <v>15</v>
      </c>
      <c r="D2" s="17">
        <v>4.0</v>
      </c>
      <c r="E2" s="1"/>
      <c r="F2" s="1"/>
      <c r="R2" s="19"/>
      <c r="AB2" s="20" t="str">
        <f>text(C1-7,"mm/dd/yy")</f>
        <v>01/18/25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95</v>
      </c>
      <c r="C5" s="31">
        <v>52.0</v>
      </c>
      <c r="D5" s="31">
        <v>6.0</v>
      </c>
      <c r="E5" s="36">
        <f t="shared" ref="E5:E69" si="2">if(($D$2-U5-S5)&lt;&gt;0,(C5-(U5*9)-(S5*13))/($D$2-U5-S5),0)</f>
        <v>13</v>
      </c>
      <c r="F5" s="102">
        <v>1.0</v>
      </c>
      <c r="G5" s="46">
        <v>9.0</v>
      </c>
      <c r="H5" s="47">
        <v>0.0</v>
      </c>
      <c r="I5" s="46">
        <v>1.0</v>
      </c>
      <c r="J5" s="46">
        <v>3.0</v>
      </c>
      <c r="K5" s="46">
        <v>6.0</v>
      </c>
      <c r="L5" s="103">
        <v>10.0</v>
      </c>
      <c r="M5" s="46">
        <v>1.0</v>
      </c>
      <c r="N5" s="31">
        <f t="shared" ref="N5:O5" si="1">C5+L5</f>
        <v>62</v>
      </c>
      <c r="O5" s="31">
        <f t="shared" si="1"/>
        <v>7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0</v>
      </c>
      <c r="T5" s="46"/>
      <c r="U5" s="46">
        <f t="shared" ref="U5:U69" si="5">if(H5=9,1,0)+VLOOKUP(B5,indirect($AB$2&amp;"!B:U"),20,false)</f>
        <v>0</v>
      </c>
      <c r="V5" s="46">
        <f t="shared" ref="V5:V69" si="6">VLOOKUP(B5,indirect($AB$2&amp;"!B$5:w$70"),22,false)-A5</f>
        <v>2</v>
      </c>
      <c r="W5" s="30">
        <v>1.0</v>
      </c>
    </row>
    <row r="6">
      <c r="A6" s="30">
        <f t="shared" ref="A6:A69" si="7">A5+1</f>
        <v>2</v>
      </c>
      <c r="B6" s="43" t="s">
        <v>87</v>
      </c>
      <c r="C6" s="47">
        <v>50.0</v>
      </c>
      <c r="D6" s="31">
        <v>5.0</v>
      </c>
      <c r="E6" s="36">
        <f t="shared" si="2"/>
        <v>12.5</v>
      </c>
      <c r="F6" s="102">
        <v>1.0</v>
      </c>
      <c r="G6" s="46">
        <v>9.0</v>
      </c>
      <c r="H6" s="47">
        <v>0.0</v>
      </c>
      <c r="I6" s="46">
        <v>1.0</v>
      </c>
      <c r="J6" s="46">
        <v>6.0</v>
      </c>
      <c r="K6" s="46">
        <v>1.0</v>
      </c>
      <c r="L6" s="103">
        <v>8.0</v>
      </c>
      <c r="M6" s="46">
        <v>1.0</v>
      </c>
      <c r="N6" s="47">
        <f t="shared" ref="N6:O6" si="3">C6+L6</f>
        <v>58</v>
      </c>
      <c r="O6" s="31">
        <f t="shared" si="3"/>
        <v>6</v>
      </c>
      <c r="P6" s="45" t="s">
        <v>58</v>
      </c>
      <c r="Q6" s="45" t="s">
        <v>58</v>
      </c>
      <c r="R6" s="45"/>
      <c r="S6" s="46">
        <f t="shared" si="4"/>
        <v>0</v>
      </c>
      <c r="T6" s="46"/>
      <c r="U6" s="46">
        <f t="shared" si="5"/>
        <v>0</v>
      </c>
      <c r="V6" s="46">
        <f t="shared" si="6"/>
        <v>0</v>
      </c>
      <c r="W6" s="30">
        <f t="shared" ref="W6:W68" si="9">W5+1</f>
        <v>2</v>
      </c>
    </row>
    <row r="7">
      <c r="A7" s="30">
        <f t="shared" si="7"/>
        <v>3</v>
      </c>
      <c r="B7" s="28" t="s">
        <v>117</v>
      </c>
      <c r="C7" s="31">
        <v>48.0</v>
      </c>
      <c r="D7" s="31">
        <v>5.0</v>
      </c>
      <c r="E7" s="36">
        <f t="shared" si="2"/>
        <v>11.66666667</v>
      </c>
      <c r="F7" s="102">
        <v>2.0</v>
      </c>
      <c r="G7" s="46">
        <v>9.0</v>
      </c>
      <c r="H7" s="47">
        <v>0.0</v>
      </c>
      <c r="I7" s="46">
        <v>6.0</v>
      </c>
      <c r="J7" s="46">
        <v>6.0</v>
      </c>
      <c r="K7" s="46">
        <v>6.0</v>
      </c>
      <c r="L7" s="103">
        <v>18.0</v>
      </c>
      <c r="M7" s="46">
        <v>3.0</v>
      </c>
      <c r="N7" s="31">
        <f t="shared" ref="N7:O7" si="8">C7+L7</f>
        <v>66</v>
      </c>
      <c r="O7" s="31">
        <f t="shared" si="8"/>
        <v>8</v>
      </c>
      <c r="P7" s="45" t="s">
        <v>58</v>
      </c>
      <c r="Q7" s="45" t="s">
        <v>58</v>
      </c>
      <c r="R7" s="45"/>
      <c r="S7" s="46">
        <f t="shared" si="4"/>
        <v>1</v>
      </c>
      <c r="T7" s="46"/>
      <c r="U7" s="46">
        <f t="shared" si="5"/>
        <v>0</v>
      </c>
      <c r="V7" s="46">
        <f t="shared" si="6"/>
        <v>14</v>
      </c>
      <c r="W7" s="30">
        <f t="shared" si="9"/>
        <v>3</v>
      </c>
    </row>
    <row r="8">
      <c r="A8" s="30">
        <f t="shared" si="7"/>
        <v>4</v>
      </c>
      <c r="B8" s="28" t="s">
        <v>45</v>
      </c>
      <c r="C8" s="31">
        <v>48.0</v>
      </c>
      <c r="D8" s="31">
        <v>4.0</v>
      </c>
      <c r="E8" s="36">
        <f t="shared" si="2"/>
        <v>11.66666667</v>
      </c>
      <c r="F8" s="102">
        <v>1.0</v>
      </c>
      <c r="G8" s="46">
        <v>9.0</v>
      </c>
      <c r="H8" s="47">
        <v>0.0</v>
      </c>
      <c r="I8" s="46">
        <v>6.0</v>
      </c>
      <c r="J8" s="46">
        <v>3.0</v>
      </c>
      <c r="K8" s="46">
        <v>1.0</v>
      </c>
      <c r="L8" s="103">
        <v>10.0</v>
      </c>
      <c r="M8" s="46">
        <v>1.0</v>
      </c>
      <c r="N8" s="31">
        <f t="shared" ref="N8:O8" si="10">C8+L8</f>
        <v>58</v>
      </c>
      <c r="O8" s="31">
        <f t="shared" si="10"/>
        <v>5</v>
      </c>
      <c r="P8" s="45" t="s">
        <v>58</v>
      </c>
      <c r="Q8" s="45" t="s">
        <v>58</v>
      </c>
      <c r="R8" s="45"/>
      <c r="S8" s="46">
        <f t="shared" si="4"/>
        <v>1</v>
      </c>
      <c r="T8" s="46"/>
      <c r="U8" s="46">
        <f t="shared" si="5"/>
        <v>0</v>
      </c>
      <c r="V8" s="46">
        <f t="shared" si="6"/>
        <v>7</v>
      </c>
      <c r="W8" s="30">
        <f t="shared" si="9"/>
        <v>4</v>
      </c>
    </row>
    <row r="9">
      <c r="A9" s="30">
        <f t="shared" si="7"/>
        <v>5</v>
      </c>
      <c r="B9" s="28" t="s">
        <v>44</v>
      </c>
      <c r="C9" s="31">
        <v>47.0</v>
      </c>
      <c r="D9" s="31">
        <v>6.0</v>
      </c>
      <c r="E9" s="36">
        <f t="shared" si="2"/>
        <v>14.5</v>
      </c>
      <c r="F9" s="102">
        <v>3.0</v>
      </c>
      <c r="G9" s="46">
        <v>0.0</v>
      </c>
      <c r="H9" s="47">
        <v>9.0</v>
      </c>
      <c r="I9" s="46">
        <v>0.0</v>
      </c>
      <c r="J9" s="46">
        <v>0.0</v>
      </c>
      <c r="K9" s="46">
        <v>0.0</v>
      </c>
      <c r="L9" s="103">
        <v>9.0</v>
      </c>
      <c r="M9" s="46">
        <v>0.0</v>
      </c>
      <c r="N9" s="31">
        <f t="shared" ref="N9:O9" si="11">C9+L9</f>
        <v>56</v>
      </c>
      <c r="O9" s="31">
        <f t="shared" si="11"/>
        <v>6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2</v>
      </c>
      <c r="V9" s="46">
        <f t="shared" si="6"/>
        <v>-4</v>
      </c>
      <c r="W9" s="30">
        <f t="shared" si="9"/>
        <v>5</v>
      </c>
    </row>
    <row r="10">
      <c r="A10" s="30">
        <f t="shared" si="7"/>
        <v>6</v>
      </c>
      <c r="B10" s="28" t="s">
        <v>92</v>
      </c>
      <c r="C10" s="31">
        <v>46.0</v>
      </c>
      <c r="D10" s="31">
        <v>6.0</v>
      </c>
      <c r="E10" s="36">
        <f t="shared" si="2"/>
        <v>11.5</v>
      </c>
      <c r="F10" s="102">
        <v>1.0</v>
      </c>
      <c r="G10" s="46">
        <v>10.0</v>
      </c>
      <c r="H10" s="47">
        <v>0.0</v>
      </c>
      <c r="I10" s="46">
        <v>7.0</v>
      </c>
      <c r="J10" s="46">
        <v>1.0</v>
      </c>
      <c r="K10" s="46">
        <v>6.0</v>
      </c>
      <c r="L10" s="103">
        <v>14.0</v>
      </c>
      <c r="M10" s="46">
        <v>2.0</v>
      </c>
      <c r="N10" s="31">
        <f t="shared" ref="N10:O10" si="12">C10+L10</f>
        <v>60</v>
      </c>
      <c r="O10" s="31">
        <f t="shared" si="12"/>
        <v>8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0</v>
      </c>
      <c r="V10" s="46">
        <f t="shared" si="6"/>
        <v>14</v>
      </c>
      <c r="W10" s="30">
        <f t="shared" si="9"/>
        <v>6</v>
      </c>
    </row>
    <row r="11">
      <c r="A11" s="30">
        <f t="shared" si="7"/>
        <v>7</v>
      </c>
      <c r="B11" s="28" t="s">
        <v>101</v>
      </c>
      <c r="C11" s="31">
        <v>46.0</v>
      </c>
      <c r="D11" s="31">
        <v>5.0</v>
      </c>
      <c r="E11" s="36">
        <f t="shared" si="2"/>
        <v>11</v>
      </c>
      <c r="F11" s="102">
        <v>1.0</v>
      </c>
      <c r="G11" s="46">
        <v>10.0</v>
      </c>
      <c r="H11" s="47">
        <v>0.0</v>
      </c>
      <c r="I11" s="46">
        <v>7.0</v>
      </c>
      <c r="J11" s="46">
        <v>6.0</v>
      </c>
      <c r="K11" s="46">
        <v>2.0</v>
      </c>
      <c r="L11" s="103">
        <v>15.0</v>
      </c>
      <c r="M11" s="46">
        <v>2.0</v>
      </c>
      <c r="N11" s="31">
        <f t="shared" ref="N11:O11" si="13">C11+L11</f>
        <v>61</v>
      </c>
      <c r="O11" s="31">
        <f t="shared" si="13"/>
        <v>7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0</v>
      </c>
      <c r="V11" s="46">
        <f t="shared" si="6"/>
        <v>3</v>
      </c>
      <c r="W11" s="30">
        <f t="shared" si="9"/>
        <v>7</v>
      </c>
    </row>
    <row r="12">
      <c r="A12" s="30">
        <f t="shared" si="7"/>
        <v>8</v>
      </c>
      <c r="B12" s="43" t="s">
        <v>88</v>
      </c>
      <c r="C12" s="47">
        <v>46.0</v>
      </c>
      <c r="D12" s="31">
        <v>4.0</v>
      </c>
      <c r="E12" s="36">
        <f t="shared" si="2"/>
        <v>11.5</v>
      </c>
      <c r="F12" s="102">
        <v>1.0</v>
      </c>
      <c r="G12" s="46">
        <v>10.0</v>
      </c>
      <c r="H12" s="47">
        <v>0.0</v>
      </c>
      <c r="I12" s="46">
        <v>6.0</v>
      </c>
      <c r="J12" s="46">
        <v>6.0</v>
      </c>
      <c r="K12" s="46">
        <v>6.0</v>
      </c>
      <c r="L12" s="103">
        <v>18.0</v>
      </c>
      <c r="M12" s="46">
        <v>2.0</v>
      </c>
      <c r="N12" s="47">
        <f t="shared" ref="N12:O12" si="14">C12+L12</f>
        <v>64</v>
      </c>
      <c r="O12" s="31">
        <f t="shared" si="14"/>
        <v>6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0</v>
      </c>
      <c r="V12" s="46">
        <f t="shared" si="6"/>
        <v>18</v>
      </c>
      <c r="W12" s="30">
        <f t="shared" si="9"/>
        <v>8</v>
      </c>
    </row>
    <row r="13">
      <c r="A13" s="30">
        <f t="shared" si="7"/>
        <v>9</v>
      </c>
      <c r="B13" s="28" t="s">
        <v>137</v>
      </c>
      <c r="C13" s="31">
        <v>45.0</v>
      </c>
      <c r="D13" s="31">
        <v>5.0</v>
      </c>
      <c r="E13" s="36">
        <f t="shared" si="2"/>
        <v>10.66666667</v>
      </c>
      <c r="F13" s="102">
        <v>5.0</v>
      </c>
      <c r="G13" s="46">
        <v>0.0</v>
      </c>
      <c r="H13" s="47">
        <v>13.0</v>
      </c>
      <c r="I13" s="46">
        <v>0.0</v>
      </c>
      <c r="J13" s="46">
        <v>0.0</v>
      </c>
      <c r="K13" s="46">
        <v>0.0</v>
      </c>
      <c r="L13" s="103">
        <v>13.0</v>
      </c>
      <c r="M13" s="46">
        <v>0.0</v>
      </c>
      <c r="N13" s="31">
        <f t="shared" ref="N13:O13" si="15">C13+L13</f>
        <v>58</v>
      </c>
      <c r="O13" s="31">
        <f t="shared" si="15"/>
        <v>5</v>
      </c>
      <c r="P13" s="45" t="s">
        <v>58</v>
      </c>
      <c r="Q13" s="45" t="s">
        <v>58</v>
      </c>
      <c r="R13" s="45"/>
      <c r="S13" s="46">
        <f t="shared" si="4"/>
        <v>1</v>
      </c>
      <c r="T13" s="46"/>
      <c r="U13" s="46">
        <f t="shared" si="5"/>
        <v>0</v>
      </c>
      <c r="V13" s="46">
        <f t="shared" si="6"/>
        <v>4</v>
      </c>
      <c r="W13" s="30">
        <f t="shared" si="9"/>
        <v>9</v>
      </c>
    </row>
    <row r="14">
      <c r="A14" s="30">
        <f t="shared" si="7"/>
        <v>10</v>
      </c>
      <c r="B14" s="43" t="s">
        <v>79</v>
      </c>
      <c r="C14" s="31">
        <v>45.0</v>
      </c>
      <c r="D14" s="31">
        <v>4.0</v>
      </c>
      <c r="E14" s="36">
        <f t="shared" si="2"/>
        <v>11.25</v>
      </c>
      <c r="F14" s="102">
        <v>1.0</v>
      </c>
      <c r="G14" s="46">
        <v>10.0</v>
      </c>
      <c r="H14" s="47">
        <v>0.0</v>
      </c>
      <c r="I14" s="46">
        <v>6.0</v>
      </c>
      <c r="J14" s="46">
        <v>1.0</v>
      </c>
      <c r="K14" s="46">
        <v>2.0</v>
      </c>
      <c r="L14" s="103">
        <v>9.0</v>
      </c>
      <c r="M14" s="46">
        <v>0.0</v>
      </c>
      <c r="N14" s="31">
        <f t="shared" ref="N14:O14" si="16">C14+L14</f>
        <v>54</v>
      </c>
      <c r="O14" s="31">
        <f t="shared" si="16"/>
        <v>4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0</v>
      </c>
      <c r="V14" s="46">
        <f t="shared" si="6"/>
        <v>-2</v>
      </c>
      <c r="W14" s="30">
        <f t="shared" si="9"/>
        <v>10</v>
      </c>
    </row>
    <row r="15">
      <c r="A15" s="30">
        <f t="shared" si="7"/>
        <v>11</v>
      </c>
      <c r="B15" s="28" t="s">
        <v>74</v>
      </c>
      <c r="C15" s="31">
        <v>44.0</v>
      </c>
      <c r="D15" s="31">
        <v>6.0</v>
      </c>
      <c r="E15" s="36">
        <f t="shared" si="2"/>
        <v>11</v>
      </c>
      <c r="F15" s="102">
        <v>1.0</v>
      </c>
      <c r="G15" s="46">
        <v>1.0</v>
      </c>
      <c r="H15" s="47">
        <v>0.0</v>
      </c>
      <c r="I15" s="46">
        <v>6.0</v>
      </c>
      <c r="J15" s="46">
        <v>6.0</v>
      </c>
      <c r="K15" s="46">
        <v>6.0</v>
      </c>
      <c r="L15" s="103">
        <v>18.0</v>
      </c>
      <c r="M15" s="46">
        <v>3.0</v>
      </c>
      <c r="N15" s="31">
        <f t="shared" ref="N15:O15" si="17">C15+L15</f>
        <v>62</v>
      </c>
      <c r="O15" s="31">
        <f t="shared" si="17"/>
        <v>9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0</v>
      </c>
      <c r="V15" s="46">
        <f t="shared" si="6"/>
        <v>16</v>
      </c>
      <c r="W15" s="30">
        <f t="shared" si="9"/>
        <v>11</v>
      </c>
    </row>
    <row r="16">
      <c r="A16" s="30">
        <f t="shared" si="7"/>
        <v>12</v>
      </c>
      <c r="B16" s="28" t="s">
        <v>120</v>
      </c>
      <c r="C16" s="31">
        <v>44.0</v>
      </c>
      <c r="D16" s="31">
        <v>5.0</v>
      </c>
      <c r="E16" s="36">
        <f t="shared" si="2"/>
        <v>11</v>
      </c>
      <c r="F16" s="102">
        <v>3.0</v>
      </c>
      <c r="G16" s="46">
        <v>0.0</v>
      </c>
      <c r="H16" s="47">
        <v>9.0</v>
      </c>
      <c r="I16" s="46">
        <v>0.0</v>
      </c>
      <c r="J16" s="46">
        <v>0.0</v>
      </c>
      <c r="K16" s="46">
        <v>0.0</v>
      </c>
      <c r="L16" s="103">
        <v>9.0</v>
      </c>
      <c r="M16" s="46">
        <v>0.0</v>
      </c>
      <c r="N16" s="31">
        <f t="shared" ref="N16:O16" si="18">C16+L16</f>
        <v>53</v>
      </c>
      <c r="O16" s="31">
        <f t="shared" si="18"/>
        <v>5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1</v>
      </c>
      <c r="V16" s="46">
        <f t="shared" si="6"/>
        <v>17</v>
      </c>
      <c r="W16" s="30">
        <f t="shared" si="9"/>
        <v>12</v>
      </c>
    </row>
    <row r="17">
      <c r="A17" s="30">
        <f t="shared" si="7"/>
        <v>13</v>
      </c>
      <c r="B17" s="43" t="s">
        <v>132</v>
      </c>
      <c r="C17" s="31">
        <v>44.0</v>
      </c>
      <c r="D17" s="31">
        <v>5.0</v>
      </c>
      <c r="E17" s="36">
        <f t="shared" si="2"/>
        <v>11</v>
      </c>
      <c r="F17" s="102">
        <v>1.0</v>
      </c>
      <c r="G17" s="46">
        <v>1.0</v>
      </c>
      <c r="H17" s="47">
        <v>0.0</v>
      </c>
      <c r="I17" s="46">
        <v>2.0</v>
      </c>
      <c r="J17" s="46">
        <v>6.0</v>
      </c>
      <c r="K17" s="46">
        <v>0.0</v>
      </c>
      <c r="L17" s="103">
        <v>8.0</v>
      </c>
      <c r="M17" s="46">
        <v>1.0</v>
      </c>
      <c r="N17" s="31">
        <f t="shared" ref="N17:O17" si="19">C17+L17</f>
        <v>52</v>
      </c>
      <c r="O17" s="31">
        <f t="shared" si="19"/>
        <v>6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-4</v>
      </c>
      <c r="W17" s="30">
        <f t="shared" si="9"/>
        <v>13</v>
      </c>
    </row>
    <row r="18">
      <c r="A18" s="30">
        <f t="shared" si="7"/>
        <v>14</v>
      </c>
      <c r="B18" s="43" t="s">
        <v>90</v>
      </c>
      <c r="C18" s="31">
        <v>44.0</v>
      </c>
      <c r="D18" s="31">
        <v>3.0</v>
      </c>
      <c r="E18" s="36">
        <f t="shared" si="2"/>
        <v>9</v>
      </c>
      <c r="F18" s="102">
        <v>2.0</v>
      </c>
      <c r="G18" s="46">
        <v>1.0</v>
      </c>
      <c r="H18" s="47">
        <v>0.0</v>
      </c>
      <c r="I18" s="46">
        <v>6.0</v>
      </c>
      <c r="J18" s="46">
        <v>4.0</v>
      </c>
      <c r="K18" s="46">
        <v>0.0</v>
      </c>
      <c r="L18" s="103">
        <v>10.0</v>
      </c>
      <c r="M18" s="46">
        <v>1.0</v>
      </c>
      <c r="N18" s="31">
        <f t="shared" ref="N18:O18" si="20">C18+L18</f>
        <v>54</v>
      </c>
      <c r="O18" s="31">
        <f t="shared" si="20"/>
        <v>4</v>
      </c>
      <c r="P18" s="45" t="s">
        <v>58</v>
      </c>
      <c r="Q18" s="45" t="s">
        <v>58</v>
      </c>
      <c r="R18" s="45"/>
      <c r="S18" s="46">
        <f t="shared" si="4"/>
        <v>2</v>
      </c>
      <c r="T18" s="46"/>
      <c r="U18" s="46">
        <f t="shared" si="5"/>
        <v>0</v>
      </c>
      <c r="V18" s="46">
        <f t="shared" si="6"/>
        <v>21</v>
      </c>
      <c r="W18" s="30">
        <f t="shared" si="9"/>
        <v>14</v>
      </c>
    </row>
    <row r="19">
      <c r="A19" s="30">
        <f t="shared" si="7"/>
        <v>15</v>
      </c>
      <c r="B19" s="43" t="s">
        <v>129</v>
      </c>
      <c r="C19" s="47">
        <v>42.0</v>
      </c>
      <c r="D19" s="31">
        <v>5.0</v>
      </c>
      <c r="E19" s="36">
        <f t="shared" si="2"/>
        <v>10.5</v>
      </c>
      <c r="F19" s="102">
        <v>1.0</v>
      </c>
      <c r="G19" s="46">
        <v>1.0</v>
      </c>
      <c r="H19" s="47">
        <v>0.0</v>
      </c>
      <c r="I19" s="46">
        <v>2.0</v>
      </c>
      <c r="J19" s="46">
        <v>4.0</v>
      </c>
      <c r="K19" s="46">
        <v>6.0</v>
      </c>
      <c r="L19" s="103">
        <v>12.0</v>
      </c>
      <c r="M19" s="46">
        <v>1.0</v>
      </c>
      <c r="N19" s="47">
        <f t="shared" ref="N19:O19" si="21">C19+L19</f>
        <v>54</v>
      </c>
      <c r="O19" s="31">
        <f t="shared" si="21"/>
        <v>6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0</v>
      </c>
      <c r="V19" s="46">
        <f t="shared" si="6"/>
        <v>6</v>
      </c>
      <c r="W19" s="30">
        <f t="shared" si="9"/>
        <v>15</v>
      </c>
    </row>
    <row r="20">
      <c r="A20" s="30">
        <f t="shared" si="7"/>
        <v>16</v>
      </c>
      <c r="B20" s="48" t="s">
        <v>82</v>
      </c>
      <c r="C20" s="31">
        <v>42.0</v>
      </c>
      <c r="D20" s="31">
        <v>5.0</v>
      </c>
      <c r="E20" s="36">
        <f t="shared" si="2"/>
        <v>11</v>
      </c>
      <c r="F20" s="102">
        <v>3.0</v>
      </c>
      <c r="G20" s="46">
        <v>0.0</v>
      </c>
      <c r="H20" s="47">
        <v>9.0</v>
      </c>
      <c r="I20" s="46">
        <v>0.0</v>
      </c>
      <c r="J20" s="46">
        <v>0.0</v>
      </c>
      <c r="K20" s="46">
        <v>0.0</v>
      </c>
      <c r="L20" s="103">
        <v>9.0</v>
      </c>
      <c r="M20" s="46">
        <v>0.0</v>
      </c>
      <c r="N20" s="31">
        <f t="shared" ref="N20:O20" si="22">C20+L20</f>
        <v>51</v>
      </c>
      <c r="O20" s="31">
        <f t="shared" si="22"/>
        <v>5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1</v>
      </c>
      <c r="V20" s="46">
        <f t="shared" si="6"/>
        <v>8</v>
      </c>
      <c r="W20" s="30">
        <f t="shared" si="9"/>
        <v>16</v>
      </c>
    </row>
    <row r="21">
      <c r="A21" s="30">
        <f t="shared" si="7"/>
        <v>17</v>
      </c>
      <c r="B21" s="43" t="s">
        <v>56</v>
      </c>
      <c r="C21" s="31">
        <v>41.0</v>
      </c>
      <c r="D21" s="31">
        <v>5.0</v>
      </c>
      <c r="E21" s="36">
        <f t="shared" si="2"/>
        <v>10.25</v>
      </c>
      <c r="F21" s="102">
        <v>1.0</v>
      </c>
      <c r="G21" s="46">
        <v>2.0</v>
      </c>
      <c r="H21" s="47">
        <v>0.0</v>
      </c>
      <c r="I21" s="46">
        <v>6.0</v>
      </c>
      <c r="J21" s="46">
        <v>4.0</v>
      </c>
      <c r="K21" s="46">
        <v>2.0</v>
      </c>
      <c r="L21" s="103">
        <v>12.0</v>
      </c>
      <c r="M21" s="46">
        <v>1.0</v>
      </c>
      <c r="N21" s="31">
        <f t="shared" ref="N21:O21" si="23">C21+L21</f>
        <v>53</v>
      </c>
      <c r="O21" s="31">
        <f t="shared" si="23"/>
        <v>6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0</v>
      </c>
      <c r="V21" s="46">
        <f t="shared" si="6"/>
        <v>8</v>
      </c>
      <c r="W21" s="30">
        <f t="shared" si="9"/>
        <v>17</v>
      </c>
    </row>
    <row r="22">
      <c r="A22" s="30">
        <f t="shared" si="7"/>
        <v>18</v>
      </c>
      <c r="B22" s="28" t="s">
        <v>98</v>
      </c>
      <c r="C22" s="31">
        <v>41.0</v>
      </c>
      <c r="D22" s="31">
        <v>4.0</v>
      </c>
      <c r="E22" s="36">
        <f t="shared" si="2"/>
        <v>10.66666667</v>
      </c>
      <c r="F22" s="102">
        <v>2.0</v>
      </c>
      <c r="G22" s="46">
        <v>2.0</v>
      </c>
      <c r="H22" s="47">
        <v>0.0</v>
      </c>
      <c r="I22" s="46">
        <v>6.0</v>
      </c>
      <c r="J22" s="46">
        <v>6.0</v>
      </c>
      <c r="K22" s="46">
        <v>6.0</v>
      </c>
      <c r="L22" s="103">
        <v>18.0</v>
      </c>
      <c r="M22" s="46">
        <v>3.0</v>
      </c>
      <c r="N22" s="31">
        <f t="shared" ref="N22:O22" si="24">C22+L22</f>
        <v>59</v>
      </c>
      <c r="O22" s="31">
        <f t="shared" si="24"/>
        <v>7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1</v>
      </c>
      <c r="V22" s="46">
        <f t="shared" si="6"/>
        <v>-14</v>
      </c>
      <c r="W22" s="30">
        <f t="shared" si="9"/>
        <v>18</v>
      </c>
    </row>
    <row r="23">
      <c r="A23" s="30">
        <f t="shared" si="7"/>
        <v>19</v>
      </c>
      <c r="B23" s="43" t="s">
        <v>64</v>
      </c>
      <c r="C23" s="47">
        <v>41.0</v>
      </c>
      <c r="D23" s="31">
        <v>4.0</v>
      </c>
      <c r="E23" s="36">
        <f t="shared" si="2"/>
        <v>11.5</v>
      </c>
      <c r="F23" s="102">
        <v>3.0</v>
      </c>
      <c r="G23" s="46">
        <v>0.0</v>
      </c>
      <c r="H23" s="47">
        <v>9.0</v>
      </c>
      <c r="I23" s="46">
        <v>0.0</v>
      </c>
      <c r="J23" s="46">
        <v>0.0</v>
      </c>
      <c r="K23" s="46">
        <v>0.0</v>
      </c>
      <c r="L23" s="103">
        <v>9.0</v>
      </c>
      <c r="M23" s="46">
        <v>0.0</v>
      </c>
      <c r="N23" s="47">
        <f t="shared" ref="N23:O23" si="25">C23+L23</f>
        <v>50</v>
      </c>
      <c r="O23" s="31">
        <f t="shared" si="25"/>
        <v>4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2</v>
      </c>
      <c r="V23" s="46">
        <f t="shared" si="6"/>
        <v>-14</v>
      </c>
      <c r="W23" s="30">
        <f t="shared" si="9"/>
        <v>19</v>
      </c>
    </row>
    <row r="24">
      <c r="A24" s="30">
        <f t="shared" si="7"/>
        <v>20</v>
      </c>
      <c r="B24" s="43" t="s">
        <v>94</v>
      </c>
      <c r="C24" s="31">
        <v>41.0</v>
      </c>
      <c r="D24" s="31">
        <v>3.0</v>
      </c>
      <c r="E24" s="36">
        <f t="shared" si="2"/>
        <v>9.5</v>
      </c>
      <c r="F24" s="102">
        <v>1.0</v>
      </c>
      <c r="G24" s="46">
        <v>2.0</v>
      </c>
      <c r="H24" s="47">
        <v>0.0</v>
      </c>
      <c r="I24" s="46">
        <v>2.0</v>
      </c>
      <c r="J24" s="46">
        <v>4.0</v>
      </c>
      <c r="K24" s="46">
        <v>6.0</v>
      </c>
      <c r="L24" s="103">
        <v>12.0</v>
      </c>
      <c r="M24" s="46">
        <v>1.0</v>
      </c>
      <c r="N24" s="31">
        <f t="shared" ref="N24:O24" si="26">C24+L24</f>
        <v>53</v>
      </c>
      <c r="O24" s="31">
        <f t="shared" si="26"/>
        <v>4</v>
      </c>
      <c r="P24" s="45" t="s">
        <v>58</v>
      </c>
      <c r="Q24" s="45" t="s">
        <v>58</v>
      </c>
      <c r="R24" s="45"/>
      <c r="S24" s="46">
        <f t="shared" si="4"/>
        <v>1</v>
      </c>
      <c r="T24" s="46"/>
      <c r="U24" s="46">
        <f t="shared" si="5"/>
        <v>1</v>
      </c>
      <c r="V24" s="46">
        <f t="shared" si="6"/>
        <v>-14</v>
      </c>
      <c r="W24" s="30">
        <f t="shared" si="9"/>
        <v>20</v>
      </c>
    </row>
    <row r="25">
      <c r="A25" s="30">
        <f t="shared" si="7"/>
        <v>21</v>
      </c>
      <c r="B25" s="28" t="s">
        <v>89</v>
      </c>
      <c r="C25" s="31">
        <v>41.0</v>
      </c>
      <c r="D25" s="31">
        <v>3.0</v>
      </c>
      <c r="E25" s="36">
        <f t="shared" si="2"/>
        <v>9.5</v>
      </c>
      <c r="F25" s="102">
        <v>1.0</v>
      </c>
      <c r="G25" s="46">
        <v>2.0</v>
      </c>
      <c r="H25" s="47">
        <v>0.0</v>
      </c>
      <c r="I25" s="46">
        <v>2.0</v>
      </c>
      <c r="J25" s="46">
        <v>6.0</v>
      </c>
      <c r="K25" s="46">
        <v>2.0</v>
      </c>
      <c r="L25" s="103">
        <v>10.0</v>
      </c>
      <c r="M25" s="46">
        <v>1.0</v>
      </c>
      <c r="N25" s="31">
        <f t="shared" ref="N25:O25" si="27">C25+L25</f>
        <v>51</v>
      </c>
      <c r="O25" s="31">
        <f t="shared" si="27"/>
        <v>4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1</v>
      </c>
      <c r="V25" s="46">
        <f t="shared" si="6"/>
        <v>-14</v>
      </c>
      <c r="W25" s="30">
        <f t="shared" si="9"/>
        <v>21</v>
      </c>
    </row>
    <row r="26">
      <c r="A26" s="30">
        <f t="shared" si="7"/>
        <v>22</v>
      </c>
      <c r="B26" s="28" t="s">
        <v>127</v>
      </c>
      <c r="C26" s="31">
        <v>41.0</v>
      </c>
      <c r="D26" s="31">
        <v>2.0</v>
      </c>
      <c r="E26" s="36">
        <f t="shared" si="2"/>
        <v>10</v>
      </c>
      <c r="F26" s="102">
        <v>3.0</v>
      </c>
      <c r="G26" s="46">
        <v>0.0</v>
      </c>
      <c r="H26" s="47">
        <v>9.0</v>
      </c>
      <c r="I26" s="46">
        <v>0.0</v>
      </c>
      <c r="J26" s="46">
        <v>0.0</v>
      </c>
      <c r="K26" s="46">
        <v>0.0</v>
      </c>
      <c r="L26" s="103">
        <v>9.0</v>
      </c>
      <c r="M26" s="46">
        <v>0.0</v>
      </c>
      <c r="N26" s="31">
        <f t="shared" ref="N26:O26" si="28">C26+L26</f>
        <v>50</v>
      </c>
      <c r="O26" s="31">
        <f t="shared" si="28"/>
        <v>2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2</v>
      </c>
      <c r="V26" s="46">
        <f t="shared" si="6"/>
        <v>23</v>
      </c>
      <c r="W26" s="30">
        <f t="shared" si="9"/>
        <v>22</v>
      </c>
    </row>
    <row r="27">
      <c r="A27" s="30">
        <f t="shared" si="7"/>
        <v>23</v>
      </c>
      <c r="B27" s="28" t="s">
        <v>116</v>
      </c>
      <c r="C27" s="31">
        <v>40.0</v>
      </c>
      <c r="D27" s="31">
        <v>3.0</v>
      </c>
      <c r="E27" s="36">
        <f t="shared" si="2"/>
        <v>9</v>
      </c>
      <c r="F27" s="102">
        <v>1.0</v>
      </c>
      <c r="G27" s="46">
        <v>11.0</v>
      </c>
      <c r="H27" s="47">
        <v>0.0</v>
      </c>
      <c r="I27" s="46">
        <v>6.0</v>
      </c>
      <c r="J27" s="46">
        <v>2.0</v>
      </c>
      <c r="K27" s="46">
        <v>6.0</v>
      </c>
      <c r="L27" s="103">
        <v>14.0</v>
      </c>
      <c r="M27" s="46">
        <v>2.0</v>
      </c>
      <c r="N27" s="31">
        <f t="shared" ref="N27:O27" si="29">C27+L27</f>
        <v>54</v>
      </c>
      <c r="O27" s="31">
        <f t="shared" si="29"/>
        <v>5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0</v>
      </c>
      <c r="V27" s="46">
        <f t="shared" si="6"/>
        <v>-5</v>
      </c>
      <c r="W27" s="30">
        <f t="shared" si="9"/>
        <v>23</v>
      </c>
    </row>
    <row r="28">
      <c r="A28" s="30">
        <f t="shared" si="7"/>
        <v>24</v>
      </c>
      <c r="B28" s="28" t="s">
        <v>67</v>
      </c>
      <c r="C28" s="31">
        <v>40.0</v>
      </c>
      <c r="D28" s="31">
        <v>3.0</v>
      </c>
      <c r="E28" s="36">
        <f t="shared" si="2"/>
        <v>9</v>
      </c>
      <c r="F28" s="102">
        <v>3.0</v>
      </c>
      <c r="G28" s="46">
        <v>0.0</v>
      </c>
      <c r="H28" s="47">
        <v>9.0</v>
      </c>
      <c r="I28" s="46">
        <v>0.0</v>
      </c>
      <c r="J28" s="46">
        <v>0.0</v>
      </c>
      <c r="K28" s="46">
        <v>0.0</v>
      </c>
      <c r="L28" s="103">
        <v>9.0</v>
      </c>
      <c r="M28" s="46">
        <v>0.0</v>
      </c>
      <c r="N28" s="31">
        <f t="shared" ref="N28:O28" si="30">C28+L28</f>
        <v>49</v>
      </c>
      <c r="O28" s="31">
        <f t="shared" si="30"/>
        <v>3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2</v>
      </c>
      <c r="V28" s="46">
        <f t="shared" si="6"/>
        <v>23</v>
      </c>
      <c r="W28" s="30">
        <f t="shared" si="9"/>
        <v>24</v>
      </c>
    </row>
    <row r="29">
      <c r="A29" s="30">
        <f t="shared" si="7"/>
        <v>25</v>
      </c>
      <c r="B29" s="28" t="s">
        <v>97</v>
      </c>
      <c r="C29" s="31">
        <v>40.0</v>
      </c>
      <c r="D29" s="31">
        <v>2.0</v>
      </c>
      <c r="E29" s="36">
        <f t="shared" si="2"/>
        <v>9</v>
      </c>
      <c r="F29" s="102">
        <v>2.0</v>
      </c>
      <c r="G29" s="46">
        <v>11.0</v>
      </c>
      <c r="H29" s="47">
        <v>0.0</v>
      </c>
      <c r="I29" s="46">
        <v>0.0</v>
      </c>
      <c r="J29" s="46">
        <v>6.0</v>
      </c>
      <c r="K29" s="46">
        <v>6.0</v>
      </c>
      <c r="L29" s="103">
        <v>12.0</v>
      </c>
      <c r="M29" s="46">
        <v>2.0</v>
      </c>
      <c r="N29" s="31">
        <f t="shared" ref="N29:O29" si="31">C29+L29</f>
        <v>52</v>
      </c>
      <c r="O29" s="31">
        <f t="shared" si="31"/>
        <v>4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0</v>
      </c>
      <c r="V29" s="46">
        <f t="shared" si="6"/>
        <v>19</v>
      </c>
      <c r="W29" s="30">
        <f t="shared" si="9"/>
        <v>25</v>
      </c>
    </row>
    <row r="30">
      <c r="A30" s="30">
        <f t="shared" si="7"/>
        <v>26</v>
      </c>
      <c r="B30" s="43" t="s">
        <v>121</v>
      </c>
      <c r="C30" s="31">
        <v>40.0</v>
      </c>
      <c r="D30" s="31">
        <v>2.0</v>
      </c>
      <c r="E30" s="36">
        <f t="shared" si="2"/>
        <v>9</v>
      </c>
      <c r="F30" s="102">
        <v>1.0</v>
      </c>
      <c r="G30" s="46">
        <v>11.0</v>
      </c>
      <c r="H30" s="47">
        <v>0.0</v>
      </c>
      <c r="I30" s="46">
        <v>6.0</v>
      </c>
      <c r="J30" s="46">
        <v>6.0</v>
      </c>
      <c r="K30" s="46">
        <v>2.0</v>
      </c>
      <c r="L30" s="103">
        <v>14.0</v>
      </c>
      <c r="M30" s="46">
        <v>2.0</v>
      </c>
      <c r="N30" s="31">
        <f t="shared" ref="N30:O30" si="32">C30+L30</f>
        <v>54</v>
      </c>
      <c r="O30" s="31">
        <f t="shared" si="32"/>
        <v>4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1</v>
      </c>
      <c r="V30" s="46">
        <f t="shared" si="6"/>
        <v>-14</v>
      </c>
      <c r="W30" s="30">
        <f t="shared" si="9"/>
        <v>26</v>
      </c>
    </row>
    <row r="31">
      <c r="A31" s="30">
        <f t="shared" si="7"/>
        <v>27</v>
      </c>
      <c r="B31" s="43" t="s">
        <v>62</v>
      </c>
      <c r="C31" s="31">
        <v>39.0</v>
      </c>
      <c r="D31" s="31">
        <v>4.0</v>
      </c>
      <c r="E31" s="36">
        <f t="shared" si="2"/>
        <v>10</v>
      </c>
      <c r="F31" s="102">
        <v>3.0</v>
      </c>
      <c r="G31" s="46">
        <v>0.0</v>
      </c>
      <c r="H31" s="47">
        <v>9.0</v>
      </c>
      <c r="I31" s="46">
        <v>0.0</v>
      </c>
      <c r="J31" s="46">
        <v>0.0</v>
      </c>
      <c r="K31" s="46">
        <v>0.0</v>
      </c>
      <c r="L31" s="103">
        <v>9.0</v>
      </c>
      <c r="M31" s="46">
        <v>0.0</v>
      </c>
      <c r="N31" s="31">
        <f t="shared" ref="N31:O31" si="33">C31+L31</f>
        <v>48</v>
      </c>
      <c r="O31" s="31">
        <f t="shared" si="33"/>
        <v>4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1</v>
      </c>
      <c r="V31" s="46">
        <f t="shared" si="6"/>
        <v>-11</v>
      </c>
      <c r="W31" s="30">
        <f t="shared" si="9"/>
        <v>27</v>
      </c>
    </row>
    <row r="32">
      <c r="A32" s="30">
        <f t="shared" si="7"/>
        <v>28</v>
      </c>
      <c r="B32" s="43" t="s">
        <v>106</v>
      </c>
      <c r="C32" s="31">
        <v>39.0</v>
      </c>
      <c r="D32" s="31">
        <v>3.0</v>
      </c>
      <c r="E32" s="36">
        <f t="shared" si="2"/>
        <v>10</v>
      </c>
      <c r="F32" s="102">
        <v>1.0</v>
      </c>
      <c r="G32" s="46">
        <v>11.0</v>
      </c>
      <c r="H32" s="47">
        <v>0.0</v>
      </c>
      <c r="I32" s="46">
        <v>0.0</v>
      </c>
      <c r="J32" s="46">
        <v>2.0</v>
      </c>
      <c r="K32" s="46">
        <v>2.0</v>
      </c>
      <c r="L32" s="103">
        <v>4.0</v>
      </c>
      <c r="M32" s="46">
        <v>0.0</v>
      </c>
      <c r="N32" s="31">
        <f t="shared" ref="N32:O32" si="34">C32+L32</f>
        <v>43</v>
      </c>
      <c r="O32" s="31">
        <f t="shared" si="34"/>
        <v>3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1</v>
      </c>
      <c r="V32" s="46">
        <f t="shared" si="6"/>
        <v>-13</v>
      </c>
      <c r="W32" s="30">
        <f t="shared" si="9"/>
        <v>28</v>
      </c>
    </row>
    <row r="33">
      <c r="A33" s="30">
        <f t="shared" si="7"/>
        <v>29</v>
      </c>
      <c r="B33" s="43" t="s">
        <v>133</v>
      </c>
      <c r="C33" s="31">
        <v>39.0</v>
      </c>
      <c r="D33" s="31">
        <v>3.0</v>
      </c>
      <c r="E33" s="36">
        <f t="shared" si="2"/>
        <v>9.75</v>
      </c>
      <c r="F33" s="102">
        <v>1.0</v>
      </c>
      <c r="G33" s="46">
        <v>3.0</v>
      </c>
      <c r="H33" s="47">
        <v>0.0</v>
      </c>
      <c r="I33" s="46">
        <v>3.0</v>
      </c>
      <c r="J33" s="46">
        <v>2.0</v>
      </c>
      <c r="K33" s="46">
        <v>6.0</v>
      </c>
      <c r="L33" s="103">
        <v>11.0</v>
      </c>
      <c r="M33" s="46">
        <v>1.0</v>
      </c>
      <c r="N33" s="31">
        <f t="shared" ref="N33:O33" si="35">C33+L33</f>
        <v>50</v>
      </c>
      <c r="O33" s="31">
        <f t="shared" si="35"/>
        <v>4</v>
      </c>
      <c r="P33" s="45" t="s">
        <v>58</v>
      </c>
      <c r="Q33" s="45" t="s">
        <v>58</v>
      </c>
      <c r="R33" s="45"/>
      <c r="S33" s="46">
        <f t="shared" si="4"/>
        <v>0</v>
      </c>
      <c r="T33" s="46"/>
      <c r="U33" s="46">
        <f t="shared" si="5"/>
        <v>0</v>
      </c>
      <c r="V33" s="46">
        <f t="shared" si="6"/>
        <v>-15</v>
      </c>
      <c r="W33" s="30">
        <f t="shared" si="9"/>
        <v>29</v>
      </c>
    </row>
    <row r="34">
      <c r="A34" s="30">
        <f t="shared" si="7"/>
        <v>30</v>
      </c>
      <c r="B34" s="48" t="s">
        <v>70</v>
      </c>
      <c r="C34" s="31">
        <v>39.0</v>
      </c>
      <c r="D34" s="31">
        <v>2.0</v>
      </c>
      <c r="E34" s="36">
        <f t="shared" si="2"/>
        <v>8.666666667</v>
      </c>
      <c r="F34" s="102">
        <v>2.0</v>
      </c>
      <c r="G34" s="46">
        <v>3.0</v>
      </c>
      <c r="H34" s="47">
        <v>0.0</v>
      </c>
      <c r="I34" s="46">
        <v>3.0</v>
      </c>
      <c r="J34" s="46">
        <v>6.0</v>
      </c>
      <c r="K34" s="46">
        <v>3.0</v>
      </c>
      <c r="L34" s="103">
        <v>12.0</v>
      </c>
      <c r="M34" s="46">
        <v>1.0</v>
      </c>
      <c r="N34" s="31">
        <f t="shared" ref="N34:O34" si="36">C34+L34</f>
        <v>51</v>
      </c>
      <c r="O34" s="31">
        <f t="shared" si="36"/>
        <v>3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0</v>
      </c>
      <c r="V34" s="46">
        <f t="shared" si="6"/>
        <v>3</v>
      </c>
      <c r="W34" s="30">
        <f t="shared" si="9"/>
        <v>30</v>
      </c>
    </row>
    <row r="35">
      <c r="A35" s="30">
        <f t="shared" si="7"/>
        <v>31</v>
      </c>
      <c r="B35" s="43" t="s">
        <v>130</v>
      </c>
      <c r="C35" s="31">
        <v>38.0</v>
      </c>
      <c r="D35" s="31">
        <v>4.0</v>
      </c>
      <c r="E35" s="36">
        <f t="shared" si="2"/>
        <v>9.666666667</v>
      </c>
      <c r="F35" s="102">
        <v>1.0</v>
      </c>
      <c r="G35" s="46">
        <v>3.0</v>
      </c>
      <c r="H35" s="47">
        <v>0.0</v>
      </c>
      <c r="I35" s="46">
        <v>6.0</v>
      </c>
      <c r="J35" s="46">
        <v>6.0</v>
      </c>
      <c r="K35" s="46">
        <v>6.0</v>
      </c>
      <c r="L35" s="103">
        <v>18.0</v>
      </c>
      <c r="M35" s="46">
        <v>3.0</v>
      </c>
      <c r="N35" s="31">
        <f t="shared" ref="N35:O35" si="37">C35+L35</f>
        <v>56</v>
      </c>
      <c r="O35" s="31">
        <f t="shared" si="37"/>
        <v>7</v>
      </c>
      <c r="P35" s="45" t="s">
        <v>58</v>
      </c>
      <c r="Q35" s="45" t="s">
        <v>58</v>
      </c>
      <c r="R35" s="45"/>
      <c r="S35" s="46">
        <f t="shared" si="4"/>
        <v>0</v>
      </c>
      <c r="T35" s="46"/>
      <c r="U35" s="46">
        <f t="shared" si="5"/>
        <v>1</v>
      </c>
      <c r="V35" s="46">
        <f t="shared" si="6"/>
        <v>24</v>
      </c>
      <c r="W35" s="30">
        <f t="shared" si="9"/>
        <v>31</v>
      </c>
    </row>
    <row r="36">
      <c r="A36" s="30">
        <f t="shared" si="7"/>
        <v>32</v>
      </c>
      <c r="B36" s="43" t="s">
        <v>111</v>
      </c>
      <c r="C36" s="47">
        <v>37.0</v>
      </c>
      <c r="D36" s="31">
        <v>4.0</v>
      </c>
      <c r="E36" s="36">
        <f t="shared" si="2"/>
        <v>9.25</v>
      </c>
      <c r="F36" s="102">
        <v>1.0</v>
      </c>
      <c r="G36" s="46">
        <v>3.0</v>
      </c>
      <c r="H36" s="47">
        <v>0.0</v>
      </c>
      <c r="I36" s="46">
        <v>6.0</v>
      </c>
      <c r="J36" s="46">
        <v>2.0</v>
      </c>
      <c r="K36" s="46">
        <v>3.0</v>
      </c>
      <c r="L36" s="103">
        <v>11.0</v>
      </c>
      <c r="M36" s="46">
        <v>1.0</v>
      </c>
      <c r="N36" s="47">
        <f t="shared" ref="N36:O36" si="38">C36+L36</f>
        <v>48</v>
      </c>
      <c r="O36" s="31">
        <f t="shared" si="38"/>
        <v>5</v>
      </c>
      <c r="P36" s="45" t="s">
        <v>58</v>
      </c>
      <c r="Q36" s="45" t="s">
        <v>58</v>
      </c>
      <c r="R36" s="45"/>
      <c r="S36" s="46">
        <f t="shared" si="4"/>
        <v>0</v>
      </c>
      <c r="T36" s="46"/>
      <c r="U36" s="46">
        <f t="shared" si="5"/>
        <v>0</v>
      </c>
      <c r="V36" s="46">
        <f t="shared" si="6"/>
        <v>-4</v>
      </c>
      <c r="W36" s="30">
        <f t="shared" si="9"/>
        <v>32</v>
      </c>
    </row>
    <row r="37">
      <c r="A37" s="30">
        <f t="shared" si="7"/>
        <v>33</v>
      </c>
      <c r="B37" s="28" t="s">
        <v>104</v>
      </c>
      <c r="C37" s="31">
        <v>37.0</v>
      </c>
      <c r="D37" s="31">
        <v>3.0</v>
      </c>
      <c r="E37" s="36">
        <f t="shared" si="2"/>
        <v>8</v>
      </c>
      <c r="F37" s="102">
        <v>2.0</v>
      </c>
      <c r="G37" s="46">
        <v>4.0</v>
      </c>
      <c r="H37" s="47">
        <v>0.0</v>
      </c>
      <c r="I37" s="46">
        <v>5.0</v>
      </c>
      <c r="J37" s="46">
        <v>6.0</v>
      </c>
      <c r="K37" s="46">
        <v>6.0</v>
      </c>
      <c r="L37" s="103">
        <v>17.0</v>
      </c>
      <c r="M37" s="46">
        <v>2.0</v>
      </c>
      <c r="N37" s="31">
        <f t="shared" ref="N37:O37" si="39">C37+L37</f>
        <v>54</v>
      </c>
      <c r="O37" s="31">
        <f t="shared" si="39"/>
        <v>5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0</v>
      </c>
      <c r="V37" s="46">
        <f t="shared" si="6"/>
        <v>-14</v>
      </c>
      <c r="W37" s="30">
        <f t="shared" si="9"/>
        <v>33</v>
      </c>
    </row>
    <row r="38">
      <c r="A38" s="30">
        <f t="shared" si="7"/>
        <v>34</v>
      </c>
      <c r="B38" s="28" t="s">
        <v>105</v>
      </c>
      <c r="C38" s="31">
        <v>37.0</v>
      </c>
      <c r="D38" s="31">
        <v>2.0</v>
      </c>
      <c r="E38" s="36">
        <f t="shared" si="2"/>
        <v>8</v>
      </c>
      <c r="F38" s="102">
        <v>2.0</v>
      </c>
      <c r="G38" s="46">
        <v>4.0</v>
      </c>
      <c r="H38" s="47">
        <v>0.0</v>
      </c>
      <c r="I38" s="46">
        <v>7.0</v>
      </c>
      <c r="J38" s="46">
        <v>2.0</v>
      </c>
      <c r="K38" s="46">
        <v>6.0</v>
      </c>
      <c r="L38" s="103">
        <v>15.0</v>
      </c>
      <c r="M38" s="46">
        <v>2.0</v>
      </c>
      <c r="N38" s="31">
        <f t="shared" ref="N38:O38" si="40">C38+L38</f>
        <v>52</v>
      </c>
      <c r="O38" s="31">
        <f t="shared" si="40"/>
        <v>4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0</v>
      </c>
      <c r="V38" s="46">
        <f t="shared" si="6"/>
        <v>-3</v>
      </c>
      <c r="W38" s="30">
        <f t="shared" si="9"/>
        <v>34</v>
      </c>
    </row>
    <row r="39">
      <c r="A39" s="30">
        <f t="shared" si="7"/>
        <v>35</v>
      </c>
      <c r="B39" s="28" t="s">
        <v>119</v>
      </c>
      <c r="C39" s="31">
        <v>36.0</v>
      </c>
      <c r="D39" s="31">
        <v>3.0</v>
      </c>
      <c r="E39" s="36">
        <f t="shared" si="2"/>
        <v>7.666666667</v>
      </c>
      <c r="F39" s="102">
        <v>1.0</v>
      </c>
      <c r="G39" s="46">
        <v>4.0</v>
      </c>
      <c r="H39" s="47">
        <v>0.0</v>
      </c>
      <c r="I39" s="46">
        <v>7.0</v>
      </c>
      <c r="J39" s="46">
        <v>6.0</v>
      </c>
      <c r="K39" s="46">
        <v>1.0</v>
      </c>
      <c r="L39" s="103">
        <v>14.0</v>
      </c>
      <c r="M39" s="46">
        <v>2.0</v>
      </c>
      <c r="N39" s="31">
        <f t="shared" ref="N39:O39" si="41">C39+L39</f>
        <v>50</v>
      </c>
      <c r="O39" s="31">
        <f t="shared" si="41"/>
        <v>5</v>
      </c>
      <c r="P39" s="45" t="s">
        <v>58</v>
      </c>
      <c r="Q39" s="45" t="s">
        <v>58</v>
      </c>
      <c r="R39" s="45"/>
      <c r="S39" s="46">
        <f t="shared" si="4"/>
        <v>1</v>
      </c>
      <c r="T39" s="46"/>
      <c r="U39" s="46">
        <f t="shared" si="5"/>
        <v>0</v>
      </c>
      <c r="V39" s="46">
        <f t="shared" si="6"/>
        <v>7</v>
      </c>
      <c r="W39" s="30">
        <f t="shared" si="9"/>
        <v>35</v>
      </c>
    </row>
    <row r="40">
      <c r="A40" s="30">
        <f t="shared" si="7"/>
        <v>36</v>
      </c>
      <c r="B40" s="48" t="s">
        <v>125</v>
      </c>
      <c r="C40" s="31">
        <v>36.0</v>
      </c>
      <c r="D40" s="31">
        <v>3.0</v>
      </c>
      <c r="E40" s="36">
        <f t="shared" si="2"/>
        <v>9</v>
      </c>
      <c r="F40" s="102">
        <v>1.0</v>
      </c>
      <c r="G40" s="46">
        <v>4.0</v>
      </c>
      <c r="H40" s="47">
        <v>0.0</v>
      </c>
      <c r="I40" s="46">
        <v>5.0</v>
      </c>
      <c r="J40" s="46">
        <v>2.0</v>
      </c>
      <c r="K40" s="46">
        <v>1.0</v>
      </c>
      <c r="L40" s="103">
        <v>8.0</v>
      </c>
      <c r="M40" s="46">
        <v>0.0</v>
      </c>
      <c r="N40" s="31">
        <f t="shared" ref="N40:O40" si="42">C40+L40</f>
        <v>44</v>
      </c>
      <c r="O40" s="31">
        <f t="shared" si="42"/>
        <v>3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0</v>
      </c>
      <c r="V40" s="46">
        <f t="shared" si="6"/>
        <v>-13</v>
      </c>
      <c r="W40" s="30">
        <f t="shared" si="9"/>
        <v>36</v>
      </c>
    </row>
    <row r="41">
      <c r="A41" s="30">
        <f t="shared" si="7"/>
        <v>37</v>
      </c>
      <c r="B41" s="28" t="s">
        <v>34</v>
      </c>
      <c r="C41" s="31">
        <v>36.0</v>
      </c>
      <c r="D41" s="31">
        <v>3.0</v>
      </c>
      <c r="E41" s="36">
        <f t="shared" si="2"/>
        <v>9</v>
      </c>
      <c r="F41" s="102">
        <v>1.0</v>
      </c>
      <c r="G41" s="46">
        <v>5.0</v>
      </c>
      <c r="H41" s="47">
        <v>0.0</v>
      </c>
      <c r="I41" s="46">
        <v>6.0</v>
      </c>
      <c r="J41" s="46">
        <v>6.0</v>
      </c>
      <c r="K41" s="46">
        <v>6.0</v>
      </c>
      <c r="L41" s="103">
        <v>18.0</v>
      </c>
      <c r="M41" s="46">
        <v>3.0</v>
      </c>
      <c r="N41" s="31">
        <f t="shared" ref="N41:O41" si="43">C41+L41</f>
        <v>54</v>
      </c>
      <c r="O41" s="31">
        <f t="shared" si="43"/>
        <v>6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2</v>
      </c>
      <c r="V41" s="46">
        <f t="shared" si="6"/>
        <v>-15</v>
      </c>
      <c r="W41" s="30">
        <f t="shared" si="9"/>
        <v>37</v>
      </c>
    </row>
    <row r="42">
      <c r="A42" s="30">
        <f t="shared" si="7"/>
        <v>38</v>
      </c>
      <c r="B42" s="28" t="s">
        <v>49</v>
      </c>
      <c r="C42" s="31">
        <v>36.0</v>
      </c>
      <c r="D42" s="31">
        <v>2.0</v>
      </c>
      <c r="E42" s="36">
        <f t="shared" si="2"/>
        <v>7.666666667</v>
      </c>
      <c r="F42" s="102">
        <v>1.0</v>
      </c>
      <c r="G42" s="46">
        <v>5.0</v>
      </c>
      <c r="H42" s="47">
        <v>0.0</v>
      </c>
      <c r="I42" s="46">
        <v>2.0</v>
      </c>
      <c r="J42" s="46">
        <v>6.0</v>
      </c>
      <c r="K42" s="46">
        <v>1.0</v>
      </c>
      <c r="L42" s="103">
        <v>9.0</v>
      </c>
      <c r="M42" s="46">
        <v>1.0</v>
      </c>
      <c r="N42" s="31">
        <f t="shared" ref="N42:O42" si="44">C42+L42</f>
        <v>45</v>
      </c>
      <c r="O42" s="31">
        <f t="shared" si="44"/>
        <v>3</v>
      </c>
      <c r="P42" s="45" t="s">
        <v>58</v>
      </c>
      <c r="Q42" s="45" t="s">
        <v>58</v>
      </c>
      <c r="R42" s="45" t="s">
        <v>58</v>
      </c>
      <c r="S42" s="46">
        <f t="shared" si="4"/>
        <v>1</v>
      </c>
      <c r="T42" s="46"/>
      <c r="U42" s="46">
        <f t="shared" si="5"/>
        <v>0</v>
      </c>
      <c r="V42" s="46">
        <f t="shared" si="6"/>
        <v>-6</v>
      </c>
      <c r="W42" s="30">
        <f t="shared" si="9"/>
        <v>38</v>
      </c>
    </row>
    <row r="43">
      <c r="A43" s="30">
        <f t="shared" si="7"/>
        <v>39</v>
      </c>
      <c r="B43" s="43" t="s">
        <v>131</v>
      </c>
      <c r="C43" s="31">
        <v>35.0</v>
      </c>
      <c r="D43" s="31">
        <v>1.0</v>
      </c>
      <c r="E43" s="36">
        <f t="shared" si="2"/>
        <v>8.5</v>
      </c>
      <c r="F43" s="102">
        <v>3.0</v>
      </c>
      <c r="G43" s="46">
        <v>0.0</v>
      </c>
      <c r="H43" s="47">
        <v>9.0</v>
      </c>
      <c r="I43" s="46">
        <v>0.0</v>
      </c>
      <c r="J43" s="46">
        <v>0.0</v>
      </c>
      <c r="K43" s="46">
        <v>0.0</v>
      </c>
      <c r="L43" s="103">
        <v>9.0</v>
      </c>
      <c r="M43" s="46">
        <v>0.0</v>
      </c>
      <c r="N43" s="31">
        <f t="shared" ref="N43:O43" si="45">C43+L43</f>
        <v>44</v>
      </c>
      <c r="O43" s="31">
        <f t="shared" si="45"/>
        <v>1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2</v>
      </c>
      <c r="V43" s="46">
        <f t="shared" si="6"/>
        <v>-9</v>
      </c>
      <c r="W43" s="30">
        <f t="shared" si="9"/>
        <v>39</v>
      </c>
    </row>
    <row r="44">
      <c r="A44" s="30">
        <f t="shared" si="7"/>
        <v>40</v>
      </c>
      <c r="B44" s="43" t="s">
        <v>107</v>
      </c>
      <c r="C44" s="31">
        <v>35.0</v>
      </c>
      <c r="D44" s="31">
        <v>0.0</v>
      </c>
      <c r="E44" s="36">
        <f t="shared" si="2"/>
        <v>6.5</v>
      </c>
      <c r="F44" s="102">
        <v>2.0</v>
      </c>
      <c r="G44" s="46">
        <v>5.0</v>
      </c>
      <c r="H44" s="47">
        <v>0.0</v>
      </c>
      <c r="I44" s="46">
        <v>6.0</v>
      </c>
      <c r="J44" s="46">
        <v>3.0</v>
      </c>
      <c r="K44" s="46">
        <v>1.0</v>
      </c>
      <c r="L44" s="103">
        <v>10.0</v>
      </c>
      <c r="M44" s="46">
        <v>1.0</v>
      </c>
      <c r="N44" s="31">
        <f t="shared" ref="N44:O44" si="46">C44+L44</f>
        <v>45</v>
      </c>
      <c r="O44" s="31">
        <f t="shared" si="46"/>
        <v>1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1</v>
      </c>
      <c r="V44" s="46">
        <f t="shared" si="6"/>
        <v>-6</v>
      </c>
      <c r="W44" s="30">
        <f t="shared" si="9"/>
        <v>40</v>
      </c>
    </row>
    <row r="45">
      <c r="A45" s="30">
        <f t="shared" si="7"/>
        <v>41</v>
      </c>
      <c r="B45" s="28" t="s">
        <v>84</v>
      </c>
      <c r="C45" s="31">
        <v>34.0</v>
      </c>
      <c r="D45" s="31">
        <v>3.0</v>
      </c>
      <c r="E45" s="36">
        <f t="shared" si="2"/>
        <v>8.333333333</v>
      </c>
      <c r="F45" s="102">
        <v>1.0</v>
      </c>
      <c r="G45" s="46">
        <v>5.0</v>
      </c>
      <c r="H45" s="47">
        <v>0.0</v>
      </c>
      <c r="I45" s="46">
        <v>2.0</v>
      </c>
      <c r="J45" s="46">
        <v>3.0</v>
      </c>
      <c r="K45" s="46">
        <v>6.0</v>
      </c>
      <c r="L45" s="103">
        <v>11.0</v>
      </c>
      <c r="M45" s="46">
        <v>1.0</v>
      </c>
      <c r="N45" s="31">
        <f t="shared" ref="N45:O45" si="47">C45+L45</f>
        <v>45</v>
      </c>
      <c r="O45" s="31">
        <f t="shared" si="47"/>
        <v>4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1</v>
      </c>
      <c r="V45" s="46">
        <f t="shared" si="6"/>
        <v>-4</v>
      </c>
      <c r="W45" s="30">
        <f t="shared" si="9"/>
        <v>41</v>
      </c>
    </row>
    <row r="46">
      <c r="A46" s="30">
        <f t="shared" si="7"/>
        <v>42</v>
      </c>
      <c r="B46" s="43" t="s">
        <v>99</v>
      </c>
      <c r="C46" s="31">
        <v>34.0</v>
      </c>
      <c r="D46" s="31">
        <v>2.0</v>
      </c>
      <c r="E46" s="36">
        <f t="shared" si="2"/>
        <v>8</v>
      </c>
      <c r="F46" s="102">
        <v>3.0</v>
      </c>
      <c r="G46" s="46">
        <v>0.0</v>
      </c>
      <c r="H46" s="47">
        <v>9.0</v>
      </c>
      <c r="I46" s="46">
        <v>0.0</v>
      </c>
      <c r="J46" s="46">
        <v>0.0</v>
      </c>
      <c r="K46" s="46">
        <v>0.0</v>
      </c>
      <c r="L46" s="103">
        <v>9.0</v>
      </c>
      <c r="M46" s="46">
        <v>0.0</v>
      </c>
      <c r="N46" s="31">
        <f t="shared" ref="N46:O46" si="48">C46+L46</f>
        <v>43</v>
      </c>
      <c r="O46" s="31">
        <f t="shared" si="48"/>
        <v>2</v>
      </c>
      <c r="P46" s="45" t="s">
        <v>58</v>
      </c>
      <c r="Q46" s="45" t="s">
        <v>58</v>
      </c>
      <c r="R46" s="45"/>
      <c r="S46" s="46">
        <f t="shared" si="4"/>
        <v>0</v>
      </c>
      <c r="T46" s="46"/>
      <c r="U46" s="46">
        <f t="shared" si="5"/>
        <v>2</v>
      </c>
      <c r="V46" s="46">
        <f t="shared" si="6"/>
        <v>-6</v>
      </c>
      <c r="W46" s="30">
        <f t="shared" si="9"/>
        <v>42</v>
      </c>
    </row>
    <row r="47">
      <c r="A47" s="30">
        <f t="shared" si="7"/>
        <v>43</v>
      </c>
      <c r="B47" s="43" t="s">
        <v>96</v>
      </c>
      <c r="C47" s="31">
        <v>33.0</v>
      </c>
      <c r="D47" s="31">
        <v>1.0</v>
      </c>
      <c r="E47" s="36">
        <f t="shared" si="2"/>
        <v>6.666666667</v>
      </c>
      <c r="F47" s="102">
        <v>1.0</v>
      </c>
      <c r="G47" s="46">
        <v>6.0</v>
      </c>
      <c r="H47" s="47">
        <v>0.0</v>
      </c>
      <c r="I47" s="46">
        <v>6.0</v>
      </c>
      <c r="J47" s="46">
        <v>1.0</v>
      </c>
      <c r="K47" s="46">
        <v>6.0</v>
      </c>
      <c r="L47" s="103">
        <v>13.0</v>
      </c>
      <c r="M47" s="46">
        <v>1.0</v>
      </c>
      <c r="N47" s="31">
        <f t="shared" ref="N47:O47" si="49">C47+L47</f>
        <v>46</v>
      </c>
      <c r="O47" s="31">
        <f t="shared" si="49"/>
        <v>2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0</v>
      </c>
      <c r="V47" s="46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43" t="s">
        <v>140</v>
      </c>
      <c r="C48" s="31">
        <v>32.0</v>
      </c>
      <c r="D48" s="31">
        <v>3.0</v>
      </c>
      <c r="E48" s="36">
        <f t="shared" si="2"/>
        <v>7</v>
      </c>
      <c r="F48" s="102">
        <v>3.0</v>
      </c>
      <c r="G48" s="46">
        <v>0.0</v>
      </c>
      <c r="H48" s="47">
        <v>9.0</v>
      </c>
      <c r="I48" s="46">
        <v>0.0</v>
      </c>
      <c r="J48" s="46">
        <v>0.0</v>
      </c>
      <c r="K48" s="46">
        <v>0.0</v>
      </c>
      <c r="L48" s="103">
        <v>9.0</v>
      </c>
      <c r="M48" s="46">
        <v>0.0</v>
      </c>
      <c r="N48" s="31">
        <f t="shared" ref="N48:O48" si="50">C48+L48</f>
        <v>41</v>
      </c>
      <c r="O48" s="31">
        <f t="shared" si="50"/>
        <v>3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2</v>
      </c>
      <c r="V48" s="46">
        <f t="shared" si="6"/>
        <v>-3</v>
      </c>
      <c r="W48" s="30">
        <f t="shared" si="9"/>
        <v>44</v>
      </c>
    </row>
    <row r="49">
      <c r="A49" s="30">
        <f t="shared" si="7"/>
        <v>45</v>
      </c>
      <c r="B49" s="48" t="s">
        <v>54</v>
      </c>
      <c r="C49" s="31">
        <v>32.0</v>
      </c>
      <c r="D49" s="31">
        <v>2.0</v>
      </c>
      <c r="E49" s="36">
        <f t="shared" si="2"/>
        <v>6.333333333</v>
      </c>
      <c r="F49" s="102">
        <v>1.0</v>
      </c>
      <c r="G49" s="46">
        <v>6.0</v>
      </c>
      <c r="H49" s="47">
        <v>0.0</v>
      </c>
      <c r="I49" s="46">
        <v>2.0</v>
      </c>
      <c r="J49" s="46">
        <v>6.0</v>
      </c>
      <c r="K49" s="46">
        <v>6.0</v>
      </c>
      <c r="L49" s="103">
        <v>14.0</v>
      </c>
      <c r="M49" s="46">
        <v>1.0</v>
      </c>
      <c r="N49" s="31">
        <f t="shared" ref="N49:O49" si="51">C49+L49</f>
        <v>46</v>
      </c>
      <c r="O49" s="31">
        <f t="shared" si="51"/>
        <v>3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0</v>
      </c>
      <c r="V49" s="46">
        <f t="shared" si="6"/>
        <v>-5</v>
      </c>
      <c r="W49" s="30">
        <f t="shared" si="9"/>
        <v>45</v>
      </c>
    </row>
    <row r="50">
      <c r="A50" s="30">
        <f t="shared" si="7"/>
        <v>46</v>
      </c>
      <c r="B50" s="43" t="s">
        <v>122</v>
      </c>
      <c r="C50" s="31">
        <v>32.0</v>
      </c>
      <c r="D50" s="31">
        <v>1.0</v>
      </c>
      <c r="E50" s="36">
        <f t="shared" si="2"/>
        <v>7</v>
      </c>
      <c r="F50" s="102">
        <v>1.0</v>
      </c>
      <c r="G50" s="46">
        <v>6.0</v>
      </c>
      <c r="H50" s="47">
        <v>0.0</v>
      </c>
      <c r="I50" s="46">
        <v>6.0</v>
      </c>
      <c r="J50" s="46">
        <v>6.0</v>
      </c>
      <c r="K50" s="46">
        <v>7.0</v>
      </c>
      <c r="L50" s="103">
        <v>19.0</v>
      </c>
      <c r="M50" s="46">
        <v>3.0</v>
      </c>
      <c r="N50" s="31">
        <f t="shared" ref="N50:O50" si="52">C50+L50</f>
        <v>51</v>
      </c>
      <c r="O50" s="31">
        <f t="shared" si="52"/>
        <v>4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2</v>
      </c>
      <c r="V50" s="46">
        <f t="shared" si="6"/>
        <v>-8</v>
      </c>
      <c r="W50" s="30">
        <f t="shared" si="9"/>
        <v>46</v>
      </c>
    </row>
    <row r="51">
      <c r="A51" s="30">
        <f t="shared" si="7"/>
        <v>47</v>
      </c>
      <c r="B51" s="28" t="s">
        <v>93</v>
      </c>
      <c r="C51" s="31">
        <v>32.0</v>
      </c>
      <c r="D51" s="31">
        <v>1.0</v>
      </c>
      <c r="E51" s="36">
        <f t="shared" si="2"/>
        <v>7</v>
      </c>
      <c r="F51" s="102">
        <v>2.0</v>
      </c>
      <c r="G51" s="46">
        <v>6.0</v>
      </c>
      <c r="H51" s="47">
        <v>0.0</v>
      </c>
      <c r="I51" s="46">
        <v>2.0</v>
      </c>
      <c r="J51" s="46">
        <v>1.0</v>
      </c>
      <c r="K51" s="46">
        <v>7.0</v>
      </c>
      <c r="L51" s="103">
        <v>10.0</v>
      </c>
      <c r="M51" s="46">
        <v>1.0</v>
      </c>
      <c r="N51" s="31">
        <f t="shared" ref="N51:O51" si="53">C51+L51</f>
        <v>42</v>
      </c>
      <c r="O51" s="31">
        <f t="shared" si="53"/>
        <v>2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2</v>
      </c>
      <c r="V51" s="46">
        <f t="shared" si="6"/>
        <v>-8</v>
      </c>
      <c r="W51" s="30">
        <f t="shared" si="9"/>
        <v>47</v>
      </c>
    </row>
    <row r="52">
      <c r="A52" s="30">
        <f t="shared" si="7"/>
        <v>48</v>
      </c>
      <c r="B52" s="48" t="s">
        <v>134</v>
      </c>
      <c r="C52" s="31">
        <v>31.0</v>
      </c>
      <c r="D52" s="31">
        <v>0.0</v>
      </c>
      <c r="E52" s="36">
        <f t="shared" si="2"/>
        <v>0</v>
      </c>
      <c r="F52" s="102">
        <v>1.0</v>
      </c>
      <c r="G52" s="46">
        <v>7.0</v>
      </c>
      <c r="H52" s="47">
        <v>0.0</v>
      </c>
      <c r="I52" s="46">
        <v>6.0</v>
      </c>
      <c r="J52" s="46">
        <v>0.0</v>
      </c>
      <c r="K52" s="46">
        <v>6.0</v>
      </c>
      <c r="L52" s="103">
        <v>12.0</v>
      </c>
      <c r="M52" s="46">
        <v>2.0</v>
      </c>
      <c r="N52" s="31">
        <f t="shared" ref="N52:O52" si="54">C52+L52</f>
        <v>43</v>
      </c>
      <c r="O52" s="31">
        <f t="shared" si="54"/>
        <v>2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2</v>
      </c>
      <c r="V52" s="46">
        <f t="shared" si="6"/>
        <v>-2</v>
      </c>
      <c r="W52" s="30">
        <f t="shared" si="9"/>
        <v>48</v>
      </c>
    </row>
    <row r="53">
      <c r="A53" s="30">
        <f t="shared" si="7"/>
        <v>49</v>
      </c>
      <c r="B53" s="28" t="s">
        <v>80</v>
      </c>
      <c r="C53" s="31">
        <v>31.0</v>
      </c>
      <c r="D53" s="31">
        <v>0.0</v>
      </c>
      <c r="E53" s="36">
        <f t="shared" si="2"/>
        <v>0</v>
      </c>
      <c r="F53" s="102">
        <v>3.0</v>
      </c>
      <c r="G53" s="46">
        <v>0.0</v>
      </c>
      <c r="H53" s="47">
        <v>9.0</v>
      </c>
      <c r="I53" s="46">
        <v>0.0</v>
      </c>
      <c r="J53" s="46">
        <v>0.0</v>
      </c>
      <c r="K53" s="46">
        <v>0.0</v>
      </c>
      <c r="L53" s="103">
        <v>9.0</v>
      </c>
      <c r="M53" s="46">
        <v>0.0</v>
      </c>
      <c r="N53" s="31">
        <f t="shared" ref="N53:O53" si="55">C53+L53</f>
        <v>40</v>
      </c>
      <c r="O53" s="31">
        <f t="shared" si="55"/>
        <v>0</v>
      </c>
      <c r="P53" s="45" t="s">
        <v>58</v>
      </c>
      <c r="Q53" s="45" t="s">
        <v>58</v>
      </c>
      <c r="R53" s="45"/>
      <c r="S53" s="46">
        <f t="shared" si="4"/>
        <v>1</v>
      </c>
      <c r="T53" s="46"/>
      <c r="U53" s="46">
        <f t="shared" si="5"/>
        <v>3</v>
      </c>
      <c r="V53" s="46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28" t="s">
        <v>72</v>
      </c>
      <c r="C54" s="31">
        <v>31.0</v>
      </c>
      <c r="D54" s="31">
        <v>0.0</v>
      </c>
      <c r="E54" s="36">
        <f t="shared" si="2"/>
        <v>0</v>
      </c>
      <c r="F54" s="102">
        <v>3.0</v>
      </c>
      <c r="G54" s="46">
        <v>0.0</v>
      </c>
      <c r="H54" s="47">
        <v>9.0</v>
      </c>
      <c r="I54" s="46">
        <v>0.0</v>
      </c>
      <c r="J54" s="46">
        <v>0.0</v>
      </c>
      <c r="K54" s="46">
        <v>0.0</v>
      </c>
      <c r="L54" s="103">
        <v>9.0</v>
      </c>
      <c r="M54" s="46">
        <v>0.0</v>
      </c>
      <c r="N54" s="31">
        <f t="shared" ref="N54:O54" si="56">C54+L54</f>
        <v>40</v>
      </c>
      <c r="O54" s="31">
        <f t="shared" si="56"/>
        <v>0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3</v>
      </c>
      <c r="V54" s="46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28" t="s">
        <v>102</v>
      </c>
      <c r="C55" s="31">
        <v>31.0</v>
      </c>
      <c r="D55" s="31">
        <v>0.0</v>
      </c>
      <c r="E55" s="36">
        <f t="shared" si="2"/>
        <v>0</v>
      </c>
      <c r="F55" s="102">
        <v>3.0</v>
      </c>
      <c r="G55" s="46">
        <v>0.0</v>
      </c>
      <c r="H55" s="47">
        <v>9.0</v>
      </c>
      <c r="I55" s="46">
        <v>0.0</v>
      </c>
      <c r="J55" s="46">
        <v>0.0</v>
      </c>
      <c r="K55" s="46">
        <v>0.0</v>
      </c>
      <c r="L55" s="103">
        <v>9.0</v>
      </c>
      <c r="M55" s="46">
        <v>0.0</v>
      </c>
      <c r="N55" s="31">
        <f t="shared" ref="N55:O55" si="57">C55+L55</f>
        <v>40</v>
      </c>
      <c r="O55" s="31">
        <f t="shared" si="57"/>
        <v>0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3</v>
      </c>
      <c r="V55" s="46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43" t="s">
        <v>136</v>
      </c>
      <c r="C56" s="31">
        <v>30.0</v>
      </c>
      <c r="D56" s="31">
        <v>3.0</v>
      </c>
      <c r="E56" s="36">
        <f t="shared" si="2"/>
        <v>7.5</v>
      </c>
      <c r="F56" s="102">
        <v>1.0</v>
      </c>
      <c r="G56" s="46">
        <v>7.0</v>
      </c>
      <c r="H56" s="47">
        <v>0.0</v>
      </c>
      <c r="I56" s="46">
        <v>6.0</v>
      </c>
      <c r="J56" s="46">
        <v>6.0</v>
      </c>
      <c r="K56" s="46">
        <v>0.0</v>
      </c>
      <c r="L56" s="103">
        <v>12.0</v>
      </c>
      <c r="M56" s="46">
        <v>2.0</v>
      </c>
      <c r="N56" s="31">
        <f t="shared" ref="N56:O56" si="58">C56+L56</f>
        <v>42</v>
      </c>
      <c r="O56" s="31">
        <f t="shared" si="58"/>
        <v>5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0</v>
      </c>
      <c r="V56" s="46">
        <f t="shared" si="6"/>
        <v>4</v>
      </c>
      <c r="W56" s="30">
        <f t="shared" si="9"/>
        <v>52</v>
      </c>
    </row>
    <row r="57">
      <c r="A57" s="30">
        <f t="shared" si="7"/>
        <v>53</v>
      </c>
      <c r="B57" s="43" t="s">
        <v>135</v>
      </c>
      <c r="C57" s="31">
        <v>30.0</v>
      </c>
      <c r="D57" s="31">
        <v>1.0</v>
      </c>
      <c r="E57" s="36">
        <f t="shared" si="2"/>
        <v>7</v>
      </c>
      <c r="F57" s="102">
        <v>1.0</v>
      </c>
      <c r="G57" s="46">
        <v>7.0</v>
      </c>
      <c r="H57" s="47">
        <v>0.0</v>
      </c>
      <c r="I57" s="46">
        <v>1.0</v>
      </c>
      <c r="J57" s="46">
        <v>0.0</v>
      </c>
      <c r="K57" s="46">
        <v>0.0</v>
      </c>
      <c r="L57" s="103">
        <v>1.0</v>
      </c>
      <c r="M57" s="46">
        <v>0.0</v>
      </c>
      <c r="N57" s="31">
        <f t="shared" ref="N57:O57" si="59">C57+L57</f>
        <v>31</v>
      </c>
      <c r="O57" s="31">
        <f t="shared" si="59"/>
        <v>1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1</v>
      </c>
      <c r="V57" s="46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28" t="s">
        <v>141</v>
      </c>
      <c r="C58" s="31">
        <v>30.0</v>
      </c>
      <c r="D58" s="31">
        <v>1.0</v>
      </c>
      <c r="E58" s="36">
        <f t="shared" si="2"/>
        <v>-1</v>
      </c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60">C58+L58</f>
        <v>39</v>
      </c>
      <c r="O58" s="31">
        <f t="shared" si="60"/>
        <v>1</v>
      </c>
      <c r="P58" s="45" t="s">
        <v>58</v>
      </c>
      <c r="Q58" s="45" t="s">
        <v>58</v>
      </c>
      <c r="R58" s="45"/>
      <c r="S58" s="46">
        <f t="shared" si="4"/>
        <v>1</v>
      </c>
      <c r="T58" s="46"/>
      <c r="U58" s="46">
        <f t="shared" si="5"/>
        <v>2</v>
      </c>
      <c r="V58" s="46">
        <f t="shared" si="6"/>
        <v>-6</v>
      </c>
      <c r="W58" s="30">
        <f t="shared" si="9"/>
        <v>54</v>
      </c>
    </row>
    <row r="59">
      <c r="A59" s="30">
        <f t="shared" si="7"/>
        <v>55</v>
      </c>
      <c r="B59" s="43" t="s">
        <v>61</v>
      </c>
      <c r="C59" s="47">
        <v>28.0</v>
      </c>
      <c r="D59" s="31">
        <v>3.0</v>
      </c>
      <c r="E59" s="36">
        <f t="shared" si="2"/>
        <v>7</v>
      </c>
      <c r="F59" s="102">
        <v>1.0</v>
      </c>
      <c r="G59" s="46">
        <v>7.0</v>
      </c>
      <c r="H59" s="47">
        <v>0.0</v>
      </c>
      <c r="I59" s="46">
        <v>1.0</v>
      </c>
      <c r="J59" s="46">
        <v>6.0</v>
      </c>
      <c r="K59" s="46">
        <v>6.0</v>
      </c>
      <c r="L59" s="103">
        <v>13.0</v>
      </c>
      <c r="M59" s="46">
        <v>2.0</v>
      </c>
      <c r="N59" s="47">
        <f t="shared" ref="N59:O59" si="61">C59+L59</f>
        <v>41</v>
      </c>
      <c r="O59" s="31">
        <f t="shared" si="61"/>
        <v>5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0</v>
      </c>
      <c r="V59" s="46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43" t="s">
        <v>118</v>
      </c>
      <c r="C60" s="47">
        <v>28.0</v>
      </c>
      <c r="D60" s="31">
        <v>1.0</v>
      </c>
      <c r="E60" s="36">
        <f t="shared" si="2"/>
        <v>6.333333333</v>
      </c>
      <c r="F60" s="102">
        <v>2.0</v>
      </c>
      <c r="G60" s="46">
        <v>8.0</v>
      </c>
      <c r="H60" s="47">
        <v>0.0</v>
      </c>
      <c r="I60" s="46">
        <v>0.0</v>
      </c>
      <c r="J60" s="46">
        <v>6.0</v>
      </c>
      <c r="K60" s="46">
        <v>2.0</v>
      </c>
      <c r="L60" s="103">
        <v>8.0</v>
      </c>
      <c r="M60" s="46">
        <v>1.0</v>
      </c>
      <c r="N60" s="47">
        <f t="shared" ref="N60:O60" si="62">C60+L60</f>
        <v>36</v>
      </c>
      <c r="O60" s="31">
        <f t="shared" si="62"/>
        <v>2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</v>
      </c>
      <c r="V60" s="46">
        <f t="shared" si="6"/>
        <v>1</v>
      </c>
      <c r="W60" s="30">
        <f t="shared" si="9"/>
        <v>56</v>
      </c>
    </row>
    <row r="61">
      <c r="A61" s="30">
        <f t="shared" si="7"/>
        <v>57</v>
      </c>
      <c r="B61" s="43" t="s">
        <v>138</v>
      </c>
      <c r="C61" s="47">
        <v>27.0</v>
      </c>
      <c r="D61" s="31">
        <v>2.0</v>
      </c>
      <c r="E61" s="36">
        <f t="shared" si="2"/>
        <v>4.5</v>
      </c>
      <c r="F61" s="102">
        <v>3.0</v>
      </c>
      <c r="G61" s="46">
        <v>0.0</v>
      </c>
      <c r="H61" s="47">
        <v>9.0</v>
      </c>
      <c r="I61" s="46">
        <v>0.0</v>
      </c>
      <c r="J61" s="46">
        <v>0.0</v>
      </c>
      <c r="K61" s="46">
        <v>0.0</v>
      </c>
      <c r="L61" s="103">
        <v>9.0</v>
      </c>
      <c r="M61" s="46">
        <v>0.0</v>
      </c>
      <c r="N61" s="47">
        <f t="shared" ref="N61:O61" si="63">C61+L61</f>
        <v>36</v>
      </c>
      <c r="O61" s="31">
        <f t="shared" si="63"/>
        <v>2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2</v>
      </c>
      <c r="V61" s="46">
        <f t="shared" si="6"/>
        <v>-5</v>
      </c>
      <c r="W61" s="30">
        <f t="shared" si="9"/>
        <v>57</v>
      </c>
    </row>
    <row r="62">
      <c r="A62" s="30">
        <f t="shared" si="7"/>
        <v>58</v>
      </c>
      <c r="B62" s="43" t="s">
        <v>76</v>
      </c>
      <c r="C62" s="31">
        <v>27.0</v>
      </c>
      <c r="D62" s="31">
        <v>0.0</v>
      </c>
      <c r="E62" s="36">
        <f t="shared" si="2"/>
        <v>0</v>
      </c>
      <c r="F62" s="102">
        <v>3.0</v>
      </c>
      <c r="G62" s="46">
        <v>0.0</v>
      </c>
      <c r="H62" s="47">
        <v>9.0</v>
      </c>
      <c r="I62" s="46">
        <v>0.0</v>
      </c>
      <c r="J62" s="46">
        <v>0.0</v>
      </c>
      <c r="K62" s="46">
        <v>0.0</v>
      </c>
      <c r="L62" s="103">
        <v>9.0</v>
      </c>
      <c r="M62" s="46">
        <v>0.0</v>
      </c>
      <c r="N62" s="31">
        <f t="shared" ref="N62:O62" si="64">C62+L62</f>
        <v>36</v>
      </c>
      <c r="O62" s="31">
        <f t="shared" si="64"/>
        <v>0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4</v>
      </c>
      <c r="V62" s="46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43" t="s">
        <v>126</v>
      </c>
      <c r="C63" s="31">
        <v>27.0</v>
      </c>
      <c r="D63" s="31">
        <v>0.0</v>
      </c>
      <c r="E63" s="36">
        <f t="shared" si="2"/>
        <v>0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36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4</v>
      </c>
      <c r="V63" s="46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28" t="s">
        <v>128</v>
      </c>
      <c r="C64" s="31">
        <v>27.0</v>
      </c>
      <c r="D64" s="31">
        <v>0.0</v>
      </c>
      <c r="E64" s="36">
        <f t="shared" si="2"/>
        <v>0</v>
      </c>
      <c r="F64" s="102">
        <v>1.0</v>
      </c>
      <c r="G64" s="46">
        <v>8.0</v>
      </c>
      <c r="H64" s="47">
        <v>0.0</v>
      </c>
      <c r="I64" s="46">
        <v>6.0</v>
      </c>
      <c r="J64" s="46">
        <v>6.0</v>
      </c>
      <c r="K64" s="46">
        <v>6.0</v>
      </c>
      <c r="L64" s="103">
        <v>18.0</v>
      </c>
      <c r="M64" s="46">
        <v>3.0</v>
      </c>
      <c r="N64" s="31">
        <f t="shared" ref="N64:O64" si="66">C64+L64</f>
        <v>45</v>
      </c>
      <c r="O64" s="31">
        <f t="shared" si="66"/>
        <v>3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3</v>
      </c>
      <c r="V64" s="46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48" t="s">
        <v>103</v>
      </c>
      <c r="C65" s="31">
        <v>27.0</v>
      </c>
      <c r="D65" s="31">
        <v>0.0</v>
      </c>
      <c r="E65" s="36">
        <f t="shared" si="2"/>
        <v>0</v>
      </c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31">
        <f t="shared" ref="N65:O65" si="67">C65+L65</f>
        <v>36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4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8" t="s">
        <v>139</v>
      </c>
      <c r="C66" s="31">
        <v>27.0</v>
      </c>
      <c r="D66" s="31">
        <v>0.0</v>
      </c>
      <c r="E66" s="36">
        <f t="shared" si="2"/>
        <v>0</v>
      </c>
      <c r="F66" s="102">
        <v>3.0</v>
      </c>
      <c r="G66" s="46">
        <v>0.0</v>
      </c>
      <c r="H66" s="47">
        <v>9.0</v>
      </c>
      <c r="I66" s="46">
        <v>0.0</v>
      </c>
      <c r="J66" s="46">
        <v>0.0</v>
      </c>
      <c r="K66" s="46">
        <v>0.0</v>
      </c>
      <c r="L66" s="103">
        <v>9.0</v>
      </c>
      <c r="M66" s="46">
        <v>0.0</v>
      </c>
      <c r="N66" s="31">
        <f t="shared" ref="N66:O66" si="68">C66+L66</f>
        <v>36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4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142</v>
      </c>
      <c r="C67" s="47">
        <v>27.0</v>
      </c>
      <c r="D67" s="31">
        <v>0.0</v>
      </c>
      <c r="E67" s="36">
        <f t="shared" si="2"/>
        <v>0</v>
      </c>
      <c r="F67" s="102">
        <v>1.0</v>
      </c>
      <c r="G67" s="46">
        <v>8.0</v>
      </c>
      <c r="H67" s="47">
        <v>0.0</v>
      </c>
      <c r="I67" s="46">
        <v>6.0</v>
      </c>
      <c r="J67" s="46">
        <v>0.0</v>
      </c>
      <c r="K67" s="46">
        <v>2.0</v>
      </c>
      <c r="L67" s="103">
        <v>8.0</v>
      </c>
      <c r="M67" s="46">
        <v>1.0</v>
      </c>
      <c r="N67" s="47">
        <f t="shared" ref="N67:O67" si="69">C67+L67</f>
        <v>35</v>
      </c>
      <c r="O67" s="31">
        <f t="shared" si="69"/>
        <v>1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3</v>
      </c>
      <c r="V67" s="46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43" t="s">
        <v>100</v>
      </c>
      <c r="C68" s="31">
        <v>26.0</v>
      </c>
      <c r="D68" s="31">
        <v>2.0</v>
      </c>
      <c r="E68" s="36">
        <f t="shared" si="2"/>
        <v>5.666666667</v>
      </c>
      <c r="F68" s="102">
        <v>1.0</v>
      </c>
      <c r="G68" s="46">
        <v>8.0</v>
      </c>
      <c r="H68" s="47">
        <v>0.0</v>
      </c>
      <c r="I68" s="46">
        <v>0.0</v>
      </c>
      <c r="J68" s="46">
        <v>0.0</v>
      </c>
      <c r="K68" s="46">
        <v>6.0</v>
      </c>
      <c r="L68" s="103">
        <v>6.0</v>
      </c>
      <c r="M68" s="46">
        <v>1.0</v>
      </c>
      <c r="N68" s="31">
        <f t="shared" ref="N68:O68" si="70">C68+L68</f>
        <v>32</v>
      </c>
      <c r="O68" s="31">
        <f t="shared" si="70"/>
        <v>3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47">
        <v>26.0</v>
      </c>
      <c r="D69" s="31">
        <v>1.0</v>
      </c>
      <c r="E69" s="36">
        <f t="shared" si="2"/>
        <v>4</v>
      </c>
      <c r="F69" s="102">
        <v>3.0</v>
      </c>
      <c r="G69" s="46">
        <v>0.0</v>
      </c>
      <c r="H69" s="47">
        <v>9.0</v>
      </c>
      <c r="I69" s="46">
        <v>0.0</v>
      </c>
      <c r="J69" s="46">
        <v>0.0</v>
      </c>
      <c r="K69" s="46">
        <v>0.0</v>
      </c>
      <c r="L69" s="103">
        <v>9.0</v>
      </c>
      <c r="M69" s="46">
        <v>0.0</v>
      </c>
      <c r="N69" s="47">
        <f t="shared" ref="N69:O69" si="71">C69+L69</f>
        <v>35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2</v>
      </c>
      <c r="V69" s="46">
        <f t="shared" si="6"/>
        <v>-1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desc"",0)"),"Jim Miao")</f>
        <v>Jim Miao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IFERROR(__xludf.DUMMYFUNCTION("""COMPUTED_VALUE"""),6.0)</f>
        <v>6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IFERROR(__xludf.DUMMYFUNCTION("""COMPUTED_VALUE"""),"Robert Chang")</f>
        <v>Robert Chang</v>
      </c>
      <c r="C77" s="84">
        <f>IFERROR(__xludf.DUMMYFUNCTION("""COMPUTED_VALUE"""),18.0)</f>
        <v>18</v>
      </c>
      <c r="D77" s="84">
        <f>IFERROR(__xludf.DUMMYFUNCTION("""COMPUTED_VALUE"""),3.0)</f>
        <v>3</v>
      </c>
      <c r="E77" s="84">
        <f>IFERROR(__xludf.DUMMYFUNCTION("""COMPUTED_VALUE"""),9.0)</f>
        <v>9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IFERROR(__xludf.DUMMYFUNCTION("""COMPUTED_VALUE"""),"Pavan Akkimsetty")</f>
        <v>Pavan Akkimsetty</v>
      </c>
      <c r="C78" s="84">
        <f>IFERROR(__xludf.DUMMYFUNCTION("""COMPUTED_VALUE"""),18.0)</f>
        <v>18</v>
      </c>
      <c r="D78" s="84">
        <f>IFERROR(__xludf.DUMMYFUNCTION("""COMPUTED_VALUE"""),3.0)</f>
        <v>3</v>
      </c>
      <c r="E78" s="84">
        <f>IFERROR(__xludf.DUMMYFUNCTION("""COMPUTED_VALUE"""),1.0)</f>
        <v>1</v>
      </c>
      <c r="F78" s="1"/>
    </row>
    <row r="79">
      <c r="A79" s="1"/>
      <c r="B79" s="43" t="str">
        <f>IFERROR(__xludf.DUMMYFUNCTION("""COMPUTED_VALUE"""),"Mauricio Palacios")</f>
        <v>Mauricio Palacios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IFERROR(__xludf.DUMMYFUNCTION("""COMPUTED_VALUE"""),2.0)</f>
        <v>2</v>
      </c>
      <c r="F79" s="1"/>
      <c r="P79" s="33" t="s">
        <v>172</v>
      </c>
    </row>
    <row r="80">
      <c r="A80" s="1"/>
      <c r="B80" s="43" t="str">
        <f>IFERROR(__xludf.DUMMYFUNCTION("""COMPUTED_VALUE"""),"Troy Wong")</f>
        <v>Troy Wong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IFERROR(__xludf.DUMMYFUNCTION("""COMPUTED_VALUE"""),3.0)</f>
        <v>3</v>
      </c>
      <c r="F80" s="1"/>
      <c r="L80" s="33"/>
    </row>
    <row r="81">
      <c r="A81" s="1"/>
      <c r="B81" s="43" t="str">
        <f>IFERROR(__xludf.DUMMYFUNCTION("""COMPUTED_VALUE"""),"Adrian Tay")</f>
        <v>Adrian Tay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IFERROR(__xludf.DUMMYFUNCTION("""COMPUTED_VALUE"""),"Oscar Bonilla")</f>
        <v>Oscar Bonilla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IFERROR(__xludf.DUMMYFUNCTION("""COMPUTED_VALUE"""),8.0)</f>
        <v>8</v>
      </c>
      <c r="F82" s="1"/>
      <c r="L82" s="33"/>
    </row>
    <row r="83">
      <c r="A83" s="1"/>
      <c r="B83" s="43" t="str">
        <f>IFERROR(__xludf.DUMMYFUNCTION("""COMPUTED_VALUE"""),"Sandeep Kamalon")</f>
        <v>Sandeep Kamalon</v>
      </c>
      <c r="C83" s="84">
        <f>IFERROR(__xludf.DUMMYFUNCTION("""COMPUTED_VALUE"""),18.0)</f>
        <v>18</v>
      </c>
      <c r="D83" s="84">
        <f>IFERROR(__xludf.DUMMYFUNCTION("""COMPUTED_VALUE"""),2.0)</f>
        <v>2</v>
      </c>
      <c r="E83" s="84">
        <f>IFERROR(__xludf.DUMMYFUNCTION("""COMPUTED_VALUE"""),10.0)</f>
        <v>10</v>
      </c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10"")"),"Troy Wong")</f>
        <v>Troy Wong</v>
      </c>
      <c r="C90" s="84">
        <f>IFERROR(__xludf.DUMMYFUNCTION("""COMPUTED_VALUE"""),24.0)</f>
        <v>24</v>
      </c>
      <c r="D90" s="84">
        <f t="shared" ref="D90:D99" si="72">VLOOKUP(B90,indirect($AB$2&amp;"!B$5:w$70"),22, false)</f>
        <v>55</v>
      </c>
      <c r="E90" s="84">
        <f t="shared" ref="E90:E99" si="73">VLOOKUP(B90,B$5:W$69,22, false)</f>
        <v>31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10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IFERROR(__xludf.DUMMYFUNCTION("""COMPUTED_VALUE"""),"Matthew Huang")</f>
        <v>Matthew Huang</v>
      </c>
      <c r="C91" s="84">
        <f>IFERROR(__xludf.DUMMYFUNCTION("""COMPUTED_VALUE"""),23.0)</f>
        <v>23</v>
      </c>
      <c r="D91" s="84">
        <f t="shared" si="72"/>
        <v>45</v>
      </c>
      <c r="E91" s="84">
        <f t="shared" si="73"/>
        <v>22</v>
      </c>
      <c r="F91" s="84">
        <f t="shared" si="74"/>
        <v>19</v>
      </c>
      <c r="G91" s="84">
        <f t="shared" si="75"/>
        <v>7</v>
      </c>
      <c r="L91" s="84" t="str">
        <f t="shared" si="76"/>
        <v>ok</v>
      </c>
    </row>
    <row r="92">
      <c r="A92" s="1"/>
      <c r="B92" s="43" t="str">
        <f>IFERROR(__xludf.DUMMYFUNCTION("""COMPUTED_VALUE"""),"Susanta Mishra")</f>
        <v>Susanta Mishra</v>
      </c>
      <c r="C92" s="84">
        <f>IFERROR(__xludf.DUMMYFUNCTION("""COMPUTED_VALUE"""),23.0)</f>
        <v>23</v>
      </c>
      <c r="D92" s="84">
        <f t="shared" si="72"/>
        <v>47</v>
      </c>
      <c r="E92" s="84">
        <f t="shared" si="73"/>
        <v>24</v>
      </c>
      <c r="F92" s="84">
        <f t="shared" si="74"/>
        <v>18</v>
      </c>
      <c r="G92" s="84">
        <f t="shared" si="75"/>
        <v>8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IFERROR(__xludf.DUMMYFUNCTION("""COMPUTED_VALUE"""),"Chinna Ponnaganti")</f>
        <v>Chinna Ponnaganti</v>
      </c>
      <c r="C93" s="84">
        <f>IFERROR(__xludf.DUMMYFUNCTION("""COMPUTED_VALUE"""),21.0)</f>
        <v>21</v>
      </c>
      <c r="D93" s="84">
        <f t="shared" si="72"/>
        <v>35</v>
      </c>
      <c r="E93" s="84">
        <f t="shared" si="73"/>
        <v>14</v>
      </c>
      <c r="F93" s="84">
        <f t="shared" si="74"/>
        <v>18</v>
      </c>
      <c r="G93" s="84">
        <f t="shared" si="75"/>
        <v>6</v>
      </c>
      <c r="L93" s="84" t="str">
        <f t="shared" si="76"/>
        <v>ok</v>
      </c>
    </row>
    <row r="94">
      <c r="A94" s="1"/>
      <c r="B94" s="43" t="str">
        <f>IFERROR(__xludf.DUMMYFUNCTION("""COMPUTED_VALUE"""),"David Shin")</f>
        <v>David Shin</v>
      </c>
      <c r="C94" s="84">
        <f>IFERROR(__xludf.DUMMYFUNCTION("""COMPUTED_VALUE"""),19.0)</f>
        <v>19</v>
      </c>
      <c r="D94" s="84">
        <f t="shared" si="72"/>
        <v>44</v>
      </c>
      <c r="E94" s="84">
        <f t="shared" si="73"/>
        <v>25</v>
      </c>
      <c r="F94" s="84">
        <f t="shared" si="74"/>
        <v>18</v>
      </c>
      <c r="G94" s="84">
        <f t="shared" si="75"/>
        <v>7</v>
      </c>
      <c r="L94" s="84" t="str">
        <f t="shared" si="76"/>
        <v>ok</v>
      </c>
    </row>
    <row r="95">
      <c r="A95" s="1"/>
      <c r="B95" s="43" t="str">
        <f>IFERROR(__xludf.DUMMYFUNCTION("""COMPUTED_VALUE"""),"Sandeep Kamalon")</f>
        <v>Sandeep Kamalon</v>
      </c>
      <c r="C95" s="84">
        <f>IFERROR(__xludf.DUMMYFUNCTION("""COMPUTED_VALUE"""),18.0)</f>
        <v>18</v>
      </c>
      <c r="D95" s="84">
        <f t="shared" si="72"/>
        <v>26</v>
      </c>
      <c r="E95" s="84">
        <f t="shared" si="73"/>
        <v>8</v>
      </c>
      <c r="F95" s="84">
        <f t="shared" si="74"/>
        <v>19</v>
      </c>
      <c r="G95" s="84">
        <f t="shared" si="75"/>
        <v>4</v>
      </c>
      <c r="L95" s="84" t="str">
        <f t="shared" si="76"/>
        <v>ok</v>
      </c>
    </row>
    <row r="96">
      <c r="A96" s="1"/>
      <c r="B96" s="43" t="str">
        <f>IFERROR(__xludf.DUMMYFUNCTION("""COMPUTED_VALUE"""),"Tom Le")</f>
        <v>Tom Le</v>
      </c>
      <c r="C96" s="84">
        <f>IFERROR(__xludf.DUMMYFUNCTION("""COMPUTED_VALUE"""),17.0)</f>
        <v>17</v>
      </c>
      <c r="D96" s="84">
        <f t="shared" si="72"/>
        <v>29</v>
      </c>
      <c r="E96" s="84">
        <f t="shared" si="73"/>
        <v>12</v>
      </c>
      <c r="F96" s="84">
        <f t="shared" si="74"/>
        <v>18</v>
      </c>
      <c r="G96" s="84">
        <f t="shared" si="75"/>
        <v>5</v>
      </c>
      <c r="L96" s="84" t="str">
        <f t="shared" si="76"/>
        <v>ok</v>
      </c>
    </row>
    <row r="97">
      <c r="A97" s="1"/>
      <c r="B97" s="43" t="str">
        <f>IFERROR(__xludf.DUMMYFUNCTION("""COMPUTED_VALUE"""),"Pavan Akkimsetty")</f>
        <v>Pavan Akkimsetty</v>
      </c>
      <c r="C97" s="84">
        <f>IFERROR(__xludf.DUMMYFUNCTION("""COMPUTED_VALUE"""),16.0)</f>
        <v>16</v>
      </c>
      <c r="D97" s="84">
        <f t="shared" si="72"/>
        <v>27</v>
      </c>
      <c r="E97" s="84">
        <f t="shared" si="73"/>
        <v>11</v>
      </c>
      <c r="F97" s="84">
        <f t="shared" si="74"/>
        <v>18</v>
      </c>
      <c r="G97" s="84">
        <f t="shared" si="75"/>
        <v>4</v>
      </c>
      <c r="L97" s="84" t="str">
        <f t="shared" si="76"/>
        <v>ok</v>
      </c>
    </row>
    <row r="98">
      <c r="A98" s="1"/>
      <c r="B98" s="43" t="str">
        <f>IFERROR(__xludf.DUMMYFUNCTION("""COMPUTED_VALUE"""),"Robert Chang")</f>
        <v>Robert Chang</v>
      </c>
      <c r="C98" s="84">
        <f>IFERROR(__xludf.DUMMYFUNCTION("""COMPUTED_VALUE"""),14.0)</f>
        <v>14</v>
      </c>
      <c r="D98" s="84">
        <f t="shared" si="72"/>
        <v>17</v>
      </c>
      <c r="E98" s="84">
        <f t="shared" si="73"/>
        <v>3</v>
      </c>
      <c r="F98" s="84">
        <f t="shared" si="74"/>
        <v>18</v>
      </c>
      <c r="G98" s="84">
        <f t="shared" si="75"/>
        <v>9</v>
      </c>
      <c r="L98" s="84" t="str">
        <f t="shared" si="76"/>
        <v>ok</v>
      </c>
    </row>
    <row r="99">
      <c r="A99" s="1"/>
      <c r="B99" s="43" t="str">
        <f>IFERROR(__xludf.DUMMYFUNCTION("""COMPUTED_VALUE"""),"Jonathan Phan")</f>
        <v>Jonathan Phan</v>
      </c>
      <c r="C99" s="84">
        <f>IFERROR(__xludf.DUMMYFUNCTION("""COMPUTED_VALUE"""),14.0)</f>
        <v>14</v>
      </c>
      <c r="D99" s="84">
        <f t="shared" si="72"/>
        <v>20</v>
      </c>
      <c r="E99" s="84">
        <f t="shared" si="73"/>
        <v>6</v>
      </c>
      <c r="F99" s="84">
        <f t="shared" si="74"/>
        <v>18</v>
      </c>
      <c r="G99" s="84">
        <f t="shared" si="75"/>
        <v>3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10"")"),"Saravanan Veerapandian")</f>
        <v>Saravanan Veerapandian</v>
      </c>
      <c r="C103" s="84">
        <f>IFERROR(__xludf.DUMMYFUNCTION("""COMPUTED_VALUE"""),-15.0)</f>
        <v>-15</v>
      </c>
      <c r="D103" s="84">
        <f t="shared" ref="D103:D112" si="77">VLOOKUP(B103,indirect($AB$2&amp;"!B$5:w$70"),22, false)</f>
        <v>14</v>
      </c>
      <c r="E103" s="84">
        <f t="shared" ref="E103:E112" si="78">VLOOKUP(B103,B$5:W$69,22, false)</f>
        <v>29</v>
      </c>
      <c r="F103" s="84">
        <f t="shared" ref="F103:F112" si="79">VLOOKUP(B103,indirect($AB$2&amp;"!B$5:U$70"),11, false)</f>
        <v>9</v>
      </c>
      <c r="G103" s="84">
        <f t="shared" ref="G103:G112" si="80">VLOOKUP(B103,indirect($AB$2&amp;"!B$5:U$70"),6, false)</f>
        <v>2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IFERROR(__xludf.DUMMYFUNCTION("""COMPUTED_VALUE"""),"Adrian Tay")</f>
        <v>Adrian Tay</v>
      </c>
      <c r="C104" s="84">
        <f>IFERROR(__xludf.DUMMYFUNCTION("""COMPUTED_VALUE"""),-15.0)</f>
        <v>-15</v>
      </c>
      <c r="D104" s="84">
        <f t="shared" si="77"/>
        <v>22</v>
      </c>
      <c r="E104" s="84">
        <f t="shared" si="78"/>
        <v>37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IFERROR(__xludf.DUMMYFUNCTION("""COMPUTED_VALUE"""),"Mauricio Palacios")</f>
        <v>Mauricio Palacios</v>
      </c>
      <c r="C105" s="84">
        <f>IFERROR(__xludf.DUMMYFUNCTION("""COMPUTED_VALUE"""),-14.0)</f>
        <v>-14</v>
      </c>
      <c r="D105" s="84">
        <f t="shared" si="77"/>
        <v>4</v>
      </c>
      <c r="E105" s="84">
        <f t="shared" si="78"/>
        <v>18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IFERROR(__xludf.DUMMYFUNCTION("""COMPUTED_VALUE"""),"Ethan Gu")</f>
        <v>Ethan Gu</v>
      </c>
      <c r="C106" s="84">
        <f>IFERROR(__xludf.DUMMYFUNCTION("""COMPUTED_VALUE"""),-14.0)</f>
        <v>-14</v>
      </c>
      <c r="D106" s="84">
        <f t="shared" si="77"/>
        <v>5</v>
      </c>
      <c r="E106" s="84">
        <f t="shared" si="78"/>
        <v>19</v>
      </c>
      <c r="F106" s="84">
        <f t="shared" si="79"/>
        <v>9</v>
      </c>
      <c r="G106" s="84">
        <f t="shared" si="80"/>
        <v>0</v>
      </c>
      <c r="L106" s="84" t="str">
        <f t="shared" si="81"/>
        <v>ok</v>
      </c>
    </row>
    <row r="107">
      <c r="A107" s="1"/>
      <c r="B107" s="43" t="str">
        <f>IFERROR(__xludf.DUMMYFUNCTION("""COMPUTED_VALUE"""),"Cid Macaraeg")</f>
        <v>Cid Macaraeg</v>
      </c>
      <c r="C107" s="84">
        <f>IFERROR(__xludf.DUMMYFUNCTION("""COMPUTED_VALUE"""),-14.0)</f>
        <v>-14</v>
      </c>
      <c r="D107" s="84">
        <f t="shared" si="77"/>
        <v>6</v>
      </c>
      <c r="E107" s="84">
        <f t="shared" si="78"/>
        <v>20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IFERROR(__xludf.DUMMYFUNCTION("""COMPUTED_VALUE"""),"Rajasekar Ramasamy")</f>
        <v>Rajasekar Ramasamy</v>
      </c>
      <c r="C108" s="84">
        <f>IFERROR(__xludf.DUMMYFUNCTION("""COMPUTED_VALUE"""),-14.0)</f>
        <v>-14</v>
      </c>
      <c r="D108" s="84">
        <f t="shared" si="77"/>
        <v>7</v>
      </c>
      <c r="E108" s="84">
        <f t="shared" si="78"/>
        <v>21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IFERROR(__xludf.DUMMYFUNCTION("""COMPUTED_VALUE"""),"James Phan")</f>
        <v>James Phan</v>
      </c>
      <c r="C109" s="84">
        <f>IFERROR(__xludf.DUMMYFUNCTION("""COMPUTED_VALUE"""),-14.0)</f>
        <v>-14</v>
      </c>
      <c r="D109" s="84">
        <f t="shared" si="77"/>
        <v>12</v>
      </c>
      <c r="E109" s="84">
        <f t="shared" si="78"/>
        <v>26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IFERROR(__xludf.DUMMYFUNCTION("""COMPUTED_VALUE"""),"Joe Luzzi")</f>
        <v>Joe Luzzi</v>
      </c>
      <c r="C110" s="84">
        <f>IFERROR(__xludf.DUMMYFUNCTION("""COMPUTED_VALUE"""),-14.0)</f>
        <v>-14</v>
      </c>
      <c r="D110" s="84">
        <f t="shared" si="77"/>
        <v>19</v>
      </c>
      <c r="E110" s="84">
        <f t="shared" si="78"/>
        <v>33</v>
      </c>
      <c r="F110" s="84">
        <f t="shared" si="79"/>
        <v>8</v>
      </c>
      <c r="G110" s="84">
        <f t="shared" si="80"/>
        <v>9</v>
      </c>
      <c r="L110" s="84" t="str">
        <f t="shared" si="81"/>
        <v>ok</v>
      </c>
    </row>
    <row r="111">
      <c r="A111" s="1"/>
      <c r="B111" s="43" t="str">
        <f>IFERROR(__xludf.DUMMYFUNCTION("""COMPUTED_VALUE"""),"Lloyd Sagar")</f>
        <v>Lloyd Sagar</v>
      </c>
      <c r="C111" s="84">
        <f>IFERROR(__xludf.DUMMYFUNCTION("""COMPUTED_VALUE"""),-13.0)</f>
        <v>-13</v>
      </c>
      <c r="D111" s="84">
        <f t="shared" si="77"/>
        <v>15</v>
      </c>
      <c r="E111" s="84">
        <f t="shared" si="78"/>
        <v>28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IFERROR(__xludf.DUMMYFUNCTION("""COMPUTED_VALUE"""),"Kumar Palakeel")</f>
        <v>Kumar Palakeel</v>
      </c>
      <c r="C112" s="84">
        <f>IFERROR(__xludf.DUMMYFUNCTION("""COMPUTED_VALUE"""),-13.0)</f>
        <v>-13</v>
      </c>
      <c r="D112" s="84">
        <f t="shared" si="77"/>
        <v>23</v>
      </c>
      <c r="E112" s="84">
        <f t="shared" si="78"/>
        <v>36</v>
      </c>
      <c r="F112" s="84">
        <f t="shared" si="79"/>
        <v>9</v>
      </c>
      <c r="G112" s="84">
        <f t="shared" si="80"/>
        <v>3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104">
        <v>45675.0</v>
      </c>
      <c r="G1" s="8"/>
      <c r="H1" s="8"/>
      <c r="I1" s="8"/>
      <c r="L1" s="8"/>
      <c r="N1" s="8"/>
      <c r="V1" s="105"/>
    </row>
    <row r="2">
      <c r="A2" s="1"/>
      <c r="B2" s="12" t="s">
        <v>15</v>
      </c>
      <c r="D2" s="17">
        <v>2.0</v>
      </c>
      <c r="E2" s="1"/>
      <c r="F2" s="1"/>
      <c r="R2" s="19"/>
      <c r="AB2" s="20" t="str">
        <f>text(C1-7,"mm/dd/yy")</f>
        <v>01/11/25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44</v>
      </c>
      <c r="C5" s="100">
        <v>38.0</v>
      </c>
      <c r="D5" s="100">
        <v>6.0</v>
      </c>
      <c r="E5" s="36">
        <f t="shared" ref="E5:E69" si="2">if(($D$2-U5-S5)&lt;&gt;0,(C5-(U5*9)-(S5*13))/($D$2-U5-S5),0)</f>
        <v>29</v>
      </c>
      <c r="F5" s="102">
        <v>3.0</v>
      </c>
      <c r="G5" s="46">
        <v>0.0</v>
      </c>
      <c r="H5" s="47">
        <v>9.0</v>
      </c>
      <c r="I5" s="46">
        <v>0.0</v>
      </c>
      <c r="J5" s="46">
        <v>0.0</v>
      </c>
      <c r="K5" s="46">
        <v>0.0</v>
      </c>
      <c r="L5" s="103">
        <v>9.0</v>
      </c>
      <c r="M5" s="46">
        <v>0.0</v>
      </c>
      <c r="N5" s="31">
        <f t="shared" ref="N5:O5" si="1">C5+L5</f>
        <v>47</v>
      </c>
      <c r="O5" s="31">
        <f t="shared" si="1"/>
        <v>6</v>
      </c>
      <c r="P5" s="45" t="s">
        <v>58</v>
      </c>
      <c r="Q5" s="45" t="s">
        <v>58</v>
      </c>
      <c r="R5" s="45"/>
      <c r="S5" s="46">
        <f t="shared" ref="S5:S69" si="4">if(H5=13,1,0)+VLOOKUP(B5,indirect($AB$2&amp;"!B:T"),18,false)</f>
        <v>0</v>
      </c>
      <c r="T5" s="46"/>
      <c r="U5" s="46">
        <f t="shared" ref="U5:U69" si="5">if(H5=9,1,0)+VLOOKUP(B5,indirect($AB$2&amp;"!B:U"),20,false)</f>
        <v>1</v>
      </c>
      <c r="V5" s="46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43" t="s">
        <v>87</v>
      </c>
      <c r="C6" s="101">
        <v>35.0</v>
      </c>
      <c r="D6" s="100">
        <v>4.0</v>
      </c>
      <c r="E6" s="36">
        <f t="shared" si="2"/>
        <v>17.5</v>
      </c>
      <c r="F6" s="102">
        <v>1.0</v>
      </c>
      <c r="G6" s="46">
        <v>1.0</v>
      </c>
      <c r="H6" s="47">
        <v>0.0</v>
      </c>
      <c r="I6" s="46">
        <v>5.0</v>
      </c>
      <c r="J6" s="46">
        <v>4.0</v>
      </c>
      <c r="K6" s="46">
        <v>6.0</v>
      </c>
      <c r="L6" s="103">
        <v>15.0</v>
      </c>
      <c r="M6" s="46">
        <v>1.0</v>
      </c>
      <c r="N6" s="47">
        <f t="shared" ref="N6:O6" si="3">C6+L6</f>
        <v>50</v>
      </c>
      <c r="O6" s="31">
        <f t="shared" si="3"/>
        <v>5</v>
      </c>
      <c r="P6" s="45" t="s">
        <v>58</v>
      </c>
      <c r="Q6" s="45" t="s">
        <v>58</v>
      </c>
      <c r="R6" s="45"/>
      <c r="S6" s="46">
        <f t="shared" si="4"/>
        <v>0</v>
      </c>
      <c r="T6" s="46"/>
      <c r="U6" s="46">
        <f t="shared" si="5"/>
        <v>0</v>
      </c>
      <c r="V6" s="46">
        <f t="shared" si="6"/>
        <v>7</v>
      </c>
      <c r="W6" s="30">
        <f t="shared" ref="W6:W68" si="9">W5+1</f>
        <v>2</v>
      </c>
    </row>
    <row r="7">
      <c r="A7" s="30">
        <f t="shared" si="7"/>
        <v>3</v>
      </c>
      <c r="B7" s="28" t="s">
        <v>95</v>
      </c>
      <c r="C7" s="100">
        <v>33.0</v>
      </c>
      <c r="D7" s="100">
        <v>3.0</v>
      </c>
      <c r="E7" s="36">
        <f t="shared" si="2"/>
        <v>16.5</v>
      </c>
      <c r="F7" s="102">
        <v>1.0</v>
      </c>
      <c r="G7" s="46">
        <v>1.0</v>
      </c>
      <c r="H7" s="47">
        <v>0.0</v>
      </c>
      <c r="I7" s="46">
        <v>7.0</v>
      </c>
      <c r="J7" s="46">
        <v>6.0</v>
      </c>
      <c r="K7" s="46">
        <v>6.0</v>
      </c>
      <c r="L7" s="103">
        <v>19.0</v>
      </c>
      <c r="M7" s="46">
        <v>3.0</v>
      </c>
      <c r="N7" s="31">
        <f t="shared" ref="N7:O7" si="8">C7+L7</f>
        <v>52</v>
      </c>
      <c r="O7" s="31">
        <f t="shared" si="8"/>
        <v>6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0</v>
      </c>
      <c r="V7" s="46">
        <f t="shared" si="6"/>
        <v>2</v>
      </c>
      <c r="W7" s="30">
        <f t="shared" si="9"/>
        <v>3</v>
      </c>
    </row>
    <row r="8">
      <c r="A8" s="30">
        <f t="shared" si="7"/>
        <v>4</v>
      </c>
      <c r="B8" s="28" t="s">
        <v>98</v>
      </c>
      <c r="C8" s="100">
        <v>32.0</v>
      </c>
      <c r="D8" s="100">
        <v>4.0</v>
      </c>
      <c r="E8" s="36">
        <f t="shared" si="2"/>
        <v>23</v>
      </c>
      <c r="F8" s="102">
        <v>3.0</v>
      </c>
      <c r="G8" s="46">
        <v>0.0</v>
      </c>
      <c r="H8" s="47">
        <v>9.0</v>
      </c>
      <c r="I8" s="46">
        <v>0.0</v>
      </c>
      <c r="J8" s="46">
        <v>0.0</v>
      </c>
      <c r="K8" s="46">
        <v>0.0</v>
      </c>
      <c r="L8" s="103">
        <v>9.0</v>
      </c>
      <c r="M8" s="46">
        <v>0.0</v>
      </c>
      <c r="N8" s="31">
        <f t="shared" ref="N8:O8" si="10">C8+L8</f>
        <v>41</v>
      </c>
      <c r="O8" s="31">
        <f t="shared" si="10"/>
        <v>4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1</v>
      </c>
      <c r="V8" s="46">
        <f t="shared" si="6"/>
        <v>12</v>
      </c>
      <c r="W8" s="30">
        <f t="shared" si="9"/>
        <v>4</v>
      </c>
    </row>
    <row r="9">
      <c r="A9" s="30">
        <f t="shared" si="7"/>
        <v>5</v>
      </c>
      <c r="B9" s="43" t="s">
        <v>64</v>
      </c>
      <c r="C9" s="101">
        <v>32.0</v>
      </c>
      <c r="D9" s="100">
        <v>4.0</v>
      </c>
      <c r="E9" s="36">
        <f t="shared" si="2"/>
        <v>23</v>
      </c>
      <c r="F9" s="102">
        <v>3.0</v>
      </c>
      <c r="G9" s="46">
        <v>0.0</v>
      </c>
      <c r="H9" s="47">
        <v>9.0</v>
      </c>
      <c r="I9" s="46">
        <v>0.0</v>
      </c>
      <c r="J9" s="46">
        <v>0.0</v>
      </c>
      <c r="K9" s="46">
        <v>0.0</v>
      </c>
      <c r="L9" s="103">
        <v>9.0</v>
      </c>
      <c r="M9" s="46">
        <v>0.0</v>
      </c>
      <c r="N9" s="47">
        <f t="shared" ref="N9:O9" si="11">C9+L9</f>
        <v>41</v>
      </c>
      <c r="O9" s="31">
        <f t="shared" si="11"/>
        <v>4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1</v>
      </c>
      <c r="V9" s="46">
        <f t="shared" si="6"/>
        <v>13</v>
      </c>
      <c r="W9" s="30">
        <f t="shared" si="9"/>
        <v>5</v>
      </c>
    </row>
    <row r="10">
      <c r="A10" s="30">
        <f t="shared" si="7"/>
        <v>6</v>
      </c>
      <c r="B10" s="43" t="s">
        <v>94</v>
      </c>
      <c r="C10" s="100">
        <v>32.0</v>
      </c>
      <c r="D10" s="100">
        <v>3.0</v>
      </c>
      <c r="E10" s="36">
        <f t="shared" si="2"/>
        <v>0</v>
      </c>
      <c r="F10" s="102">
        <v>3.0</v>
      </c>
      <c r="G10" s="46">
        <v>0.0</v>
      </c>
      <c r="H10" s="47">
        <v>9.0</v>
      </c>
      <c r="I10" s="46">
        <v>0.0</v>
      </c>
      <c r="J10" s="46">
        <v>0.0</v>
      </c>
      <c r="K10" s="46">
        <v>0.0</v>
      </c>
      <c r="L10" s="103">
        <v>9.0</v>
      </c>
      <c r="M10" s="46">
        <v>0.0</v>
      </c>
      <c r="N10" s="31">
        <f t="shared" ref="N10:O10" si="12">C10+L10</f>
        <v>41</v>
      </c>
      <c r="O10" s="31">
        <f t="shared" si="12"/>
        <v>3</v>
      </c>
      <c r="P10" s="45" t="s">
        <v>58</v>
      </c>
      <c r="Q10" s="45" t="s">
        <v>58</v>
      </c>
      <c r="R10" s="45"/>
      <c r="S10" s="46">
        <f t="shared" si="4"/>
        <v>1</v>
      </c>
      <c r="T10" s="46"/>
      <c r="U10" s="46">
        <f t="shared" si="5"/>
        <v>1</v>
      </c>
      <c r="V10" s="46">
        <f t="shared" si="6"/>
        <v>-4</v>
      </c>
      <c r="W10" s="30">
        <f t="shared" si="9"/>
        <v>6</v>
      </c>
    </row>
    <row r="11">
      <c r="A11" s="30">
        <f t="shared" si="7"/>
        <v>7</v>
      </c>
      <c r="B11" s="28" t="s">
        <v>89</v>
      </c>
      <c r="C11" s="100">
        <v>32.0</v>
      </c>
      <c r="D11" s="100">
        <v>3.0</v>
      </c>
      <c r="E11" s="36">
        <f t="shared" si="2"/>
        <v>0</v>
      </c>
      <c r="F11" s="102">
        <v>3.0</v>
      </c>
      <c r="G11" s="46">
        <v>0.0</v>
      </c>
      <c r="H11" s="47">
        <v>9.0</v>
      </c>
      <c r="I11" s="46">
        <v>0.0</v>
      </c>
      <c r="J11" s="46">
        <v>0.0</v>
      </c>
      <c r="K11" s="46">
        <v>0.0</v>
      </c>
      <c r="L11" s="103">
        <v>9.0</v>
      </c>
      <c r="M11" s="46">
        <v>0.0</v>
      </c>
      <c r="N11" s="31">
        <f t="shared" ref="N11:O11" si="13">C11+L11</f>
        <v>41</v>
      </c>
      <c r="O11" s="31">
        <f t="shared" si="13"/>
        <v>3</v>
      </c>
      <c r="P11" s="45" t="s">
        <v>58</v>
      </c>
      <c r="Q11" s="45" t="s">
        <v>58</v>
      </c>
      <c r="R11" s="45"/>
      <c r="S11" s="46">
        <f t="shared" si="4"/>
        <v>1</v>
      </c>
      <c r="T11" s="46"/>
      <c r="U11" s="46">
        <f t="shared" si="5"/>
        <v>1</v>
      </c>
      <c r="V11" s="46">
        <f t="shared" si="6"/>
        <v>22</v>
      </c>
      <c r="W11" s="30">
        <f t="shared" si="9"/>
        <v>7</v>
      </c>
    </row>
    <row r="12">
      <c r="A12" s="30">
        <f t="shared" si="7"/>
        <v>8</v>
      </c>
      <c r="B12" s="43" t="s">
        <v>79</v>
      </c>
      <c r="C12" s="100">
        <v>32.0</v>
      </c>
      <c r="D12" s="100">
        <v>3.0</v>
      </c>
      <c r="E12" s="36">
        <f t="shared" si="2"/>
        <v>16</v>
      </c>
      <c r="F12" s="102">
        <v>1.0</v>
      </c>
      <c r="G12" s="46">
        <v>1.0</v>
      </c>
      <c r="H12" s="47">
        <v>0.0</v>
      </c>
      <c r="I12" s="46">
        <v>5.0</v>
      </c>
      <c r="J12" s="46">
        <v>6.0</v>
      </c>
      <c r="K12" s="46">
        <v>2.0</v>
      </c>
      <c r="L12" s="103">
        <v>13.0</v>
      </c>
      <c r="M12" s="46">
        <v>1.0</v>
      </c>
      <c r="N12" s="31">
        <f t="shared" ref="N12:O12" si="14">C12+L12</f>
        <v>45</v>
      </c>
      <c r="O12" s="31">
        <f t="shared" si="14"/>
        <v>4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0</v>
      </c>
      <c r="V12" s="46">
        <f t="shared" si="6"/>
        <v>-1</v>
      </c>
      <c r="W12" s="30">
        <f t="shared" si="9"/>
        <v>8</v>
      </c>
    </row>
    <row r="13">
      <c r="A13" s="30">
        <f t="shared" si="7"/>
        <v>9</v>
      </c>
      <c r="B13" s="43" t="s">
        <v>132</v>
      </c>
      <c r="C13" s="100">
        <v>31.0</v>
      </c>
      <c r="D13" s="100">
        <v>4.0</v>
      </c>
      <c r="E13" s="36">
        <f t="shared" si="2"/>
        <v>15.5</v>
      </c>
      <c r="F13" s="102">
        <v>1.0</v>
      </c>
      <c r="G13" s="46">
        <v>1.0</v>
      </c>
      <c r="H13" s="47">
        <v>0.0</v>
      </c>
      <c r="I13" s="46">
        <v>7.0</v>
      </c>
      <c r="J13" s="46">
        <v>4.0</v>
      </c>
      <c r="K13" s="46">
        <v>2.0</v>
      </c>
      <c r="L13" s="103">
        <v>13.0</v>
      </c>
      <c r="M13" s="46">
        <v>1.0</v>
      </c>
      <c r="N13" s="31">
        <f t="shared" ref="N13:O13" si="15">C13+L13</f>
        <v>44</v>
      </c>
      <c r="O13" s="31">
        <f t="shared" si="15"/>
        <v>5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0</v>
      </c>
      <c r="V13" s="46">
        <f t="shared" si="6"/>
        <v>-6</v>
      </c>
      <c r="W13" s="30">
        <f t="shared" si="9"/>
        <v>9</v>
      </c>
    </row>
    <row r="14">
      <c r="A14" s="30">
        <f t="shared" si="7"/>
        <v>10</v>
      </c>
      <c r="B14" s="28" t="s">
        <v>101</v>
      </c>
      <c r="C14" s="100">
        <v>31.0</v>
      </c>
      <c r="D14" s="100">
        <v>3.0</v>
      </c>
      <c r="E14" s="36">
        <f t="shared" si="2"/>
        <v>18</v>
      </c>
      <c r="F14" s="102">
        <v>1.0</v>
      </c>
      <c r="G14" s="46">
        <v>2.0</v>
      </c>
      <c r="H14" s="47">
        <v>0.0</v>
      </c>
      <c r="I14" s="46">
        <v>7.0</v>
      </c>
      <c r="J14" s="46">
        <v>2.0</v>
      </c>
      <c r="K14" s="46">
        <v>6.0</v>
      </c>
      <c r="L14" s="103">
        <v>15.0</v>
      </c>
      <c r="M14" s="46">
        <v>2.0</v>
      </c>
      <c r="N14" s="31">
        <f t="shared" ref="N14:O14" si="16">C14+L14</f>
        <v>46</v>
      </c>
      <c r="O14" s="31">
        <f t="shared" si="16"/>
        <v>5</v>
      </c>
      <c r="P14" s="45" t="s">
        <v>58</v>
      </c>
      <c r="Q14" s="45" t="s">
        <v>58</v>
      </c>
      <c r="R14" s="45"/>
      <c r="S14" s="46">
        <f t="shared" si="4"/>
        <v>1</v>
      </c>
      <c r="T14" s="46"/>
      <c r="U14" s="46">
        <f t="shared" si="5"/>
        <v>0</v>
      </c>
      <c r="V14" s="46">
        <f t="shared" si="6"/>
        <v>33</v>
      </c>
      <c r="W14" s="30">
        <f t="shared" si="9"/>
        <v>10</v>
      </c>
    </row>
    <row r="15">
      <c r="A15" s="30">
        <f t="shared" si="7"/>
        <v>11</v>
      </c>
      <c r="B15" s="28" t="s">
        <v>45</v>
      </c>
      <c r="C15" s="100">
        <v>31.0</v>
      </c>
      <c r="D15" s="100">
        <v>2.0</v>
      </c>
      <c r="E15" s="36">
        <f t="shared" si="2"/>
        <v>18</v>
      </c>
      <c r="F15" s="102">
        <v>1.0</v>
      </c>
      <c r="G15" s="46">
        <v>2.0</v>
      </c>
      <c r="H15" s="47">
        <v>0.0</v>
      </c>
      <c r="I15" s="46">
        <v>5.0</v>
      </c>
      <c r="J15" s="46">
        <v>6.0</v>
      </c>
      <c r="K15" s="46">
        <v>6.0</v>
      </c>
      <c r="L15" s="103">
        <v>17.0</v>
      </c>
      <c r="M15" s="46">
        <v>2.0</v>
      </c>
      <c r="N15" s="31">
        <f t="shared" ref="N15:O15" si="17">C15+L15</f>
        <v>48</v>
      </c>
      <c r="O15" s="31">
        <f t="shared" si="17"/>
        <v>4</v>
      </c>
      <c r="P15" s="45" t="s">
        <v>58</v>
      </c>
      <c r="Q15" s="45" t="s">
        <v>58</v>
      </c>
      <c r="R15" s="45"/>
      <c r="S15" s="46">
        <f t="shared" si="4"/>
        <v>1</v>
      </c>
      <c r="T15" s="46"/>
      <c r="U15" s="46">
        <f t="shared" si="5"/>
        <v>0</v>
      </c>
      <c r="V15" s="46">
        <f t="shared" si="6"/>
        <v>12</v>
      </c>
      <c r="W15" s="30">
        <f t="shared" si="9"/>
        <v>11</v>
      </c>
    </row>
    <row r="16">
      <c r="A16" s="30">
        <f t="shared" si="7"/>
        <v>12</v>
      </c>
      <c r="B16" s="43" t="s">
        <v>121</v>
      </c>
      <c r="C16" s="100">
        <v>31.0</v>
      </c>
      <c r="D16" s="100">
        <v>2.0</v>
      </c>
      <c r="E16" s="36">
        <f t="shared" si="2"/>
        <v>0</v>
      </c>
      <c r="F16" s="102">
        <v>3.0</v>
      </c>
      <c r="G16" s="46">
        <v>0.0</v>
      </c>
      <c r="H16" s="47">
        <v>9.0</v>
      </c>
      <c r="I16" s="46">
        <v>0.0</v>
      </c>
      <c r="J16" s="46">
        <v>0.0</v>
      </c>
      <c r="K16" s="46">
        <v>0.0</v>
      </c>
      <c r="L16" s="103">
        <v>9.0</v>
      </c>
      <c r="M16" s="46">
        <v>0.0</v>
      </c>
      <c r="N16" s="31">
        <f t="shared" ref="N16:O16" si="18">C16+L16</f>
        <v>40</v>
      </c>
      <c r="O16" s="31">
        <f t="shared" si="18"/>
        <v>2</v>
      </c>
      <c r="P16" s="45" t="s">
        <v>58</v>
      </c>
      <c r="Q16" s="45" t="s">
        <v>58</v>
      </c>
      <c r="R16" s="45"/>
      <c r="S16" s="46">
        <f t="shared" si="4"/>
        <v>1</v>
      </c>
      <c r="T16" s="46"/>
      <c r="U16" s="46">
        <f t="shared" si="5"/>
        <v>1</v>
      </c>
      <c r="V16" s="46">
        <f t="shared" si="6"/>
        <v>13</v>
      </c>
      <c r="W16" s="30">
        <f t="shared" si="9"/>
        <v>12</v>
      </c>
    </row>
    <row r="17">
      <c r="A17" s="30">
        <f t="shared" si="7"/>
        <v>13</v>
      </c>
      <c r="B17" s="28" t="s">
        <v>137</v>
      </c>
      <c r="C17" s="100">
        <v>30.0</v>
      </c>
      <c r="D17" s="100">
        <v>3.0</v>
      </c>
      <c r="E17" s="36">
        <f t="shared" si="2"/>
        <v>15</v>
      </c>
      <c r="F17" s="102">
        <v>1.0</v>
      </c>
      <c r="G17" s="46">
        <v>2.0</v>
      </c>
      <c r="H17" s="47">
        <v>0.0</v>
      </c>
      <c r="I17" s="46">
        <v>7.0</v>
      </c>
      <c r="J17" s="46">
        <v>6.0</v>
      </c>
      <c r="K17" s="46">
        <v>2.0</v>
      </c>
      <c r="L17" s="103">
        <v>15.0</v>
      </c>
      <c r="M17" s="46">
        <v>2.0</v>
      </c>
      <c r="N17" s="31">
        <f t="shared" ref="N17:O17" si="19">C17+L17</f>
        <v>45</v>
      </c>
      <c r="O17" s="31">
        <f t="shared" si="19"/>
        <v>5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-7</v>
      </c>
      <c r="W17" s="30">
        <f t="shared" si="9"/>
        <v>13</v>
      </c>
    </row>
    <row r="18">
      <c r="A18" s="30">
        <f t="shared" si="7"/>
        <v>14</v>
      </c>
      <c r="B18" s="43" t="s">
        <v>133</v>
      </c>
      <c r="C18" s="100">
        <v>30.0</v>
      </c>
      <c r="D18" s="100">
        <v>3.0</v>
      </c>
      <c r="E18" s="36">
        <f t="shared" si="2"/>
        <v>15</v>
      </c>
      <c r="F18" s="102">
        <v>1.0</v>
      </c>
      <c r="G18" s="46">
        <v>2.0</v>
      </c>
      <c r="H18" s="47">
        <v>0.0</v>
      </c>
      <c r="I18" s="46">
        <v>5.0</v>
      </c>
      <c r="J18" s="46">
        <v>2.0</v>
      </c>
      <c r="K18" s="46">
        <v>2.0</v>
      </c>
      <c r="L18" s="103">
        <v>9.0</v>
      </c>
      <c r="M18" s="46">
        <v>0.0</v>
      </c>
      <c r="N18" s="31">
        <f t="shared" ref="N18:O18" si="20">C18+L18</f>
        <v>39</v>
      </c>
      <c r="O18" s="31">
        <f t="shared" si="20"/>
        <v>3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0</v>
      </c>
      <c r="V18" s="46">
        <f t="shared" si="6"/>
        <v>-6</v>
      </c>
      <c r="W18" s="30">
        <f t="shared" si="9"/>
        <v>14</v>
      </c>
    </row>
    <row r="19">
      <c r="A19" s="30">
        <f t="shared" si="7"/>
        <v>15</v>
      </c>
      <c r="B19" s="43" t="s">
        <v>106</v>
      </c>
      <c r="C19" s="100">
        <v>30.0</v>
      </c>
      <c r="D19" s="100">
        <v>3.0</v>
      </c>
      <c r="E19" s="36">
        <f t="shared" si="2"/>
        <v>21</v>
      </c>
      <c r="F19" s="102">
        <v>3.0</v>
      </c>
      <c r="G19" s="46">
        <v>0.0</v>
      </c>
      <c r="H19" s="47">
        <v>9.0</v>
      </c>
      <c r="I19" s="46">
        <v>0.0</v>
      </c>
      <c r="J19" s="46">
        <v>0.0</v>
      </c>
      <c r="K19" s="46">
        <v>0.0</v>
      </c>
      <c r="L19" s="103">
        <v>9.0</v>
      </c>
      <c r="M19" s="46">
        <v>0.0</v>
      </c>
      <c r="N19" s="31">
        <f t="shared" ref="N19:O19" si="21">C19+L19</f>
        <v>39</v>
      </c>
      <c r="O19" s="31">
        <f t="shared" si="21"/>
        <v>3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1</v>
      </c>
      <c r="V19" s="46">
        <f t="shared" si="6"/>
        <v>-5</v>
      </c>
      <c r="W19" s="30">
        <f t="shared" si="9"/>
        <v>15</v>
      </c>
    </row>
    <row r="20">
      <c r="A20" s="30">
        <f t="shared" si="7"/>
        <v>16</v>
      </c>
      <c r="B20" s="43" t="s">
        <v>62</v>
      </c>
      <c r="C20" s="100">
        <v>30.0</v>
      </c>
      <c r="D20" s="100">
        <v>3.0</v>
      </c>
      <c r="E20" s="36">
        <f t="shared" si="2"/>
        <v>15</v>
      </c>
      <c r="F20" s="102">
        <v>2.0</v>
      </c>
      <c r="G20" s="46">
        <v>9.0</v>
      </c>
      <c r="H20" s="47">
        <v>0.0</v>
      </c>
      <c r="I20" s="46">
        <v>3.0</v>
      </c>
      <c r="J20" s="46">
        <v>6.0</v>
      </c>
      <c r="K20" s="46">
        <v>0.0</v>
      </c>
      <c r="L20" s="103">
        <v>9.0</v>
      </c>
      <c r="M20" s="46">
        <v>1.0</v>
      </c>
      <c r="N20" s="31">
        <f t="shared" ref="N20:O20" si="22">C20+L20</f>
        <v>39</v>
      </c>
      <c r="O20" s="31">
        <f t="shared" si="22"/>
        <v>4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0</v>
      </c>
      <c r="V20" s="46">
        <f t="shared" si="6"/>
        <v>-5</v>
      </c>
      <c r="W20" s="30">
        <f t="shared" si="9"/>
        <v>16</v>
      </c>
    </row>
    <row r="21">
      <c r="A21" s="30">
        <f t="shared" si="7"/>
        <v>17</v>
      </c>
      <c r="B21" s="28" t="s">
        <v>117</v>
      </c>
      <c r="C21" s="100">
        <v>30.0</v>
      </c>
      <c r="D21" s="100">
        <v>2.0</v>
      </c>
      <c r="E21" s="36">
        <f t="shared" si="2"/>
        <v>17</v>
      </c>
      <c r="F21" s="102">
        <v>2.0</v>
      </c>
      <c r="G21" s="46">
        <v>9.0</v>
      </c>
      <c r="H21" s="47">
        <v>0.0</v>
      </c>
      <c r="I21" s="46">
        <v>6.0</v>
      </c>
      <c r="J21" s="46">
        <v>6.0</v>
      </c>
      <c r="K21" s="46">
        <v>6.0</v>
      </c>
      <c r="L21" s="103">
        <v>18.0</v>
      </c>
      <c r="M21" s="46">
        <v>3.0</v>
      </c>
      <c r="N21" s="31">
        <f t="shared" ref="N21:O21" si="23">C21+L21</f>
        <v>48</v>
      </c>
      <c r="O21" s="31">
        <f t="shared" si="23"/>
        <v>5</v>
      </c>
      <c r="P21" s="45" t="s">
        <v>58</v>
      </c>
      <c r="Q21" s="45" t="s">
        <v>58</v>
      </c>
      <c r="R21" s="45"/>
      <c r="S21" s="46">
        <f t="shared" si="4"/>
        <v>1</v>
      </c>
      <c r="T21" s="46"/>
      <c r="U21" s="46">
        <f t="shared" si="5"/>
        <v>0</v>
      </c>
      <c r="V21" s="46">
        <f t="shared" si="6"/>
        <v>11</v>
      </c>
      <c r="W21" s="30">
        <f t="shared" si="9"/>
        <v>17</v>
      </c>
    </row>
    <row r="22">
      <c r="A22" s="30">
        <f t="shared" si="7"/>
        <v>18</v>
      </c>
      <c r="B22" s="28" t="s">
        <v>116</v>
      </c>
      <c r="C22" s="100">
        <v>29.0</v>
      </c>
      <c r="D22" s="100">
        <v>2.0</v>
      </c>
      <c r="E22" s="36">
        <f t="shared" si="2"/>
        <v>16</v>
      </c>
      <c r="F22" s="102">
        <v>2.0</v>
      </c>
      <c r="G22" s="46">
        <v>9.0</v>
      </c>
      <c r="H22" s="47">
        <v>0.0</v>
      </c>
      <c r="I22" s="46">
        <v>3.0</v>
      </c>
      <c r="J22" s="46">
        <v>2.0</v>
      </c>
      <c r="K22" s="46">
        <v>6.0</v>
      </c>
      <c r="L22" s="103">
        <v>11.0</v>
      </c>
      <c r="M22" s="46">
        <v>1.0</v>
      </c>
      <c r="N22" s="31">
        <f t="shared" ref="N22:O22" si="24">C22+L22</f>
        <v>40</v>
      </c>
      <c r="O22" s="31">
        <f t="shared" si="24"/>
        <v>3</v>
      </c>
      <c r="P22" s="45" t="s">
        <v>58</v>
      </c>
      <c r="Q22" s="45" t="s">
        <v>58</v>
      </c>
      <c r="R22" s="45"/>
      <c r="S22" s="46">
        <f t="shared" si="4"/>
        <v>1</v>
      </c>
      <c r="T22" s="46"/>
      <c r="U22" s="46">
        <f t="shared" si="5"/>
        <v>0</v>
      </c>
      <c r="V22" s="46">
        <f t="shared" si="6"/>
        <v>6</v>
      </c>
      <c r="W22" s="30">
        <f t="shared" si="9"/>
        <v>18</v>
      </c>
    </row>
    <row r="23">
      <c r="A23" s="30">
        <f t="shared" si="7"/>
        <v>19</v>
      </c>
      <c r="B23" s="28" t="s">
        <v>104</v>
      </c>
      <c r="C23" s="100">
        <v>29.0</v>
      </c>
      <c r="D23" s="100">
        <v>2.0</v>
      </c>
      <c r="E23" s="36">
        <f t="shared" si="2"/>
        <v>16</v>
      </c>
      <c r="F23" s="102">
        <v>2.0</v>
      </c>
      <c r="G23" s="46">
        <v>9.0</v>
      </c>
      <c r="H23" s="47">
        <v>0.0</v>
      </c>
      <c r="I23" s="46">
        <v>6.0</v>
      </c>
      <c r="J23" s="46">
        <v>2.0</v>
      </c>
      <c r="K23" s="46">
        <v>0.0</v>
      </c>
      <c r="L23" s="103">
        <v>8.0</v>
      </c>
      <c r="M23" s="46">
        <v>1.0</v>
      </c>
      <c r="N23" s="31">
        <f t="shared" ref="N23:O23" si="25">C23+L23</f>
        <v>37</v>
      </c>
      <c r="O23" s="31">
        <f t="shared" si="25"/>
        <v>3</v>
      </c>
      <c r="P23" s="45" t="s">
        <v>58</v>
      </c>
      <c r="Q23" s="45" t="s">
        <v>58</v>
      </c>
      <c r="R23" s="45"/>
      <c r="S23" s="46">
        <f t="shared" si="4"/>
        <v>1</v>
      </c>
      <c r="T23" s="46"/>
      <c r="U23" s="46">
        <f t="shared" si="5"/>
        <v>0</v>
      </c>
      <c r="V23" s="46">
        <f t="shared" si="6"/>
        <v>8</v>
      </c>
      <c r="W23" s="30">
        <f t="shared" si="9"/>
        <v>19</v>
      </c>
    </row>
    <row r="24">
      <c r="A24" s="30">
        <f t="shared" si="7"/>
        <v>20</v>
      </c>
      <c r="B24" s="28" t="s">
        <v>92</v>
      </c>
      <c r="C24" s="100">
        <v>28.0</v>
      </c>
      <c r="D24" s="100">
        <v>4.0</v>
      </c>
      <c r="E24" s="36">
        <f t="shared" si="2"/>
        <v>14</v>
      </c>
      <c r="F24" s="102">
        <v>2.0</v>
      </c>
      <c r="G24" s="46">
        <v>3.0</v>
      </c>
      <c r="H24" s="47">
        <v>0.0</v>
      </c>
      <c r="I24" s="46">
        <v>6.0</v>
      </c>
      <c r="J24" s="46">
        <v>6.0</v>
      </c>
      <c r="K24" s="46">
        <v>6.0</v>
      </c>
      <c r="L24" s="103">
        <v>18.0</v>
      </c>
      <c r="M24" s="46">
        <v>2.0</v>
      </c>
      <c r="N24" s="31">
        <f t="shared" ref="N24:O24" si="26">C24+L24</f>
        <v>46</v>
      </c>
      <c r="O24" s="31">
        <f t="shared" si="26"/>
        <v>6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32</v>
      </c>
      <c r="W24" s="30">
        <f t="shared" si="9"/>
        <v>20</v>
      </c>
    </row>
    <row r="25">
      <c r="A25" s="30">
        <f t="shared" si="7"/>
        <v>21</v>
      </c>
      <c r="B25" s="43" t="s">
        <v>129</v>
      </c>
      <c r="C25" s="101">
        <v>28.0</v>
      </c>
      <c r="D25" s="100">
        <v>3.0</v>
      </c>
      <c r="E25" s="36">
        <f t="shared" si="2"/>
        <v>14</v>
      </c>
      <c r="F25" s="102">
        <v>1.0</v>
      </c>
      <c r="G25" s="46">
        <v>3.0</v>
      </c>
      <c r="H25" s="47">
        <v>0.0</v>
      </c>
      <c r="I25" s="46">
        <v>6.0</v>
      </c>
      <c r="J25" s="46">
        <v>1.0</v>
      </c>
      <c r="K25" s="46">
        <v>7.0</v>
      </c>
      <c r="L25" s="103">
        <v>14.0</v>
      </c>
      <c r="M25" s="46">
        <v>2.0</v>
      </c>
      <c r="N25" s="47">
        <f t="shared" ref="N25:O25" si="27">C25+L25</f>
        <v>42</v>
      </c>
      <c r="O25" s="31">
        <f t="shared" si="27"/>
        <v>5</v>
      </c>
      <c r="P25" s="45" t="s">
        <v>58</v>
      </c>
      <c r="Q25" s="45" t="s">
        <v>58</v>
      </c>
      <c r="R25" s="45"/>
      <c r="S25" s="46">
        <f t="shared" si="4"/>
        <v>0</v>
      </c>
      <c r="T25" s="46"/>
      <c r="U25" s="46">
        <f t="shared" si="5"/>
        <v>0</v>
      </c>
      <c r="V25" s="46">
        <f t="shared" si="6"/>
        <v>-1</v>
      </c>
      <c r="W25" s="30">
        <f t="shared" si="9"/>
        <v>21</v>
      </c>
    </row>
    <row r="26">
      <c r="A26" s="30">
        <f t="shared" si="7"/>
        <v>22</v>
      </c>
      <c r="B26" s="28" t="s">
        <v>34</v>
      </c>
      <c r="C26" s="100">
        <v>27.0</v>
      </c>
      <c r="D26" s="100">
        <v>3.0</v>
      </c>
      <c r="E26" s="36">
        <f t="shared" si="2"/>
        <v>0</v>
      </c>
      <c r="F26" s="102">
        <v>3.0</v>
      </c>
      <c r="G26" s="46">
        <v>0.0</v>
      </c>
      <c r="H26" s="47">
        <v>9.0</v>
      </c>
      <c r="I26" s="46">
        <v>0.0</v>
      </c>
      <c r="J26" s="46">
        <v>0.0</v>
      </c>
      <c r="K26" s="46">
        <v>0.0</v>
      </c>
      <c r="L26" s="103">
        <v>9.0</v>
      </c>
      <c r="M26" s="46">
        <v>0.0</v>
      </c>
      <c r="N26" s="31">
        <f t="shared" ref="N26:O26" si="28">C26+L26</f>
        <v>36</v>
      </c>
      <c r="O26" s="31">
        <f t="shared" si="28"/>
        <v>3</v>
      </c>
      <c r="P26" s="45" t="s">
        <v>58</v>
      </c>
      <c r="Q26" s="45" t="s">
        <v>58</v>
      </c>
      <c r="R26" s="45"/>
      <c r="S26" s="46">
        <f t="shared" si="4"/>
        <v>0</v>
      </c>
      <c r="T26" s="46"/>
      <c r="U26" s="46">
        <f t="shared" si="5"/>
        <v>2</v>
      </c>
      <c r="V26" s="46">
        <f t="shared" si="6"/>
        <v>-18</v>
      </c>
      <c r="W26" s="30">
        <f t="shared" si="9"/>
        <v>22</v>
      </c>
    </row>
    <row r="27">
      <c r="A27" s="30">
        <f t="shared" si="7"/>
        <v>23</v>
      </c>
      <c r="B27" s="48" t="s">
        <v>125</v>
      </c>
      <c r="C27" s="100">
        <v>27.0</v>
      </c>
      <c r="D27" s="100">
        <v>3.0</v>
      </c>
      <c r="E27" s="36">
        <f t="shared" si="2"/>
        <v>13.5</v>
      </c>
      <c r="F27" s="102">
        <v>1.0</v>
      </c>
      <c r="G27" s="46">
        <v>3.0</v>
      </c>
      <c r="H27" s="47">
        <v>0.0</v>
      </c>
      <c r="I27" s="46">
        <v>2.0</v>
      </c>
      <c r="J27" s="46">
        <v>1.0</v>
      </c>
      <c r="K27" s="46">
        <v>6.0</v>
      </c>
      <c r="L27" s="103">
        <v>9.0</v>
      </c>
      <c r="M27" s="46">
        <v>0.0</v>
      </c>
      <c r="N27" s="31">
        <f t="shared" ref="N27:O27" si="29">C27+L27</f>
        <v>36</v>
      </c>
      <c r="O27" s="31">
        <f t="shared" si="29"/>
        <v>3</v>
      </c>
      <c r="P27" s="45" t="s">
        <v>58</v>
      </c>
      <c r="Q27" s="45" t="s">
        <v>58</v>
      </c>
      <c r="R27" s="45"/>
      <c r="S27" s="46">
        <f t="shared" si="4"/>
        <v>0</v>
      </c>
      <c r="T27" s="46"/>
      <c r="U27" s="46">
        <f t="shared" si="5"/>
        <v>0</v>
      </c>
      <c r="V27" s="46">
        <f t="shared" si="6"/>
        <v>-11</v>
      </c>
      <c r="W27" s="30">
        <f t="shared" si="9"/>
        <v>23</v>
      </c>
    </row>
    <row r="28">
      <c r="A28" s="30">
        <f t="shared" si="7"/>
        <v>24</v>
      </c>
      <c r="B28" s="48" t="s">
        <v>82</v>
      </c>
      <c r="C28" s="100">
        <v>27.0</v>
      </c>
      <c r="D28" s="100">
        <v>3.0</v>
      </c>
      <c r="E28" s="36">
        <f t="shared" si="2"/>
        <v>13.5</v>
      </c>
      <c r="F28" s="102">
        <v>1.0</v>
      </c>
      <c r="G28" s="46">
        <v>3.0</v>
      </c>
      <c r="H28" s="47">
        <v>0.0</v>
      </c>
      <c r="I28" s="46">
        <v>2.0</v>
      </c>
      <c r="J28" s="46">
        <v>6.0</v>
      </c>
      <c r="K28" s="46">
        <v>7.0</v>
      </c>
      <c r="L28" s="103">
        <v>15.0</v>
      </c>
      <c r="M28" s="46">
        <v>2.0</v>
      </c>
      <c r="N28" s="31">
        <f t="shared" ref="N28:O28" si="30">C28+L28</f>
        <v>42</v>
      </c>
      <c r="O28" s="31">
        <f t="shared" si="30"/>
        <v>5</v>
      </c>
      <c r="P28" s="45" t="s">
        <v>58</v>
      </c>
      <c r="Q28" s="45" t="s">
        <v>58</v>
      </c>
      <c r="R28" s="45"/>
      <c r="S28" s="46">
        <f t="shared" si="4"/>
        <v>0</v>
      </c>
      <c r="T28" s="46"/>
      <c r="U28" s="46">
        <f t="shared" si="5"/>
        <v>0</v>
      </c>
      <c r="V28" s="46">
        <f t="shared" si="6"/>
        <v>22</v>
      </c>
      <c r="W28" s="30">
        <f t="shared" si="9"/>
        <v>24</v>
      </c>
    </row>
    <row r="29">
      <c r="A29" s="30">
        <f t="shared" si="7"/>
        <v>25</v>
      </c>
      <c r="B29" s="43" t="s">
        <v>56</v>
      </c>
      <c r="C29" s="100">
        <v>27.0</v>
      </c>
      <c r="D29" s="100">
        <v>3.0</v>
      </c>
      <c r="E29" s="36">
        <f t="shared" si="2"/>
        <v>13.5</v>
      </c>
      <c r="F29" s="102">
        <v>1.0</v>
      </c>
      <c r="G29" s="46">
        <v>4.0</v>
      </c>
      <c r="H29" s="47">
        <v>0.0</v>
      </c>
      <c r="I29" s="46">
        <v>7.0</v>
      </c>
      <c r="J29" s="46">
        <v>7.0</v>
      </c>
      <c r="K29" s="46">
        <v>0.0</v>
      </c>
      <c r="L29" s="103">
        <v>14.0</v>
      </c>
      <c r="M29" s="46">
        <v>2.0</v>
      </c>
      <c r="N29" s="31">
        <f t="shared" ref="N29:O29" si="31">C29+L29</f>
        <v>41</v>
      </c>
      <c r="O29" s="31">
        <f t="shared" si="31"/>
        <v>5</v>
      </c>
      <c r="P29" s="45" t="s">
        <v>58</v>
      </c>
      <c r="Q29" s="45" t="s">
        <v>58</v>
      </c>
      <c r="R29" s="45"/>
      <c r="S29" s="46">
        <f t="shared" si="4"/>
        <v>0</v>
      </c>
      <c r="T29" s="46"/>
      <c r="U29" s="46">
        <f t="shared" si="5"/>
        <v>0</v>
      </c>
      <c r="V29" s="46">
        <f t="shared" si="6"/>
        <v>22</v>
      </c>
      <c r="W29" s="30">
        <f t="shared" si="9"/>
        <v>25</v>
      </c>
    </row>
    <row r="30">
      <c r="A30" s="30">
        <f t="shared" si="7"/>
        <v>26</v>
      </c>
      <c r="B30" s="43" t="s">
        <v>88</v>
      </c>
      <c r="C30" s="101">
        <v>27.0</v>
      </c>
      <c r="D30" s="100">
        <v>2.0</v>
      </c>
      <c r="E30" s="36">
        <f t="shared" si="2"/>
        <v>13.5</v>
      </c>
      <c r="F30" s="102">
        <v>1.0</v>
      </c>
      <c r="G30" s="46">
        <v>4.0</v>
      </c>
      <c r="H30" s="47">
        <v>0.0</v>
      </c>
      <c r="I30" s="46">
        <v>6.0</v>
      </c>
      <c r="J30" s="46">
        <v>7.0</v>
      </c>
      <c r="K30" s="46">
        <v>6.0</v>
      </c>
      <c r="L30" s="103">
        <v>19.0</v>
      </c>
      <c r="M30" s="46">
        <v>2.0</v>
      </c>
      <c r="N30" s="47">
        <f t="shared" ref="N30:O30" si="32">C30+L30</f>
        <v>46</v>
      </c>
      <c r="O30" s="31">
        <f t="shared" si="32"/>
        <v>4</v>
      </c>
      <c r="P30" s="45" t="s">
        <v>58</v>
      </c>
      <c r="Q30" s="45" t="s">
        <v>58</v>
      </c>
      <c r="R30" s="45"/>
      <c r="S30" s="46">
        <f t="shared" si="4"/>
        <v>0</v>
      </c>
      <c r="T30" s="46"/>
      <c r="U30" s="46">
        <f t="shared" si="5"/>
        <v>0</v>
      </c>
      <c r="V30" s="46">
        <f t="shared" si="6"/>
        <v>38</v>
      </c>
      <c r="W30" s="30">
        <f t="shared" si="9"/>
        <v>26</v>
      </c>
    </row>
    <row r="31">
      <c r="A31" s="30">
        <f t="shared" si="7"/>
        <v>27</v>
      </c>
      <c r="B31" s="28" t="s">
        <v>74</v>
      </c>
      <c r="C31" s="100">
        <v>26.0</v>
      </c>
      <c r="D31" s="100">
        <v>4.0</v>
      </c>
      <c r="E31" s="36">
        <f t="shared" si="2"/>
        <v>13</v>
      </c>
      <c r="F31" s="102">
        <v>1.0</v>
      </c>
      <c r="G31" s="46">
        <v>4.0</v>
      </c>
      <c r="H31" s="47">
        <v>0.0</v>
      </c>
      <c r="I31" s="46">
        <v>7.0</v>
      </c>
      <c r="J31" s="46">
        <v>5.0</v>
      </c>
      <c r="K31" s="46">
        <v>6.0</v>
      </c>
      <c r="L31" s="103">
        <v>18.0</v>
      </c>
      <c r="M31" s="46">
        <v>2.0</v>
      </c>
      <c r="N31" s="31">
        <f t="shared" ref="N31:O31" si="33">C31+L31</f>
        <v>44</v>
      </c>
      <c r="O31" s="31">
        <f t="shared" si="33"/>
        <v>6</v>
      </c>
      <c r="P31" s="45" t="s">
        <v>58</v>
      </c>
      <c r="Q31" s="45" t="s">
        <v>58</v>
      </c>
      <c r="R31" s="45"/>
      <c r="S31" s="46">
        <f t="shared" si="4"/>
        <v>0</v>
      </c>
      <c r="T31" s="46"/>
      <c r="U31" s="46">
        <f t="shared" si="5"/>
        <v>0</v>
      </c>
      <c r="V31" s="46">
        <f t="shared" si="6"/>
        <v>-12</v>
      </c>
      <c r="W31" s="30">
        <f t="shared" si="9"/>
        <v>27</v>
      </c>
    </row>
    <row r="32">
      <c r="A32" s="30">
        <f t="shared" si="7"/>
        <v>28</v>
      </c>
      <c r="B32" s="43" t="s">
        <v>111</v>
      </c>
      <c r="C32" s="101">
        <v>26.0</v>
      </c>
      <c r="D32" s="100">
        <v>4.0</v>
      </c>
      <c r="E32" s="36">
        <f t="shared" si="2"/>
        <v>13</v>
      </c>
      <c r="F32" s="102">
        <v>1.0</v>
      </c>
      <c r="G32" s="46">
        <v>4.0</v>
      </c>
      <c r="H32" s="47">
        <v>0.0</v>
      </c>
      <c r="I32" s="46">
        <v>6.0</v>
      </c>
      <c r="J32" s="46">
        <v>5.0</v>
      </c>
      <c r="K32" s="46">
        <v>0.0</v>
      </c>
      <c r="L32" s="103">
        <v>11.0</v>
      </c>
      <c r="M32" s="46">
        <v>0.0</v>
      </c>
      <c r="N32" s="47">
        <f t="shared" ref="N32:O32" si="34">C32+L32</f>
        <v>37</v>
      </c>
      <c r="O32" s="31">
        <f t="shared" si="34"/>
        <v>4</v>
      </c>
      <c r="P32" s="45" t="s">
        <v>58</v>
      </c>
      <c r="Q32" s="45" t="s">
        <v>58</v>
      </c>
      <c r="R32" s="45"/>
      <c r="S32" s="46">
        <f t="shared" si="4"/>
        <v>0</v>
      </c>
      <c r="T32" s="46"/>
      <c r="U32" s="46">
        <f t="shared" si="5"/>
        <v>0</v>
      </c>
      <c r="V32" s="46">
        <f t="shared" si="6"/>
        <v>17</v>
      </c>
      <c r="W32" s="30">
        <f t="shared" si="9"/>
        <v>28</v>
      </c>
    </row>
    <row r="33">
      <c r="A33" s="30">
        <f t="shared" si="7"/>
        <v>29</v>
      </c>
      <c r="B33" s="28" t="s">
        <v>120</v>
      </c>
      <c r="C33" s="100">
        <v>26.0</v>
      </c>
      <c r="D33" s="100">
        <v>2.0</v>
      </c>
      <c r="E33" s="36">
        <f t="shared" si="2"/>
        <v>13</v>
      </c>
      <c r="F33" s="102">
        <v>2.0</v>
      </c>
      <c r="G33" s="46">
        <v>5.0</v>
      </c>
      <c r="H33" s="47">
        <v>0.0</v>
      </c>
      <c r="I33" s="46">
        <v>6.0</v>
      </c>
      <c r="J33" s="46">
        <v>6.0</v>
      </c>
      <c r="K33" s="46">
        <v>6.0</v>
      </c>
      <c r="L33" s="103">
        <v>18.0</v>
      </c>
      <c r="M33" s="46">
        <v>3.0</v>
      </c>
      <c r="N33" s="31">
        <f t="shared" ref="N33:O33" si="35">C33+L33</f>
        <v>44</v>
      </c>
      <c r="O33" s="31">
        <f t="shared" si="35"/>
        <v>5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0</v>
      </c>
      <c r="V33" s="46">
        <f t="shared" si="6"/>
        <v>-7</v>
      </c>
      <c r="W33" s="30">
        <f t="shared" si="9"/>
        <v>29</v>
      </c>
    </row>
    <row r="34">
      <c r="A34" s="30">
        <f t="shared" si="7"/>
        <v>30</v>
      </c>
      <c r="B34" s="43" t="s">
        <v>131</v>
      </c>
      <c r="C34" s="100">
        <v>26.0</v>
      </c>
      <c r="D34" s="100">
        <v>1.0</v>
      </c>
      <c r="E34" s="36">
        <f t="shared" si="2"/>
        <v>17</v>
      </c>
      <c r="F34" s="102">
        <v>3.0</v>
      </c>
      <c r="G34" s="46">
        <v>0.0</v>
      </c>
      <c r="H34" s="47">
        <v>9.0</v>
      </c>
      <c r="I34" s="46">
        <v>0.0</v>
      </c>
      <c r="J34" s="46">
        <v>0.0</v>
      </c>
      <c r="K34" s="46">
        <v>0.0</v>
      </c>
      <c r="L34" s="103">
        <v>9.0</v>
      </c>
      <c r="M34" s="46">
        <v>0.0</v>
      </c>
      <c r="N34" s="31">
        <f t="shared" ref="N34:O34" si="36">C34+L34</f>
        <v>35</v>
      </c>
      <c r="O34" s="31">
        <f t="shared" si="36"/>
        <v>1</v>
      </c>
      <c r="P34" s="45" t="s">
        <v>58</v>
      </c>
      <c r="Q34" s="45" t="s">
        <v>58</v>
      </c>
      <c r="R34" s="45"/>
      <c r="S34" s="46">
        <f t="shared" si="4"/>
        <v>0</v>
      </c>
      <c r="T34" s="46"/>
      <c r="U34" s="46">
        <f t="shared" si="5"/>
        <v>1</v>
      </c>
      <c r="V34" s="46">
        <f t="shared" si="6"/>
        <v>-11</v>
      </c>
      <c r="W34" s="30">
        <f t="shared" si="9"/>
        <v>30</v>
      </c>
    </row>
    <row r="35">
      <c r="A35" s="30">
        <f t="shared" si="7"/>
        <v>31</v>
      </c>
      <c r="B35" s="28" t="s">
        <v>105</v>
      </c>
      <c r="C35" s="100">
        <v>26.0</v>
      </c>
      <c r="D35" s="100">
        <v>1.0</v>
      </c>
      <c r="E35" s="36">
        <f t="shared" si="2"/>
        <v>13</v>
      </c>
      <c r="F35" s="102">
        <v>2.0</v>
      </c>
      <c r="G35" s="46">
        <v>5.0</v>
      </c>
      <c r="H35" s="47">
        <v>0.0</v>
      </c>
      <c r="I35" s="46">
        <v>1.0</v>
      </c>
      <c r="J35" s="46">
        <v>4.0</v>
      </c>
      <c r="K35" s="46">
        <v>6.0</v>
      </c>
      <c r="L35" s="103">
        <v>11.0</v>
      </c>
      <c r="M35" s="46">
        <v>1.0</v>
      </c>
      <c r="N35" s="31">
        <f t="shared" ref="N35:O35" si="37">C35+L35</f>
        <v>37</v>
      </c>
      <c r="O35" s="31">
        <f t="shared" si="37"/>
        <v>2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0</v>
      </c>
      <c r="V35" s="46">
        <f t="shared" si="6"/>
        <v>3</v>
      </c>
      <c r="W35" s="30">
        <f t="shared" si="9"/>
        <v>31</v>
      </c>
    </row>
    <row r="36">
      <c r="A36" s="30">
        <f t="shared" si="7"/>
        <v>32</v>
      </c>
      <c r="B36" s="28" t="s">
        <v>49</v>
      </c>
      <c r="C36" s="100">
        <v>26.0</v>
      </c>
      <c r="D36" s="100">
        <v>1.0</v>
      </c>
      <c r="E36" s="36">
        <f t="shared" si="2"/>
        <v>13</v>
      </c>
      <c r="F36" s="102">
        <v>1.0</v>
      </c>
      <c r="G36" s="46">
        <v>5.0</v>
      </c>
      <c r="H36" s="47">
        <v>0.0</v>
      </c>
      <c r="I36" s="46">
        <v>1.0</v>
      </c>
      <c r="J36" s="46">
        <v>6.0</v>
      </c>
      <c r="K36" s="46">
        <v>3.0</v>
      </c>
      <c r="L36" s="103">
        <v>10.0</v>
      </c>
      <c r="M36" s="46">
        <v>1.0</v>
      </c>
      <c r="N36" s="31">
        <f t="shared" ref="N36:O36" si="38">C36+L36</f>
        <v>36</v>
      </c>
      <c r="O36" s="31">
        <f t="shared" si="38"/>
        <v>2</v>
      </c>
      <c r="P36" s="45" t="s">
        <v>58</v>
      </c>
      <c r="Q36" s="45" t="s">
        <v>58</v>
      </c>
      <c r="R36" s="45" t="s">
        <v>58</v>
      </c>
      <c r="S36" s="46">
        <f t="shared" si="4"/>
        <v>1</v>
      </c>
      <c r="T36" s="46"/>
      <c r="U36" s="46">
        <f t="shared" si="5"/>
        <v>0</v>
      </c>
      <c r="V36" s="46">
        <f t="shared" si="6"/>
        <v>3</v>
      </c>
      <c r="W36" s="30">
        <f t="shared" si="9"/>
        <v>32</v>
      </c>
    </row>
    <row r="37">
      <c r="A37" s="30">
        <f t="shared" si="7"/>
        <v>33</v>
      </c>
      <c r="B37" s="48" t="s">
        <v>70</v>
      </c>
      <c r="C37" s="100">
        <v>26.0</v>
      </c>
      <c r="D37" s="100">
        <v>1.0</v>
      </c>
      <c r="E37" s="36">
        <f t="shared" si="2"/>
        <v>13</v>
      </c>
      <c r="F37" s="102">
        <v>2.0</v>
      </c>
      <c r="G37" s="46">
        <v>5.0</v>
      </c>
      <c r="H37" s="47">
        <v>0.0</v>
      </c>
      <c r="I37" s="46">
        <v>6.0</v>
      </c>
      <c r="J37" s="46">
        <v>4.0</v>
      </c>
      <c r="K37" s="46">
        <v>3.0</v>
      </c>
      <c r="L37" s="103">
        <v>13.0</v>
      </c>
      <c r="M37" s="46">
        <v>1.0</v>
      </c>
      <c r="N37" s="31">
        <f t="shared" ref="N37:O37" si="39">C37+L37</f>
        <v>39</v>
      </c>
      <c r="O37" s="31">
        <f t="shared" si="39"/>
        <v>2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0</v>
      </c>
      <c r="V37" s="46">
        <f t="shared" si="6"/>
        <v>3</v>
      </c>
      <c r="W37" s="30">
        <f t="shared" si="9"/>
        <v>33</v>
      </c>
    </row>
    <row r="38">
      <c r="A38" s="30">
        <f t="shared" si="7"/>
        <v>34</v>
      </c>
      <c r="B38" s="43" t="s">
        <v>107</v>
      </c>
      <c r="C38" s="100">
        <v>26.0</v>
      </c>
      <c r="D38" s="100">
        <v>0.0</v>
      </c>
      <c r="E38" s="36">
        <f t="shared" si="2"/>
        <v>0</v>
      </c>
      <c r="F38" s="102">
        <v>3.0</v>
      </c>
      <c r="G38" s="46">
        <v>0.0</v>
      </c>
      <c r="H38" s="47">
        <v>9.0</v>
      </c>
      <c r="I38" s="46">
        <v>0.0</v>
      </c>
      <c r="J38" s="46">
        <v>0.0</v>
      </c>
      <c r="K38" s="46">
        <v>0.0</v>
      </c>
      <c r="L38" s="103">
        <v>9.0</v>
      </c>
      <c r="M38" s="46">
        <v>0.0</v>
      </c>
      <c r="N38" s="31">
        <f t="shared" ref="N38:O38" si="40">C38+L38</f>
        <v>35</v>
      </c>
      <c r="O38" s="31">
        <f t="shared" si="40"/>
        <v>0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1</v>
      </c>
      <c r="V38" s="46">
        <f t="shared" si="6"/>
        <v>-8</v>
      </c>
      <c r="W38" s="30">
        <f t="shared" si="9"/>
        <v>34</v>
      </c>
    </row>
    <row r="39">
      <c r="A39" s="30">
        <f t="shared" si="7"/>
        <v>35</v>
      </c>
      <c r="B39" s="43" t="s">
        <v>90</v>
      </c>
      <c r="C39" s="100">
        <v>26.0</v>
      </c>
      <c r="D39" s="100">
        <v>0.0</v>
      </c>
      <c r="E39" s="36">
        <f t="shared" si="2"/>
        <v>0</v>
      </c>
      <c r="F39" s="102">
        <v>2.0</v>
      </c>
      <c r="G39" s="46">
        <v>6.0</v>
      </c>
      <c r="H39" s="47">
        <v>0.0</v>
      </c>
      <c r="I39" s="46">
        <v>6.0</v>
      </c>
      <c r="J39" s="46">
        <v>6.0</v>
      </c>
      <c r="K39" s="46">
        <v>6.0</v>
      </c>
      <c r="L39" s="103">
        <v>18.0</v>
      </c>
      <c r="M39" s="46">
        <v>3.0</v>
      </c>
      <c r="N39" s="31">
        <f t="shared" ref="N39:O39" si="41">C39+L39</f>
        <v>44</v>
      </c>
      <c r="O39" s="31">
        <f t="shared" si="41"/>
        <v>3</v>
      </c>
      <c r="P39" s="45" t="s">
        <v>58</v>
      </c>
      <c r="Q39" s="45" t="s">
        <v>58</v>
      </c>
      <c r="R39" s="45"/>
      <c r="S39" s="46">
        <f t="shared" si="4"/>
        <v>2</v>
      </c>
      <c r="T39" s="46"/>
      <c r="U39" s="46">
        <f t="shared" si="5"/>
        <v>0</v>
      </c>
      <c r="V39" s="46">
        <f t="shared" si="6"/>
        <v>-3</v>
      </c>
      <c r="W39" s="30">
        <f t="shared" si="9"/>
        <v>35</v>
      </c>
    </row>
    <row r="40">
      <c r="A40" s="30">
        <f t="shared" si="7"/>
        <v>36</v>
      </c>
      <c r="B40" s="43" t="s">
        <v>99</v>
      </c>
      <c r="C40" s="100">
        <v>25.0</v>
      </c>
      <c r="D40" s="100">
        <v>2.0</v>
      </c>
      <c r="E40" s="36">
        <f t="shared" si="2"/>
        <v>16</v>
      </c>
      <c r="F40" s="102">
        <v>3.0</v>
      </c>
      <c r="G40" s="46">
        <v>0.0</v>
      </c>
      <c r="H40" s="47">
        <v>9.0</v>
      </c>
      <c r="I40" s="46">
        <v>0.0</v>
      </c>
      <c r="J40" s="46">
        <v>0.0</v>
      </c>
      <c r="K40" s="46">
        <v>0.0</v>
      </c>
      <c r="L40" s="103">
        <v>9.0</v>
      </c>
      <c r="M40" s="46">
        <v>0.0</v>
      </c>
      <c r="N40" s="31">
        <f t="shared" ref="N40:O40" si="42">C40+L40</f>
        <v>34</v>
      </c>
      <c r="O40" s="31">
        <f t="shared" si="42"/>
        <v>2</v>
      </c>
      <c r="P40" s="45" t="s">
        <v>58</v>
      </c>
      <c r="Q40" s="45" t="s">
        <v>58</v>
      </c>
      <c r="R40" s="45"/>
      <c r="S40" s="46">
        <f t="shared" si="4"/>
        <v>0</v>
      </c>
      <c r="T40" s="46"/>
      <c r="U40" s="46">
        <f t="shared" si="5"/>
        <v>1</v>
      </c>
      <c r="V40" s="46">
        <f t="shared" si="6"/>
        <v>14</v>
      </c>
      <c r="W40" s="30">
        <f t="shared" si="9"/>
        <v>36</v>
      </c>
    </row>
    <row r="41">
      <c r="A41" s="30">
        <f t="shared" si="7"/>
        <v>37</v>
      </c>
      <c r="B41" s="28" t="s">
        <v>84</v>
      </c>
      <c r="C41" s="100">
        <v>23.0</v>
      </c>
      <c r="D41" s="100">
        <v>2.0</v>
      </c>
      <c r="E41" s="36">
        <f t="shared" si="2"/>
        <v>14</v>
      </c>
      <c r="F41" s="102">
        <v>1.0</v>
      </c>
      <c r="G41" s="46">
        <v>6.0</v>
      </c>
      <c r="H41" s="47">
        <v>0.0</v>
      </c>
      <c r="I41" s="46">
        <v>3.0</v>
      </c>
      <c r="J41" s="46">
        <v>2.0</v>
      </c>
      <c r="K41" s="46">
        <v>6.0</v>
      </c>
      <c r="L41" s="103">
        <v>11.0</v>
      </c>
      <c r="M41" s="46">
        <v>1.0</v>
      </c>
      <c r="N41" s="31">
        <f t="shared" ref="N41:O41" si="43">C41+L41</f>
        <v>34</v>
      </c>
      <c r="O41" s="31">
        <f t="shared" si="43"/>
        <v>3</v>
      </c>
      <c r="P41" s="45" t="s">
        <v>58</v>
      </c>
      <c r="Q41" s="45" t="s">
        <v>58</v>
      </c>
      <c r="R41" s="45"/>
      <c r="S41" s="46">
        <f t="shared" si="4"/>
        <v>0</v>
      </c>
      <c r="T41" s="46"/>
      <c r="U41" s="46">
        <f t="shared" si="5"/>
        <v>1</v>
      </c>
      <c r="V41" s="46">
        <f t="shared" si="6"/>
        <v>21</v>
      </c>
      <c r="W41" s="30">
        <f t="shared" si="9"/>
        <v>37</v>
      </c>
    </row>
    <row r="42">
      <c r="A42" s="30">
        <f t="shared" si="7"/>
        <v>38</v>
      </c>
      <c r="B42" s="43" t="s">
        <v>122</v>
      </c>
      <c r="C42" s="100">
        <v>23.0</v>
      </c>
      <c r="D42" s="100">
        <v>1.0</v>
      </c>
      <c r="E42" s="36">
        <f t="shared" si="2"/>
        <v>0</v>
      </c>
      <c r="F42" s="102">
        <v>3.0</v>
      </c>
      <c r="G42" s="46">
        <v>0.0</v>
      </c>
      <c r="H42" s="47">
        <v>9.0</v>
      </c>
      <c r="I42" s="46">
        <v>0.0</v>
      </c>
      <c r="J42" s="46">
        <v>0.0</v>
      </c>
      <c r="K42" s="46">
        <v>0.0</v>
      </c>
      <c r="L42" s="103">
        <v>9.0</v>
      </c>
      <c r="M42" s="46">
        <v>0.0</v>
      </c>
      <c r="N42" s="31">
        <f t="shared" ref="N42:O42" si="44">C42+L42</f>
        <v>32</v>
      </c>
      <c r="O42" s="31">
        <f t="shared" si="44"/>
        <v>1</v>
      </c>
      <c r="P42" s="45" t="s">
        <v>58</v>
      </c>
      <c r="Q42" s="45" t="s">
        <v>58</v>
      </c>
      <c r="R42" s="45"/>
      <c r="S42" s="46">
        <f t="shared" si="4"/>
        <v>0</v>
      </c>
      <c r="T42" s="46"/>
      <c r="U42" s="46">
        <f t="shared" si="5"/>
        <v>2</v>
      </c>
      <c r="V42" s="46">
        <f t="shared" si="6"/>
        <v>-24</v>
      </c>
      <c r="W42" s="30">
        <f t="shared" si="9"/>
        <v>38</v>
      </c>
    </row>
    <row r="43">
      <c r="A43" s="30">
        <f t="shared" si="7"/>
        <v>39</v>
      </c>
      <c r="B43" s="28" t="s">
        <v>93</v>
      </c>
      <c r="C43" s="100">
        <v>23.0</v>
      </c>
      <c r="D43" s="100">
        <v>1.0</v>
      </c>
      <c r="E43" s="36">
        <f t="shared" si="2"/>
        <v>0</v>
      </c>
      <c r="F43" s="102">
        <v>3.0</v>
      </c>
      <c r="G43" s="46">
        <v>0.0</v>
      </c>
      <c r="H43" s="47">
        <v>9.0</v>
      </c>
      <c r="I43" s="46">
        <v>0.0</v>
      </c>
      <c r="J43" s="46">
        <v>0.0</v>
      </c>
      <c r="K43" s="46">
        <v>0.0</v>
      </c>
      <c r="L43" s="103">
        <v>9.0</v>
      </c>
      <c r="M43" s="46">
        <v>0.0</v>
      </c>
      <c r="N43" s="31">
        <f t="shared" ref="N43:O43" si="45">C43+L43</f>
        <v>32</v>
      </c>
      <c r="O43" s="31">
        <f t="shared" si="45"/>
        <v>1</v>
      </c>
      <c r="P43" s="45" t="s">
        <v>58</v>
      </c>
      <c r="Q43" s="45" t="s">
        <v>58</v>
      </c>
      <c r="R43" s="45"/>
      <c r="S43" s="46">
        <f t="shared" si="4"/>
        <v>0</v>
      </c>
      <c r="T43" s="46"/>
      <c r="U43" s="46">
        <f t="shared" si="5"/>
        <v>2</v>
      </c>
      <c r="V43" s="46">
        <f t="shared" si="6"/>
        <v>17</v>
      </c>
      <c r="W43" s="30">
        <f t="shared" si="9"/>
        <v>39</v>
      </c>
    </row>
    <row r="44">
      <c r="A44" s="30">
        <f t="shared" si="7"/>
        <v>40</v>
      </c>
      <c r="B44" s="48" t="s">
        <v>54</v>
      </c>
      <c r="C44" s="100">
        <v>23.0</v>
      </c>
      <c r="D44" s="100">
        <v>1.0</v>
      </c>
      <c r="E44" s="36">
        <f t="shared" si="2"/>
        <v>10</v>
      </c>
      <c r="F44" s="102">
        <v>1.0</v>
      </c>
      <c r="G44" s="46">
        <v>6.0</v>
      </c>
      <c r="H44" s="47">
        <v>0.0</v>
      </c>
      <c r="I44" s="46">
        <v>6.0</v>
      </c>
      <c r="J44" s="46">
        <v>2.0</v>
      </c>
      <c r="K44" s="46">
        <v>1.0</v>
      </c>
      <c r="L44" s="103">
        <v>9.0</v>
      </c>
      <c r="M44" s="46">
        <v>1.0</v>
      </c>
      <c r="N44" s="31">
        <f t="shared" ref="N44:O44" si="46">C44+L44</f>
        <v>32</v>
      </c>
      <c r="O44" s="31">
        <f t="shared" si="46"/>
        <v>2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0</v>
      </c>
      <c r="V44" s="46">
        <f t="shared" si="6"/>
        <v>0</v>
      </c>
      <c r="W44" s="30">
        <f t="shared" si="9"/>
        <v>40</v>
      </c>
    </row>
    <row r="45">
      <c r="A45" s="30">
        <f t="shared" si="7"/>
        <v>41</v>
      </c>
      <c r="B45" s="43" t="s">
        <v>140</v>
      </c>
      <c r="C45" s="100">
        <v>22.0</v>
      </c>
      <c r="D45" s="100">
        <v>2.0</v>
      </c>
      <c r="E45" s="36">
        <f t="shared" si="2"/>
        <v>13</v>
      </c>
      <c r="F45" s="102">
        <v>1.0</v>
      </c>
      <c r="G45" s="46">
        <v>6.0</v>
      </c>
      <c r="H45" s="47">
        <v>0.0</v>
      </c>
      <c r="I45" s="46">
        <v>3.0</v>
      </c>
      <c r="J45" s="46">
        <v>6.0</v>
      </c>
      <c r="K45" s="46">
        <v>1.0</v>
      </c>
      <c r="L45" s="103">
        <v>10.0</v>
      </c>
      <c r="M45" s="46">
        <v>1.0</v>
      </c>
      <c r="N45" s="31">
        <f t="shared" ref="N45:O45" si="47">C45+L45</f>
        <v>32</v>
      </c>
      <c r="O45" s="31">
        <f t="shared" si="47"/>
        <v>3</v>
      </c>
      <c r="P45" s="45" t="s">
        <v>58</v>
      </c>
      <c r="Q45" s="45" t="s">
        <v>58</v>
      </c>
      <c r="R45" s="45"/>
      <c r="S45" s="46">
        <f t="shared" si="4"/>
        <v>0</v>
      </c>
      <c r="T45" s="46"/>
      <c r="U45" s="46">
        <f t="shared" si="5"/>
        <v>1</v>
      </c>
      <c r="V45" s="46">
        <f t="shared" si="6"/>
        <v>-24</v>
      </c>
      <c r="W45" s="30">
        <f t="shared" si="9"/>
        <v>41</v>
      </c>
    </row>
    <row r="46">
      <c r="A46" s="30">
        <f t="shared" si="7"/>
        <v>42</v>
      </c>
      <c r="B46" s="28" t="s">
        <v>119</v>
      </c>
      <c r="C46" s="100">
        <v>22.0</v>
      </c>
      <c r="D46" s="100">
        <v>1.0</v>
      </c>
      <c r="E46" s="36">
        <f t="shared" si="2"/>
        <v>9</v>
      </c>
      <c r="F46" s="102">
        <v>2.0</v>
      </c>
      <c r="G46" s="46">
        <v>7.0</v>
      </c>
      <c r="H46" s="47">
        <v>0.0</v>
      </c>
      <c r="I46" s="46">
        <v>0.0</v>
      </c>
      <c r="J46" s="46">
        <v>7.0</v>
      </c>
      <c r="K46" s="46">
        <v>7.0</v>
      </c>
      <c r="L46" s="103">
        <v>14.0</v>
      </c>
      <c r="M46" s="46">
        <v>2.0</v>
      </c>
      <c r="N46" s="31">
        <f t="shared" ref="N46:O46" si="48">C46+L46</f>
        <v>36</v>
      </c>
      <c r="O46" s="31">
        <f t="shared" si="48"/>
        <v>3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0</v>
      </c>
      <c r="V46" s="46">
        <f t="shared" si="6"/>
        <v>-11</v>
      </c>
      <c r="W46" s="30">
        <f t="shared" si="9"/>
        <v>42</v>
      </c>
    </row>
    <row r="47">
      <c r="A47" s="30">
        <f t="shared" si="7"/>
        <v>43</v>
      </c>
      <c r="B47" s="43" t="s">
        <v>96</v>
      </c>
      <c r="C47" s="100">
        <v>22.0</v>
      </c>
      <c r="D47" s="100">
        <v>1.0</v>
      </c>
      <c r="E47" s="36">
        <f t="shared" si="2"/>
        <v>9</v>
      </c>
      <c r="F47" s="102">
        <v>2.0</v>
      </c>
      <c r="G47" s="46">
        <v>7.0</v>
      </c>
      <c r="H47" s="47">
        <v>0.0</v>
      </c>
      <c r="I47" s="46">
        <v>0.0</v>
      </c>
      <c r="J47" s="46">
        <v>5.0</v>
      </c>
      <c r="K47" s="46">
        <v>6.0</v>
      </c>
      <c r="L47" s="103">
        <v>11.0</v>
      </c>
      <c r="M47" s="46">
        <v>0.0</v>
      </c>
      <c r="N47" s="31">
        <f t="shared" ref="N47:O47" si="49">C47+L47</f>
        <v>33</v>
      </c>
      <c r="O47" s="31">
        <f t="shared" si="49"/>
        <v>1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0</v>
      </c>
      <c r="V47" s="46">
        <f t="shared" si="6"/>
        <v>-5</v>
      </c>
      <c r="W47" s="30">
        <f t="shared" si="9"/>
        <v>43</v>
      </c>
    </row>
    <row r="48">
      <c r="A48" s="30">
        <f t="shared" si="7"/>
        <v>44</v>
      </c>
      <c r="B48" s="28" t="s">
        <v>97</v>
      </c>
      <c r="C48" s="100">
        <v>22.0</v>
      </c>
      <c r="D48" s="100">
        <v>0.0</v>
      </c>
      <c r="E48" s="36">
        <f t="shared" si="2"/>
        <v>9</v>
      </c>
      <c r="F48" s="102">
        <v>2.0</v>
      </c>
      <c r="G48" s="46">
        <v>7.0</v>
      </c>
      <c r="H48" s="47">
        <v>0.0</v>
      </c>
      <c r="I48" s="46">
        <v>6.0</v>
      </c>
      <c r="J48" s="46">
        <v>5.0</v>
      </c>
      <c r="K48" s="46">
        <v>7.0</v>
      </c>
      <c r="L48" s="103">
        <v>18.0</v>
      </c>
      <c r="M48" s="46">
        <v>2.0</v>
      </c>
      <c r="N48" s="31">
        <f t="shared" ref="N48:O48" si="50">C48+L48</f>
        <v>40</v>
      </c>
      <c r="O48" s="31">
        <f t="shared" si="50"/>
        <v>2</v>
      </c>
      <c r="P48" s="45" t="s">
        <v>58</v>
      </c>
      <c r="Q48" s="45" t="s">
        <v>58</v>
      </c>
      <c r="R48" s="45"/>
      <c r="S48" s="46">
        <f t="shared" si="4"/>
        <v>1</v>
      </c>
      <c r="T48" s="46"/>
      <c r="U48" s="46">
        <f t="shared" si="5"/>
        <v>0</v>
      </c>
      <c r="V48" s="46">
        <f t="shared" si="6"/>
        <v>-23</v>
      </c>
      <c r="W48" s="30">
        <f t="shared" si="9"/>
        <v>44</v>
      </c>
    </row>
    <row r="49">
      <c r="A49" s="30">
        <f t="shared" si="7"/>
        <v>45</v>
      </c>
      <c r="B49" s="28" t="s">
        <v>127</v>
      </c>
      <c r="C49" s="100">
        <v>22.0</v>
      </c>
      <c r="D49" s="100">
        <v>0.0</v>
      </c>
      <c r="E49" s="36">
        <f t="shared" si="2"/>
        <v>0</v>
      </c>
      <c r="F49" s="102">
        <v>2.0</v>
      </c>
      <c r="G49" s="46">
        <v>7.0</v>
      </c>
      <c r="H49" s="47">
        <v>0.0</v>
      </c>
      <c r="I49" s="46">
        <v>6.0</v>
      </c>
      <c r="J49" s="46">
        <v>7.0</v>
      </c>
      <c r="K49" s="46">
        <v>6.0</v>
      </c>
      <c r="L49" s="103">
        <v>19.0</v>
      </c>
      <c r="M49" s="46">
        <v>2.0</v>
      </c>
      <c r="N49" s="31">
        <f t="shared" ref="N49:O49" si="51">C49+L49</f>
        <v>41</v>
      </c>
      <c r="O49" s="31">
        <f t="shared" si="51"/>
        <v>2</v>
      </c>
      <c r="P49" s="45" t="s">
        <v>58</v>
      </c>
      <c r="Q49" s="45" t="s">
        <v>58</v>
      </c>
      <c r="R49" s="45"/>
      <c r="S49" s="46">
        <f t="shared" si="4"/>
        <v>1</v>
      </c>
      <c r="T49" s="46"/>
      <c r="U49" s="46">
        <f t="shared" si="5"/>
        <v>1</v>
      </c>
      <c r="V49" s="46">
        <f t="shared" si="6"/>
        <v>-15</v>
      </c>
      <c r="W49" s="30">
        <f t="shared" si="9"/>
        <v>45</v>
      </c>
    </row>
    <row r="50">
      <c r="A50" s="30">
        <f t="shared" si="7"/>
        <v>46</v>
      </c>
      <c r="B50" s="48" t="s">
        <v>134</v>
      </c>
      <c r="C50" s="100">
        <v>22.0</v>
      </c>
      <c r="D50" s="100">
        <v>0.0</v>
      </c>
      <c r="E50" s="36">
        <f t="shared" si="2"/>
        <v>9</v>
      </c>
      <c r="F50" s="102">
        <v>3.0</v>
      </c>
      <c r="G50" s="46">
        <v>0.0</v>
      </c>
      <c r="H50" s="47">
        <v>9.0</v>
      </c>
      <c r="I50" s="46">
        <v>0.0</v>
      </c>
      <c r="J50" s="46">
        <v>0.0</v>
      </c>
      <c r="K50" s="46">
        <v>0.0</v>
      </c>
      <c r="L50" s="103">
        <v>9.0</v>
      </c>
      <c r="M50" s="46">
        <v>0.0</v>
      </c>
      <c r="N50" s="31">
        <f t="shared" ref="N50:O50" si="52">C50+L50</f>
        <v>31</v>
      </c>
      <c r="O50" s="31">
        <f t="shared" si="52"/>
        <v>0</v>
      </c>
      <c r="P50" s="45" t="s">
        <v>58</v>
      </c>
      <c r="Q50" s="45" t="s">
        <v>58</v>
      </c>
      <c r="R50" s="45"/>
      <c r="S50" s="46">
        <f t="shared" si="4"/>
        <v>1</v>
      </c>
      <c r="T50" s="46"/>
      <c r="U50" s="46">
        <f t="shared" si="5"/>
        <v>2</v>
      </c>
      <c r="V50" s="46">
        <f t="shared" si="6"/>
        <v>-13</v>
      </c>
      <c r="W50" s="30">
        <f t="shared" si="9"/>
        <v>46</v>
      </c>
    </row>
    <row r="51">
      <c r="A51" s="30">
        <f t="shared" si="7"/>
        <v>47</v>
      </c>
      <c r="B51" s="28" t="s">
        <v>67</v>
      </c>
      <c r="C51" s="100">
        <v>22.0</v>
      </c>
      <c r="D51" s="100">
        <v>0.0</v>
      </c>
      <c r="E51" s="36">
        <f t="shared" si="2"/>
        <v>0</v>
      </c>
      <c r="F51" s="102">
        <v>1.0</v>
      </c>
      <c r="G51" s="46">
        <v>8.0</v>
      </c>
      <c r="H51" s="47">
        <v>0.0</v>
      </c>
      <c r="I51" s="46">
        <v>6.0</v>
      </c>
      <c r="J51" s="46">
        <v>6.0</v>
      </c>
      <c r="K51" s="46">
        <v>6.0</v>
      </c>
      <c r="L51" s="103">
        <v>18.0</v>
      </c>
      <c r="M51" s="46">
        <v>3.0</v>
      </c>
      <c r="N51" s="31">
        <f t="shared" ref="N51:O51" si="53">C51+L51</f>
        <v>40</v>
      </c>
      <c r="O51" s="31">
        <f t="shared" si="53"/>
        <v>3</v>
      </c>
      <c r="P51" s="45" t="s">
        <v>58</v>
      </c>
      <c r="Q51" s="45" t="s">
        <v>58</v>
      </c>
      <c r="R51" s="45"/>
      <c r="S51" s="46">
        <f t="shared" si="4"/>
        <v>1</v>
      </c>
      <c r="T51" s="46"/>
      <c r="U51" s="46">
        <f t="shared" si="5"/>
        <v>1</v>
      </c>
      <c r="V51" s="46">
        <f t="shared" si="6"/>
        <v>-10</v>
      </c>
      <c r="W51" s="30">
        <f t="shared" si="9"/>
        <v>47</v>
      </c>
    </row>
    <row r="52">
      <c r="A52" s="30">
        <f t="shared" si="7"/>
        <v>48</v>
      </c>
      <c r="B52" s="28" t="s">
        <v>141</v>
      </c>
      <c r="C52" s="100">
        <v>22.0</v>
      </c>
      <c r="D52" s="100">
        <v>0.0</v>
      </c>
      <c r="E52" s="36">
        <f t="shared" si="2"/>
        <v>0</v>
      </c>
      <c r="F52" s="102">
        <v>1.0</v>
      </c>
      <c r="G52" s="46">
        <v>8.0</v>
      </c>
      <c r="H52" s="47">
        <v>0.0</v>
      </c>
      <c r="I52" s="46">
        <v>0.0</v>
      </c>
      <c r="J52" s="46">
        <v>6.0</v>
      </c>
      <c r="K52" s="46">
        <v>2.0</v>
      </c>
      <c r="L52" s="103">
        <v>8.0</v>
      </c>
      <c r="M52" s="46">
        <v>1.0</v>
      </c>
      <c r="N52" s="31">
        <f t="shared" ref="N52:O52" si="54">C52+L52</f>
        <v>30</v>
      </c>
      <c r="O52" s="31">
        <f t="shared" si="54"/>
        <v>1</v>
      </c>
      <c r="P52" s="45" t="s">
        <v>58</v>
      </c>
      <c r="Q52" s="45" t="s">
        <v>58</v>
      </c>
      <c r="R52" s="45"/>
      <c r="S52" s="46">
        <f t="shared" si="4"/>
        <v>1</v>
      </c>
      <c r="T52" s="46"/>
      <c r="U52" s="46">
        <f t="shared" si="5"/>
        <v>1</v>
      </c>
      <c r="V52" s="46">
        <f t="shared" si="6"/>
        <v>-9</v>
      </c>
      <c r="W52" s="30">
        <f t="shared" si="9"/>
        <v>48</v>
      </c>
    </row>
    <row r="53">
      <c r="A53" s="30">
        <f t="shared" si="7"/>
        <v>49</v>
      </c>
      <c r="B53" s="28" t="s">
        <v>80</v>
      </c>
      <c r="C53" s="100">
        <v>22.0</v>
      </c>
      <c r="D53" s="100">
        <v>0.0</v>
      </c>
      <c r="E53" s="36">
        <f t="shared" si="2"/>
        <v>9</v>
      </c>
      <c r="F53" s="102">
        <v>3.0</v>
      </c>
      <c r="G53" s="46">
        <v>0.0</v>
      </c>
      <c r="H53" s="47">
        <v>9.0</v>
      </c>
      <c r="I53" s="46">
        <v>0.0</v>
      </c>
      <c r="J53" s="46">
        <v>0.0</v>
      </c>
      <c r="K53" s="46">
        <v>0.0</v>
      </c>
      <c r="L53" s="103">
        <v>9.0</v>
      </c>
      <c r="M53" s="46">
        <v>0.0</v>
      </c>
      <c r="N53" s="31">
        <f t="shared" ref="N53:O53" si="55">C53+L53</f>
        <v>31</v>
      </c>
      <c r="O53" s="31">
        <f t="shared" si="55"/>
        <v>0</v>
      </c>
      <c r="P53" s="45" t="s">
        <v>58</v>
      </c>
      <c r="Q53" s="45" t="s">
        <v>58</v>
      </c>
      <c r="R53" s="45"/>
      <c r="S53" s="46">
        <f t="shared" si="4"/>
        <v>1</v>
      </c>
      <c r="T53" s="46"/>
      <c r="U53" s="46">
        <f t="shared" si="5"/>
        <v>2</v>
      </c>
      <c r="V53" s="46">
        <f t="shared" si="6"/>
        <v>-8</v>
      </c>
      <c r="W53" s="30">
        <f t="shared" si="9"/>
        <v>49</v>
      </c>
    </row>
    <row r="54">
      <c r="A54" s="30">
        <f t="shared" si="7"/>
        <v>50</v>
      </c>
      <c r="B54" s="28" t="s">
        <v>72</v>
      </c>
      <c r="C54" s="100">
        <v>22.0</v>
      </c>
      <c r="D54" s="100">
        <v>0.0</v>
      </c>
      <c r="E54" s="36">
        <f t="shared" si="2"/>
        <v>9</v>
      </c>
      <c r="F54" s="102">
        <v>3.0</v>
      </c>
      <c r="G54" s="46">
        <v>0.0</v>
      </c>
      <c r="H54" s="47">
        <v>9.0</v>
      </c>
      <c r="I54" s="46">
        <v>0.0</v>
      </c>
      <c r="J54" s="46">
        <v>0.0</v>
      </c>
      <c r="K54" s="46">
        <v>0.0</v>
      </c>
      <c r="L54" s="103">
        <v>9.0</v>
      </c>
      <c r="M54" s="46">
        <v>0.0</v>
      </c>
      <c r="N54" s="31">
        <f t="shared" ref="N54:O54" si="56">C54+L54</f>
        <v>31</v>
      </c>
      <c r="O54" s="31">
        <f t="shared" si="56"/>
        <v>0</v>
      </c>
      <c r="P54" s="45" t="s">
        <v>58</v>
      </c>
      <c r="Q54" s="45" t="s">
        <v>58</v>
      </c>
      <c r="R54" s="45"/>
      <c r="S54" s="46">
        <f t="shared" si="4"/>
        <v>1</v>
      </c>
      <c r="T54" s="46"/>
      <c r="U54" s="46">
        <f t="shared" si="5"/>
        <v>2</v>
      </c>
      <c r="V54" s="46">
        <f t="shared" si="6"/>
        <v>-8</v>
      </c>
      <c r="W54" s="30">
        <f t="shared" si="9"/>
        <v>50</v>
      </c>
    </row>
    <row r="55">
      <c r="A55" s="30">
        <f t="shared" si="7"/>
        <v>51</v>
      </c>
      <c r="B55" s="28" t="s">
        <v>102</v>
      </c>
      <c r="C55" s="100">
        <v>22.0</v>
      </c>
      <c r="D55" s="100">
        <v>0.0</v>
      </c>
      <c r="E55" s="36">
        <f t="shared" si="2"/>
        <v>9</v>
      </c>
      <c r="F55" s="102">
        <v>3.0</v>
      </c>
      <c r="G55" s="46">
        <v>0.0</v>
      </c>
      <c r="H55" s="47">
        <v>9.0</v>
      </c>
      <c r="I55" s="46">
        <v>0.0</v>
      </c>
      <c r="J55" s="46">
        <v>0.0</v>
      </c>
      <c r="K55" s="46">
        <v>0.0</v>
      </c>
      <c r="L55" s="103">
        <v>9.0</v>
      </c>
      <c r="M55" s="46">
        <v>0.0</v>
      </c>
      <c r="N55" s="31">
        <f t="shared" ref="N55:O55" si="57">C55+L55</f>
        <v>31</v>
      </c>
      <c r="O55" s="31">
        <f t="shared" si="57"/>
        <v>0</v>
      </c>
      <c r="P55" s="45" t="s">
        <v>58</v>
      </c>
      <c r="Q55" s="45" t="s">
        <v>58</v>
      </c>
      <c r="R55" s="45"/>
      <c r="S55" s="46">
        <f t="shared" si="4"/>
        <v>1</v>
      </c>
      <c r="T55" s="46"/>
      <c r="U55" s="46">
        <f t="shared" si="5"/>
        <v>2</v>
      </c>
      <c r="V55" s="46">
        <f t="shared" si="6"/>
        <v>9</v>
      </c>
      <c r="W55" s="30">
        <f t="shared" si="9"/>
        <v>51</v>
      </c>
    </row>
    <row r="56">
      <c r="A56" s="30">
        <f t="shared" si="7"/>
        <v>52</v>
      </c>
      <c r="B56" s="43" t="s">
        <v>138</v>
      </c>
      <c r="C56" s="101">
        <v>21.0</v>
      </c>
      <c r="D56" s="100">
        <v>1.0</v>
      </c>
      <c r="E56" s="36">
        <f t="shared" si="2"/>
        <v>12</v>
      </c>
      <c r="F56" s="102">
        <v>1.0</v>
      </c>
      <c r="G56" s="46">
        <v>8.0</v>
      </c>
      <c r="H56" s="47">
        <v>0.0</v>
      </c>
      <c r="I56" s="46">
        <v>0.0</v>
      </c>
      <c r="J56" s="46">
        <v>0.0</v>
      </c>
      <c r="K56" s="46">
        <v>6.0</v>
      </c>
      <c r="L56" s="103">
        <v>6.0</v>
      </c>
      <c r="M56" s="46">
        <v>1.0</v>
      </c>
      <c r="N56" s="47">
        <f t="shared" ref="N56:O56" si="58">C56+L56</f>
        <v>27</v>
      </c>
      <c r="O56" s="31">
        <f t="shared" si="58"/>
        <v>2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1</v>
      </c>
      <c r="V56" s="46">
        <f t="shared" si="6"/>
        <v>-4</v>
      </c>
      <c r="W56" s="30">
        <f t="shared" si="9"/>
        <v>52</v>
      </c>
    </row>
    <row r="57">
      <c r="A57" s="30">
        <f t="shared" si="7"/>
        <v>53</v>
      </c>
      <c r="B57" s="43" t="s">
        <v>135</v>
      </c>
      <c r="C57" s="100">
        <v>21.0</v>
      </c>
      <c r="D57" s="100">
        <v>1.0</v>
      </c>
      <c r="E57" s="36">
        <f t="shared" si="2"/>
        <v>12</v>
      </c>
      <c r="F57" s="102">
        <v>3.0</v>
      </c>
      <c r="G57" s="46">
        <v>0.0</v>
      </c>
      <c r="H57" s="47">
        <v>9.0</v>
      </c>
      <c r="I57" s="46">
        <v>0.0</v>
      </c>
      <c r="J57" s="46">
        <v>0.0</v>
      </c>
      <c r="K57" s="46">
        <v>0.0</v>
      </c>
      <c r="L57" s="103">
        <v>9.0</v>
      </c>
      <c r="M57" s="46">
        <v>0.0</v>
      </c>
      <c r="N57" s="31">
        <f t="shared" ref="N57:O57" si="59">C57+L57</f>
        <v>30</v>
      </c>
      <c r="O57" s="31">
        <f t="shared" si="59"/>
        <v>1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1</v>
      </c>
      <c r="V57" s="46">
        <f t="shared" si="6"/>
        <v>-2</v>
      </c>
      <c r="W57" s="30">
        <f t="shared" si="9"/>
        <v>53</v>
      </c>
    </row>
    <row r="58">
      <c r="A58" s="30">
        <f t="shared" si="7"/>
        <v>54</v>
      </c>
      <c r="B58" s="43" t="s">
        <v>61</v>
      </c>
      <c r="C58" s="101">
        <v>20.0</v>
      </c>
      <c r="D58" s="100">
        <v>2.0</v>
      </c>
      <c r="E58" s="36">
        <f t="shared" si="2"/>
        <v>10</v>
      </c>
      <c r="F58" s="102">
        <v>1.0</v>
      </c>
      <c r="G58" s="46">
        <v>8.0</v>
      </c>
      <c r="H58" s="47">
        <v>0.0</v>
      </c>
      <c r="I58" s="46">
        <v>6.0</v>
      </c>
      <c r="J58" s="46">
        <v>0.0</v>
      </c>
      <c r="K58" s="46">
        <v>2.0</v>
      </c>
      <c r="L58" s="103">
        <v>8.0</v>
      </c>
      <c r="M58" s="46">
        <v>1.0</v>
      </c>
      <c r="N58" s="47">
        <f t="shared" ref="N58:O58" si="60">C58+L58</f>
        <v>28</v>
      </c>
      <c r="O58" s="31">
        <f t="shared" si="60"/>
        <v>3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0</v>
      </c>
      <c r="V58" s="46">
        <f t="shared" si="6"/>
        <v>-10</v>
      </c>
      <c r="W58" s="30">
        <f t="shared" si="9"/>
        <v>54</v>
      </c>
    </row>
    <row r="59">
      <c r="A59" s="30">
        <f t="shared" si="7"/>
        <v>55</v>
      </c>
      <c r="B59" s="43" t="s">
        <v>130</v>
      </c>
      <c r="C59" s="100">
        <v>20.0</v>
      </c>
      <c r="D59" s="100">
        <v>1.0</v>
      </c>
      <c r="E59" s="36">
        <f t="shared" si="2"/>
        <v>11</v>
      </c>
      <c r="F59" s="102">
        <v>1.0</v>
      </c>
      <c r="G59" s="46">
        <v>10.0</v>
      </c>
      <c r="H59" s="47">
        <v>0.0</v>
      </c>
      <c r="I59" s="46">
        <v>6.0</v>
      </c>
      <c r="J59" s="46">
        <v>6.0</v>
      </c>
      <c r="K59" s="46">
        <v>6.0</v>
      </c>
      <c r="L59" s="103">
        <v>18.0</v>
      </c>
      <c r="M59" s="46">
        <v>3.0</v>
      </c>
      <c r="N59" s="31">
        <f t="shared" ref="N59:O59" si="61">C59+L59</f>
        <v>38</v>
      </c>
      <c r="O59" s="31">
        <f t="shared" si="61"/>
        <v>4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1</v>
      </c>
      <c r="V59" s="46">
        <f t="shared" si="6"/>
        <v>-6</v>
      </c>
      <c r="W59" s="30">
        <f t="shared" si="9"/>
        <v>55</v>
      </c>
    </row>
    <row r="60">
      <c r="A60" s="30">
        <f t="shared" si="7"/>
        <v>56</v>
      </c>
      <c r="B60" s="43" t="s">
        <v>136</v>
      </c>
      <c r="C60" s="100">
        <v>18.0</v>
      </c>
      <c r="D60" s="100">
        <v>2.0</v>
      </c>
      <c r="E60" s="36">
        <f t="shared" si="2"/>
        <v>9</v>
      </c>
      <c r="F60" s="102">
        <v>1.0</v>
      </c>
      <c r="G60" s="46">
        <v>10.0</v>
      </c>
      <c r="H60" s="47">
        <v>0.0</v>
      </c>
      <c r="I60" s="46">
        <v>3.0</v>
      </c>
      <c r="J60" s="46">
        <v>3.0</v>
      </c>
      <c r="K60" s="46">
        <v>6.0</v>
      </c>
      <c r="L60" s="103">
        <v>12.0</v>
      </c>
      <c r="M60" s="46">
        <v>1.0</v>
      </c>
      <c r="N60" s="31">
        <f t="shared" ref="N60:O60" si="62">C60+L60</f>
        <v>30</v>
      </c>
      <c r="O60" s="31">
        <f t="shared" si="62"/>
        <v>3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0</v>
      </c>
      <c r="V60" s="46">
        <f t="shared" si="6"/>
        <v>-43</v>
      </c>
      <c r="W60" s="30">
        <f t="shared" si="9"/>
        <v>56</v>
      </c>
    </row>
    <row r="61">
      <c r="A61" s="30">
        <f t="shared" si="7"/>
        <v>57</v>
      </c>
      <c r="B61" s="43" t="s">
        <v>118</v>
      </c>
      <c r="C61" s="101">
        <v>18.0</v>
      </c>
      <c r="D61" s="100">
        <v>0.0</v>
      </c>
      <c r="E61" s="36">
        <f t="shared" si="2"/>
        <v>9</v>
      </c>
      <c r="F61" s="102">
        <v>2.0</v>
      </c>
      <c r="G61" s="46">
        <v>10.0</v>
      </c>
      <c r="H61" s="47">
        <v>0.0</v>
      </c>
      <c r="I61" s="46">
        <v>3.0</v>
      </c>
      <c r="J61" s="46">
        <v>6.0</v>
      </c>
      <c r="K61" s="46">
        <v>1.0</v>
      </c>
      <c r="L61" s="103">
        <v>10.0</v>
      </c>
      <c r="M61" s="46">
        <v>1.0</v>
      </c>
      <c r="N61" s="47">
        <f t="shared" ref="N61:O61" si="63">C61+L61</f>
        <v>28</v>
      </c>
      <c r="O61" s="31">
        <f t="shared" si="63"/>
        <v>1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1</v>
      </c>
      <c r="V61" s="46">
        <f t="shared" si="6"/>
        <v>6</v>
      </c>
      <c r="W61" s="30">
        <f t="shared" si="9"/>
        <v>57</v>
      </c>
    </row>
    <row r="62">
      <c r="A62" s="30">
        <f t="shared" si="7"/>
        <v>58</v>
      </c>
      <c r="B62" s="43" t="s">
        <v>76</v>
      </c>
      <c r="C62" s="100">
        <v>18.0</v>
      </c>
      <c r="D62" s="100">
        <v>0.0</v>
      </c>
      <c r="E62" s="36">
        <f t="shared" si="2"/>
        <v>9</v>
      </c>
      <c r="F62" s="102">
        <v>3.0</v>
      </c>
      <c r="G62" s="46">
        <v>0.0</v>
      </c>
      <c r="H62" s="47">
        <v>9.0</v>
      </c>
      <c r="I62" s="46">
        <v>0.0</v>
      </c>
      <c r="J62" s="46">
        <v>0.0</v>
      </c>
      <c r="K62" s="46">
        <v>0.0</v>
      </c>
      <c r="L62" s="103">
        <v>9.0</v>
      </c>
      <c r="M62" s="46">
        <v>0.0</v>
      </c>
      <c r="N62" s="31">
        <f t="shared" ref="N62:O62" si="64">C62+L62</f>
        <v>27</v>
      </c>
      <c r="O62" s="31">
        <f t="shared" si="64"/>
        <v>0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3</v>
      </c>
      <c r="V62" s="46">
        <f t="shared" si="6"/>
        <v>-5</v>
      </c>
      <c r="W62" s="30">
        <f t="shared" si="9"/>
        <v>58</v>
      </c>
    </row>
    <row r="63">
      <c r="A63" s="30">
        <f t="shared" si="7"/>
        <v>59</v>
      </c>
      <c r="B63" s="43" t="s">
        <v>126</v>
      </c>
      <c r="C63" s="100">
        <v>18.0</v>
      </c>
      <c r="D63" s="100">
        <v>0.0</v>
      </c>
      <c r="E63" s="36">
        <f t="shared" si="2"/>
        <v>9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27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3</v>
      </c>
      <c r="V63" s="46">
        <f t="shared" si="6"/>
        <v>-5</v>
      </c>
      <c r="W63" s="30">
        <f t="shared" si="9"/>
        <v>59</v>
      </c>
    </row>
    <row r="64">
      <c r="A64" s="30">
        <f t="shared" si="7"/>
        <v>60</v>
      </c>
      <c r="B64" s="28" t="s">
        <v>128</v>
      </c>
      <c r="C64" s="100">
        <v>18.0</v>
      </c>
      <c r="D64" s="100">
        <v>0.0</v>
      </c>
      <c r="E64" s="36">
        <f t="shared" si="2"/>
        <v>9</v>
      </c>
      <c r="F64" s="102">
        <v>3.0</v>
      </c>
      <c r="G64" s="46">
        <v>0.0</v>
      </c>
      <c r="H64" s="47">
        <v>9.0</v>
      </c>
      <c r="I64" s="46">
        <v>0.0</v>
      </c>
      <c r="J64" s="46">
        <v>0.0</v>
      </c>
      <c r="K64" s="46">
        <v>0.0</v>
      </c>
      <c r="L64" s="103">
        <v>9.0</v>
      </c>
      <c r="M64" s="46">
        <v>0.0</v>
      </c>
      <c r="N64" s="31">
        <f t="shared" ref="N64:O64" si="66">C64+L64</f>
        <v>27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0</v>
      </c>
      <c r="T64" s="46"/>
      <c r="U64" s="46">
        <f t="shared" si="5"/>
        <v>3</v>
      </c>
      <c r="V64" s="46">
        <f t="shared" si="6"/>
        <v>-5</v>
      </c>
      <c r="W64" s="30">
        <f t="shared" si="9"/>
        <v>60</v>
      </c>
    </row>
    <row r="65">
      <c r="A65" s="30">
        <f t="shared" si="7"/>
        <v>61</v>
      </c>
      <c r="B65" s="48" t="s">
        <v>103</v>
      </c>
      <c r="C65" s="100">
        <v>18.0</v>
      </c>
      <c r="D65" s="100">
        <v>0.0</v>
      </c>
      <c r="E65" s="36">
        <f t="shared" si="2"/>
        <v>9</v>
      </c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31">
        <f t="shared" ref="N65:O65" si="67">C65+L65</f>
        <v>27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3</v>
      </c>
      <c r="V65" s="46">
        <f t="shared" si="6"/>
        <v>-4</v>
      </c>
      <c r="W65" s="30">
        <f t="shared" si="9"/>
        <v>61</v>
      </c>
    </row>
    <row r="66">
      <c r="A66" s="30">
        <f t="shared" si="7"/>
        <v>62</v>
      </c>
      <c r="B66" s="48" t="s">
        <v>139</v>
      </c>
      <c r="C66" s="100">
        <v>18.0</v>
      </c>
      <c r="D66" s="100">
        <v>0.0</v>
      </c>
      <c r="E66" s="36">
        <f t="shared" si="2"/>
        <v>9</v>
      </c>
      <c r="F66" s="102">
        <v>3.0</v>
      </c>
      <c r="G66" s="46">
        <v>0.0</v>
      </c>
      <c r="H66" s="47">
        <v>9.0</v>
      </c>
      <c r="I66" s="46">
        <v>0.0</v>
      </c>
      <c r="J66" s="46">
        <v>0.0</v>
      </c>
      <c r="K66" s="46">
        <v>0.0</v>
      </c>
      <c r="L66" s="103">
        <v>9.0</v>
      </c>
      <c r="M66" s="46">
        <v>0.0</v>
      </c>
      <c r="N66" s="31">
        <f t="shared" ref="N66:O66" si="68">C66+L66</f>
        <v>27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3</v>
      </c>
      <c r="V66" s="46">
        <f t="shared" si="6"/>
        <v>-3</v>
      </c>
      <c r="W66" s="30">
        <f t="shared" si="9"/>
        <v>62</v>
      </c>
    </row>
    <row r="67">
      <c r="A67" s="30">
        <f t="shared" si="7"/>
        <v>63</v>
      </c>
      <c r="B67" s="43" t="s">
        <v>142</v>
      </c>
      <c r="C67" s="101">
        <v>18.0</v>
      </c>
      <c r="D67" s="100">
        <v>0.0</v>
      </c>
      <c r="E67" s="36">
        <f t="shared" si="2"/>
        <v>9</v>
      </c>
      <c r="F67" s="102">
        <v>3.0</v>
      </c>
      <c r="G67" s="46">
        <v>0.0</v>
      </c>
      <c r="H67" s="47">
        <v>9.0</v>
      </c>
      <c r="I67" s="46">
        <v>0.0</v>
      </c>
      <c r="J67" s="46">
        <v>0.0</v>
      </c>
      <c r="K67" s="46">
        <v>0.0</v>
      </c>
      <c r="L67" s="103">
        <v>9.0</v>
      </c>
      <c r="M67" s="46">
        <v>0.0</v>
      </c>
      <c r="N67" s="47">
        <f t="shared" ref="N67:O67" si="69">C67+L67</f>
        <v>27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3</v>
      </c>
      <c r="V67" s="46">
        <f t="shared" si="6"/>
        <v>-2</v>
      </c>
      <c r="W67" s="30">
        <f t="shared" si="9"/>
        <v>63</v>
      </c>
    </row>
    <row r="68">
      <c r="A68" s="30">
        <f t="shared" si="7"/>
        <v>64</v>
      </c>
      <c r="B68" s="43" t="s">
        <v>100</v>
      </c>
      <c r="C68" s="100">
        <v>17.0</v>
      </c>
      <c r="D68" s="100">
        <v>2.0</v>
      </c>
      <c r="E68" s="36">
        <f t="shared" si="2"/>
        <v>8</v>
      </c>
      <c r="F68" s="102">
        <v>3.0</v>
      </c>
      <c r="G68" s="46">
        <v>0.0</v>
      </c>
      <c r="H68" s="47">
        <v>9.0</v>
      </c>
      <c r="I68" s="46">
        <v>0.0</v>
      </c>
      <c r="J68" s="46">
        <v>0.0</v>
      </c>
      <c r="K68" s="46">
        <v>0.0</v>
      </c>
      <c r="L68" s="103">
        <v>9.0</v>
      </c>
      <c r="M68" s="46">
        <v>0.0</v>
      </c>
      <c r="N68" s="31">
        <f t="shared" ref="N68:O68" si="70">C68+L68</f>
        <v>26</v>
      </c>
      <c r="O68" s="31">
        <f t="shared" si="70"/>
        <v>2</v>
      </c>
      <c r="P68" s="45" t="s">
        <v>58</v>
      </c>
      <c r="Q68" s="45" t="s">
        <v>58</v>
      </c>
      <c r="R68" s="45"/>
      <c r="S68" s="46">
        <f t="shared" si="4"/>
        <v>0</v>
      </c>
      <c r="T68" s="46"/>
      <c r="U68" s="46">
        <f t="shared" si="5"/>
        <v>1</v>
      </c>
      <c r="V68" s="46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43" t="s">
        <v>78</v>
      </c>
      <c r="C69" s="101">
        <v>16.0</v>
      </c>
      <c r="D69" s="100">
        <v>0.0</v>
      </c>
      <c r="E69" s="36">
        <f t="shared" si="2"/>
        <v>7</v>
      </c>
      <c r="F69" s="102">
        <v>1.0</v>
      </c>
      <c r="G69" s="46">
        <v>10.0</v>
      </c>
      <c r="H69" s="47">
        <v>0.0</v>
      </c>
      <c r="I69" s="46">
        <v>6.0</v>
      </c>
      <c r="J69" s="46">
        <v>3.0</v>
      </c>
      <c r="K69" s="46">
        <v>1.0</v>
      </c>
      <c r="L69" s="103">
        <v>10.0</v>
      </c>
      <c r="M69" s="46">
        <v>1.0</v>
      </c>
      <c r="N69" s="47">
        <f t="shared" ref="N69:O69" si="71">C69+L69</f>
        <v>26</v>
      </c>
      <c r="O69" s="31">
        <f t="shared" si="71"/>
        <v>1</v>
      </c>
      <c r="P69" s="45" t="s">
        <v>58</v>
      </c>
      <c r="Q69" s="45" t="s">
        <v>58</v>
      </c>
      <c r="R69" s="45"/>
      <c r="S69" s="46">
        <f t="shared" si="4"/>
        <v>0</v>
      </c>
      <c r="T69" s="46"/>
      <c r="U69" s="46">
        <f t="shared" si="5"/>
        <v>1</v>
      </c>
      <c r="V69" s="46">
        <f t="shared" si="6"/>
        <v>-3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desc"",0)"),"Ted Shen")</f>
        <v>Ted Shen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IFERROR(__xludf.DUMMYFUNCTION("""COMPUTED_VALUE"""),1.0)</f>
        <v>1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IFERROR(__xludf.DUMMYFUNCTION("""COMPUTED_VALUE"""),"Sandeep Kamalon")</f>
        <v>Sandeep Kamalon</v>
      </c>
      <c r="C77" s="84">
        <f>IFERROR(__xludf.DUMMYFUNCTION("""COMPUTED_VALUE"""),19.0)</f>
        <v>19</v>
      </c>
      <c r="D77" s="84">
        <f>IFERROR(__xludf.DUMMYFUNCTION("""COMPUTED_VALUE"""),2.0)</f>
        <v>2</v>
      </c>
      <c r="E77" s="84">
        <f>IFERROR(__xludf.DUMMYFUNCTION("""COMPUTED_VALUE"""),4.0)</f>
        <v>4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IFERROR(__xludf.DUMMYFUNCTION("""COMPUTED_VALUE"""),"Matthew Huang")</f>
        <v>Matthew Huang</v>
      </c>
      <c r="C78" s="84">
        <f>IFERROR(__xludf.DUMMYFUNCTION("""COMPUTED_VALUE"""),19.0)</f>
        <v>19</v>
      </c>
      <c r="D78" s="84">
        <f>IFERROR(__xludf.DUMMYFUNCTION("""COMPUTED_VALUE"""),2.0)</f>
        <v>2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IFERROR(__xludf.DUMMYFUNCTION("""COMPUTED_VALUE"""),"Robert Chang")</f>
        <v>Robert Chang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IFERROR(__xludf.DUMMYFUNCTION("""COMPUTED_VALUE"""),9.0)</f>
        <v>9</v>
      </c>
      <c r="F79" s="1"/>
      <c r="P79" s="33" t="s">
        <v>172</v>
      </c>
    </row>
    <row r="80">
      <c r="A80" s="1"/>
      <c r="B80" s="43" t="str">
        <f>IFERROR(__xludf.DUMMYFUNCTION("""COMPUTED_VALUE"""),"Tom Le")</f>
        <v>Tom Le</v>
      </c>
      <c r="C80" s="84">
        <f>IFERROR(__xludf.DUMMYFUNCTION("""COMPUTED_VALUE"""),18.0)</f>
        <v>18</v>
      </c>
      <c r="D80" s="84">
        <f>IFERROR(__xludf.DUMMYFUNCTION("""COMPUTED_VALUE"""),3.0)</f>
        <v>3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IFERROR(__xludf.DUMMYFUNCTION("""COMPUTED_VALUE"""),"Chinna Ponnaganti")</f>
        <v>Chinna Ponnaganti</v>
      </c>
      <c r="C81" s="84">
        <f>IFERROR(__xludf.DUMMYFUNCTION("""COMPUTED_VALUE"""),18.0)</f>
        <v>18</v>
      </c>
      <c r="D81" s="84">
        <f>IFERROR(__xludf.DUMMYFUNCTION("""COMPUTED_VALUE"""),3.0)</f>
        <v>3</v>
      </c>
      <c r="E81" s="84">
        <f>IFERROR(__xludf.DUMMYFUNCTION("""COMPUTED_VALUE"""),6.0)</f>
        <v>6</v>
      </c>
      <c r="F81" s="1"/>
      <c r="L81" s="33"/>
    </row>
    <row r="82">
      <c r="A82" s="1"/>
      <c r="B82" s="43" t="str">
        <f>IFERROR(__xludf.DUMMYFUNCTION("""COMPUTED_VALUE"""),"Susanta Mishra")</f>
        <v>Susanta Mishra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IFERROR(__xludf.DUMMYFUNCTION("""COMPUTED_VALUE"""),8.0)</f>
        <v>8</v>
      </c>
      <c r="F82" s="1"/>
      <c r="L82" s="33"/>
    </row>
    <row r="83">
      <c r="A83" s="1"/>
      <c r="B83" s="43" t="str">
        <f>IFERROR(__xludf.DUMMYFUNCTION("""COMPUTED_VALUE"""),"Troy Wong")</f>
        <v>Troy Wong</v>
      </c>
      <c r="C83" s="84">
        <f>IFERROR(__xludf.DUMMYFUNCTION("""COMPUTED_VALUE"""),18.0)</f>
        <v>18</v>
      </c>
      <c r="D83" s="84">
        <f>IFERROR(__xludf.DUMMYFUNCTION("""COMPUTED_VALUE"""),3.0)</f>
        <v>3</v>
      </c>
      <c r="E83" s="84">
        <f>IFERROR(__xludf.DUMMYFUNCTION("""COMPUTED_VALUE"""),10.0)</f>
        <v>10</v>
      </c>
      <c r="F83" s="1"/>
      <c r="L83" s="33"/>
    </row>
    <row r="84">
      <c r="A84" s="1"/>
      <c r="B84" s="43" t="str">
        <f>IFERROR(__xludf.DUMMYFUNCTION("""COMPUTED_VALUE"""),"Jonathan Phan")</f>
        <v>Jonathan Phan</v>
      </c>
      <c r="C84" s="84">
        <f>IFERROR(__xludf.DUMMYFUNCTION("""COMPUTED_VALUE"""),18.0)</f>
        <v>18</v>
      </c>
      <c r="D84" s="84">
        <f>IFERROR(__xludf.DUMMYFUNCTION("""COMPUTED_VALUE"""),2.0)</f>
        <v>2</v>
      </c>
      <c r="E84" s="84">
        <f>IFERROR(__xludf.DUMMYFUNCTION("""COMPUTED_VALUE"""),3.0)</f>
        <v>3</v>
      </c>
      <c r="F84" s="1"/>
    </row>
    <row r="85">
      <c r="A85" s="1"/>
      <c r="B85" s="43" t="str">
        <f>IFERROR(__xludf.DUMMYFUNCTION("""COMPUTED_VALUE"""),"Pavan Akkimsetty")</f>
        <v>Pavan Akkimsetty</v>
      </c>
      <c r="C85" s="84">
        <f>IFERROR(__xludf.DUMMYFUNCTION("""COMPUTED_VALUE"""),18.0)</f>
        <v>18</v>
      </c>
      <c r="D85" s="84">
        <f>IFERROR(__xludf.DUMMYFUNCTION("""COMPUTED_VALUE"""),2.0)</f>
        <v>2</v>
      </c>
      <c r="E85" s="84">
        <f>IFERROR(__xludf.DUMMYFUNCTION("""COMPUTED_VALUE"""),4.0)</f>
        <v>4</v>
      </c>
      <c r="F85" s="1"/>
    </row>
    <row r="86">
      <c r="A86" s="1"/>
      <c r="B86" s="43" t="str">
        <f>IFERROR(__xludf.DUMMYFUNCTION("""COMPUTED_VALUE"""),"David Shin")</f>
        <v>David Shin</v>
      </c>
      <c r="C86" s="84">
        <f>IFERROR(__xludf.DUMMYFUNCTION("""COMPUTED_VALUE"""),18.0)</f>
        <v>18</v>
      </c>
      <c r="D86" s="84">
        <f>IFERROR(__xludf.DUMMYFUNCTION("""COMPUTED_VALUE"""),2.0)</f>
        <v>2</v>
      </c>
      <c r="E86" s="84">
        <f>IFERROR(__xludf.DUMMYFUNCTION("""COMPUTED_VALUE"""),7.0)</f>
        <v>7</v>
      </c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10"")"),"Sandeep Kamalon")</f>
        <v>Sandeep Kamalon</v>
      </c>
      <c r="C90" s="84">
        <f>IFERROR(__xludf.DUMMYFUNCTION("""COMPUTED_VALUE"""),38.0)</f>
        <v>38</v>
      </c>
      <c r="D90" s="84">
        <f t="shared" ref="D90:D99" si="72">VLOOKUP(B90,indirect($AB$2&amp;"!B$5:w$70"),22, false)</f>
        <v>64</v>
      </c>
      <c r="E90" s="84">
        <f t="shared" ref="E90:E99" si="73">VLOOKUP(B90,B$5:W$69,22, false)</f>
        <v>26</v>
      </c>
      <c r="F90" s="84">
        <f t="shared" ref="F90:F99" si="74">VLOOKUP(B90,indirect($AB$2&amp;"!B$5:U$70"),11, false)</f>
        <v>18</v>
      </c>
      <c r="G90" s="84">
        <f t="shared" ref="G90:G99" si="75">VLOOKUP(B90,indirect($AB$2&amp;"!B$5:U$70"),6, false)</f>
        <v>11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IFERROR(__xludf.DUMMYFUNCTION("""COMPUTED_VALUE"""),"Manish Anand")</f>
        <v>Manish Anand</v>
      </c>
      <c r="C91" s="84">
        <f>IFERROR(__xludf.DUMMYFUNCTION("""COMPUTED_VALUE"""),33.0)</f>
        <v>33</v>
      </c>
      <c r="D91" s="84">
        <f t="shared" si="72"/>
        <v>43</v>
      </c>
      <c r="E91" s="84">
        <f t="shared" si="73"/>
        <v>10</v>
      </c>
      <c r="F91" s="84">
        <f t="shared" si="74"/>
        <v>18</v>
      </c>
      <c r="G91" s="84">
        <f t="shared" si="75"/>
        <v>7</v>
      </c>
      <c r="L91" s="84" t="str">
        <f t="shared" si="76"/>
        <v>ok</v>
      </c>
    </row>
    <row r="92">
      <c r="A92" s="1"/>
      <c r="B92" s="43" t="str">
        <f>IFERROR(__xludf.DUMMYFUNCTION("""COMPUTED_VALUE"""),"Jonathan Phan")</f>
        <v>Jonathan Phan</v>
      </c>
      <c r="C92" s="84">
        <f>IFERROR(__xludf.DUMMYFUNCTION("""COMPUTED_VALUE"""),32.0)</f>
        <v>32</v>
      </c>
      <c r="D92" s="84">
        <f t="shared" si="72"/>
        <v>52</v>
      </c>
      <c r="E92" s="84">
        <f t="shared" si="73"/>
        <v>20</v>
      </c>
      <c r="F92" s="84">
        <f t="shared" si="74"/>
        <v>19</v>
      </c>
      <c r="G92" s="84">
        <f t="shared" si="75"/>
        <v>10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IFERROR(__xludf.DUMMYFUNCTION("""COMPUTED_VALUE"""),"Rajasekar Ramasamy")</f>
        <v>Rajasekar Ramasamy</v>
      </c>
      <c r="C93" s="84">
        <f>IFERROR(__xludf.DUMMYFUNCTION("""COMPUTED_VALUE"""),22.0)</f>
        <v>22</v>
      </c>
      <c r="D93" s="84">
        <f t="shared" si="72"/>
        <v>29</v>
      </c>
      <c r="E93" s="84">
        <f t="shared" si="73"/>
        <v>7</v>
      </c>
      <c r="F93" s="84">
        <f t="shared" si="74"/>
        <v>19</v>
      </c>
      <c r="G93" s="84">
        <f t="shared" si="75"/>
        <v>6</v>
      </c>
      <c r="L93" s="84" t="str">
        <f t="shared" si="76"/>
        <v>ok</v>
      </c>
    </row>
    <row r="94">
      <c r="A94" s="1"/>
      <c r="B94" s="43" t="str">
        <f>IFERROR(__xludf.DUMMYFUNCTION("""COMPUTED_VALUE"""),"Scott Li")</f>
        <v>Scott Li</v>
      </c>
      <c r="C94" s="84">
        <f>IFERROR(__xludf.DUMMYFUNCTION("""COMPUTED_VALUE"""),22.0)</f>
        <v>22</v>
      </c>
      <c r="D94" s="84">
        <f t="shared" si="72"/>
        <v>46</v>
      </c>
      <c r="E94" s="84">
        <f t="shared" si="73"/>
        <v>24</v>
      </c>
      <c r="F94" s="84">
        <f t="shared" si="74"/>
        <v>15</v>
      </c>
      <c r="G94" s="84">
        <f t="shared" si="75"/>
        <v>8</v>
      </c>
      <c r="L94" s="84" t="str">
        <f t="shared" si="76"/>
        <v>ok</v>
      </c>
    </row>
    <row r="95">
      <c r="A95" s="1"/>
      <c r="B95" s="43" t="str">
        <f>IFERROR(__xludf.DUMMYFUNCTION("""COMPUTED_VALUE"""),"Alex Hou")</f>
        <v>Alex Hou</v>
      </c>
      <c r="C95" s="84">
        <f>IFERROR(__xludf.DUMMYFUNCTION("""COMPUTED_VALUE"""),22.0)</f>
        <v>22</v>
      </c>
      <c r="D95" s="84">
        <f t="shared" si="72"/>
        <v>47</v>
      </c>
      <c r="E95" s="84">
        <f t="shared" si="73"/>
        <v>25</v>
      </c>
      <c r="F95" s="84">
        <f t="shared" si="74"/>
        <v>15</v>
      </c>
      <c r="G95" s="84">
        <f t="shared" si="75"/>
        <v>8</v>
      </c>
      <c r="L95" s="84" t="str">
        <f t="shared" si="76"/>
        <v>ok</v>
      </c>
    </row>
    <row r="96">
      <c r="A96" s="1"/>
      <c r="B96" s="43" t="str">
        <f>IFERROR(__xludf.DUMMYFUNCTION("""COMPUTED_VALUE"""),"Naveen Raj")</f>
        <v>Naveen Raj</v>
      </c>
      <c r="C96" s="84">
        <f>IFERROR(__xludf.DUMMYFUNCTION("""COMPUTED_VALUE"""),21.0)</f>
        <v>21</v>
      </c>
      <c r="D96" s="84">
        <f t="shared" si="72"/>
        <v>58</v>
      </c>
      <c r="E96" s="84">
        <f t="shared" si="73"/>
        <v>37</v>
      </c>
      <c r="F96" s="84">
        <f t="shared" si="74"/>
        <v>14</v>
      </c>
      <c r="G96" s="84">
        <f t="shared" si="75"/>
        <v>11</v>
      </c>
      <c r="L96" s="84" t="str">
        <f t="shared" si="76"/>
        <v>ok</v>
      </c>
    </row>
    <row r="97">
      <c r="A97" s="1"/>
      <c r="B97" s="43" t="str">
        <f>IFERROR(__xludf.DUMMYFUNCTION("""COMPUTED_VALUE"""),"Hongyuan Wen")</f>
        <v>Hongyuan Wen</v>
      </c>
      <c r="C97" s="84">
        <f>IFERROR(__xludf.DUMMYFUNCTION("""COMPUTED_VALUE"""),17.0)</f>
        <v>17</v>
      </c>
      <c r="D97" s="84">
        <f t="shared" si="72"/>
        <v>45</v>
      </c>
      <c r="E97" s="84">
        <f t="shared" si="73"/>
        <v>28</v>
      </c>
      <c r="F97" s="84">
        <f t="shared" si="74"/>
        <v>14</v>
      </c>
      <c r="G97" s="84">
        <f t="shared" si="75"/>
        <v>8</v>
      </c>
      <c r="L97" s="84" t="str">
        <f t="shared" si="76"/>
        <v>ok</v>
      </c>
    </row>
    <row r="98">
      <c r="A98" s="1"/>
      <c r="B98" s="43" t="str">
        <f>IFERROR(__xludf.DUMMYFUNCTION("""COMPUTED_VALUE"""),"Manuel Rivera")</f>
        <v>Manuel Rivera</v>
      </c>
      <c r="C98" s="84">
        <f>IFERROR(__xludf.DUMMYFUNCTION("""COMPUTED_VALUE"""),17.0)</f>
        <v>17</v>
      </c>
      <c r="D98" s="84">
        <f t="shared" si="72"/>
        <v>56</v>
      </c>
      <c r="E98" s="84">
        <f t="shared" si="73"/>
        <v>39</v>
      </c>
      <c r="F98" s="84">
        <f t="shared" si="74"/>
        <v>14</v>
      </c>
      <c r="G98" s="84">
        <f t="shared" si="75"/>
        <v>10</v>
      </c>
      <c r="L98" s="84" t="str">
        <f t="shared" si="76"/>
        <v>ok</v>
      </c>
    </row>
    <row r="99">
      <c r="A99" s="1"/>
      <c r="B99" s="43" t="str">
        <f>IFERROR(__xludf.DUMMYFUNCTION("""COMPUTED_VALUE"""),"Elayaraja Thangaraj ")</f>
        <v>Elayaraja Thangaraj </v>
      </c>
      <c r="C99" s="84">
        <f>IFERROR(__xludf.DUMMYFUNCTION("""COMPUTED_VALUE"""),14.0)</f>
        <v>14</v>
      </c>
      <c r="D99" s="84">
        <f t="shared" si="72"/>
        <v>50</v>
      </c>
      <c r="E99" s="84">
        <f t="shared" si="73"/>
        <v>36</v>
      </c>
      <c r="F99" s="84">
        <f t="shared" si="74"/>
        <v>14</v>
      </c>
      <c r="G99" s="84">
        <f t="shared" si="75"/>
        <v>10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10"")"),"Sandy Weyant")</f>
        <v>Sandy Weyant</v>
      </c>
      <c r="C103" s="84">
        <f>IFERROR(__xludf.DUMMYFUNCTION("""COMPUTED_VALUE"""),-43.0)</f>
        <v>-43</v>
      </c>
      <c r="D103" s="84">
        <f t="shared" ref="D103:D112" si="77">VLOOKUP(B103,indirect($AB$2&amp;"!B$5:w$70"),22, false)</f>
        <v>13</v>
      </c>
      <c r="E103" s="84">
        <f t="shared" ref="E103:E112" si="78">VLOOKUP(B103,B$5:W$69,22, false)</f>
        <v>56</v>
      </c>
      <c r="F103" s="84">
        <f t="shared" ref="F103:F112" si="79">VLOOKUP(B103,indirect($AB$2&amp;"!B$5:U$70"),11, false)</f>
        <v>4</v>
      </c>
      <c r="G103" s="84">
        <f t="shared" ref="G103:G112" si="80">VLOOKUP(B103,indirect($AB$2&amp;"!B$5:U$70"),6, false)</f>
        <v>3</v>
      </c>
      <c r="L103" s="84" t="str">
        <f t="shared" ref="L103:L112" si="81">if(D103-E103=C103,"ok","Error")</f>
        <v>ok</v>
      </c>
    </row>
    <row r="104">
      <c r="A104" s="1"/>
      <c r="B104" s="43" t="str">
        <f>IFERROR(__xludf.DUMMYFUNCTION("""COMPUTED_VALUE"""),"Jim Miao")</f>
        <v>Jim Miao</v>
      </c>
      <c r="C104" s="84">
        <f>IFERROR(__xludf.DUMMYFUNCTION("""COMPUTED_VALUE"""),-24.0)</f>
        <v>-24</v>
      </c>
      <c r="D104" s="84">
        <f t="shared" si="77"/>
        <v>14</v>
      </c>
      <c r="E104" s="84">
        <f t="shared" si="78"/>
        <v>38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IFERROR(__xludf.DUMMYFUNCTION("""COMPUTED_VALUE"""),"Trish Newlin")</f>
        <v>Trish Newlin</v>
      </c>
      <c r="C105" s="84">
        <f>IFERROR(__xludf.DUMMYFUNCTION("""COMPUTED_VALUE"""),-24.0)</f>
        <v>-24</v>
      </c>
      <c r="D105" s="84">
        <f t="shared" si="77"/>
        <v>17</v>
      </c>
      <c r="E105" s="84">
        <f t="shared" si="78"/>
        <v>41</v>
      </c>
      <c r="F105" s="84">
        <f t="shared" si="79"/>
        <v>9</v>
      </c>
      <c r="G105" s="84">
        <f t="shared" si="80"/>
        <v>0</v>
      </c>
      <c r="L105" s="84" t="str">
        <f t="shared" si="81"/>
        <v>ok</v>
      </c>
    </row>
    <row r="106">
      <c r="A106" s="1"/>
      <c r="B106" s="43" t="str">
        <f>IFERROR(__xludf.DUMMYFUNCTION("""COMPUTED_VALUE"""),"David Shin")</f>
        <v>David Shin</v>
      </c>
      <c r="C106" s="84">
        <f>IFERROR(__xludf.DUMMYFUNCTION("""COMPUTED_VALUE"""),-23.0)</f>
        <v>-23</v>
      </c>
      <c r="D106" s="84">
        <f t="shared" si="77"/>
        <v>21</v>
      </c>
      <c r="E106" s="84">
        <f t="shared" si="78"/>
        <v>44</v>
      </c>
      <c r="F106" s="84">
        <f t="shared" si="79"/>
        <v>9</v>
      </c>
      <c r="G106" s="84">
        <f t="shared" si="80"/>
        <v>9</v>
      </c>
      <c r="L106" s="84" t="str">
        <f t="shared" si="81"/>
        <v>ok</v>
      </c>
    </row>
    <row r="107">
      <c r="A107" s="1"/>
      <c r="B107" s="43" t="str">
        <f>IFERROR(__xludf.DUMMYFUNCTION("""COMPUTED_VALUE"""),"Adrian Tay")</f>
        <v>Adrian Tay</v>
      </c>
      <c r="C107" s="84">
        <f>IFERROR(__xludf.DUMMYFUNCTION("""COMPUTED_VALUE"""),-18.0)</f>
        <v>-18</v>
      </c>
      <c r="D107" s="84">
        <f t="shared" si="77"/>
        <v>4</v>
      </c>
      <c r="E107" s="84">
        <f t="shared" si="78"/>
        <v>22</v>
      </c>
      <c r="F107" s="84">
        <f t="shared" si="79"/>
        <v>9</v>
      </c>
      <c r="G107" s="84">
        <f t="shared" si="80"/>
        <v>0</v>
      </c>
      <c r="L107" s="84" t="str">
        <f t="shared" si="81"/>
        <v>ok</v>
      </c>
    </row>
    <row r="108">
      <c r="A108" s="1"/>
      <c r="B108" s="43" t="str">
        <f>IFERROR(__xludf.DUMMYFUNCTION("""COMPUTED_VALUE"""),"Matthew Huang")</f>
        <v>Matthew Huang</v>
      </c>
      <c r="C108" s="84">
        <f>IFERROR(__xludf.DUMMYFUNCTION("""COMPUTED_VALUE"""),-15.0)</f>
        <v>-15</v>
      </c>
      <c r="D108" s="84">
        <f t="shared" si="77"/>
        <v>30</v>
      </c>
      <c r="E108" s="84">
        <f t="shared" si="78"/>
        <v>45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IFERROR(__xludf.DUMMYFUNCTION("""COMPUTED_VALUE"""),"Ramesh Bandaru")</f>
        <v>Ramesh Bandaru</v>
      </c>
      <c r="C109" s="84">
        <f>IFERROR(__xludf.DUMMYFUNCTION("""COMPUTED_VALUE"""),-13.0)</f>
        <v>-13</v>
      </c>
      <c r="D109" s="84">
        <f t="shared" si="77"/>
        <v>33</v>
      </c>
      <c r="E109" s="84">
        <f t="shared" si="78"/>
        <v>46</v>
      </c>
      <c r="F109" s="84">
        <f t="shared" si="79"/>
        <v>9</v>
      </c>
      <c r="G109" s="84">
        <f t="shared" si="80"/>
        <v>0</v>
      </c>
      <c r="L109" s="84" t="str">
        <f t="shared" si="81"/>
        <v>ok</v>
      </c>
    </row>
    <row r="110">
      <c r="A110" s="1"/>
      <c r="B110" s="43" t="str">
        <f>IFERROR(__xludf.DUMMYFUNCTION("""COMPUTED_VALUE"""),"Pavan Akkimsetty")</f>
        <v>Pavan Akkimsetty</v>
      </c>
      <c r="C110" s="84">
        <f>IFERROR(__xludf.DUMMYFUNCTION("""COMPUTED_VALUE"""),-12.0)</f>
        <v>-12</v>
      </c>
      <c r="D110" s="84">
        <f t="shared" si="77"/>
        <v>15</v>
      </c>
      <c r="E110" s="84">
        <f t="shared" si="78"/>
        <v>27</v>
      </c>
      <c r="F110" s="84">
        <f t="shared" si="79"/>
        <v>13</v>
      </c>
      <c r="G110" s="84">
        <f t="shared" si="80"/>
        <v>3</v>
      </c>
      <c r="L110" s="84" t="str">
        <f t="shared" si="81"/>
        <v>ok</v>
      </c>
    </row>
    <row r="111">
      <c r="A111" s="1"/>
      <c r="B111" s="43" t="str">
        <f>IFERROR(__xludf.DUMMYFUNCTION("""COMPUTED_VALUE"""),"Kumar Palakeel")</f>
        <v>Kumar Palakeel</v>
      </c>
      <c r="C111" s="84">
        <f>IFERROR(__xludf.DUMMYFUNCTION("""COMPUTED_VALUE"""),-11.0)</f>
        <v>-11</v>
      </c>
      <c r="D111" s="84">
        <f t="shared" si="77"/>
        <v>12</v>
      </c>
      <c r="E111" s="84">
        <f t="shared" si="78"/>
        <v>23</v>
      </c>
      <c r="F111" s="84">
        <f t="shared" si="79"/>
        <v>12</v>
      </c>
      <c r="G111" s="84">
        <f t="shared" si="80"/>
        <v>3</v>
      </c>
      <c r="L111" s="84" t="str">
        <f t="shared" si="81"/>
        <v>ok</v>
      </c>
    </row>
    <row r="112">
      <c r="A112" s="1"/>
      <c r="B112" s="43" t="str">
        <f>IFERROR(__xludf.DUMMYFUNCTION("""COMPUTED_VALUE"""),"Nicole Ni")</f>
        <v>Nicole Ni</v>
      </c>
      <c r="C112" s="84">
        <f>IFERROR(__xludf.DUMMYFUNCTION("""COMPUTED_VALUE"""),-11.0)</f>
        <v>-11</v>
      </c>
      <c r="D112" s="84">
        <f t="shared" si="77"/>
        <v>19</v>
      </c>
      <c r="E112" s="84">
        <f t="shared" si="78"/>
        <v>30</v>
      </c>
      <c r="F112" s="84">
        <f t="shared" si="79"/>
        <v>13</v>
      </c>
      <c r="G112" s="84">
        <f t="shared" si="80"/>
        <v>4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104">
        <v>45668.0</v>
      </c>
      <c r="G1" s="8"/>
      <c r="H1" s="8"/>
      <c r="I1" s="8"/>
      <c r="L1" s="8"/>
      <c r="N1" s="8"/>
      <c r="V1" s="105"/>
    </row>
    <row r="2">
      <c r="A2" s="1"/>
      <c r="B2" s="12" t="s">
        <v>15</v>
      </c>
      <c r="D2" s="17">
        <v>2.0</v>
      </c>
      <c r="E2" s="1"/>
      <c r="F2" s="1"/>
      <c r="R2" s="19"/>
      <c r="AB2" s="20" t="str">
        <f>text(C1-7,"mm/dd/yy")</f>
        <v>01/04/25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44</v>
      </c>
      <c r="C5" s="31">
        <v>19.0</v>
      </c>
      <c r="D5" s="31">
        <v>3.0</v>
      </c>
      <c r="E5" s="36">
        <f t="shared" ref="E5:E69" si="2">if(($D$2-U5-S5)&lt;&gt;0,(C5-(U5*9)-(S5*13))/($D$2-U5-S5),0)</f>
        <v>9.5</v>
      </c>
      <c r="F5" s="102">
        <v>1.0</v>
      </c>
      <c r="G5" s="46">
        <v>1.0</v>
      </c>
      <c r="H5" s="47">
        <v>0.0</v>
      </c>
      <c r="I5" s="46">
        <v>6.0</v>
      </c>
      <c r="J5" s="46">
        <v>6.0</v>
      </c>
      <c r="K5" s="46">
        <v>7.0</v>
      </c>
      <c r="L5" s="103">
        <v>19.0</v>
      </c>
      <c r="M5" s="46">
        <v>3.0</v>
      </c>
      <c r="N5" s="31">
        <f t="shared" ref="N5:O5" si="1">C5+L5</f>
        <v>38</v>
      </c>
      <c r="O5" s="31">
        <f t="shared" si="1"/>
        <v>6</v>
      </c>
      <c r="P5" s="45" t="s">
        <v>58</v>
      </c>
      <c r="Q5" s="45" t="s">
        <v>58</v>
      </c>
      <c r="R5" s="45"/>
      <c r="S5" s="46">
        <f t="shared" ref="S5:S67" si="4">if(H5=13,1,0)+VLOOKUP(B5,indirect($AB$2&amp;"!B:T"),18,false)</f>
        <v>0</v>
      </c>
      <c r="T5" s="46"/>
      <c r="U5" s="46">
        <f t="shared" ref="U5:U67" si="5">if(H5=9,1,0)+VLOOKUP(B5,indirect($AB$2&amp;"!B:U"),20,false)</f>
        <v>0</v>
      </c>
      <c r="V5" s="46">
        <f t="shared" ref="V5:V67" si="6">VLOOKUP(B5,indirect($AB$2&amp;"!B$5:w$70"),22,false)-A5</f>
        <v>11</v>
      </c>
      <c r="W5" s="30">
        <v>1.0</v>
      </c>
    </row>
    <row r="6">
      <c r="A6" s="30">
        <f t="shared" ref="A6:A69" si="7">A5+1</f>
        <v>2</v>
      </c>
      <c r="B6" s="43" t="s">
        <v>94</v>
      </c>
      <c r="C6" s="31">
        <v>19.0</v>
      </c>
      <c r="D6" s="31">
        <v>3.0</v>
      </c>
      <c r="E6" s="36">
        <f t="shared" si="2"/>
        <v>6</v>
      </c>
      <c r="F6" s="102">
        <v>5.0</v>
      </c>
      <c r="G6" s="46">
        <v>0.0</v>
      </c>
      <c r="H6" s="47">
        <v>13.0</v>
      </c>
      <c r="I6" s="46">
        <v>0.0</v>
      </c>
      <c r="J6" s="46">
        <v>0.0</v>
      </c>
      <c r="K6" s="46">
        <v>0.0</v>
      </c>
      <c r="L6" s="103">
        <v>13.0</v>
      </c>
      <c r="M6" s="46">
        <v>0.0</v>
      </c>
      <c r="N6" s="31">
        <f t="shared" ref="N6:O6" si="3">C6+L6</f>
        <v>32</v>
      </c>
      <c r="O6" s="31">
        <f t="shared" si="3"/>
        <v>3</v>
      </c>
      <c r="P6" s="45" t="s">
        <v>58</v>
      </c>
      <c r="Q6" s="45" t="s">
        <v>58</v>
      </c>
      <c r="R6" s="45"/>
      <c r="S6" s="46">
        <f t="shared" si="4"/>
        <v>1</v>
      </c>
      <c r="T6" s="46"/>
      <c r="U6" s="46">
        <f t="shared" si="5"/>
        <v>0</v>
      </c>
      <c r="V6" s="46">
        <f t="shared" si="6"/>
        <v>21</v>
      </c>
      <c r="W6" s="30">
        <f t="shared" ref="W6:W68" si="9">W5+1</f>
        <v>2</v>
      </c>
    </row>
    <row r="7">
      <c r="A7" s="30">
        <f t="shared" si="7"/>
        <v>3</v>
      </c>
      <c r="B7" s="43" t="s">
        <v>132</v>
      </c>
      <c r="C7" s="31">
        <v>19.0</v>
      </c>
      <c r="D7" s="31">
        <v>3.0</v>
      </c>
      <c r="E7" s="36">
        <f t="shared" si="2"/>
        <v>9.5</v>
      </c>
      <c r="F7" s="102">
        <v>1.0</v>
      </c>
      <c r="G7" s="46">
        <v>1.0</v>
      </c>
      <c r="H7" s="47">
        <v>0.0</v>
      </c>
      <c r="I7" s="46">
        <v>1.0</v>
      </c>
      <c r="J7" s="46">
        <v>6.0</v>
      </c>
      <c r="K7" s="46">
        <v>5.0</v>
      </c>
      <c r="L7" s="103">
        <v>12.0</v>
      </c>
      <c r="M7" s="46">
        <v>1.0</v>
      </c>
      <c r="N7" s="31">
        <f t="shared" ref="N7:O7" si="8">C7+L7</f>
        <v>31</v>
      </c>
      <c r="O7" s="31">
        <f t="shared" si="8"/>
        <v>4</v>
      </c>
      <c r="P7" s="45" t="s">
        <v>58</v>
      </c>
      <c r="Q7" s="45" t="s">
        <v>58</v>
      </c>
      <c r="R7" s="45"/>
      <c r="S7" s="46">
        <f t="shared" si="4"/>
        <v>0</v>
      </c>
      <c r="T7" s="46"/>
      <c r="U7" s="46">
        <f t="shared" si="5"/>
        <v>0</v>
      </c>
      <c r="V7" s="46">
        <f t="shared" si="6"/>
        <v>27</v>
      </c>
      <c r="W7" s="30">
        <f t="shared" si="9"/>
        <v>3</v>
      </c>
    </row>
    <row r="8">
      <c r="A8" s="30">
        <f t="shared" si="7"/>
        <v>4</v>
      </c>
      <c r="B8" s="28" t="s">
        <v>34</v>
      </c>
      <c r="C8" s="31">
        <v>18.0</v>
      </c>
      <c r="D8" s="31">
        <v>3.0</v>
      </c>
      <c r="E8" s="36">
        <f t="shared" si="2"/>
        <v>9</v>
      </c>
      <c r="F8" s="102">
        <v>3.0</v>
      </c>
      <c r="G8" s="46">
        <v>0.0</v>
      </c>
      <c r="H8" s="47">
        <v>9.0</v>
      </c>
      <c r="I8" s="46">
        <v>0.0</v>
      </c>
      <c r="J8" s="46">
        <v>0.0</v>
      </c>
      <c r="K8" s="46">
        <v>0.0</v>
      </c>
      <c r="L8" s="103">
        <v>9.0</v>
      </c>
      <c r="M8" s="46">
        <v>0.0</v>
      </c>
      <c r="N8" s="31">
        <f t="shared" ref="N8:O8" si="10">C8+L8</f>
        <v>27</v>
      </c>
      <c r="O8" s="31">
        <f t="shared" si="10"/>
        <v>3</v>
      </c>
      <c r="P8" s="45" t="s">
        <v>58</v>
      </c>
      <c r="Q8" s="45" t="s">
        <v>58</v>
      </c>
      <c r="R8" s="45"/>
      <c r="S8" s="46">
        <f t="shared" si="4"/>
        <v>0</v>
      </c>
      <c r="T8" s="46"/>
      <c r="U8" s="46">
        <f t="shared" si="5"/>
        <v>1</v>
      </c>
      <c r="V8" s="46">
        <f t="shared" si="6"/>
        <v>-3</v>
      </c>
      <c r="W8" s="30">
        <f t="shared" si="9"/>
        <v>4</v>
      </c>
    </row>
    <row r="9">
      <c r="A9" s="30">
        <f t="shared" si="7"/>
        <v>5</v>
      </c>
      <c r="B9" s="28" t="s">
        <v>95</v>
      </c>
      <c r="C9" s="31">
        <v>18.0</v>
      </c>
      <c r="D9" s="31">
        <v>2.0</v>
      </c>
      <c r="E9" s="36">
        <f t="shared" si="2"/>
        <v>9</v>
      </c>
      <c r="F9" s="102">
        <v>1.0</v>
      </c>
      <c r="G9" s="46">
        <v>1.0</v>
      </c>
      <c r="H9" s="47">
        <v>0.0</v>
      </c>
      <c r="I9" s="46">
        <v>6.0</v>
      </c>
      <c r="J9" s="46">
        <v>4.0</v>
      </c>
      <c r="K9" s="46">
        <v>5.0</v>
      </c>
      <c r="L9" s="103">
        <v>15.0</v>
      </c>
      <c r="M9" s="46">
        <v>1.0</v>
      </c>
      <c r="N9" s="31">
        <f t="shared" ref="N9:O9" si="11">C9+L9</f>
        <v>33</v>
      </c>
      <c r="O9" s="31">
        <f t="shared" si="11"/>
        <v>3</v>
      </c>
      <c r="P9" s="45" t="s">
        <v>58</v>
      </c>
      <c r="Q9" s="45" t="s">
        <v>58</v>
      </c>
      <c r="R9" s="45"/>
      <c r="S9" s="46">
        <f t="shared" si="4"/>
        <v>0</v>
      </c>
      <c r="T9" s="46"/>
      <c r="U9" s="46">
        <f t="shared" si="5"/>
        <v>0</v>
      </c>
      <c r="V9" s="46">
        <f t="shared" si="6"/>
        <v>0</v>
      </c>
      <c r="W9" s="30">
        <f t="shared" si="9"/>
        <v>5</v>
      </c>
    </row>
    <row r="10">
      <c r="A10" s="30">
        <f t="shared" si="7"/>
        <v>6</v>
      </c>
      <c r="B10" s="28" t="s">
        <v>137</v>
      </c>
      <c r="C10" s="31">
        <v>18.0</v>
      </c>
      <c r="D10" s="31">
        <v>2.0</v>
      </c>
      <c r="E10" s="36">
        <f t="shared" si="2"/>
        <v>9</v>
      </c>
      <c r="F10" s="102">
        <v>1.0</v>
      </c>
      <c r="G10" s="46">
        <v>1.0</v>
      </c>
      <c r="H10" s="47">
        <v>0.0</v>
      </c>
      <c r="I10" s="46">
        <v>1.0</v>
      </c>
      <c r="J10" s="46">
        <v>4.0</v>
      </c>
      <c r="K10" s="46">
        <v>7.0</v>
      </c>
      <c r="L10" s="103">
        <v>12.0</v>
      </c>
      <c r="M10" s="46">
        <v>1.0</v>
      </c>
      <c r="N10" s="31">
        <f t="shared" ref="N10:O10" si="12">C10+L10</f>
        <v>30</v>
      </c>
      <c r="O10" s="31">
        <f t="shared" si="12"/>
        <v>3</v>
      </c>
      <c r="P10" s="45" t="s">
        <v>58</v>
      </c>
      <c r="Q10" s="45" t="s">
        <v>58</v>
      </c>
      <c r="R10" s="45"/>
      <c r="S10" s="46">
        <f t="shared" si="4"/>
        <v>0</v>
      </c>
      <c r="T10" s="46"/>
      <c r="U10" s="46">
        <f t="shared" si="5"/>
        <v>0</v>
      </c>
      <c r="V10" s="46">
        <f t="shared" si="6"/>
        <v>15</v>
      </c>
      <c r="W10" s="30">
        <f t="shared" si="9"/>
        <v>6</v>
      </c>
    </row>
    <row r="11">
      <c r="A11" s="30">
        <f t="shared" si="7"/>
        <v>7</v>
      </c>
      <c r="B11" s="43" t="s">
        <v>79</v>
      </c>
      <c r="C11" s="31">
        <v>18.0</v>
      </c>
      <c r="D11" s="31">
        <v>2.0</v>
      </c>
      <c r="E11" s="36">
        <f t="shared" si="2"/>
        <v>9</v>
      </c>
      <c r="F11" s="102">
        <v>2.0</v>
      </c>
      <c r="G11" s="46">
        <v>2.0</v>
      </c>
      <c r="H11" s="47">
        <v>0.0</v>
      </c>
      <c r="I11" s="46">
        <v>3.0</v>
      </c>
      <c r="J11" s="46">
        <v>5.0</v>
      </c>
      <c r="K11" s="46">
        <v>6.0</v>
      </c>
      <c r="L11" s="103">
        <v>14.0</v>
      </c>
      <c r="M11" s="46">
        <v>1.0</v>
      </c>
      <c r="N11" s="31">
        <f t="shared" ref="N11:O11" si="13">C11+L11</f>
        <v>32</v>
      </c>
      <c r="O11" s="31">
        <f t="shared" si="13"/>
        <v>3</v>
      </c>
      <c r="P11" s="45" t="s">
        <v>58</v>
      </c>
      <c r="Q11" s="45" t="s">
        <v>58</v>
      </c>
      <c r="R11" s="45"/>
      <c r="S11" s="46">
        <f t="shared" si="4"/>
        <v>0</v>
      </c>
      <c r="T11" s="46"/>
      <c r="U11" s="46">
        <f t="shared" si="5"/>
        <v>0</v>
      </c>
      <c r="V11" s="46">
        <f t="shared" si="6"/>
        <v>44</v>
      </c>
      <c r="W11" s="30">
        <f t="shared" si="9"/>
        <v>7</v>
      </c>
    </row>
    <row r="12">
      <c r="A12" s="30">
        <f t="shared" si="7"/>
        <v>8</v>
      </c>
      <c r="B12" s="43" t="s">
        <v>133</v>
      </c>
      <c r="C12" s="31">
        <v>16.0</v>
      </c>
      <c r="D12" s="31">
        <v>2.0</v>
      </c>
      <c r="E12" s="36">
        <f t="shared" si="2"/>
        <v>8</v>
      </c>
      <c r="F12" s="102">
        <v>1.0</v>
      </c>
      <c r="G12" s="46">
        <v>2.0</v>
      </c>
      <c r="H12" s="47">
        <v>0.0</v>
      </c>
      <c r="I12" s="46">
        <v>3.0</v>
      </c>
      <c r="J12" s="46">
        <v>7.0</v>
      </c>
      <c r="K12" s="46">
        <v>4.0</v>
      </c>
      <c r="L12" s="103">
        <v>14.0</v>
      </c>
      <c r="M12" s="46">
        <v>1.0</v>
      </c>
      <c r="N12" s="31">
        <f t="shared" ref="N12:O12" si="14">C12+L12</f>
        <v>30</v>
      </c>
      <c r="O12" s="31">
        <f t="shared" si="14"/>
        <v>3</v>
      </c>
      <c r="P12" s="45" t="s">
        <v>58</v>
      </c>
      <c r="Q12" s="45" t="s">
        <v>58</v>
      </c>
      <c r="R12" s="45"/>
      <c r="S12" s="46">
        <f t="shared" si="4"/>
        <v>0</v>
      </c>
      <c r="T12" s="46"/>
      <c r="U12" s="46">
        <f t="shared" si="5"/>
        <v>0</v>
      </c>
      <c r="V12" s="46">
        <f t="shared" si="6"/>
        <v>36</v>
      </c>
      <c r="W12" s="30">
        <f t="shared" si="9"/>
        <v>8</v>
      </c>
    </row>
    <row r="13">
      <c r="A13" s="30">
        <f t="shared" si="7"/>
        <v>9</v>
      </c>
      <c r="B13" s="43" t="s">
        <v>87</v>
      </c>
      <c r="C13" s="47">
        <v>16.0</v>
      </c>
      <c r="D13" s="31">
        <v>1.0</v>
      </c>
      <c r="E13" s="36">
        <f t="shared" si="2"/>
        <v>8</v>
      </c>
      <c r="F13" s="102">
        <v>1.0</v>
      </c>
      <c r="G13" s="46">
        <v>2.0</v>
      </c>
      <c r="H13" s="47">
        <v>0.0</v>
      </c>
      <c r="I13" s="46">
        <v>6.0</v>
      </c>
      <c r="J13" s="46">
        <v>7.0</v>
      </c>
      <c r="K13" s="46">
        <v>6.0</v>
      </c>
      <c r="L13" s="103">
        <v>19.0</v>
      </c>
      <c r="M13" s="46">
        <v>3.0</v>
      </c>
      <c r="N13" s="47">
        <f t="shared" ref="N13:O13" si="15">C13+L13</f>
        <v>35</v>
      </c>
      <c r="O13" s="31">
        <f t="shared" si="15"/>
        <v>4</v>
      </c>
      <c r="P13" s="45" t="s">
        <v>58</v>
      </c>
      <c r="Q13" s="45" t="s">
        <v>58</v>
      </c>
      <c r="R13" s="45"/>
      <c r="S13" s="46">
        <f t="shared" si="4"/>
        <v>0</v>
      </c>
      <c r="T13" s="46"/>
      <c r="U13" s="46">
        <f t="shared" si="5"/>
        <v>0</v>
      </c>
      <c r="V13" s="46">
        <f t="shared" si="6"/>
        <v>49</v>
      </c>
      <c r="W13" s="30">
        <f t="shared" si="9"/>
        <v>9</v>
      </c>
    </row>
    <row r="14">
      <c r="A14" s="30">
        <f t="shared" si="7"/>
        <v>10</v>
      </c>
      <c r="B14" s="43" t="s">
        <v>106</v>
      </c>
      <c r="C14" s="31">
        <v>15.0</v>
      </c>
      <c r="D14" s="31">
        <v>2.0</v>
      </c>
      <c r="E14" s="36">
        <f t="shared" si="2"/>
        <v>7.5</v>
      </c>
      <c r="F14" s="102">
        <v>2.0</v>
      </c>
      <c r="G14" s="46">
        <v>2.0</v>
      </c>
      <c r="H14" s="47">
        <v>0.0</v>
      </c>
      <c r="I14" s="46">
        <v>6.0</v>
      </c>
      <c r="J14" s="46">
        <v>5.0</v>
      </c>
      <c r="K14" s="46">
        <v>4.0</v>
      </c>
      <c r="L14" s="103">
        <v>15.0</v>
      </c>
      <c r="M14" s="46">
        <v>1.0</v>
      </c>
      <c r="N14" s="31">
        <f t="shared" ref="N14:O14" si="16">C14+L14</f>
        <v>30</v>
      </c>
      <c r="O14" s="31">
        <f t="shared" si="16"/>
        <v>3</v>
      </c>
      <c r="P14" s="45" t="s">
        <v>58</v>
      </c>
      <c r="Q14" s="45" t="s">
        <v>58</v>
      </c>
      <c r="R14" s="45"/>
      <c r="S14" s="46">
        <f t="shared" si="4"/>
        <v>0</v>
      </c>
      <c r="T14" s="46"/>
      <c r="U14" s="46">
        <f t="shared" si="5"/>
        <v>0</v>
      </c>
      <c r="V14" s="46">
        <f t="shared" si="6"/>
        <v>22</v>
      </c>
      <c r="W14" s="30">
        <f t="shared" si="9"/>
        <v>10</v>
      </c>
    </row>
    <row r="15">
      <c r="A15" s="30">
        <f t="shared" si="7"/>
        <v>11</v>
      </c>
      <c r="B15" s="43" t="s">
        <v>62</v>
      </c>
      <c r="C15" s="31">
        <v>15.0</v>
      </c>
      <c r="D15" s="31">
        <v>1.0</v>
      </c>
      <c r="E15" s="36">
        <f t="shared" si="2"/>
        <v>7.5</v>
      </c>
      <c r="F15" s="102">
        <v>1.0</v>
      </c>
      <c r="G15" s="46">
        <v>3.0</v>
      </c>
      <c r="H15" s="47">
        <v>0.0</v>
      </c>
      <c r="I15" s="46">
        <v>3.0</v>
      </c>
      <c r="J15" s="46">
        <v>6.0</v>
      </c>
      <c r="K15" s="46">
        <v>6.0</v>
      </c>
      <c r="L15" s="103">
        <v>15.0</v>
      </c>
      <c r="M15" s="46">
        <v>2.0</v>
      </c>
      <c r="N15" s="31">
        <f t="shared" ref="N15:O15" si="17">C15+L15</f>
        <v>30</v>
      </c>
      <c r="O15" s="31">
        <f t="shared" si="17"/>
        <v>3</v>
      </c>
      <c r="P15" s="45" t="s">
        <v>58</v>
      </c>
      <c r="Q15" s="45" t="s">
        <v>58</v>
      </c>
      <c r="R15" s="45"/>
      <c r="S15" s="46">
        <f t="shared" si="4"/>
        <v>0</v>
      </c>
      <c r="T15" s="46"/>
      <c r="U15" s="46">
        <f t="shared" si="5"/>
        <v>0</v>
      </c>
      <c r="V15" s="46">
        <f t="shared" si="6"/>
        <v>-5</v>
      </c>
      <c r="W15" s="30">
        <f t="shared" si="9"/>
        <v>11</v>
      </c>
    </row>
    <row r="16">
      <c r="A16" s="30">
        <f t="shared" si="7"/>
        <v>12</v>
      </c>
      <c r="B16" s="48" t="s">
        <v>125</v>
      </c>
      <c r="C16" s="31">
        <v>15.0</v>
      </c>
      <c r="D16" s="31">
        <v>1.0</v>
      </c>
      <c r="E16" s="36">
        <f t="shared" si="2"/>
        <v>7.5</v>
      </c>
      <c r="F16" s="102">
        <v>1.0</v>
      </c>
      <c r="G16" s="46">
        <v>3.0</v>
      </c>
      <c r="H16" s="47">
        <v>0.0</v>
      </c>
      <c r="I16" s="46">
        <v>6.0</v>
      </c>
      <c r="J16" s="46">
        <v>6.0</v>
      </c>
      <c r="K16" s="46">
        <v>0.0</v>
      </c>
      <c r="L16" s="103">
        <v>12.0</v>
      </c>
      <c r="M16" s="46">
        <v>2.0</v>
      </c>
      <c r="N16" s="31">
        <f t="shared" ref="N16:O16" si="18">C16+L16</f>
        <v>27</v>
      </c>
      <c r="O16" s="31">
        <f t="shared" si="18"/>
        <v>3</v>
      </c>
      <c r="P16" s="45" t="s">
        <v>58</v>
      </c>
      <c r="Q16" s="45" t="s">
        <v>58</v>
      </c>
      <c r="R16" s="45"/>
      <c r="S16" s="46">
        <f t="shared" si="4"/>
        <v>0</v>
      </c>
      <c r="T16" s="46"/>
      <c r="U16" s="46">
        <f t="shared" si="5"/>
        <v>0</v>
      </c>
      <c r="V16" s="46">
        <f t="shared" si="6"/>
        <v>25</v>
      </c>
      <c r="W16" s="30">
        <f t="shared" si="9"/>
        <v>12</v>
      </c>
    </row>
    <row r="17">
      <c r="A17" s="30">
        <f t="shared" si="7"/>
        <v>13</v>
      </c>
      <c r="B17" s="43" t="s">
        <v>136</v>
      </c>
      <c r="C17" s="31">
        <v>14.0</v>
      </c>
      <c r="D17" s="31">
        <v>2.0</v>
      </c>
      <c r="E17" s="36">
        <f t="shared" si="2"/>
        <v>7</v>
      </c>
      <c r="F17" s="102">
        <v>1.0</v>
      </c>
      <c r="G17" s="46">
        <v>3.0</v>
      </c>
      <c r="H17" s="47">
        <v>0.0</v>
      </c>
      <c r="I17" s="46">
        <v>3.0</v>
      </c>
      <c r="J17" s="46">
        <v>1.0</v>
      </c>
      <c r="K17" s="46">
        <v>0.0</v>
      </c>
      <c r="L17" s="103">
        <v>4.0</v>
      </c>
      <c r="M17" s="46">
        <v>0.0</v>
      </c>
      <c r="N17" s="31">
        <f t="shared" ref="N17:O17" si="19">C17+L17</f>
        <v>18</v>
      </c>
      <c r="O17" s="31">
        <f t="shared" si="19"/>
        <v>2</v>
      </c>
      <c r="P17" s="45" t="s">
        <v>58</v>
      </c>
      <c r="Q17" s="45" t="s">
        <v>58</v>
      </c>
      <c r="R17" s="45"/>
      <c r="S17" s="46">
        <f t="shared" si="4"/>
        <v>0</v>
      </c>
      <c r="T17" s="46"/>
      <c r="U17" s="46">
        <f t="shared" si="5"/>
        <v>0</v>
      </c>
      <c r="V17" s="46">
        <f t="shared" si="6"/>
        <v>23</v>
      </c>
      <c r="W17" s="30">
        <f t="shared" si="9"/>
        <v>13</v>
      </c>
    </row>
    <row r="18">
      <c r="A18" s="30">
        <f t="shared" si="7"/>
        <v>14</v>
      </c>
      <c r="B18" s="43" t="s">
        <v>122</v>
      </c>
      <c r="C18" s="31">
        <v>14.0</v>
      </c>
      <c r="D18" s="31">
        <v>1.0</v>
      </c>
      <c r="E18" s="36">
        <f t="shared" si="2"/>
        <v>5</v>
      </c>
      <c r="F18" s="102">
        <v>3.0</v>
      </c>
      <c r="G18" s="46">
        <v>0.0</v>
      </c>
      <c r="H18" s="47">
        <v>9.0</v>
      </c>
      <c r="I18" s="46">
        <v>0.0</v>
      </c>
      <c r="J18" s="46">
        <v>0.0</v>
      </c>
      <c r="K18" s="46">
        <v>0.0</v>
      </c>
      <c r="L18" s="103">
        <v>9.0</v>
      </c>
      <c r="M18" s="46">
        <v>0.0</v>
      </c>
      <c r="N18" s="31">
        <f t="shared" ref="N18:O18" si="20">C18+L18</f>
        <v>23</v>
      </c>
      <c r="O18" s="31">
        <f t="shared" si="20"/>
        <v>1</v>
      </c>
      <c r="P18" s="45" t="s">
        <v>58</v>
      </c>
      <c r="Q18" s="45" t="s">
        <v>58</v>
      </c>
      <c r="R18" s="45"/>
      <c r="S18" s="46">
        <f t="shared" si="4"/>
        <v>0</v>
      </c>
      <c r="T18" s="46"/>
      <c r="U18" s="46">
        <f t="shared" si="5"/>
        <v>1</v>
      </c>
      <c r="V18" s="46">
        <f t="shared" si="6"/>
        <v>11</v>
      </c>
      <c r="W18" s="30">
        <f t="shared" si="9"/>
        <v>14</v>
      </c>
    </row>
    <row r="19">
      <c r="A19" s="30">
        <f t="shared" si="7"/>
        <v>15</v>
      </c>
      <c r="B19" s="28" t="s">
        <v>74</v>
      </c>
      <c r="C19" s="31">
        <v>13.0</v>
      </c>
      <c r="D19" s="31">
        <v>2.0</v>
      </c>
      <c r="E19" s="36">
        <f t="shared" si="2"/>
        <v>6.5</v>
      </c>
      <c r="F19" s="102">
        <v>1.0</v>
      </c>
      <c r="G19" s="46">
        <v>3.0</v>
      </c>
      <c r="H19" s="47">
        <v>0.0</v>
      </c>
      <c r="I19" s="46">
        <v>6.0</v>
      </c>
      <c r="J19" s="46">
        <v>1.0</v>
      </c>
      <c r="K19" s="46">
        <v>6.0</v>
      </c>
      <c r="L19" s="103">
        <v>13.0</v>
      </c>
      <c r="M19" s="46">
        <v>2.0</v>
      </c>
      <c r="N19" s="31">
        <f t="shared" ref="N19:O19" si="21">C19+L19</f>
        <v>26</v>
      </c>
      <c r="O19" s="31">
        <f t="shared" si="21"/>
        <v>4</v>
      </c>
      <c r="P19" s="45" t="s">
        <v>58</v>
      </c>
      <c r="Q19" s="45" t="s">
        <v>58</v>
      </c>
      <c r="R19" s="45"/>
      <c r="S19" s="46">
        <f t="shared" si="4"/>
        <v>0</v>
      </c>
      <c r="T19" s="46"/>
      <c r="U19" s="46">
        <f t="shared" si="5"/>
        <v>0</v>
      </c>
      <c r="V19" s="46">
        <f t="shared" si="6"/>
        <v>-2</v>
      </c>
      <c r="W19" s="30">
        <f t="shared" si="9"/>
        <v>15</v>
      </c>
    </row>
    <row r="20">
      <c r="A20" s="30">
        <f t="shared" si="7"/>
        <v>16</v>
      </c>
      <c r="B20" s="28" t="s">
        <v>98</v>
      </c>
      <c r="C20" s="31">
        <v>13.0</v>
      </c>
      <c r="D20" s="31">
        <v>2.0</v>
      </c>
      <c r="E20" s="36">
        <f t="shared" si="2"/>
        <v>6.5</v>
      </c>
      <c r="F20" s="102">
        <v>1.0</v>
      </c>
      <c r="G20" s="46">
        <v>4.0</v>
      </c>
      <c r="H20" s="47">
        <v>0.0</v>
      </c>
      <c r="I20" s="46">
        <v>7.0</v>
      </c>
      <c r="J20" s="46">
        <v>6.0</v>
      </c>
      <c r="K20" s="46">
        <v>6.0</v>
      </c>
      <c r="L20" s="103">
        <v>19.0</v>
      </c>
      <c r="M20" s="46">
        <v>2.0</v>
      </c>
      <c r="N20" s="31">
        <f t="shared" ref="N20:O20" si="22">C20+L20</f>
        <v>32</v>
      </c>
      <c r="O20" s="31">
        <f t="shared" si="22"/>
        <v>4</v>
      </c>
      <c r="P20" s="45" t="s">
        <v>58</v>
      </c>
      <c r="Q20" s="45" t="s">
        <v>58</v>
      </c>
      <c r="R20" s="45"/>
      <c r="S20" s="46">
        <f t="shared" si="4"/>
        <v>0</v>
      </c>
      <c r="T20" s="46"/>
      <c r="U20" s="46">
        <f t="shared" si="5"/>
        <v>0</v>
      </c>
      <c r="V20" s="46">
        <f t="shared" si="6"/>
        <v>13</v>
      </c>
      <c r="W20" s="30">
        <f t="shared" si="9"/>
        <v>16</v>
      </c>
    </row>
    <row r="21">
      <c r="A21" s="30">
        <f t="shared" si="7"/>
        <v>17</v>
      </c>
      <c r="B21" s="43" t="s">
        <v>140</v>
      </c>
      <c r="C21" s="31">
        <v>13.0</v>
      </c>
      <c r="D21" s="31">
        <v>2.0</v>
      </c>
      <c r="E21" s="36">
        <f t="shared" si="2"/>
        <v>4</v>
      </c>
      <c r="F21" s="102">
        <v>3.0</v>
      </c>
      <c r="G21" s="46">
        <v>0.0</v>
      </c>
      <c r="H21" s="47">
        <v>9.0</v>
      </c>
      <c r="I21" s="46">
        <v>0.0</v>
      </c>
      <c r="J21" s="46">
        <v>0.0</v>
      </c>
      <c r="K21" s="46">
        <v>0.0</v>
      </c>
      <c r="L21" s="103">
        <v>9.0</v>
      </c>
      <c r="M21" s="46">
        <v>0.0</v>
      </c>
      <c r="N21" s="31">
        <f t="shared" ref="N21:O21" si="23">C21+L21</f>
        <v>22</v>
      </c>
      <c r="O21" s="31">
        <f t="shared" si="23"/>
        <v>2</v>
      </c>
      <c r="P21" s="45" t="s">
        <v>58</v>
      </c>
      <c r="Q21" s="45" t="s">
        <v>58</v>
      </c>
      <c r="R21" s="45"/>
      <c r="S21" s="46">
        <f t="shared" si="4"/>
        <v>0</v>
      </c>
      <c r="T21" s="46"/>
      <c r="U21" s="46">
        <f t="shared" si="5"/>
        <v>1</v>
      </c>
      <c r="V21" s="46">
        <f t="shared" si="6"/>
        <v>23</v>
      </c>
      <c r="W21" s="30">
        <f t="shared" si="9"/>
        <v>17</v>
      </c>
    </row>
    <row r="22">
      <c r="A22" s="30">
        <f t="shared" si="7"/>
        <v>18</v>
      </c>
      <c r="B22" s="43" t="s">
        <v>64</v>
      </c>
      <c r="C22" s="47">
        <v>13.0</v>
      </c>
      <c r="D22" s="31">
        <v>2.0</v>
      </c>
      <c r="E22" s="36">
        <f t="shared" si="2"/>
        <v>6.5</v>
      </c>
      <c r="F22" s="102">
        <v>1.0</v>
      </c>
      <c r="G22" s="46">
        <v>4.0</v>
      </c>
      <c r="H22" s="47">
        <v>0.0</v>
      </c>
      <c r="I22" s="46">
        <v>6.0</v>
      </c>
      <c r="J22" s="46">
        <v>6.0</v>
      </c>
      <c r="K22" s="46">
        <v>7.0</v>
      </c>
      <c r="L22" s="103">
        <v>19.0</v>
      </c>
      <c r="M22" s="46">
        <v>2.0</v>
      </c>
      <c r="N22" s="47">
        <f t="shared" ref="N22:O22" si="24">C22+L22</f>
        <v>32</v>
      </c>
      <c r="O22" s="31">
        <f t="shared" si="24"/>
        <v>4</v>
      </c>
      <c r="P22" s="45" t="s">
        <v>58</v>
      </c>
      <c r="Q22" s="45" t="s">
        <v>58</v>
      </c>
      <c r="R22" s="45"/>
      <c r="S22" s="46">
        <f t="shared" si="4"/>
        <v>0</v>
      </c>
      <c r="T22" s="46"/>
      <c r="U22" s="46">
        <f t="shared" si="5"/>
        <v>0</v>
      </c>
      <c r="V22" s="46">
        <f t="shared" si="6"/>
        <v>39</v>
      </c>
      <c r="W22" s="30">
        <f t="shared" si="9"/>
        <v>18</v>
      </c>
    </row>
    <row r="23">
      <c r="A23" s="30">
        <f t="shared" si="7"/>
        <v>19</v>
      </c>
      <c r="B23" s="43" t="s">
        <v>131</v>
      </c>
      <c r="C23" s="31">
        <v>13.0</v>
      </c>
      <c r="D23" s="31">
        <v>1.0</v>
      </c>
      <c r="E23" s="36">
        <f t="shared" si="2"/>
        <v>6.5</v>
      </c>
      <c r="F23" s="102">
        <v>1.0</v>
      </c>
      <c r="G23" s="46">
        <v>4.0</v>
      </c>
      <c r="H23" s="47">
        <v>0.0</v>
      </c>
      <c r="I23" s="46">
        <v>6.0</v>
      </c>
      <c r="J23" s="46">
        <v>1.0</v>
      </c>
      <c r="K23" s="46">
        <v>6.0</v>
      </c>
      <c r="L23" s="103">
        <v>13.0</v>
      </c>
      <c r="M23" s="46">
        <v>0.0</v>
      </c>
      <c r="N23" s="31">
        <f t="shared" ref="N23:O23" si="25">C23+L23</f>
        <v>26</v>
      </c>
      <c r="O23" s="31">
        <f t="shared" si="25"/>
        <v>1</v>
      </c>
      <c r="P23" s="45" t="s">
        <v>58</v>
      </c>
      <c r="Q23" s="45" t="s">
        <v>58</v>
      </c>
      <c r="R23" s="45"/>
      <c r="S23" s="46">
        <f t="shared" si="4"/>
        <v>0</v>
      </c>
      <c r="T23" s="46"/>
      <c r="U23" s="46">
        <f t="shared" si="5"/>
        <v>0</v>
      </c>
      <c r="V23" s="46">
        <f t="shared" si="6"/>
        <v>20</v>
      </c>
      <c r="W23" s="30">
        <f t="shared" si="9"/>
        <v>19</v>
      </c>
    </row>
    <row r="24">
      <c r="A24" s="30">
        <f t="shared" si="7"/>
        <v>20</v>
      </c>
      <c r="B24" s="43" t="s">
        <v>129</v>
      </c>
      <c r="C24" s="47">
        <v>13.0</v>
      </c>
      <c r="D24" s="31">
        <v>1.0</v>
      </c>
      <c r="E24" s="36">
        <f t="shared" si="2"/>
        <v>6.5</v>
      </c>
      <c r="F24" s="102">
        <v>1.0</v>
      </c>
      <c r="G24" s="46">
        <v>4.0</v>
      </c>
      <c r="H24" s="47">
        <v>0.0</v>
      </c>
      <c r="I24" s="46">
        <v>7.0</v>
      </c>
      <c r="J24" s="46">
        <v>1.0</v>
      </c>
      <c r="K24" s="46">
        <v>7.0</v>
      </c>
      <c r="L24" s="103">
        <v>15.0</v>
      </c>
      <c r="M24" s="46">
        <v>2.0</v>
      </c>
      <c r="N24" s="47">
        <f t="shared" ref="N24:O24" si="26">C24+L24</f>
        <v>28</v>
      </c>
      <c r="O24" s="31">
        <f t="shared" si="26"/>
        <v>3</v>
      </c>
      <c r="P24" s="45" t="s">
        <v>58</v>
      </c>
      <c r="Q24" s="45" t="s">
        <v>58</v>
      </c>
      <c r="R24" s="45"/>
      <c r="S24" s="46">
        <f t="shared" si="4"/>
        <v>0</v>
      </c>
      <c r="T24" s="46"/>
      <c r="U24" s="46">
        <f t="shared" si="5"/>
        <v>0</v>
      </c>
      <c r="V24" s="46">
        <f t="shared" si="6"/>
        <v>45</v>
      </c>
      <c r="W24" s="30">
        <f t="shared" si="9"/>
        <v>20</v>
      </c>
    </row>
    <row r="25">
      <c r="A25" s="30">
        <f t="shared" si="7"/>
        <v>21</v>
      </c>
      <c r="B25" s="28" t="s">
        <v>97</v>
      </c>
      <c r="C25" s="31">
        <v>13.0</v>
      </c>
      <c r="D25" s="31">
        <v>0.0</v>
      </c>
      <c r="E25" s="36">
        <f t="shared" si="2"/>
        <v>0</v>
      </c>
      <c r="F25" s="102">
        <v>2.0</v>
      </c>
      <c r="G25" s="46">
        <v>9.0</v>
      </c>
      <c r="H25" s="47">
        <v>0.0</v>
      </c>
      <c r="I25" s="46">
        <v>0.0</v>
      </c>
      <c r="J25" s="46">
        <v>3.0</v>
      </c>
      <c r="K25" s="46">
        <v>6.0</v>
      </c>
      <c r="L25" s="103">
        <v>9.0</v>
      </c>
      <c r="M25" s="46">
        <v>0.0</v>
      </c>
      <c r="N25" s="31">
        <f t="shared" ref="N25:O25" si="27">C25+L25</f>
        <v>22</v>
      </c>
      <c r="O25" s="31">
        <f t="shared" si="27"/>
        <v>0</v>
      </c>
      <c r="P25" s="45" t="s">
        <v>58</v>
      </c>
      <c r="Q25" s="45" t="s">
        <v>58</v>
      </c>
      <c r="R25" s="45"/>
      <c r="S25" s="46">
        <f t="shared" si="4"/>
        <v>1</v>
      </c>
      <c r="T25" s="46"/>
      <c r="U25" s="46">
        <f t="shared" si="5"/>
        <v>0</v>
      </c>
      <c r="V25" s="46">
        <f t="shared" si="6"/>
        <v>-19</v>
      </c>
      <c r="W25" s="30">
        <f t="shared" si="9"/>
        <v>21</v>
      </c>
    </row>
    <row r="26">
      <c r="A26" s="30">
        <f t="shared" si="7"/>
        <v>22</v>
      </c>
      <c r="B26" s="28" t="s">
        <v>120</v>
      </c>
      <c r="C26" s="31">
        <v>13.0</v>
      </c>
      <c r="D26" s="31">
        <v>0.0</v>
      </c>
      <c r="E26" s="36">
        <f t="shared" si="2"/>
        <v>0</v>
      </c>
      <c r="F26" s="102">
        <v>2.0</v>
      </c>
      <c r="G26" s="46">
        <v>9.0</v>
      </c>
      <c r="H26" s="47">
        <v>0.0</v>
      </c>
      <c r="I26" s="46">
        <v>0.0</v>
      </c>
      <c r="J26" s="46">
        <v>6.0</v>
      </c>
      <c r="K26" s="46">
        <v>7.0</v>
      </c>
      <c r="L26" s="103">
        <v>13.0</v>
      </c>
      <c r="M26" s="46">
        <v>2.0</v>
      </c>
      <c r="N26" s="31">
        <f t="shared" ref="N26:O26" si="28">C26+L26</f>
        <v>26</v>
      </c>
      <c r="O26" s="31">
        <f t="shared" si="28"/>
        <v>2</v>
      </c>
      <c r="P26" s="45" t="s">
        <v>58</v>
      </c>
      <c r="Q26" s="45" t="s">
        <v>58</v>
      </c>
      <c r="R26" s="45"/>
      <c r="S26" s="46">
        <f t="shared" si="4"/>
        <v>1</v>
      </c>
      <c r="T26" s="46"/>
      <c r="U26" s="46">
        <f t="shared" si="5"/>
        <v>0</v>
      </c>
      <c r="V26" s="46">
        <f t="shared" si="6"/>
        <v>-19</v>
      </c>
      <c r="W26" s="30">
        <f t="shared" si="9"/>
        <v>22</v>
      </c>
    </row>
    <row r="27">
      <c r="A27" s="30">
        <f t="shared" si="7"/>
        <v>23</v>
      </c>
      <c r="B27" s="28" t="s">
        <v>45</v>
      </c>
      <c r="C27" s="31">
        <v>13.0</v>
      </c>
      <c r="D27" s="31">
        <v>0.0</v>
      </c>
      <c r="E27" s="36">
        <f t="shared" si="2"/>
        <v>0</v>
      </c>
      <c r="F27" s="102">
        <v>1.0</v>
      </c>
      <c r="G27" s="46">
        <v>9.0</v>
      </c>
      <c r="H27" s="47">
        <v>0.0</v>
      </c>
      <c r="I27" s="46">
        <v>6.0</v>
      </c>
      <c r="J27" s="46">
        <v>6.0</v>
      </c>
      <c r="K27" s="46">
        <v>6.0</v>
      </c>
      <c r="L27" s="103">
        <v>18.0</v>
      </c>
      <c r="M27" s="46">
        <v>2.0</v>
      </c>
      <c r="N27" s="31">
        <f t="shared" ref="N27:O27" si="29">C27+L27</f>
        <v>31</v>
      </c>
      <c r="O27" s="31">
        <f t="shared" si="29"/>
        <v>2</v>
      </c>
      <c r="P27" s="45" t="s">
        <v>58</v>
      </c>
      <c r="Q27" s="45" t="s">
        <v>58</v>
      </c>
      <c r="R27" s="45"/>
      <c r="S27" s="46">
        <f t="shared" si="4"/>
        <v>1</v>
      </c>
      <c r="T27" s="46"/>
      <c r="U27" s="46">
        <f t="shared" si="5"/>
        <v>0</v>
      </c>
      <c r="V27" s="46">
        <f t="shared" si="6"/>
        <v>-19</v>
      </c>
      <c r="W27" s="30">
        <f t="shared" si="9"/>
        <v>23</v>
      </c>
    </row>
    <row r="28">
      <c r="A28" s="30">
        <f t="shared" si="7"/>
        <v>24</v>
      </c>
      <c r="B28" s="28" t="s">
        <v>116</v>
      </c>
      <c r="C28" s="31">
        <v>13.0</v>
      </c>
      <c r="D28" s="31">
        <v>0.0</v>
      </c>
      <c r="E28" s="36">
        <f t="shared" si="2"/>
        <v>0</v>
      </c>
      <c r="F28" s="102">
        <v>1.0</v>
      </c>
      <c r="G28" s="46">
        <v>9.0</v>
      </c>
      <c r="H28" s="47">
        <v>0.0</v>
      </c>
      <c r="I28" s="46">
        <v>6.0</v>
      </c>
      <c r="J28" s="46">
        <v>3.0</v>
      </c>
      <c r="K28" s="46">
        <v>7.0</v>
      </c>
      <c r="L28" s="103">
        <v>16.0</v>
      </c>
      <c r="M28" s="46">
        <v>2.0</v>
      </c>
      <c r="N28" s="31">
        <f t="shared" ref="N28:O28" si="30">C28+L28</f>
        <v>29</v>
      </c>
      <c r="O28" s="31">
        <f t="shared" si="30"/>
        <v>2</v>
      </c>
      <c r="P28" s="45" t="s">
        <v>58</v>
      </c>
      <c r="Q28" s="45" t="s">
        <v>58</v>
      </c>
      <c r="R28" s="45"/>
      <c r="S28" s="46">
        <f t="shared" si="4"/>
        <v>1</v>
      </c>
      <c r="T28" s="46"/>
      <c r="U28" s="46">
        <f t="shared" si="5"/>
        <v>0</v>
      </c>
      <c r="V28" s="46">
        <f t="shared" si="6"/>
        <v>-15</v>
      </c>
      <c r="W28" s="30">
        <f t="shared" si="9"/>
        <v>24</v>
      </c>
    </row>
    <row r="29">
      <c r="A29" s="30">
        <f t="shared" si="7"/>
        <v>25</v>
      </c>
      <c r="B29" s="43" t="s">
        <v>121</v>
      </c>
      <c r="C29" s="31">
        <v>13.0</v>
      </c>
      <c r="D29" s="31">
        <v>0.0</v>
      </c>
      <c r="E29" s="36">
        <f t="shared" si="2"/>
        <v>0</v>
      </c>
      <c r="F29" s="102">
        <v>1.0</v>
      </c>
      <c r="G29" s="46">
        <v>5.0</v>
      </c>
      <c r="H29" s="47">
        <v>0.0</v>
      </c>
      <c r="I29" s="46">
        <v>6.0</v>
      </c>
      <c r="J29" s="46">
        <v>6.0</v>
      </c>
      <c r="K29" s="46">
        <v>6.0</v>
      </c>
      <c r="L29" s="103">
        <v>18.0</v>
      </c>
      <c r="M29" s="46">
        <v>2.0</v>
      </c>
      <c r="N29" s="31">
        <f t="shared" ref="N29:O29" si="31">C29+L29</f>
        <v>31</v>
      </c>
      <c r="O29" s="31">
        <f t="shared" si="31"/>
        <v>2</v>
      </c>
      <c r="P29" s="45" t="s">
        <v>58</v>
      </c>
      <c r="Q29" s="45" t="s">
        <v>58</v>
      </c>
      <c r="R29" s="45"/>
      <c r="S29" s="46">
        <f t="shared" si="4"/>
        <v>1</v>
      </c>
      <c r="T29" s="46"/>
      <c r="U29" s="46">
        <f t="shared" si="5"/>
        <v>0</v>
      </c>
      <c r="V29" s="46">
        <f t="shared" si="6"/>
        <v>-15</v>
      </c>
      <c r="W29" s="30">
        <f t="shared" si="9"/>
        <v>25</v>
      </c>
    </row>
    <row r="30">
      <c r="A30" s="30">
        <f t="shared" si="7"/>
        <v>26</v>
      </c>
      <c r="B30" s="43" t="s">
        <v>107</v>
      </c>
      <c r="C30" s="31">
        <v>13.0</v>
      </c>
      <c r="D30" s="31">
        <v>0.0</v>
      </c>
      <c r="E30" s="36">
        <f t="shared" si="2"/>
        <v>0</v>
      </c>
      <c r="F30" s="102">
        <v>2.0</v>
      </c>
      <c r="G30" s="46">
        <v>5.0</v>
      </c>
      <c r="H30" s="47">
        <v>0.0</v>
      </c>
      <c r="I30" s="46">
        <v>4.0</v>
      </c>
      <c r="J30" s="46">
        <v>3.0</v>
      </c>
      <c r="K30" s="46">
        <v>6.0</v>
      </c>
      <c r="L30" s="103">
        <v>13.0</v>
      </c>
      <c r="M30" s="46">
        <v>0.0</v>
      </c>
      <c r="N30" s="31">
        <f t="shared" ref="N30:O30" si="32">C30+L30</f>
        <v>26</v>
      </c>
      <c r="O30" s="31">
        <f t="shared" si="32"/>
        <v>0</v>
      </c>
      <c r="P30" s="45" t="s">
        <v>58</v>
      </c>
      <c r="Q30" s="45" t="s">
        <v>58</v>
      </c>
      <c r="R30" s="45"/>
      <c r="S30" s="46">
        <f t="shared" si="4"/>
        <v>1</v>
      </c>
      <c r="T30" s="46"/>
      <c r="U30" s="46">
        <f t="shared" si="5"/>
        <v>0</v>
      </c>
      <c r="V30" s="46">
        <f t="shared" si="6"/>
        <v>-15</v>
      </c>
      <c r="W30" s="30">
        <f t="shared" si="9"/>
        <v>26</v>
      </c>
    </row>
    <row r="31">
      <c r="A31" s="30">
        <f t="shared" si="7"/>
        <v>27</v>
      </c>
      <c r="B31" s="28" t="s">
        <v>104</v>
      </c>
      <c r="C31" s="31">
        <v>13.0</v>
      </c>
      <c r="D31" s="31">
        <v>0.0</v>
      </c>
      <c r="E31" s="36">
        <f t="shared" si="2"/>
        <v>0</v>
      </c>
      <c r="F31" s="102">
        <v>2.0</v>
      </c>
      <c r="G31" s="46">
        <v>5.0</v>
      </c>
      <c r="H31" s="47">
        <v>0.0</v>
      </c>
      <c r="I31" s="46">
        <v>6.0</v>
      </c>
      <c r="J31" s="46">
        <v>3.0</v>
      </c>
      <c r="K31" s="46">
        <v>7.0</v>
      </c>
      <c r="L31" s="103">
        <v>16.0</v>
      </c>
      <c r="M31" s="46">
        <v>2.0</v>
      </c>
      <c r="N31" s="31">
        <f t="shared" ref="N31:O31" si="33">C31+L31</f>
        <v>29</v>
      </c>
      <c r="O31" s="31">
        <f t="shared" si="33"/>
        <v>2</v>
      </c>
      <c r="P31" s="45" t="s">
        <v>58</v>
      </c>
      <c r="Q31" s="45" t="s">
        <v>58</v>
      </c>
      <c r="R31" s="45"/>
      <c r="S31" s="46">
        <f t="shared" si="4"/>
        <v>1</v>
      </c>
      <c r="T31" s="46"/>
      <c r="U31" s="46">
        <f t="shared" si="5"/>
        <v>0</v>
      </c>
      <c r="V31" s="46">
        <f t="shared" si="6"/>
        <v>-13</v>
      </c>
      <c r="W31" s="30">
        <f t="shared" si="9"/>
        <v>27</v>
      </c>
    </row>
    <row r="32">
      <c r="A32" s="30">
        <f t="shared" si="7"/>
        <v>28</v>
      </c>
      <c r="B32" s="28" t="s">
        <v>117</v>
      </c>
      <c r="C32" s="31">
        <v>13.0</v>
      </c>
      <c r="D32" s="31">
        <v>0.0</v>
      </c>
      <c r="E32" s="36">
        <f t="shared" si="2"/>
        <v>0</v>
      </c>
      <c r="F32" s="102">
        <v>1.0</v>
      </c>
      <c r="G32" s="46">
        <v>5.0</v>
      </c>
      <c r="H32" s="47">
        <v>0.0</v>
      </c>
      <c r="I32" s="46">
        <v>4.0</v>
      </c>
      <c r="J32" s="46">
        <v>6.0</v>
      </c>
      <c r="K32" s="46">
        <v>7.0</v>
      </c>
      <c r="L32" s="103">
        <v>17.0</v>
      </c>
      <c r="M32" s="46">
        <v>2.0</v>
      </c>
      <c r="N32" s="31">
        <f t="shared" ref="N32:O32" si="34">C32+L32</f>
        <v>30</v>
      </c>
      <c r="O32" s="31">
        <f t="shared" si="34"/>
        <v>2</v>
      </c>
      <c r="P32" s="45" t="s">
        <v>58</v>
      </c>
      <c r="Q32" s="45" t="s">
        <v>58</v>
      </c>
      <c r="R32" s="45"/>
      <c r="S32" s="46">
        <f t="shared" si="4"/>
        <v>1</v>
      </c>
      <c r="T32" s="46"/>
      <c r="U32" s="46">
        <f t="shared" si="5"/>
        <v>0</v>
      </c>
      <c r="V32" s="46">
        <f t="shared" si="6"/>
        <v>-13</v>
      </c>
      <c r="W32" s="30">
        <f t="shared" si="9"/>
        <v>28</v>
      </c>
    </row>
    <row r="33">
      <c r="A33" s="30">
        <f t="shared" si="7"/>
        <v>29</v>
      </c>
      <c r="B33" s="28" t="s">
        <v>89</v>
      </c>
      <c r="C33" s="31">
        <v>13.0</v>
      </c>
      <c r="D33" s="31">
        <v>0.0</v>
      </c>
      <c r="E33" s="36">
        <f t="shared" si="2"/>
        <v>0</v>
      </c>
      <c r="F33" s="102">
        <v>1.0</v>
      </c>
      <c r="G33" s="46">
        <v>6.0</v>
      </c>
      <c r="H33" s="47">
        <v>0.0</v>
      </c>
      <c r="I33" s="46">
        <v>7.0</v>
      </c>
      <c r="J33" s="46">
        <v>6.0</v>
      </c>
      <c r="K33" s="46">
        <v>6.0</v>
      </c>
      <c r="L33" s="103">
        <v>19.0</v>
      </c>
      <c r="M33" s="46">
        <v>3.0</v>
      </c>
      <c r="N33" s="31">
        <f t="shared" ref="N33:O33" si="35">C33+L33</f>
        <v>32</v>
      </c>
      <c r="O33" s="31">
        <f t="shared" si="35"/>
        <v>3</v>
      </c>
      <c r="P33" s="45" t="s">
        <v>58</v>
      </c>
      <c r="Q33" s="45" t="s">
        <v>58</v>
      </c>
      <c r="R33" s="45"/>
      <c r="S33" s="46">
        <f t="shared" si="4"/>
        <v>1</v>
      </c>
      <c r="T33" s="46"/>
      <c r="U33" s="46">
        <f t="shared" si="5"/>
        <v>0</v>
      </c>
      <c r="V33" s="46">
        <f t="shared" si="6"/>
        <v>-13</v>
      </c>
      <c r="W33" s="30">
        <f t="shared" si="9"/>
        <v>29</v>
      </c>
    </row>
    <row r="34">
      <c r="A34" s="30">
        <f t="shared" si="7"/>
        <v>30</v>
      </c>
      <c r="B34" s="28" t="s">
        <v>127</v>
      </c>
      <c r="C34" s="31">
        <v>13.0</v>
      </c>
      <c r="D34" s="31">
        <v>0.0</v>
      </c>
      <c r="E34" s="36">
        <f t="shared" si="2"/>
        <v>0</v>
      </c>
      <c r="F34" s="102">
        <v>3.0</v>
      </c>
      <c r="G34" s="46">
        <v>0.0</v>
      </c>
      <c r="H34" s="47">
        <v>9.0</v>
      </c>
      <c r="I34" s="46">
        <v>0.0</v>
      </c>
      <c r="J34" s="46">
        <v>0.0</v>
      </c>
      <c r="K34" s="46">
        <v>0.0</v>
      </c>
      <c r="L34" s="103">
        <v>9.0</v>
      </c>
      <c r="M34" s="46">
        <v>0.0</v>
      </c>
      <c r="N34" s="31">
        <f t="shared" ref="N34:O34" si="36">C34+L34</f>
        <v>22</v>
      </c>
      <c r="O34" s="31">
        <f t="shared" si="36"/>
        <v>0</v>
      </c>
      <c r="P34" s="45" t="s">
        <v>58</v>
      </c>
      <c r="Q34" s="45" t="s">
        <v>58</v>
      </c>
      <c r="R34" s="45"/>
      <c r="S34" s="46">
        <f t="shared" si="4"/>
        <v>1</v>
      </c>
      <c r="T34" s="46"/>
      <c r="U34" s="46">
        <f t="shared" si="5"/>
        <v>1</v>
      </c>
      <c r="V34" s="46">
        <f t="shared" si="6"/>
        <v>-13</v>
      </c>
      <c r="W34" s="30">
        <f t="shared" si="9"/>
        <v>30</v>
      </c>
    </row>
    <row r="35">
      <c r="A35" s="30">
        <f t="shared" si="7"/>
        <v>31</v>
      </c>
      <c r="B35" s="28" t="s">
        <v>119</v>
      </c>
      <c r="C35" s="31">
        <v>13.0</v>
      </c>
      <c r="D35" s="31">
        <v>0.0</v>
      </c>
      <c r="E35" s="36">
        <f t="shared" si="2"/>
        <v>0</v>
      </c>
      <c r="F35" s="102">
        <v>2.0</v>
      </c>
      <c r="G35" s="46">
        <v>6.0</v>
      </c>
      <c r="H35" s="47">
        <v>0.0</v>
      </c>
      <c r="I35" s="46">
        <v>7.0</v>
      </c>
      <c r="J35" s="46">
        <v>1.0</v>
      </c>
      <c r="K35" s="46">
        <v>1.0</v>
      </c>
      <c r="L35" s="103">
        <v>9.0</v>
      </c>
      <c r="M35" s="46">
        <v>1.0</v>
      </c>
      <c r="N35" s="31">
        <f t="shared" ref="N35:O35" si="37">C35+L35</f>
        <v>22</v>
      </c>
      <c r="O35" s="31">
        <f t="shared" si="37"/>
        <v>1</v>
      </c>
      <c r="P35" s="45" t="s">
        <v>58</v>
      </c>
      <c r="Q35" s="45" t="s">
        <v>58</v>
      </c>
      <c r="R35" s="45"/>
      <c r="S35" s="46">
        <f t="shared" si="4"/>
        <v>1</v>
      </c>
      <c r="T35" s="46"/>
      <c r="U35" s="46">
        <f t="shared" si="5"/>
        <v>0</v>
      </c>
      <c r="V35" s="46">
        <f t="shared" si="6"/>
        <v>-12</v>
      </c>
      <c r="W35" s="30">
        <f t="shared" si="9"/>
        <v>31</v>
      </c>
    </row>
    <row r="36">
      <c r="A36" s="30">
        <f t="shared" si="7"/>
        <v>32</v>
      </c>
      <c r="B36" s="43" t="s">
        <v>90</v>
      </c>
      <c r="C36" s="31">
        <v>13.0</v>
      </c>
      <c r="D36" s="31">
        <v>0.0</v>
      </c>
      <c r="E36" s="36">
        <f t="shared" si="2"/>
        <v>0</v>
      </c>
      <c r="F36" s="102">
        <v>5.0</v>
      </c>
      <c r="G36" s="46">
        <v>0.0</v>
      </c>
      <c r="H36" s="47">
        <v>13.0</v>
      </c>
      <c r="I36" s="46">
        <v>0.0</v>
      </c>
      <c r="J36" s="46">
        <v>0.0</v>
      </c>
      <c r="K36" s="46">
        <v>0.0</v>
      </c>
      <c r="L36" s="103">
        <v>13.0</v>
      </c>
      <c r="M36" s="46">
        <v>0.0</v>
      </c>
      <c r="N36" s="31">
        <f t="shared" ref="N36:O36" si="38">C36+L36</f>
        <v>26</v>
      </c>
      <c r="O36" s="31">
        <f t="shared" si="38"/>
        <v>0</v>
      </c>
      <c r="P36" s="45" t="s">
        <v>58</v>
      </c>
      <c r="Q36" s="45" t="s">
        <v>58</v>
      </c>
      <c r="R36" s="45"/>
      <c r="S36" s="46">
        <f t="shared" si="4"/>
        <v>2</v>
      </c>
      <c r="T36" s="46"/>
      <c r="U36" s="46">
        <f t="shared" si="5"/>
        <v>0</v>
      </c>
      <c r="V36" s="46">
        <f t="shared" si="6"/>
        <v>-12</v>
      </c>
      <c r="W36" s="30">
        <f t="shared" si="9"/>
        <v>32</v>
      </c>
    </row>
    <row r="37">
      <c r="A37" s="30">
        <f t="shared" si="7"/>
        <v>33</v>
      </c>
      <c r="B37" s="48" t="s">
        <v>134</v>
      </c>
      <c r="C37" s="31">
        <v>13.0</v>
      </c>
      <c r="D37" s="31">
        <v>0.0</v>
      </c>
      <c r="E37" s="36">
        <f t="shared" si="2"/>
        <v>0</v>
      </c>
      <c r="F37" s="102">
        <v>3.0</v>
      </c>
      <c r="G37" s="46">
        <v>0.0</v>
      </c>
      <c r="H37" s="47">
        <v>9.0</v>
      </c>
      <c r="I37" s="46">
        <v>0.0</v>
      </c>
      <c r="J37" s="46">
        <v>0.0</v>
      </c>
      <c r="K37" s="46">
        <v>0.0</v>
      </c>
      <c r="L37" s="103">
        <v>9.0</v>
      </c>
      <c r="M37" s="46">
        <v>0.0</v>
      </c>
      <c r="N37" s="31">
        <f t="shared" ref="N37:O37" si="39">C37+L37</f>
        <v>22</v>
      </c>
      <c r="O37" s="31">
        <f t="shared" si="39"/>
        <v>0</v>
      </c>
      <c r="P37" s="45" t="s">
        <v>58</v>
      </c>
      <c r="Q37" s="45" t="s">
        <v>58</v>
      </c>
      <c r="R37" s="45"/>
      <c r="S37" s="46">
        <f t="shared" si="4"/>
        <v>1</v>
      </c>
      <c r="T37" s="46"/>
      <c r="U37" s="46">
        <f t="shared" si="5"/>
        <v>1</v>
      </c>
      <c r="V37" s="46">
        <f t="shared" si="6"/>
        <v>-7</v>
      </c>
      <c r="W37" s="30">
        <f t="shared" si="9"/>
        <v>33</v>
      </c>
    </row>
    <row r="38">
      <c r="A38" s="30">
        <f t="shared" si="7"/>
        <v>34</v>
      </c>
      <c r="B38" s="28" t="s">
        <v>105</v>
      </c>
      <c r="C38" s="31">
        <v>13.0</v>
      </c>
      <c r="D38" s="31">
        <v>0.0</v>
      </c>
      <c r="E38" s="36">
        <f t="shared" si="2"/>
        <v>0</v>
      </c>
      <c r="F38" s="102">
        <v>2.0</v>
      </c>
      <c r="G38" s="46">
        <v>6.0</v>
      </c>
      <c r="H38" s="47">
        <v>0.0</v>
      </c>
      <c r="I38" s="46">
        <v>6.0</v>
      </c>
      <c r="J38" s="46">
        <v>6.0</v>
      </c>
      <c r="K38" s="46">
        <v>1.0</v>
      </c>
      <c r="L38" s="103">
        <v>13.0</v>
      </c>
      <c r="M38" s="46">
        <v>1.0</v>
      </c>
      <c r="N38" s="31">
        <f t="shared" ref="N38:O38" si="40">C38+L38</f>
        <v>26</v>
      </c>
      <c r="O38" s="31">
        <f t="shared" si="40"/>
        <v>1</v>
      </c>
      <c r="P38" s="45" t="s">
        <v>58</v>
      </c>
      <c r="Q38" s="45" t="s">
        <v>58</v>
      </c>
      <c r="R38" s="45"/>
      <c r="S38" s="46">
        <f t="shared" si="4"/>
        <v>1</v>
      </c>
      <c r="T38" s="46"/>
      <c r="U38" s="46">
        <f t="shared" si="5"/>
        <v>0</v>
      </c>
      <c r="V38" s="46">
        <f t="shared" si="6"/>
        <v>-7</v>
      </c>
      <c r="W38" s="30">
        <f t="shared" si="9"/>
        <v>34</v>
      </c>
    </row>
    <row r="39">
      <c r="A39" s="30">
        <f t="shared" si="7"/>
        <v>35</v>
      </c>
      <c r="B39" s="28" t="s">
        <v>49</v>
      </c>
      <c r="C39" s="31">
        <v>13.0</v>
      </c>
      <c r="D39" s="31">
        <v>0.0</v>
      </c>
      <c r="E39" s="36">
        <f t="shared" si="2"/>
        <v>0</v>
      </c>
      <c r="F39" s="102">
        <v>2.0</v>
      </c>
      <c r="G39" s="46">
        <v>6.0</v>
      </c>
      <c r="H39" s="47">
        <v>0.0</v>
      </c>
      <c r="I39" s="46">
        <v>6.0</v>
      </c>
      <c r="J39" s="46">
        <v>1.0</v>
      </c>
      <c r="K39" s="46">
        <v>6.0</v>
      </c>
      <c r="L39" s="103">
        <v>13.0</v>
      </c>
      <c r="M39" s="46">
        <v>1.0</v>
      </c>
      <c r="N39" s="31">
        <f t="shared" ref="N39:O39" si="41">C39+L39</f>
        <v>26</v>
      </c>
      <c r="O39" s="31">
        <f t="shared" si="41"/>
        <v>1</v>
      </c>
      <c r="P39" s="45" t="s">
        <v>58</v>
      </c>
      <c r="Q39" s="45" t="s">
        <v>58</v>
      </c>
      <c r="R39" s="45" t="s">
        <v>58</v>
      </c>
      <c r="S39" s="46">
        <f t="shared" si="4"/>
        <v>1</v>
      </c>
      <c r="T39" s="46"/>
      <c r="U39" s="46">
        <f t="shared" si="5"/>
        <v>0</v>
      </c>
      <c r="V39" s="46">
        <f t="shared" si="6"/>
        <v>-2</v>
      </c>
      <c r="W39" s="30">
        <f t="shared" si="9"/>
        <v>35</v>
      </c>
    </row>
    <row r="40">
      <c r="A40" s="30">
        <f t="shared" si="7"/>
        <v>36</v>
      </c>
      <c r="B40" s="48" t="s">
        <v>70</v>
      </c>
      <c r="C40" s="31">
        <v>13.0</v>
      </c>
      <c r="D40" s="31">
        <v>0.0</v>
      </c>
      <c r="E40" s="36">
        <f t="shared" si="2"/>
        <v>0</v>
      </c>
      <c r="F40" s="102">
        <v>2.0</v>
      </c>
      <c r="G40" s="46">
        <v>7.0</v>
      </c>
      <c r="H40" s="47">
        <v>0.0</v>
      </c>
      <c r="I40" s="46">
        <v>4.0</v>
      </c>
      <c r="J40" s="46">
        <v>6.0</v>
      </c>
      <c r="K40" s="46">
        <v>3.0</v>
      </c>
      <c r="L40" s="103">
        <v>13.0</v>
      </c>
      <c r="M40" s="46">
        <v>1.0</v>
      </c>
      <c r="N40" s="31">
        <f t="shared" ref="N40:O40" si="42">C40+L40</f>
        <v>26</v>
      </c>
      <c r="O40" s="31">
        <f t="shared" si="42"/>
        <v>1</v>
      </c>
      <c r="P40" s="45" t="s">
        <v>58</v>
      </c>
      <c r="Q40" s="45" t="s">
        <v>58</v>
      </c>
      <c r="R40" s="45"/>
      <c r="S40" s="46">
        <f t="shared" si="4"/>
        <v>1</v>
      </c>
      <c r="T40" s="46"/>
      <c r="U40" s="46">
        <f t="shared" si="5"/>
        <v>0</v>
      </c>
      <c r="V40" s="46">
        <f t="shared" si="6"/>
        <v>2</v>
      </c>
      <c r="W40" s="30">
        <f t="shared" si="9"/>
        <v>36</v>
      </c>
    </row>
    <row r="41">
      <c r="A41" s="30">
        <f t="shared" si="7"/>
        <v>37</v>
      </c>
      <c r="B41" s="28" t="s">
        <v>67</v>
      </c>
      <c r="C41" s="31">
        <v>13.0</v>
      </c>
      <c r="D41" s="31">
        <v>0.0</v>
      </c>
      <c r="E41" s="36">
        <f t="shared" si="2"/>
        <v>0</v>
      </c>
      <c r="F41" s="102">
        <v>3.0</v>
      </c>
      <c r="G41" s="46">
        <v>0.0</v>
      </c>
      <c r="H41" s="47">
        <v>9.0</v>
      </c>
      <c r="I41" s="46">
        <v>0.0</v>
      </c>
      <c r="J41" s="46">
        <v>0.0</v>
      </c>
      <c r="K41" s="46">
        <v>0.0</v>
      </c>
      <c r="L41" s="103">
        <v>9.0</v>
      </c>
      <c r="M41" s="46">
        <v>0.0</v>
      </c>
      <c r="N41" s="31">
        <f t="shared" ref="N41:O41" si="43">C41+L41</f>
        <v>22</v>
      </c>
      <c r="O41" s="31">
        <f t="shared" si="43"/>
        <v>0</v>
      </c>
      <c r="P41" s="45" t="s">
        <v>58</v>
      </c>
      <c r="Q41" s="45" t="s">
        <v>58</v>
      </c>
      <c r="R41" s="45"/>
      <c r="S41" s="46">
        <f t="shared" si="4"/>
        <v>1</v>
      </c>
      <c r="T41" s="46"/>
      <c r="U41" s="46">
        <f t="shared" si="5"/>
        <v>1</v>
      </c>
      <c r="V41" s="46">
        <f t="shared" si="6"/>
        <v>4</v>
      </c>
      <c r="W41" s="30">
        <f t="shared" si="9"/>
        <v>37</v>
      </c>
    </row>
    <row r="42">
      <c r="A42" s="30">
        <f t="shared" si="7"/>
        <v>38</v>
      </c>
      <c r="B42" s="43" t="s">
        <v>96</v>
      </c>
      <c r="C42" s="31">
        <v>13.0</v>
      </c>
      <c r="D42" s="31">
        <v>0.0</v>
      </c>
      <c r="E42" s="36">
        <f t="shared" si="2"/>
        <v>0</v>
      </c>
      <c r="F42" s="102">
        <v>2.0</v>
      </c>
      <c r="G42" s="46">
        <v>7.0</v>
      </c>
      <c r="H42" s="47">
        <v>0.0</v>
      </c>
      <c r="I42" s="46">
        <v>6.0</v>
      </c>
      <c r="J42" s="46">
        <v>0.0</v>
      </c>
      <c r="K42" s="46">
        <v>3.0</v>
      </c>
      <c r="L42" s="103">
        <v>9.0</v>
      </c>
      <c r="M42" s="46">
        <v>1.0</v>
      </c>
      <c r="N42" s="31">
        <f t="shared" ref="N42:O42" si="44">C42+L42</f>
        <v>22</v>
      </c>
      <c r="O42" s="31">
        <f t="shared" si="44"/>
        <v>1</v>
      </c>
      <c r="P42" s="45" t="s">
        <v>58</v>
      </c>
      <c r="Q42" s="45" t="s">
        <v>58</v>
      </c>
      <c r="R42" s="45"/>
      <c r="S42" s="46">
        <f t="shared" si="4"/>
        <v>1</v>
      </c>
      <c r="T42" s="46"/>
      <c r="U42" s="46">
        <f t="shared" si="5"/>
        <v>0</v>
      </c>
      <c r="V42" s="46">
        <f t="shared" si="6"/>
        <v>4</v>
      </c>
      <c r="W42" s="30">
        <f t="shared" si="9"/>
        <v>38</v>
      </c>
    </row>
    <row r="43">
      <c r="A43" s="30">
        <f t="shared" si="7"/>
        <v>39</v>
      </c>
      <c r="B43" s="28" t="s">
        <v>141</v>
      </c>
      <c r="C43" s="31">
        <v>13.0</v>
      </c>
      <c r="D43" s="31">
        <v>0.0</v>
      </c>
      <c r="E43" s="36">
        <f t="shared" si="2"/>
        <v>0</v>
      </c>
      <c r="F43" s="102">
        <v>3.0</v>
      </c>
      <c r="G43" s="46">
        <v>0.0</v>
      </c>
      <c r="H43" s="47">
        <v>9.0</v>
      </c>
      <c r="I43" s="46">
        <v>0.0</v>
      </c>
      <c r="J43" s="46">
        <v>0.0</v>
      </c>
      <c r="K43" s="46">
        <v>0.0</v>
      </c>
      <c r="L43" s="103">
        <v>9.0</v>
      </c>
      <c r="M43" s="46">
        <v>0.0</v>
      </c>
      <c r="N43" s="31">
        <f t="shared" ref="N43:O43" si="45">C43+L43</f>
        <v>22</v>
      </c>
      <c r="O43" s="31">
        <f t="shared" si="45"/>
        <v>0</v>
      </c>
      <c r="P43" s="45" t="s">
        <v>58</v>
      </c>
      <c r="Q43" s="45" t="s">
        <v>58</v>
      </c>
      <c r="R43" s="45"/>
      <c r="S43" s="46">
        <f t="shared" si="4"/>
        <v>1</v>
      </c>
      <c r="T43" s="46"/>
      <c r="U43" s="46">
        <f t="shared" si="5"/>
        <v>1</v>
      </c>
      <c r="V43" s="46">
        <f t="shared" si="6"/>
        <v>6</v>
      </c>
      <c r="W43" s="30">
        <f t="shared" si="9"/>
        <v>39</v>
      </c>
    </row>
    <row r="44">
      <c r="A44" s="30">
        <f t="shared" si="7"/>
        <v>40</v>
      </c>
      <c r="B44" s="48" t="s">
        <v>54</v>
      </c>
      <c r="C44" s="31">
        <v>13.0</v>
      </c>
      <c r="D44" s="31">
        <v>0.0</v>
      </c>
      <c r="E44" s="36">
        <f t="shared" si="2"/>
        <v>0</v>
      </c>
      <c r="F44" s="102">
        <v>1.0</v>
      </c>
      <c r="G44" s="46">
        <v>7.0</v>
      </c>
      <c r="H44" s="47">
        <v>0.0</v>
      </c>
      <c r="I44" s="46">
        <v>4.0</v>
      </c>
      <c r="J44" s="46">
        <v>0.0</v>
      </c>
      <c r="K44" s="46">
        <v>6.0</v>
      </c>
      <c r="L44" s="103">
        <v>10.0</v>
      </c>
      <c r="M44" s="46">
        <v>1.0</v>
      </c>
      <c r="N44" s="31">
        <f t="shared" ref="N44:O44" si="46">C44+L44</f>
        <v>23</v>
      </c>
      <c r="O44" s="31">
        <f t="shared" si="46"/>
        <v>1</v>
      </c>
      <c r="P44" s="45" t="s">
        <v>58</v>
      </c>
      <c r="Q44" s="45" t="s">
        <v>58</v>
      </c>
      <c r="R44" s="45"/>
      <c r="S44" s="46">
        <f t="shared" si="4"/>
        <v>1</v>
      </c>
      <c r="T44" s="46"/>
      <c r="U44" s="46">
        <f t="shared" si="5"/>
        <v>0</v>
      </c>
      <c r="V44" s="46">
        <f t="shared" si="6"/>
        <v>7</v>
      </c>
      <c r="W44" s="30">
        <f t="shared" si="9"/>
        <v>40</v>
      </c>
    </row>
    <row r="45">
      <c r="A45" s="30">
        <f t="shared" si="7"/>
        <v>41</v>
      </c>
      <c r="B45" s="28" t="s">
        <v>80</v>
      </c>
      <c r="C45" s="31">
        <v>13.0</v>
      </c>
      <c r="D45" s="31">
        <v>0.0</v>
      </c>
      <c r="E45" s="36">
        <f t="shared" si="2"/>
        <v>0</v>
      </c>
      <c r="F45" s="102">
        <v>3.0</v>
      </c>
      <c r="G45" s="46">
        <v>0.0</v>
      </c>
      <c r="H45" s="47">
        <v>9.0</v>
      </c>
      <c r="I45" s="46">
        <v>0.0</v>
      </c>
      <c r="J45" s="46">
        <v>0.0</v>
      </c>
      <c r="K45" s="46">
        <v>0.0</v>
      </c>
      <c r="L45" s="103">
        <v>9.0</v>
      </c>
      <c r="M45" s="46">
        <v>0.0</v>
      </c>
      <c r="N45" s="31">
        <f t="shared" ref="N45:O45" si="47">C45+L45</f>
        <v>22</v>
      </c>
      <c r="O45" s="31">
        <f t="shared" si="47"/>
        <v>0</v>
      </c>
      <c r="P45" s="45" t="s">
        <v>58</v>
      </c>
      <c r="Q45" s="45" t="s">
        <v>58</v>
      </c>
      <c r="R45" s="45"/>
      <c r="S45" s="46">
        <f t="shared" si="4"/>
        <v>1</v>
      </c>
      <c r="T45" s="46"/>
      <c r="U45" s="46">
        <f t="shared" si="5"/>
        <v>1</v>
      </c>
      <c r="V45" s="46">
        <f t="shared" si="6"/>
        <v>7</v>
      </c>
      <c r="W45" s="30">
        <f t="shared" si="9"/>
        <v>41</v>
      </c>
    </row>
    <row r="46">
      <c r="A46" s="30">
        <f t="shared" si="7"/>
        <v>42</v>
      </c>
      <c r="B46" s="28" t="s">
        <v>72</v>
      </c>
      <c r="C46" s="31">
        <v>13.0</v>
      </c>
      <c r="D46" s="31">
        <v>0.0</v>
      </c>
      <c r="E46" s="36">
        <f t="shared" si="2"/>
        <v>0</v>
      </c>
      <c r="F46" s="102">
        <v>3.0</v>
      </c>
      <c r="G46" s="46">
        <v>0.0</v>
      </c>
      <c r="H46" s="47">
        <v>9.0</v>
      </c>
      <c r="I46" s="46">
        <v>0.0</v>
      </c>
      <c r="J46" s="46">
        <v>0.0</v>
      </c>
      <c r="K46" s="46">
        <v>0.0</v>
      </c>
      <c r="L46" s="103">
        <v>9.0</v>
      </c>
      <c r="M46" s="46">
        <v>0.0</v>
      </c>
      <c r="N46" s="31">
        <f t="shared" ref="N46:O46" si="48">C46+L46</f>
        <v>22</v>
      </c>
      <c r="O46" s="31">
        <f t="shared" si="48"/>
        <v>0</v>
      </c>
      <c r="P46" s="45" t="s">
        <v>58</v>
      </c>
      <c r="Q46" s="45" t="s">
        <v>58</v>
      </c>
      <c r="R46" s="45"/>
      <c r="S46" s="46">
        <f t="shared" si="4"/>
        <v>1</v>
      </c>
      <c r="T46" s="46"/>
      <c r="U46" s="46">
        <f t="shared" si="5"/>
        <v>1</v>
      </c>
      <c r="V46" s="46">
        <f t="shared" si="6"/>
        <v>7</v>
      </c>
      <c r="W46" s="30">
        <f t="shared" si="9"/>
        <v>42</v>
      </c>
    </row>
    <row r="47">
      <c r="A47" s="30">
        <f t="shared" si="7"/>
        <v>43</v>
      </c>
      <c r="B47" s="28" t="s">
        <v>101</v>
      </c>
      <c r="C47" s="31">
        <v>13.0</v>
      </c>
      <c r="D47" s="31">
        <v>0.0</v>
      </c>
      <c r="E47" s="36">
        <f t="shared" si="2"/>
        <v>0</v>
      </c>
      <c r="F47" s="102">
        <v>1.0</v>
      </c>
      <c r="G47" s="46">
        <v>7.0</v>
      </c>
      <c r="H47" s="47">
        <v>0.0</v>
      </c>
      <c r="I47" s="46">
        <v>6.0</v>
      </c>
      <c r="J47" s="46">
        <v>6.0</v>
      </c>
      <c r="K47" s="46">
        <v>6.0</v>
      </c>
      <c r="L47" s="103">
        <v>18.0</v>
      </c>
      <c r="M47" s="46">
        <v>3.0</v>
      </c>
      <c r="N47" s="31">
        <f t="shared" ref="N47:O47" si="49">C47+L47</f>
        <v>31</v>
      </c>
      <c r="O47" s="31">
        <f t="shared" si="49"/>
        <v>3</v>
      </c>
      <c r="P47" s="45" t="s">
        <v>58</v>
      </c>
      <c r="Q47" s="45" t="s">
        <v>58</v>
      </c>
      <c r="R47" s="45"/>
      <c r="S47" s="46">
        <f t="shared" si="4"/>
        <v>1</v>
      </c>
      <c r="T47" s="46"/>
      <c r="U47" s="46">
        <f t="shared" si="5"/>
        <v>0</v>
      </c>
      <c r="V47" s="46">
        <f t="shared" si="6"/>
        <v>10</v>
      </c>
      <c r="W47" s="30">
        <f t="shared" si="9"/>
        <v>43</v>
      </c>
    </row>
    <row r="48">
      <c r="A48" s="30">
        <f t="shared" si="7"/>
        <v>44</v>
      </c>
      <c r="B48" s="43" t="s">
        <v>61</v>
      </c>
      <c r="C48" s="47">
        <v>12.0</v>
      </c>
      <c r="D48" s="31">
        <v>2.0</v>
      </c>
      <c r="E48" s="36">
        <f t="shared" si="2"/>
        <v>6</v>
      </c>
      <c r="F48" s="102">
        <v>1.0</v>
      </c>
      <c r="G48" s="46">
        <v>8.0</v>
      </c>
      <c r="H48" s="47">
        <v>0.0</v>
      </c>
      <c r="I48" s="46">
        <v>3.0</v>
      </c>
      <c r="J48" s="46">
        <v>3.0</v>
      </c>
      <c r="K48" s="46">
        <v>2.0</v>
      </c>
      <c r="L48" s="103">
        <v>8.0</v>
      </c>
      <c r="M48" s="46">
        <v>0.0</v>
      </c>
      <c r="N48" s="47">
        <f t="shared" ref="N48:O48" si="50">C48+L48</f>
        <v>20</v>
      </c>
      <c r="O48" s="31">
        <f t="shared" si="50"/>
        <v>2</v>
      </c>
      <c r="P48" s="45" t="s">
        <v>58</v>
      </c>
      <c r="Q48" s="45" t="s">
        <v>58</v>
      </c>
      <c r="R48" s="45"/>
      <c r="S48" s="46">
        <f t="shared" si="4"/>
        <v>0</v>
      </c>
      <c r="T48" s="46"/>
      <c r="U48" s="46">
        <f t="shared" si="5"/>
        <v>0</v>
      </c>
      <c r="V48" s="46">
        <f t="shared" si="6"/>
        <v>12</v>
      </c>
      <c r="W48" s="30">
        <f t="shared" si="9"/>
        <v>44</v>
      </c>
    </row>
    <row r="49">
      <c r="A49" s="30">
        <f t="shared" si="7"/>
        <v>45</v>
      </c>
      <c r="B49" s="43" t="s">
        <v>111</v>
      </c>
      <c r="C49" s="47">
        <v>12.0</v>
      </c>
      <c r="D49" s="31">
        <v>2.0</v>
      </c>
      <c r="E49" s="36">
        <f t="shared" si="2"/>
        <v>6</v>
      </c>
      <c r="F49" s="102">
        <v>1.0</v>
      </c>
      <c r="G49" s="46">
        <v>8.0</v>
      </c>
      <c r="H49" s="47">
        <v>0.0</v>
      </c>
      <c r="I49" s="46">
        <v>6.0</v>
      </c>
      <c r="J49" s="46">
        <v>6.0</v>
      </c>
      <c r="K49" s="46">
        <v>2.0</v>
      </c>
      <c r="L49" s="103">
        <v>14.0</v>
      </c>
      <c r="M49" s="46">
        <v>2.0</v>
      </c>
      <c r="N49" s="47">
        <f t="shared" ref="N49:O49" si="51">C49+L49</f>
        <v>26</v>
      </c>
      <c r="O49" s="31">
        <f t="shared" si="51"/>
        <v>4</v>
      </c>
      <c r="P49" s="45" t="s">
        <v>58</v>
      </c>
      <c r="Q49" s="45" t="s">
        <v>58</v>
      </c>
      <c r="R49" s="45"/>
      <c r="S49" s="46">
        <f t="shared" si="4"/>
        <v>0</v>
      </c>
      <c r="T49" s="46"/>
      <c r="U49" s="46">
        <f t="shared" si="5"/>
        <v>0</v>
      </c>
      <c r="V49" s="46">
        <f t="shared" si="6"/>
        <v>14</v>
      </c>
      <c r="W49" s="30">
        <f t="shared" si="9"/>
        <v>45</v>
      </c>
    </row>
    <row r="50">
      <c r="A50" s="30">
        <f t="shared" si="7"/>
        <v>46</v>
      </c>
      <c r="B50" s="48" t="s">
        <v>82</v>
      </c>
      <c r="C50" s="31">
        <v>12.0</v>
      </c>
      <c r="D50" s="31">
        <v>1.0</v>
      </c>
      <c r="E50" s="36">
        <f t="shared" si="2"/>
        <v>6</v>
      </c>
      <c r="F50" s="102">
        <v>1.0</v>
      </c>
      <c r="G50" s="46">
        <v>8.0</v>
      </c>
      <c r="H50" s="47">
        <v>0.0</v>
      </c>
      <c r="I50" s="46">
        <v>6.0</v>
      </c>
      <c r="J50" s="46">
        <v>3.0</v>
      </c>
      <c r="K50" s="46">
        <v>6.0</v>
      </c>
      <c r="L50" s="103">
        <v>15.0</v>
      </c>
      <c r="M50" s="46">
        <v>2.0</v>
      </c>
      <c r="N50" s="31">
        <f t="shared" ref="N50:O50" si="52">C50+L50</f>
        <v>27</v>
      </c>
      <c r="O50" s="31">
        <f t="shared" si="52"/>
        <v>3</v>
      </c>
      <c r="P50" s="45" t="s">
        <v>58</v>
      </c>
      <c r="Q50" s="45" t="s">
        <v>58</v>
      </c>
      <c r="R50" s="45"/>
      <c r="S50" s="46">
        <f t="shared" si="4"/>
        <v>0</v>
      </c>
      <c r="T50" s="46"/>
      <c r="U50" s="46">
        <f t="shared" si="5"/>
        <v>0</v>
      </c>
      <c r="V50" s="46">
        <f t="shared" si="6"/>
        <v>-39</v>
      </c>
      <c r="W50" s="30">
        <f t="shared" si="9"/>
        <v>46</v>
      </c>
    </row>
    <row r="51">
      <c r="A51" s="30">
        <f t="shared" si="7"/>
        <v>47</v>
      </c>
      <c r="B51" s="43" t="s">
        <v>56</v>
      </c>
      <c r="C51" s="31">
        <v>12.0</v>
      </c>
      <c r="D51" s="31">
        <v>1.0</v>
      </c>
      <c r="E51" s="36">
        <f t="shared" si="2"/>
        <v>6</v>
      </c>
      <c r="F51" s="102">
        <v>1.0</v>
      </c>
      <c r="G51" s="46">
        <v>8.0</v>
      </c>
      <c r="H51" s="47">
        <v>0.0</v>
      </c>
      <c r="I51" s="46">
        <v>3.0</v>
      </c>
      <c r="J51" s="46">
        <v>6.0</v>
      </c>
      <c r="K51" s="46">
        <v>6.0</v>
      </c>
      <c r="L51" s="103">
        <v>15.0</v>
      </c>
      <c r="M51" s="46">
        <v>2.0</v>
      </c>
      <c r="N51" s="31">
        <f t="shared" ref="N51:O51" si="53">C51+L51</f>
        <v>27</v>
      </c>
      <c r="O51" s="31">
        <f t="shared" si="53"/>
        <v>3</v>
      </c>
      <c r="P51" s="45" t="s">
        <v>58</v>
      </c>
      <c r="Q51" s="45" t="s">
        <v>58</v>
      </c>
      <c r="R51" s="45"/>
      <c r="S51" s="46">
        <f t="shared" si="4"/>
        <v>0</v>
      </c>
      <c r="T51" s="46"/>
      <c r="U51" s="46">
        <f t="shared" si="5"/>
        <v>0</v>
      </c>
      <c r="V51" s="46">
        <f t="shared" si="6"/>
        <v>-23</v>
      </c>
      <c r="W51" s="30">
        <f t="shared" si="9"/>
        <v>47</v>
      </c>
    </row>
    <row r="52">
      <c r="A52" s="30">
        <f t="shared" si="7"/>
        <v>48</v>
      </c>
      <c r="B52" s="43" t="s">
        <v>138</v>
      </c>
      <c r="C52" s="47">
        <v>12.0</v>
      </c>
      <c r="D52" s="31">
        <v>1.0</v>
      </c>
      <c r="E52" s="36">
        <f t="shared" si="2"/>
        <v>3</v>
      </c>
      <c r="F52" s="102">
        <v>3.0</v>
      </c>
      <c r="G52" s="46">
        <v>0.0</v>
      </c>
      <c r="H52" s="47">
        <v>9.0</v>
      </c>
      <c r="I52" s="46">
        <v>0.0</v>
      </c>
      <c r="J52" s="46">
        <v>0.0</v>
      </c>
      <c r="K52" s="46">
        <v>0.0</v>
      </c>
      <c r="L52" s="103">
        <v>9.0</v>
      </c>
      <c r="M52" s="46">
        <v>0.0</v>
      </c>
      <c r="N52" s="47">
        <f t="shared" ref="N52:O52" si="54">C52+L52</f>
        <v>21</v>
      </c>
      <c r="O52" s="31">
        <f t="shared" si="54"/>
        <v>1</v>
      </c>
      <c r="P52" s="45" t="s">
        <v>58</v>
      </c>
      <c r="Q52" s="45" t="s">
        <v>58</v>
      </c>
      <c r="R52" s="45"/>
      <c r="S52" s="46">
        <f t="shared" si="4"/>
        <v>0</v>
      </c>
      <c r="T52" s="46"/>
      <c r="U52" s="46">
        <f t="shared" si="5"/>
        <v>1</v>
      </c>
      <c r="V52" s="46">
        <f t="shared" si="6"/>
        <v>12</v>
      </c>
      <c r="W52" s="30">
        <f t="shared" si="9"/>
        <v>48</v>
      </c>
    </row>
    <row r="53">
      <c r="A53" s="30">
        <f t="shared" si="7"/>
        <v>49</v>
      </c>
      <c r="B53" s="43" t="s">
        <v>130</v>
      </c>
      <c r="C53" s="31">
        <v>11.0</v>
      </c>
      <c r="D53" s="31">
        <v>1.0</v>
      </c>
      <c r="E53" s="36">
        <f t="shared" si="2"/>
        <v>2</v>
      </c>
      <c r="F53" s="102">
        <v>3.0</v>
      </c>
      <c r="G53" s="46">
        <v>0.0</v>
      </c>
      <c r="H53" s="47">
        <v>9.0</v>
      </c>
      <c r="I53" s="46">
        <v>0.0</v>
      </c>
      <c r="J53" s="46">
        <v>0.0</v>
      </c>
      <c r="K53" s="46">
        <v>0.0</v>
      </c>
      <c r="L53" s="103">
        <v>9.0</v>
      </c>
      <c r="M53" s="46">
        <v>0.0</v>
      </c>
      <c r="N53" s="31">
        <f t="shared" ref="N53:O53" si="55">C53+L53</f>
        <v>20</v>
      </c>
      <c r="O53" s="31">
        <f t="shared" si="55"/>
        <v>1</v>
      </c>
      <c r="P53" s="45" t="s">
        <v>58</v>
      </c>
      <c r="Q53" s="45" t="s">
        <v>58</v>
      </c>
      <c r="R53" s="45"/>
      <c r="S53" s="46">
        <f t="shared" si="4"/>
        <v>0</v>
      </c>
      <c r="T53" s="46"/>
      <c r="U53" s="46">
        <f t="shared" si="5"/>
        <v>1</v>
      </c>
      <c r="V53" s="46">
        <f t="shared" si="6"/>
        <v>-27</v>
      </c>
      <c r="W53" s="30">
        <f t="shared" si="9"/>
        <v>49</v>
      </c>
    </row>
    <row r="54">
      <c r="A54" s="30">
        <f t="shared" si="7"/>
        <v>50</v>
      </c>
      <c r="B54" s="43" t="s">
        <v>99</v>
      </c>
      <c r="C54" s="31">
        <v>11.0</v>
      </c>
      <c r="D54" s="31">
        <v>1.0</v>
      </c>
      <c r="E54" s="36">
        <f t="shared" si="2"/>
        <v>5.5</v>
      </c>
      <c r="F54" s="102">
        <v>1.0</v>
      </c>
      <c r="G54" s="46">
        <v>10.0</v>
      </c>
      <c r="H54" s="47">
        <v>0.0</v>
      </c>
      <c r="I54" s="46">
        <v>6.0</v>
      </c>
      <c r="J54" s="46">
        <v>6.0</v>
      </c>
      <c r="K54" s="46">
        <v>2.0</v>
      </c>
      <c r="L54" s="103">
        <v>14.0</v>
      </c>
      <c r="M54" s="46">
        <v>1.0</v>
      </c>
      <c r="N54" s="31">
        <f t="shared" ref="N54:O54" si="56">C54+L54</f>
        <v>25</v>
      </c>
      <c r="O54" s="31">
        <f t="shared" si="56"/>
        <v>2</v>
      </c>
      <c r="P54" s="45" t="s">
        <v>58</v>
      </c>
      <c r="Q54" s="45" t="s">
        <v>58</v>
      </c>
      <c r="R54" s="45"/>
      <c r="S54" s="46">
        <f t="shared" si="4"/>
        <v>0</v>
      </c>
      <c r="T54" s="46"/>
      <c r="U54" s="46">
        <f t="shared" si="5"/>
        <v>0</v>
      </c>
      <c r="V54" s="46">
        <f t="shared" si="6"/>
        <v>-19</v>
      </c>
      <c r="W54" s="30">
        <f t="shared" si="9"/>
        <v>50</v>
      </c>
    </row>
    <row r="55">
      <c r="A55" s="30">
        <f t="shared" si="7"/>
        <v>51</v>
      </c>
      <c r="B55" s="43" t="s">
        <v>135</v>
      </c>
      <c r="C55" s="31">
        <v>10.0</v>
      </c>
      <c r="D55" s="31">
        <v>0.0</v>
      </c>
      <c r="E55" s="36">
        <f t="shared" si="2"/>
        <v>5</v>
      </c>
      <c r="F55" s="102">
        <v>1.0</v>
      </c>
      <c r="G55" s="46">
        <v>10.0</v>
      </c>
      <c r="H55" s="47">
        <v>0.0</v>
      </c>
      <c r="I55" s="46">
        <v>2.0</v>
      </c>
      <c r="J55" s="46">
        <v>7.0</v>
      </c>
      <c r="K55" s="46">
        <v>2.0</v>
      </c>
      <c r="L55" s="103">
        <v>11.0</v>
      </c>
      <c r="M55" s="46">
        <v>1.0</v>
      </c>
      <c r="N55" s="31">
        <f t="shared" ref="N55:O55" si="57">C55+L55</f>
        <v>21</v>
      </c>
      <c r="O55" s="31">
        <f t="shared" si="57"/>
        <v>1</v>
      </c>
      <c r="P55" s="45" t="s">
        <v>58</v>
      </c>
      <c r="Q55" s="45" t="s">
        <v>58</v>
      </c>
      <c r="R55" s="45"/>
      <c r="S55" s="46">
        <f t="shared" si="4"/>
        <v>0</v>
      </c>
      <c r="T55" s="46"/>
      <c r="U55" s="46">
        <f t="shared" si="5"/>
        <v>0</v>
      </c>
      <c r="V55" s="46">
        <f t="shared" si="6"/>
        <v>-5</v>
      </c>
      <c r="W55" s="30">
        <f t="shared" si="9"/>
        <v>51</v>
      </c>
    </row>
    <row r="56">
      <c r="A56" s="30">
        <f t="shared" si="7"/>
        <v>52</v>
      </c>
      <c r="B56" s="28" t="s">
        <v>92</v>
      </c>
      <c r="C56" s="31">
        <v>9.0</v>
      </c>
      <c r="D56" s="31">
        <v>1.0</v>
      </c>
      <c r="E56" s="36">
        <f t="shared" si="2"/>
        <v>4.5</v>
      </c>
      <c r="F56" s="102">
        <v>2.0</v>
      </c>
      <c r="G56" s="46">
        <v>10.0</v>
      </c>
      <c r="H56" s="47">
        <v>0.0</v>
      </c>
      <c r="I56" s="46">
        <v>6.0</v>
      </c>
      <c r="J56" s="46">
        <v>7.0</v>
      </c>
      <c r="K56" s="46">
        <v>6.0</v>
      </c>
      <c r="L56" s="103">
        <v>19.0</v>
      </c>
      <c r="M56" s="46">
        <v>3.0</v>
      </c>
      <c r="N56" s="31">
        <f t="shared" ref="N56:O56" si="58">C56+L56</f>
        <v>28</v>
      </c>
      <c r="O56" s="31">
        <f t="shared" si="58"/>
        <v>4</v>
      </c>
      <c r="P56" s="45" t="s">
        <v>58</v>
      </c>
      <c r="Q56" s="45" t="s">
        <v>58</v>
      </c>
      <c r="R56" s="45"/>
      <c r="S56" s="46">
        <f t="shared" si="4"/>
        <v>0</v>
      </c>
      <c r="T56" s="46"/>
      <c r="U56" s="46">
        <f t="shared" si="5"/>
        <v>0</v>
      </c>
      <c r="V56" s="46">
        <f t="shared" si="6"/>
        <v>-34</v>
      </c>
      <c r="W56" s="30">
        <f t="shared" si="9"/>
        <v>52</v>
      </c>
    </row>
    <row r="57">
      <c r="A57" s="30">
        <f t="shared" si="7"/>
        <v>53</v>
      </c>
      <c r="B57" s="43" t="s">
        <v>76</v>
      </c>
      <c r="C57" s="31">
        <v>9.0</v>
      </c>
      <c r="D57" s="31">
        <v>0.0</v>
      </c>
      <c r="E57" s="36">
        <f t="shared" si="2"/>
        <v>0</v>
      </c>
      <c r="F57" s="102">
        <v>3.0</v>
      </c>
      <c r="G57" s="46">
        <v>0.0</v>
      </c>
      <c r="H57" s="47">
        <v>9.0</v>
      </c>
      <c r="I57" s="46">
        <v>0.0</v>
      </c>
      <c r="J57" s="46">
        <v>0.0</v>
      </c>
      <c r="K57" s="46">
        <v>0.0</v>
      </c>
      <c r="L57" s="103">
        <v>9.0</v>
      </c>
      <c r="M57" s="46">
        <v>0.0</v>
      </c>
      <c r="N57" s="31">
        <f t="shared" ref="N57:O57" si="59">C57+L57</f>
        <v>18</v>
      </c>
      <c r="O57" s="31">
        <f t="shared" si="59"/>
        <v>0</v>
      </c>
      <c r="P57" s="45" t="s">
        <v>58</v>
      </c>
      <c r="Q57" s="45" t="s">
        <v>58</v>
      </c>
      <c r="R57" s="45"/>
      <c r="S57" s="46">
        <f t="shared" si="4"/>
        <v>0</v>
      </c>
      <c r="T57" s="46"/>
      <c r="U57" s="46">
        <f t="shared" si="5"/>
        <v>2</v>
      </c>
      <c r="V57" s="46">
        <f t="shared" si="6"/>
        <v>-45</v>
      </c>
      <c r="W57" s="30">
        <f t="shared" si="9"/>
        <v>53</v>
      </c>
    </row>
    <row r="58">
      <c r="A58" s="30">
        <f t="shared" si="7"/>
        <v>54</v>
      </c>
      <c r="B58" s="43" t="s">
        <v>126</v>
      </c>
      <c r="C58" s="31">
        <v>9.0</v>
      </c>
      <c r="D58" s="31">
        <v>0.0</v>
      </c>
      <c r="E58" s="36">
        <f t="shared" si="2"/>
        <v>0</v>
      </c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60">C58+L58</f>
        <v>18</v>
      </c>
      <c r="O58" s="31">
        <f t="shared" si="60"/>
        <v>0</v>
      </c>
      <c r="P58" s="45" t="s">
        <v>58</v>
      </c>
      <c r="Q58" s="45" t="s">
        <v>58</v>
      </c>
      <c r="R58" s="45"/>
      <c r="S58" s="46">
        <f t="shared" si="4"/>
        <v>0</v>
      </c>
      <c r="T58" s="46"/>
      <c r="U58" s="46">
        <f t="shared" si="5"/>
        <v>2</v>
      </c>
      <c r="V58" s="46">
        <f t="shared" si="6"/>
        <v>-26</v>
      </c>
      <c r="W58" s="30">
        <f t="shared" si="9"/>
        <v>54</v>
      </c>
    </row>
    <row r="59">
      <c r="A59" s="30">
        <f t="shared" si="7"/>
        <v>55</v>
      </c>
      <c r="B59" s="28" t="s">
        <v>128</v>
      </c>
      <c r="C59" s="31">
        <v>9.0</v>
      </c>
      <c r="D59" s="31">
        <v>0.0</v>
      </c>
      <c r="E59" s="36">
        <f t="shared" si="2"/>
        <v>0</v>
      </c>
      <c r="F59" s="102">
        <v>3.0</v>
      </c>
      <c r="G59" s="46">
        <v>0.0</v>
      </c>
      <c r="H59" s="47">
        <v>9.0</v>
      </c>
      <c r="I59" s="46">
        <v>0.0</v>
      </c>
      <c r="J59" s="46">
        <v>0.0</v>
      </c>
      <c r="K59" s="46">
        <v>0.0</v>
      </c>
      <c r="L59" s="103">
        <v>9.0</v>
      </c>
      <c r="M59" s="46">
        <v>0.0</v>
      </c>
      <c r="N59" s="31">
        <f t="shared" ref="N59:O59" si="61">C59+L59</f>
        <v>18</v>
      </c>
      <c r="O59" s="31">
        <f t="shared" si="61"/>
        <v>0</v>
      </c>
      <c r="P59" s="45" t="s">
        <v>58</v>
      </c>
      <c r="Q59" s="45" t="s">
        <v>58</v>
      </c>
      <c r="R59" s="45"/>
      <c r="S59" s="46">
        <f t="shared" si="4"/>
        <v>0</v>
      </c>
      <c r="T59" s="46"/>
      <c r="U59" s="46">
        <f t="shared" si="5"/>
        <v>2</v>
      </c>
      <c r="V59" s="46">
        <f t="shared" si="6"/>
        <v>-21</v>
      </c>
      <c r="W59" s="30">
        <f t="shared" si="9"/>
        <v>55</v>
      </c>
    </row>
    <row r="60">
      <c r="A60" s="30">
        <f t="shared" si="7"/>
        <v>56</v>
      </c>
      <c r="B60" s="28" t="s">
        <v>93</v>
      </c>
      <c r="C60" s="31">
        <v>9.0</v>
      </c>
      <c r="D60" s="31">
        <v>0.0</v>
      </c>
      <c r="E60" s="36">
        <f t="shared" si="2"/>
        <v>0</v>
      </c>
      <c r="F60" s="102">
        <v>1.0</v>
      </c>
      <c r="G60" s="46">
        <v>10.0</v>
      </c>
      <c r="H60" s="47">
        <v>0.0</v>
      </c>
      <c r="I60" s="46">
        <v>2.0</v>
      </c>
      <c r="J60" s="46">
        <v>6.0</v>
      </c>
      <c r="K60" s="46">
        <v>6.0</v>
      </c>
      <c r="L60" s="103">
        <v>14.0</v>
      </c>
      <c r="M60" s="46">
        <v>1.0</v>
      </c>
      <c r="N60" s="31">
        <f t="shared" ref="N60:O60" si="62">C60+L60</f>
        <v>23</v>
      </c>
      <c r="O60" s="31">
        <f t="shared" si="62"/>
        <v>1</v>
      </c>
      <c r="P60" s="45" t="s">
        <v>58</v>
      </c>
      <c r="Q60" s="45" t="s">
        <v>58</v>
      </c>
      <c r="R60" s="45"/>
      <c r="S60" s="46">
        <f t="shared" si="4"/>
        <v>0</v>
      </c>
      <c r="T60" s="46"/>
      <c r="U60" s="46">
        <f t="shared" si="5"/>
        <v>1</v>
      </c>
      <c r="V60" s="46">
        <f t="shared" si="6"/>
        <v>-21</v>
      </c>
      <c r="W60" s="30">
        <f t="shared" si="9"/>
        <v>56</v>
      </c>
    </row>
    <row r="61">
      <c r="A61" s="30">
        <f t="shared" si="7"/>
        <v>57</v>
      </c>
      <c r="B61" s="48" t="s">
        <v>103</v>
      </c>
      <c r="C61" s="31">
        <v>9.0</v>
      </c>
      <c r="D61" s="31">
        <v>0.0</v>
      </c>
      <c r="E61" s="36">
        <f t="shared" si="2"/>
        <v>0</v>
      </c>
      <c r="F61" s="102">
        <v>3.0</v>
      </c>
      <c r="G61" s="46">
        <v>0.0</v>
      </c>
      <c r="H61" s="47">
        <v>9.0</v>
      </c>
      <c r="I61" s="46">
        <v>0.0</v>
      </c>
      <c r="J61" s="46">
        <v>0.0</v>
      </c>
      <c r="K61" s="46">
        <v>0.0</v>
      </c>
      <c r="L61" s="103">
        <v>9.0</v>
      </c>
      <c r="M61" s="46">
        <v>0.0</v>
      </c>
      <c r="N61" s="31">
        <f t="shared" ref="N61:O61" si="63">C61+L61</f>
        <v>18</v>
      </c>
      <c r="O61" s="31">
        <f t="shared" si="63"/>
        <v>0</v>
      </c>
      <c r="P61" s="45" t="s">
        <v>58</v>
      </c>
      <c r="Q61" s="45" t="s">
        <v>58</v>
      </c>
      <c r="R61" s="45"/>
      <c r="S61" s="46">
        <f t="shared" si="4"/>
        <v>0</v>
      </c>
      <c r="T61" s="46"/>
      <c r="U61" s="46">
        <f t="shared" si="5"/>
        <v>2</v>
      </c>
      <c r="V61" s="46">
        <f t="shared" si="6"/>
        <v>-14</v>
      </c>
      <c r="W61" s="30">
        <f t="shared" si="9"/>
        <v>57</v>
      </c>
    </row>
    <row r="62">
      <c r="A62" s="30">
        <f t="shared" si="7"/>
        <v>58</v>
      </c>
      <c r="B62" s="28" t="s">
        <v>84</v>
      </c>
      <c r="C62" s="31">
        <v>9.0</v>
      </c>
      <c r="D62" s="31">
        <v>0.0</v>
      </c>
      <c r="E62" s="36">
        <f t="shared" si="2"/>
        <v>0</v>
      </c>
      <c r="F62" s="102">
        <v>1.0</v>
      </c>
      <c r="G62" s="46">
        <v>11.0</v>
      </c>
      <c r="H62" s="47">
        <v>0.0</v>
      </c>
      <c r="I62" s="46">
        <v>6.0</v>
      </c>
      <c r="J62" s="46">
        <v>1.0</v>
      </c>
      <c r="K62" s="46">
        <v>7.0</v>
      </c>
      <c r="L62" s="103">
        <v>14.0</v>
      </c>
      <c r="M62" s="46">
        <v>2.0</v>
      </c>
      <c r="N62" s="31">
        <f t="shared" ref="N62:O62" si="64">C62+L62</f>
        <v>23</v>
      </c>
      <c r="O62" s="31">
        <f t="shared" si="64"/>
        <v>2</v>
      </c>
      <c r="P62" s="45" t="s">
        <v>58</v>
      </c>
      <c r="Q62" s="45" t="s">
        <v>58</v>
      </c>
      <c r="R62" s="45"/>
      <c r="S62" s="46">
        <f t="shared" si="4"/>
        <v>0</v>
      </c>
      <c r="T62" s="46"/>
      <c r="U62" s="46">
        <f t="shared" si="5"/>
        <v>1</v>
      </c>
      <c r="V62" s="46">
        <f t="shared" si="6"/>
        <v>-8</v>
      </c>
      <c r="W62" s="30">
        <f t="shared" si="9"/>
        <v>58</v>
      </c>
    </row>
    <row r="63">
      <c r="A63" s="30">
        <f t="shared" si="7"/>
        <v>59</v>
      </c>
      <c r="B63" s="48" t="s">
        <v>139</v>
      </c>
      <c r="C63" s="31">
        <v>9.0</v>
      </c>
      <c r="D63" s="31">
        <v>0.0</v>
      </c>
      <c r="E63" s="36">
        <f t="shared" si="2"/>
        <v>0</v>
      </c>
      <c r="F63" s="102">
        <v>3.0</v>
      </c>
      <c r="G63" s="46">
        <v>0.0</v>
      </c>
      <c r="H63" s="47">
        <v>9.0</v>
      </c>
      <c r="I63" s="46">
        <v>0.0</v>
      </c>
      <c r="J63" s="46">
        <v>0.0</v>
      </c>
      <c r="K63" s="46">
        <v>0.0</v>
      </c>
      <c r="L63" s="103">
        <v>9.0</v>
      </c>
      <c r="M63" s="46">
        <v>0.0</v>
      </c>
      <c r="N63" s="31">
        <f t="shared" ref="N63:O63" si="65">C63+L63</f>
        <v>18</v>
      </c>
      <c r="O63" s="31">
        <f t="shared" si="65"/>
        <v>0</v>
      </c>
      <c r="P63" s="45" t="s">
        <v>58</v>
      </c>
      <c r="Q63" s="45" t="s">
        <v>58</v>
      </c>
      <c r="R63" s="45"/>
      <c r="S63" s="46">
        <f t="shared" si="4"/>
        <v>0</v>
      </c>
      <c r="T63" s="46"/>
      <c r="U63" s="46">
        <f t="shared" si="5"/>
        <v>2</v>
      </c>
      <c r="V63" s="46">
        <f t="shared" si="6"/>
        <v>-7</v>
      </c>
      <c r="W63" s="30">
        <f t="shared" si="9"/>
        <v>59</v>
      </c>
    </row>
    <row r="64">
      <c r="A64" s="30">
        <f t="shared" si="7"/>
        <v>60</v>
      </c>
      <c r="B64" s="28" t="s">
        <v>102</v>
      </c>
      <c r="C64" s="31">
        <v>9.0</v>
      </c>
      <c r="D64" s="31">
        <v>0.0</v>
      </c>
      <c r="E64" s="36">
        <f t="shared" si="2"/>
        <v>0</v>
      </c>
      <c r="F64" s="102">
        <v>5.0</v>
      </c>
      <c r="G64" s="46">
        <v>0.0</v>
      </c>
      <c r="H64" s="47">
        <v>13.0</v>
      </c>
      <c r="I64" s="46">
        <v>0.0</v>
      </c>
      <c r="J64" s="46">
        <v>0.0</v>
      </c>
      <c r="K64" s="46">
        <v>0.0</v>
      </c>
      <c r="L64" s="103">
        <v>13.0</v>
      </c>
      <c r="M64" s="46">
        <v>0.0</v>
      </c>
      <c r="N64" s="31">
        <f t="shared" ref="N64:O64" si="66">C64+L64</f>
        <v>22</v>
      </c>
      <c r="O64" s="31">
        <f t="shared" si="66"/>
        <v>0</v>
      </c>
      <c r="P64" s="45" t="s">
        <v>58</v>
      </c>
      <c r="Q64" s="45" t="s">
        <v>58</v>
      </c>
      <c r="R64" s="45"/>
      <c r="S64" s="46">
        <f t="shared" si="4"/>
        <v>1</v>
      </c>
      <c r="T64" s="46"/>
      <c r="U64" s="46">
        <f t="shared" si="5"/>
        <v>1</v>
      </c>
      <c r="V64" s="46">
        <f t="shared" si="6"/>
        <v>-6</v>
      </c>
      <c r="W64" s="30">
        <f t="shared" si="9"/>
        <v>60</v>
      </c>
    </row>
    <row r="65">
      <c r="A65" s="30">
        <f t="shared" si="7"/>
        <v>61</v>
      </c>
      <c r="B65" s="43" t="s">
        <v>142</v>
      </c>
      <c r="C65" s="47">
        <v>9.0</v>
      </c>
      <c r="D65" s="31">
        <v>0.0</v>
      </c>
      <c r="E65" s="36">
        <f t="shared" si="2"/>
        <v>0</v>
      </c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47">
        <f t="shared" ref="N65:O65" si="67">C65+L65</f>
        <v>18</v>
      </c>
      <c r="O65" s="31">
        <f t="shared" si="67"/>
        <v>0</v>
      </c>
      <c r="P65" s="45" t="s">
        <v>58</v>
      </c>
      <c r="Q65" s="45" t="s">
        <v>58</v>
      </c>
      <c r="R65" s="45"/>
      <c r="S65" s="46">
        <f t="shared" si="4"/>
        <v>0</v>
      </c>
      <c r="T65" s="46"/>
      <c r="U65" s="46">
        <f t="shared" si="5"/>
        <v>2</v>
      </c>
      <c r="V65" s="46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43" t="s">
        <v>78</v>
      </c>
      <c r="C66" s="47">
        <v>9.0</v>
      </c>
      <c r="D66" s="31">
        <v>0.0</v>
      </c>
      <c r="E66" s="36">
        <f t="shared" si="2"/>
        <v>0</v>
      </c>
      <c r="F66" s="102">
        <v>1.0</v>
      </c>
      <c r="G66" s="46">
        <v>11.0</v>
      </c>
      <c r="H66" s="47">
        <v>0.0</v>
      </c>
      <c r="I66" s="46">
        <v>0.0</v>
      </c>
      <c r="J66" s="46">
        <v>1.0</v>
      </c>
      <c r="K66" s="46">
        <v>6.0</v>
      </c>
      <c r="L66" s="103">
        <v>7.0</v>
      </c>
      <c r="M66" s="46">
        <v>0.0</v>
      </c>
      <c r="N66" s="47">
        <f t="shared" ref="N66:O66" si="68">C66+L66</f>
        <v>16</v>
      </c>
      <c r="O66" s="31">
        <f t="shared" si="68"/>
        <v>0</v>
      </c>
      <c r="P66" s="45" t="s">
        <v>58</v>
      </c>
      <c r="Q66" s="45" t="s">
        <v>58</v>
      </c>
      <c r="R66" s="45"/>
      <c r="S66" s="46">
        <f t="shared" si="4"/>
        <v>0</v>
      </c>
      <c r="T66" s="46"/>
      <c r="U66" s="46">
        <f t="shared" si="5"/>
        <v>1</v>
      </c>
      <c r="V66" s="46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43" t="s">
        <v>118</v>
      </c>
      <c r="C67" s="47">
        <v>9.0</v>
      </c>
      <c r="D67" s="31">
        <v>0.0</v>
      </c>
      <c r="E67" s="36">
        <f t="shared" si="2"/>
        <v>0</v>
      </c>
      <c r="F67" s="102">
        <v>4.0</v>
      </c>
      <c r="G67" s="46">
        <v>0.0</v>
      </c>
      <c r="H67" s="47">
        <v>9.0</v>
      </c>
      <c r="I67" s="46">
        <v>0.0</v>
      </c>
      <c r="J67" s="46">
        <v>0.0</v>
      </c>
      <c r="K67" s="46">
        <v>0.0</v>
      </c>
      <c r="L67" s="103">
        <v>9.0</v>
      </c>
      <c r="M67" s="46">
        <v>0.0</v>
      </c>
      <c r="N67" s="47">
        <f t="shared" ref="N67:O67" si="69">C67+L67</f>
        <v>18</v>
      </c>
      <c r="O67" s="31">
        <f t="shared" si="69"/>
        <v>0</v>
      </c>
      <c r="P67" s="45" t="s">
        <v>58</v>
      </c>
      <c r="Q67" s="45" t="s">
        <v>58</v>
      </c>
      <c r="R67" s="45"/>
      <c r="S67" s="46">
        <f t="shared" si="4"/>
        <v>0</v>
      </c>
      <c r="T67" s="46"/>
      <c r="U67" s="46">
        <f t="shared" si="5"/>
        <v>1</v>
      </c>
      <c r="V67" s="46">
        <f t="shared" si="6"/>
        <v>1</v>
      </c>
      <c r="W67" s="30">
        <f t="shared" si="9"/>
        <v>63</v>
      </c>
    </row>
    <row r="68">
      <c r="A68" s="30">
        <f t="shared" si="7"/>
        <v>64</v>
      </c>
      <c r="B68" s="43" t="s">
        <v>88</v>
      </c>
      <c r="C68" s="47">
        <v>9.0</v>
      </c>
      <c r="D68" s="31">
        <v>0.0</v>
      </c>
      <c r="E68" s="36">
        <f t="shared" si="2"/>
        <v>4.5</v>
      </c>
      <c r="F68" s="102">
        <v>1.0</v>
      </c>
      <c r="G68" s="46">
        <v>11.0</v>
      </c>
      <c r="H68" s="47">
        <v>0.0</v>
      </c>
      <c r="I68" s="46">
        <v>6.0</v>
      </c>
      <c r="J68" s="46">
        <v>6.0</v>
      </c>
      <c r="K68" s="46">
        <v>6.0</v>
      </c>
      <c r="L68" s="103">
        <v>18.0</v>
      </c>
      <c r="M68" s="46">
        <v>2.0</v>
      </c>
      <c r="N68" s="47">
        <f t="shared" ref="N68:O68" si="70">C68+L68</f>
        <v>27</v>
      </c>
      <c r="O68" s="31">
        <f t="shared" si="70"/>
        <v>2</v>
      </c>
      <c r="P68" s="45" t="s">
        <v>58</v>
      </c>
      <c r="Q68" s="45" t="s">
        <v>58</v>
      </c>
      <c r="R68" s="45"/>
      <c r="S68" s="46"/>
      <c r="T68" s="46"/>
      <c r="U68" s="46"/>
      <c r="V68" s="46"/>
      <c r="W68" s="30">
        <f t="shared" si="9"/>
        <v>64</v>
      </c>
    </row>
    <row r="69">
      <c r="A69" s="30">
        <f t="shared" si="7"/>
        <v>65</v>
      </c>
      <c r="B69" s="43" t="s">
        <v>100</v>
      </c>
      <c r="C69" s="31">
        <v>4.0</v>
      </c>
      <c r="D69" s="31">
        <v>0.0</v>
      </c>
      <c r="E69" s="36">
        <f t="shared" si="2"/>
        <v>2</v>
      </c>
      <c r="F69" s="102">
        <v>1.0</v>
      </c>
      <c r="G69" s="46">
        <v>11.0</v>
      </c>
      <c r="H69" s="47">
        <v>0.0</v>
      </c>
      <c r="I69" s="46">
        <v>0.0</v>
      </c>
      <c r="J69" s="46">
        <v>6.0</v>
      </c>
      <c r="K69" s="46">
        <v>7.0</v>
      </c>
      <c r="L69" s="103">
        <v>13.0</v>
      </c>
      <c r="M69" s="46">
        <v>2.0</v>
      </c>
      <c r="N69" s="31">
        <f t="shared" ref="N69:O69" si="71">C69+L69</f>
        <v>17</v>
      </c>
      <c r="O69" s="31">
        <f t="shared" si="71"/>
        <v>2</v>
      </c>
      <c r="P69" s="45" t="s">
        <v>58</v>
      </c>
      <c r="Q69" s="45" t="s">
        <v>58</v>
      </c>
      <c r="R69" s="45"/>
      <c r="S69" s="46">
        <f t="array" ref="S69">if(H69=13,1,0)+VLOOKUP(B69,indirect($AB$2&amp;"!B:T"),18,false)</f>
        <v>0</v>
      </c>
      <c r="T69" s="46"/>
      <c r="U69" s="46">
        <f t="array" ref="U69">if(H69=9,1,0)+VLOOKUP(B69,indirect($AB$2&amp;"!B:U"),20,false)</f>
        <v>0</v>
      </c>
      <c r="V69" s="46">
        <f t="array" ref="V69">VLOOKUP(B69,indirect($AB$2&amp;"!B$5:w$70"),22,false)-A69</f>
        <v>-10</v>
      </c>
      <c r="W69" s="30">
        <f>W67+1</f>
        <v>64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desc"",0)"),"Alejandro Mejia")</f>
        <v>Alejandro Mejia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IFERROR(__xludf.DUMMYFUNCTION("""COMPUTED_VALUE"""),1.0)</f>
        <v>1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IFERROR(__xludf.DUMMYFUNCTION("""COMPUTED_VALUE"""),"Basudev Thoppai Vidyasankar")</f>
        <v>Basudev Thoppai Vidyasankar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IFERROR(__xludf.DUMMYFUNCTION("""COMPUTED_VALUE"""),2.0)</f>
        <v>2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IFERROR(__xludf.DUMMYFUNCTION("""COMPUTED_VALUE"""),"Rajasekar Ramasamy")</f>
        <v>Rajasekar Ramasamy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IFERROR(__xludf.DUMMYFUNCTION("""COMPUTED_VALUE"""),6.0)</f>
        <v>6</v>
      </c>
      <c r="F78" s="1"/>
    </row>
    <row r="79">
      <c r="A79" s="1"/>
      <c r="B79" s="43" t="str">
        <f>IFERROR(__xludf.DUMMYFUNCTION("""COMPUTED_VALUE"""),"Jonathan Phan")</f>
        <v>Jonathan Phan</v>
      </c>
      <c r="C79" s="84">
        <f>IFERROR(__xludf.DUMMYFUNCTION("""COMPUTED_VALUE"""),19.0)</f>
        <v>19</v>
      </c>
      <c r="D79" s="84">
        <f>IFERROR(__xludf.DUMMYFUNCTION("""COMPUTED_VALUE"""),3.0)</f>
        <v>3</v>
      </c>
      <c r="E79" s="84">
        <f>IFERROR(__xludf.DUMMYFUNCTION("""COMPUTED_VALUE"""),10.0)</f>
        <v>10</v>
      </c>
      <c r="F79" s="1"/>
      <c r="P79" s="33" t="s">
        <v>172</v>
      </c>
    </row>
    <row r="80">
      <c r="A80" s="1"/>
      <c r="B80" s="43" t="str">
        <f>IFERROR(__xludf.DUMMYFUNCTION("""COMPUTED_VALUE"""),"Mauricio Palacios")</f>
        <v>Mauricio Palacios</v>
      </c>
      <c r="C80" s="84">
        <f>IFERROR(__xludf.DUMMYFUNCTION("""COMPUTED_VALUE"""),19.0)</f>
        <v>19</v>
      </c>
      <c r="D80" s="84">
        <f>IFERROR(__xludf.DUMMYFUNCTION("""COMPUTED_VALUE"""),2.0)</f>
        <v>2</v>
      </c>
      <c r="E80" s="84">
        <f>IFERROR(__xludf.DUMMYFUNCTION("""COMPUTED_VALUE"""),4.0)</f>
        <v>4</v>
      </c>
      <c r="F80" s="1"/>
      <c r="L80" s="33"/>
    </row>
    <row r="81">
      <c r="A81" s="1"/>
      <c r="B81" s="43" t="str">
        <f>IFERROR(__xludf.DUMMYFUNCTION("""COMPUTED_VALUE"""),"Ethan Gu")</f>
        <v>Ethan Gu</v>
      </c>
      <c r="C81" s="84">
        <f>IFERROR(__xludf.DUMMYFUNCTION("""COMPUTED_VALUE"""),19.0)</f>
        <v>19</v>
      </c>
      <c r="D81" s="84">
        <f>IFERROR(__xludf.DUMMYFUNCTION("""COMPUTED_VALUE"""),2.0)</f>
        <v>2</v>
      </c>
      <c r="E81" s="84">
        <f>IFERROR(__xludf.DUMMYFUNCTION("""COMPUTED_VALUE"""),4.0)</f>
        <v>4</v>
      </c>
      <c r="F81" s="1"/>
      <c r="L81" s="33"/>
    </row>
    <row r="82">
      <c r="A82" s="1"/>
      <c r="B82" s="43" t="str">
        <f>IFERROR(__xludf.DUMMYFUNCTION("""COMPUTED_VALUE"""),"Manish Anand")</f>
        <v>Manish Anand</v>
      </c>
      <c r="C82" s="84">
        <f>IFERROR(__xludf.DUMMYFUNCTION("""COMPUTED_VALUE"""),18.0)</f>
        <v>18</v>
      </c>
      <c r="D82" s="84">
        <f>IFERROR(__xludf.DUMMYFUNCTION("""COMPUTED_VALUE"""),3.0)</f>
        <v>3</v>
      </c>
      <c r="E82" s="84">
        <f>IFERROR(__xludf.DUMMYFUNCTION("""COMPUTED_VALUE"""),7.0)</f>
        <v>7</v>
      </c>
      <c r="F82" s="1"/>
      <c r="L82" s="33"/>
    </row>
    <row r="83">
      <c r="A83" s="1"/>
      <c r="B83" s="43" t="str">
        <f>IFERROR(__xludf.DUMMYFUNCTION("""COMPUTED_VALUE"""),"Pulkit Mathur")</f>
        <v>Pulkit Mathur</v>
      </c>
      <c r="C83" s="84">
        <f>IFERROR(__xludf.DUMMYFUNCTION("""COMPUTED_VALUE"""),18.0)</f>
        <v>18</v>
      </c>
      <c r="D83" s="84">
        <f>IFERROR(__xludf.DUMMYFUNCTION("""COMPUTED_VALUE"""),2.0)</f>
        <v>2</v>
      </c>
      <c r="E83" s="84">
        <f>IFERROR(__xludf.DUMMYFUNCTION("""COMPUTED_VALUE"""),9.0)</f>
        <v>9</v>
      </c>
      <c r="F83" s="1"/>
      <c r="L83" s="33"/>
    </row>
    <row r="84">
      <c r="A84" s="1"/>
      <c r="B84" s="43" t="str">
        <f>IFERROR(__xludf.DUMMYFUNCTION("""COMPUTED_VALUE"""),"James Phan")</f>
        <v>James Phan</v>
      </c>
      <c r="C84" s="84">
        <f>IFERROR(__xludf.DUMMYFUNCTION("""COMPUTED_VALUE"""),18.0)</f>
        <v>18</v>
      </c>
      <c r="D84" s="84">
        <f>IFERROR(__xludf.DUMMYFUNCTION("""COMPUTED_VALUE"""),2.0)</f>
        <v>2</v>
      </c>
      <c r="E84" s="84">
        <f>IFERROR(__xludf.DUMMYFUNCTION("""COMPUTED_VALUE"""),5.0)</f>
        <v>5</v>
      </c>
      <c r="F84" s="1"/>
    </row>
    <row r="85">
      <c r="A85" s="1"/>
      <c r="B85" s="43" t="str">
        <f>IFERROR(__xludf.DUMMYFUNCTION("""COMPUTED_VALUE"""),"Sandeep Kamalon")</f>
        <v>Sandeep Kamalon</v>
      </c>
      <c r="C85" s="84">
        <f>IFERROR(__xludf.DUMMYFUNCTION("""COMPUTED_VALUE"""),18.0)</f>
        <v>18</v>
      </c>
      <c r="D85" s="84">
        <f>IFERROR(__xludf.DUMMYFUNCTION("""COMPUTED_VALUE"""),2.0)</f>
        <v>2</v>
      </c>
      <c r="E85" s="84">
        <f>IFERROR(__xludf.DUMMYFUNCTION("""COMPUTED_VALUE"""),11.0)</f>
        <v>11</v>
      </c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10"")"),"Basudev Thoppai Vidyasankar")</f>
        <v>Basudev Thoppai Vidyasankar</v>
      </c>
      <c r="C90" s="84">
        <f>IFERROR(__xludf.DUMMYFUNCTION("""COMPUTED_VALUE"""),49.0)</f>
        <v>49</v>
      </c>
      <c r="D90" s="84">
        <f t="shared" ref="D90:D99" si="72">VLOOKUP(B90,indirect($AB$2&amp;"!B$5:w$70"),22, false)</f>
        <v>58</v>
      </c>
      <c r="E90" s="84">
        <f t="shared" ref="E90:E99" si="73">VLOOKUP(B90,B$5:W$69,22, false)</f>
        <v>9</v>
      </c>
      <c r="F90" s="84">
        <f t="shared" ref="F90:F99" si="74">VLOOKUP(B90,indirect($AB$2&amp;"!B$5:U$70"),11, false)</f>
        <v>16</v>
      </c>
      <c r="G90" s="84">
        <f t="shared" ref="G90:G99" si="75">VLOOKUP(B90,indirect($AB$2&amp;"!B$5:U$70"),6, false)</f>
        <v>3</v>
      </c>
      <c r="L90" s="84" t="str">
        <f t="shared" ref="L90:L99" si="76">if(D90-E90=C90,"ok","Error")</f>
        <v>ok</v>
      </c>
    </row>
    <row r="91">
      <c r="A91" s="1"/>
      <c r="B91" s="43" t="str">
        <f>IFERROR(__xludf.DUMMYFUNCTION("""COMPUTED_VALUE"""),"Tina Hanson")</f>
        <v>Tina Hanson</v>
      </c>
      <c r="C91" s="84">
        <f>IFERROR(__xludf.DUMMYFUNCTION("""COMPUTED_VALUE"""),45.0)</f>
        <v>45</v>
      </c>
      <c r="D91" s="84">
        <f t="shared" si="72"/>
        <v>65</v>
      </c>
      <c r="E91" s="84">
        <f t="shared" si="73"/>
        <v>20</v>
      </c>
      <c r="F91" s="84">
        <f t="shared" si="74"/>
        <v>13</v>
      </c>
      <c r="G91" s="84">
        <f t="shared" si="75"/>
        <v>3</v>
      </c>
      <c r="L91" s="84" t="str">
        <f t="shared" si="76"/>
        <v>ok</v>
      </c>
    </row>
    <row r="92">
      <c r="A92" s="1"/>
      <c r="B92" s="43" t="str">
        <f>IFERROR(__xludf.DUMMYFUNCTION("""COMPUTED_VALUE"""),"Leigh-Anh Nguyen")</f>
        <v>Leigh-Anh Nguyen</v>
      </c>
      <c r="C92" s="84">
        <f>IFERROR(__xludf.DUMMYFUNCTION("""COMPUTED_VALUE"""),44.0)</f>
        <v>44</v>
      </c>
      <c r="D92" s="84">
        <f t="shared" si="72"/>
        <v>51</v>
      </c>
      <c r="E92" s="84">
        <f t="shared" si="73"/>
        <v>7</v>
      </c>
      <c r="F92" s="84">
        <f t="shared" si="74"/>
        <v>18</v>
      </c>
      <c r="G92" s="84">
        <f t="shared" si="75"/>
        <v>4</v>
      </c>
      <c r="L92" s="84" t="str">
        <f t="shared" si="76"/>
        <v>ok</v>
      </c>
      <c r="Q92" s="90"/>
    </row>
    <row r="93">
      <c r="A93" s="1"/>
      <c r="B93" s="43" t="str">
        <f>IFERROR(__xludf.DUMMYFUNCTION("""COMPUTED_VALUE"""),"Ethan Gu")</f>
        <v>Ethan Gu</v>
      </c>
      <c r="C93" s="84">
        <f>IFERROR(__xludf.DUMMYFUNCTION("""COMPUTED_VALUE"""),39.0)</f>
        <v>39</v>
      </c>
      <c r="D93" s="84">
        <f t="shared" si="72"/>
        <v>57</v>
      </c>
      <c r="E93" s="84">
        <f t="shared" si="73"/>
        <v>18</v>
      </c>
      <c r="F93" s="84">
        <f t="shared" si="74"/>
        <v>13</v>
      </c>
      <c r="G93" s="84">
        <f t="shared" si="75"/>
        <v>8</v>
      </c>
      <c r="L93" s="84" t="str">
        <f t="shared" si="76"/>
        <v>ok</v>
      </c>
    </row>
    <row r="94">
      <c r="A94" s="1"/>
      <c r="B94" s="43" t="str">
        <f>IFERROR(__xludf.DUMMYFUNCTION("""COMPUTED_VALUE"""),"Saravanan Veerapandian")</f>
        <v>Saravanan Veerapandian</v>
      </c>
      <c r="C94" s="84">
        <f>IFERROR(__xludf.DUMMYFUNCTION("""COMPUTED_VALUE"""),36.0)</f>
        <v>36</v>
      </c>
      <c r="D94" s="84">
        <f t="shared" si="72"/>
        <v>44</v>
      </c>
      <c r="E94" s="84">
        <f t="shared" si="73"/>
        <v>8</v>
      </c>
      <c r="F94" s="84">
        <f t="shared" si="74"/>
        <v>16</v>
      </c>
      <c r="G94" s="84">
        <f t="shared" si="75"/>
        <v>4</v>
      </c>
      <c r="L94" s="84" t="str">
        <f t="shared" si="76"/>
        <v>ok</v>
      </c>
    </row>
    <row r="95">
      <c r="A95" s="1"/>
      <c r="B95" s="43" t="str">
        <f>IFERROR(__xludf.DUMMYFUNCTION("""COMPUTED_VALUE"""),"Wayne Liu")</f>
        <v>Wayne Liu</v>
      </c>
      <c r="C95" s="84">
        <f>IFERROR(__xludf.DUMMYFUNCTION("""COMPUTED_VALUE"""),27.0)</f>
        <v>27</v>
      </c>
      <c r="D95" s="84">
        <f t="shared" si="72"/>
        <v>30</v>
      </c>
      <c r="E95" s="84">
        <f t="shared" si="73"/>
        <v>3</v>
      </c>
      <c r="F95" s="84">
        <f t="shared" si="74"/>
        <v>19</v>
      </c>
      <c r="G95" s="84">
        <f t="shared" si="75"/>
        <v>7</v>
      </c>
      <c r="L95" s="84" t="str">
        <f t="shared" si="76"/>
        <v>ok</v>
      </c>
    </row>
    <row r="96">
      <c r="A96" s="1"/>
      <c r="B96" s="43" t="str">
        <f>IFERROR(__xludf.DUMMYFUNCTION("""COMPUTED_VALUE"""),"Kumar Palakeel")</f>
        <v>Kumar Palakeel</v>
      </c>
      <c r="C96" s="84">
        <f>IFERROR(__xludf.DUMMYFUNCTION("""COMPUTED_VALUE"""),25.0)</f>
        <v>25</v>
      </c>
      <c r="D96" s="84">
        <f t="shared" si="72"/>
        <v>37</v>
      </c>
      <c r="E96" s="84">
        <f t="shared" si="73"/>
        <v>12</v>
      </c>
      <c r="F96" s="84">
        <f t="shared" si="74"/>
        <v>15</v>
      </c>
      <c r="G96" s="84">
        <f t="shared" si="75"/>
        <v>7</v>
      </c>
      <c r="L96" s="84" t="str">
        <f t="shared" si="76"/>
        <v>ok</v>
      </c>
    </row>
    <row r="97">
      <c r="A97" s="1"/>
      <c r="B97" s="43" t="str">
        <f>IFERROR(__xludf.DUMMYFUNCTION("""COMPUTED_VALUE"""),"Sandy Weyant")</f>
        <v>Sandy Weyant</v>
      </c>
      <c r="C97" s="84">
        <f>IFERROR(__xludf.DUMMYFUNCTION("""COMPUTED_VALUE"""),23.0)</f>
        <v>23</v>
      </c>
      <c r="D97" s="84">
        <f t="shared" si="72"/>
        <v>36</v>
      </c>
      <c r="E97" s="84">
        <f t="shared" si="73"/>
        <v>13</v>
      </c>
      <c r="F97" s="84">
        <f t="shared" si="74"/>
        <v>14</v>
      </c>
      <c r="G97" s="84">
        <f t="shared" si="75"/>
        <v>5</v>
      </c>
      <c r="L97" s="84" t="str">
        <f t="shared" si="76"/>
        <v>ok</v>
      </c>
    </row>
    <row r="98">
      <c r="A98" s="1"/>
      <c r="B98" s="43" t="str">
        <f>IFERROR(__xludf.DUMMYFUNCTION("""COMPUTED_VALUE"""),"Trish Newlin")</f>
        <v>Trish Newlin</v>
      </c>
      <c r="C98" s="84">
        <f>IFERROR(__xludf.DUMMYFUNCTION("""COMPUTED_VALUE"""),23.0)</f>
        <v>23</v>
      </c>
      <c r="D98" s="84">
        <f t="shared" si="72"/>
        <v>40</v>
      </c>
      <c r="E98" s="84">
        <f t="shared" si="73"/>
        <v>17</v>
      </c>
      <c r="F98" s="84">
        <f t="shared" si="74"/>
        <v>13</v>
      </c>
      <c r="G98" s="84">
        <f t="shared" si="75"/>
        <v>6</v>
      </c>
      <c r="L98" s="84" t="str">
        <f t="shared" si="76"/>
        <v>ok</v>
      </c>
    </row>
    <row r="99">
      <c r="A99" s="1"/>
      <c r="B99" s="43" t="str">
        <f>IFERROR(__xludf.DUMMYFUNCTION("""COMPUTED_VALUE"""),"Lloyd Sagar")</f>
        <v>Lloyd Sagar</v>
      </c>
      <c r="C99" s="84">
        <f>IFERROR(__xludf.DUMMYFUNCTION("""COMPUTED_VALUE"""),22.0)</f>
        <v>22</v>
      </c>
      <c r="D99" s="84">
        <f t="shared" si="72"/>
        <v>32</v>
      </c>
      <c r="E99" s="84">
        <f t="shared" si="73"/>
        <v>10</v>
      </c>
      <c r="F99" s="84">
        <f t="shared" si="74"/>
        <v>15</v>
      </c>
      <c r="G99" s="84">
        <f t="shared" si="75"/>
        <v>6</v>
      </c>
      <c r="L99" s="84" t="str">
        <f t="shared" si="76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10"")"),"Sandeep Kamalon")</f>
        <v>Sandeep Kamalon</v>
      </c>
      <c r="C103" s="84"/>
      <c r="D103" s="84" t="str">
        <f t="shared" ref="D103:D112" si="77">VLOOKUP(B103,indirect($AB$2&amp;"!B$5:w$70"),22, false)</f>
        <v>#N/A</v>
      </c>
      <c r="E103" s="84">
        <f t="shared" ref="E103:E112" si="78">VLOOKUP(B103,B$5:W$69,22, false)</f>
        <v>64</v>
      </c>
      <c r="F103" s="84" t="str">
        <f t="shared" ref="F103:F112" si="79">VLOOKUP(B103,indirect($AB$2&amp;"!B$5:U$70"),11, false)</f>
        <v>#N/A</v>
      </c>
      <c r="G103" s="84" t="str">
        <f t="shared" ref="G103:G112" si="80">VLOOKUP(B103,indirect($AB$2&amp;"!B$5:U$70"),6, false)</f>
        <v>#N/A</v>
      </c>
      <c r="L103" s="84" t="str">
        <f t="shared" ref="L103:L112" si="81">if(D103-E103=C103,"ok","Error")</f>
        <v>#N/A</v>
      </c>
    </row>
    <row r="104">
      <c r="A104" s="1"/>
      <c r="B104" s="43" t="str">
        <f>IFERROR(__xludf.DUMMYFUNCTION("""COMPUTED_VALUE"""),"Frank Moon")</f>
        <v>Frank Moon</v>
      </c>
      <c r="C104" s="84">
        <f>IFERROR(__xludf.DUMMYFUNCTION("""COMPUTED_VALUE"""),-45.0)</f>
        <v>-45</v>
      </c>
      <c r="D104" s="84">
        <f t="shared" si="77"/>
        <v>8</v>
      </c>
      <c r="E104" s="84">
        <f t="shared" si="78"/>
        <v>53</v>
      </c>
      <c r="F104" s="84">
        <f t="shared" si="79"/>
        <v>9</v>
      </c>
      <c r="G104" s="84">
        <f t="shared" si="80"/>
        <v>0</v>
      </c>
      <c r="L104" s="84" t="str">
        <f t="shared" si="81"/>
        <v>ok</v>
      </c>
    </row>
    <row r="105">
      <c r="A105" s="1"/>
      <c r="B105" s="43" t="str">
        <f>IFERROR(__xludf.DUMMYFUNCTION("""COMPUTED_VALUE"""),"Scott Li")</f>
        <v>Scott Li</v>
      </c>
      <c r="C105" s="84">
        <f>IFERROR(__xludf.DUMMYFUNCTION("""COMPUTED_VALUE"""),-39.0)</f>
        <v>-39</v>
      </c>
      <c r="D105" s="84">
        <f t="shared" si="77"/>
        <v>7</v>
      </c>
      <c r="E105" s="84">
        <f t="shared" si="78"/>
        <v>46</v>
      </c>
      <c r="F105" s="84">
        <f t="shared" si="79"/>
        <v>12</v>
      </c>
      <c r="G105" s="84">
        <f t="shared" si="80"/>
        <v>1</v>
      </c>
      <c r="L105" s="84" t="str">
        <f t="shared" si="81"/>
        <v>ok</v>
      </c>
    </row>
    <row r="106">
      <c r="A106" s="1"/>
      <c r="B106" s="43" t="str">
        <f>IFERROR(__xludf.DUMMYFUNCTION("""COMPUTED_VALUE"""),"Jonathan Phan")</f>
        <v>Jonathan Phan</v>
      </c>
      <c r="C106" s="84">
        <f>IFERROR(__xludf.DUMMYFUNCTION("""COMPUTED_VALUE"""),-34.0)</f>
        <v>-34</v>
      </c>
      <c r="D106" s="84">
        <f t="shared" si="77"/>
        <v>18</v>
      </c>
      <c r="E106" s="84">
        <f t="shared" si="78"/>
        <v>52</v>
      </c>
      <c r="F106" s="84">
        <f t="shared" si="79"/>
        <v>9</v>
      </c>
      <c r="G106" s="84">
        <f t="shared" si="80"/>
        <v>1</v>
      </c>
      <c r="L106" s="84" t="str">
        <f t="shared" si="81"/>
        <v>ok</v>
      </c>
    </row>
    <row r="107">
      <c r="A107" s="1"/>
      <c r="B107" s="43" t="str">
        <f>IFERROR(__xludf.DUMMYFUNCTION("""COMPUTED_VALUE"""),"Troy Wong")</f>
        <v>Troy Wong</v>
      </c>
      <c r="C107" s="84">
        <f>IFERROR(__xludf.DUMMYFUNCTION("""COMPUTED_VALUE"""),-27.0)</f>
        <v>-27</v>
      </c>
      <c r="D107" s="84">
        <f t="shared" si="77"/>
        <v>22</v>
      </c>
      <c r="E107" s="84">
        <f t="shared" si="78"/>
        <v>49</v>
      </c>
      <c r="F107" s="84">
        <f t="shared" si="79"/>
        <v>11</v>
      </c>
      <c r="G107" s="84">
        <f t="shared" si="80"/>
        <v>1</v>
      </c>
      <c r="L107" s="84" t="str">
        <f t="shared" si="81"/>
        <v>ok</v>
      </c>
    </row>
    <row r="108">
      <c r="A108" s="1"/>
      <c r="B108" s="43" t="str">
        <f>IFERROR(__xludf.DUMMYFUNCTION("""COMPUTED_VALUE"""),"Luis Hsu")</f>
        <v>Luis Hsu</v>
      </c>
      <c r="C108" s="84">
        <f>IFERROR(__xludf.DUMMYFUNCTION("""COMPUTED_VALUE"""),-26.0)</f>
        <v>-26</v>
      </c>
      <c r="D108" s="84">
        <f t="shared" si="77"/>
        <v>28</v>
      </c>
      <c r="E108" s="84">
        <f t="shared" si="78"/>
        <v>54</v>
      </c>
      <c r="F108" s="84">
        <f t="shared" si="79"/>
        <v>9</v>
      </c>
      <c r="G108" s="84">
        <f t="shared" si="80"/>
        <v>0</v>
      </c>
      <c r="L108" s="84" t="str">
        <f t="shared" si="81"/>
        <v>ok</v>
      </c>
    </row>
    <row r="109">
      <c r="A109" s="1"/>
      <c r="B109" s="43" t="str">
        <f>IFERROR(__xludf.DUMMYFUNCTION("""COMPUTED_VALUE"""),"Alex Hou")</f>
        <v>Alex Hou</v>
      </c>
      <c r="C109" s="84">
        <f>IFERROR(__xludf.DUMMYFUNCTION("""COMPUTED_VALUE"""),-23.0)</f>
        <v>-23</v>
      </c>
      <c r="D109" s="84">
        <f t="shared" si="77"/>
        <v>24</v>
      </c>
      <c r="E109" s="84">
        <f t="shared" si="78"/>
        <v>47</v>
      </c>
      <c r="F109" s="84">
        <f t="shared" si="79"/>
        <v>12</v>
      </c>
      <c r="G109" s="84">
        <f t="shared" si="80"/>
        <v>2</v>
      </c>
      <c r="L109" s="84" t="str">
        <f t="shared" si="81"/>
        <v>ok</v>
      </c>
    </row>
    <row r="110">
      <c r="A110" s="1"/>
      <c r="B110" s="43" t="str">
        <f>IFERROR(__xludf.DUMMYFUNCTION("""COMPUTED_VALUE"""),"Oscar Bonilla")</f>
        <v>Oscar Bonilla</v>
      </c>
      <c r="C110" s="84">
        <f>IFERROR(__xludf.DUMMYFUNCTION("""COMPUTED_VALUE"""),-21.0)</f>
        <v>-21</v>
      </c>
      <c r="D110" s="84">
        <f t="shared" si="77"/>
        <v>34</v>
      </c>
      <c r="E110" s="84">
        <f t="shared" si="78"/>
        <v>55</v>
      </c>
      <c r="F110" s="84">
        <f t="shared" si="79"/>
        <v>9</v>
      </c>
      <c r="G110" s="84">
        <f t="shared" si="80"/>
        <v>0</v>
      </c>
      <c r="L110" s="84" t="str">
        <f t="shared" si="81"/>
        <v>ok</v>
      </c>
    </row>
    <row r="111">
      <c r="A111" s="1"/>
      <c r="B111" s="43" t="str">
        <f>IFERROR(__xludf.DUMMYFUNCTION("""COMPUTED_VALUE"""),"Manuel Rivera")</f>
        <v>Manuel Rivera</v>
      </c>
      <c r="C111" s="84">
        <f>IFERROR(__xludf.DUMMYFUNCTION("""COMPUTED_VALUE"""),-21.0)</f>
        <v>-21</v>
      </c>
      <c r="D111" s="84">
        <f t="shared" si="77"/>
        <v>35</v>
      </c>
      <c r="E111" s="84">
        <f t="shared" si="78"/>
        <v>56</v>
      </c>
      <c r="F111" s="84">
        <f t="shared" si="79"/>
        <v>9</v>
      </c>
      <c r="G111" s="84">
        <f t="shared" si="80"/>
        <v>0</v>
      </c>
      <c r="L111" s="84" t="str">
        <f t="shared" si="81"/>
        <v>ok</v>
      </c>
    </row>
    <row r="112">
      <c r="A112" s="1"/>
      <c r="B112" s="43" t="str">
        <f>IFERROR(__xludf.DUMMYFUNCTION("""COMPUTED_VALUE"""),"David Shin")</f>
        <v>David Shin</v>
      </c>
      <c r="C112" s="84">
        <f>IFERROR(__xludf.DUMMYFUNCTION("""COMPUTED_VALUE"""),-19.0)</f>
        <v>-19</v>
      </c>
      <c r="D112" s="84">
        <f t="shared" si="77"/>
        <v>2</v>
      </c>
      <c r="E112" s="84">
        <f t="shared" si="78"/>
        <v>21</v>
      </c>
      <c r="F112" s="84">
        <f t="shared" si="79"/>
        <v>13</v>
      </c>
      <c r="G112" s="84">
        <f t="shared" si="80"/>
        <v>0</v>
      </c>
      <c r="L112" s="84" t="str">
        <f t="shared" si="81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2">A120+1</f>
        <v>2</v>
      </c>
      <c r="B121" s="43"/>
      <c r="C121" s="95" t="str">
        <f>IFERROR(__xludf.DUMMYFUNCTION("""COMPUTED_VALUE"""),"Alejandro Mejia")</f>
        <v>Alejandro Mejia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2"/>
        <v>3</v>
      </c>
      <c r="B122" s="43"/>
      <c r="C122" s="95" t="str">
        <f>IFERROR(__xludf.DUMMYFUNCTION("""COMPUTED_VALUE"""),"Alex Hou")</f>
        <v>Alex Hou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2"/>
        <v>4</v>
      </c>
      <c r="B123" s="43"/>
      <c r="C123" s="95" t="str">
        <f>IFERROR(__xludf.DUMMYFUNCTION("""COMPUTED_VALUE"""),"Allen Zhang")</f>
        <v>Allen Zhang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2"/>
        <v>5</v>
      </c>
      <c r="B124" s="43"/>
      <c r="C124" s="95" t="str">
        <f>IFERROR(__xludf.DUMMYFUNCTION("""COMPUTED_VALUE"""),"Andrew Wen")</f>
        <v>Andrew Wen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2"/>
        <v>6</v>
      </c>
      <c r="B125" s="43"/>
      <c r="C125" s="95" t="str">
        <f>IFERROR(__xludf.DUMMYFUNCTION("""COMPUTED_VALUE"""),"Balaji Alahari")</f>
        <v>Balaji Alahari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2"/>
        <v>7</v>
      </c>
      <c r="B126" s="43"/>
      <c r="C126" s="95" t="str">
        <f>IFERROR(__xludf.DUMMYFUNCTION("""COMPUTED_VALUE"""),"Barathi Sundaram")</f>
        <v>Barathi Sundaram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2"/>
        <v>8</v>
      </c>
      <c r="B127" s="43"/>
      <c r="C127" s="95" t="str">
        <f>IFERROR(__xludf.DUMMYFUNCTION("""COMPUTED_VALUE"""),"Basudev Thoppai Vidyasankar")</f>
        <v>Basudev Thoppai Vidyasankar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2"/>
        <v>9</v>
      </c>
      <c r="B128" s="43"/>
      <c r="C128" s="95" t="str">
        <f>IFERROR(__xludf.DUMMYFUNCTION("""COMPUTED_VALUE"""),"Chinna Ponnaganti")</f>
        <v>Chinna Ponnaganti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2"/>
        <v>10</v>
      </c>
      <c r="B129" s="43"/>
      <c r="C129" s="95" t="str">
        <f>IFERROR(__xludf.DUMMYFUNCTION("""COMPUTED_VALUE"""),"Cid Macaraeg")</f>
        <v>Cid Macaraeg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2"/>
        <v>11</v>
      </c>
      <c r="B130" s="43"/>
      <c r="C130" s="95" t="str">
        <f>IFERROR(__xludf.DUMMYFUNCTION("""COMPUTED_VALUE"""),"Coco Yan")</f>
        <v>Coco Yan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2"/>
        <v>12</v>
      </c>
      <c r="B131" s="43"/>
      <c r="C131" s="95" t="str">
        <f>IFERROR(__xludf.DUMMYFUNCTION("""COMPUTED_VALUE"""),"David Shin")</f>
        <v>David Shin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2"/>
        <v>13</v>
      </c>
      <c r="B132" s="43"/>
      <c r="C132" s="95" t="str">
        <f>IFERROR(__xludf.DUMMYFUNCTION("""COMPUTED_VALUE"""),"Elayaraja Thangaraj ")</f>
        <v>Elayaraja Thangaraj 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2"/>
        <v>14</v>
      </c>
      <c r="B133" s="43"/>
      <c r="C133" s="95" t="str">
        <f>IFERROR(__xludf.DUMMYFUNCTION("""COMPUTED_VALUE"""),"Eric Pan")</f>
        <v>Eric Pan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2"/>
        <v>15</v>
      </c>
      <c r="B134" s="43"/>
      <c r="C134" s="95" t="str">
        <f>IFERROR(__xludf.DUMMYFUNCTION("""COMPUTED_VALUE"""),"Eric Tan")</f>
        <v>Eric Tan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2"/>
        <v>16</v>
      </c>
      <c r="B135" s="43"/>
      <c r="C135" s="95" t="str">
        <f>IFERROR(__xludf.DUMMYFUNCTION("""COMPUTED_VALUE"""),"Erik Hoeckmann")</f>
        <v>Erik Hoeckmann</v>
      </c>
      <c r="D135" s="23"/>
      <c r="E135" s="24"/>
      <c r="F135" s="95"/>
      <c r="G135" s="23"/>
      <c r="H135" s="24"/>
    </row>
    <row r="136">
      <c r="A136" s="83">
        <f t="shared" si="82"/>
        <v>17</v>
      </c>
      <c r="B136" s="43"/>
      <c r="C136" s="95" t="str">
        <f>IFERROR(__xludf.DUMMYFUNCTION("""COMPUTED_VALUE"""),"Ethan Gu")</f>
        <v>Ethan Gu</v>
      </c>
      <c r="D136" s="23"/>
      <c r="E136" s="24"/>
      <c r="F136" s="95"/>
      <c r="G136" s="23"/>
      <c r="H136" s="24"/>
    </row>
    <row r="137">
      <c r="A137" s="83">
        <f t="shared" si="82"/>
        <v>18</v>
      </c>
      <c r="B137" s="43"/>
      <c r="C137" s="95" t="str">
        <f>IFERROR(__xludf.DUMMYFUNCTION("""COMPUTED_VALUE"""),"Frank Moon")</f>
        <v>Frank Moon</v>
      </c>
      <c r="D137" s="23"/>
      <c r="E137" s="24"/>
      <c r="F137" s="95"/>
      <c r="G137" s="23"/>
      <c r="H137" s="24"/>
    </row>
    <row r="138">
      <c r="A138" s="83">
        <f t="shared" si="82"/>
        <v>19</v>
      </c>
      <c r="B138" s="43"/>
      <c r="C138" s="95" t="str">
        <f>IFERROR(__xludf.DUMMYFUNCTION("""COMPUTED_VALUE"""),"Herman Au")</f>
        <v>Herman Au</v>
      </c>
      <c r="D138" s="23"/>
      <c r="E138" s="24"/>
      <c r="F138" s="95"/>
      <c r="G138" s="23"/>
      <c r="H138" s="24"/>
    </row>
    <row r="139">
      <c r="A139" s="83">
        <f t="shared" si="82"/>
        <v>20</v>
      </c>
      <c r="B139" s="43"/>
      <c r="C139" s="95" t="str">
        <f>IFERROR(__xludf.DUMMYFUNCTION("""COMPUTED_VALUE"""),"Hongyuan Wen")</f>
        <v>Hongyuan Wen</v>
      </c>
      <c r="D139" s="23"/>
      <c r="E139" s="24"/>
      <c r="F139" s="95"/>
      <c r="G139" s="23"/>
      <c r="H139" s="24"/>
    </row>
    <row r="140">
      <c r="A140" s="83">
        <f t="shared" si="82"/>
        <v>21</v>
      </c>
      <c r="B140" s="43"/>
      <c r="C140" s="95" t="str">
        <f>IFERROR(__xludf.DUMMYFUNCTION("""COMPUTED_VALUE"""),"Hubert J Sung")</f>
        <v>Hubert J Sung</v>
      </c>
      <c r="D140" s="23"/>
      <c r="E140" s="24"/>
      <c r="F140" s="95"/>
      <c r="G140" s="23"/>
      <c r="H140" s="24"/>
    </row>
    <row r="141">
      <c r="A141" s="83">
        <f t="shared" si="82"/>
        <v>22</v>
      </c>
      <c r="B141" s="43"/>
      <c r="C141" s="95" t="str">
        <f>IFERROR(__xludf.DUMMYFUNCTION("""COMPUTED_VALUE"""),"James Phan")</f>
        <v>James Phan</v>
      </c>
      <c r="D141" s="23"/>
      <c r="E141" s="24"/>
      <c r="F141" s="95"/>
      <c r="G141" s="23"/>
      <c r="H141" s="24"/>
    </row>
    <row r="142">
      <c r="A142" s="83">
        <f t="shared" si="82"/>
        <v>23</v>
      </c>
      <c r="B142" s="43"/>
      <c r="C142" s="95" t="str">
        <f>IFERROR(__xludf.DUMMYFUNCTION("""COMPUTED_VALUE"""),"Jim Miao")</f>
        <v>Jim Miao</v>
      </c>
      <c r="D142" s="23"/>
      <c r="E142" s="24"/>
      <c r="F142" s="95"/>
      <c r="G142" s="23"/>
      <c r="H142" s="24"/>
    </row>
    <row r="143">
      <c r="A143" s="83">
        <f t="shared" si="82"/>
        <v>24</v>
      </c>
      <c r="B143" s="43"/>
      <c r="C143" s="95" t="str">
        <f>IFERROR(__xludf.DUMMYFUNCTION("""COMPUTED_VALUE"""),"Joe Luzzi")</f>
        <v>Joe Luzzi</v>
      </c>
      <c r="D143" s="23"/>
      <c r="E143" s="24"/>
      <c r="F143" s="95"/>
      <c r="G143" s="23"/>
      <c r="H143" s="24"/>
    </row>
    <row r="144">
      <c r="A144" s="83">
        <f t="shared" si="82"/>
        <v>25</v>
      </c>
      <c r="B144" s="43"/>
      <c r="C144" s="95" t="str">
        <f>IFERROR(__xludf.DUMMYFUNCTION("""COMPUTED_VALUE"""),"Jonathan Phan")</f>
        <v>Jonathan Phan</v>
      </c>
      <c r="D144" s="23"/>
      <c r="E144" s="24"/>
      <c r="F144" s="95"/>
      <c r="G144" s="23"/>
      <c r="H144" s="24"/>
    </row>
    <row r="145">
      <c r="A145" s="83">
        <f t="shared" si="82"/>
        <v>26</v>
      </c>
      <c r="B145" s="43"/>
      <c r="C145" s="95" t="str">
        <f>IFERROR(__xludf.DUMMYFUNCTION("""COMPUTED_VALUE"""),"Joyce Zhu")</f>
        <v>Joyce Zhu</v>
      </c>
      <c r="D145" s="23"/>
      <c r="E145" s="24"/>
      <c r="F145" s="95"/>
      <c r="G145" s="23"/>
      <c r="H145" s="24"/>
    </row>
    <row r="146">
      <c r="A146" s="83">
        <f t="shared" si="82"/>
        <v>27</v>
      </c>
      <c r="B146" s="43"/>
      <c r="C146" s="95" t="str">
        <f>IFERROR(__xludf.DUMMYFUNCTION("""COMPUTED_VALUE"""),"Kumar Palakeel")</f>
        <v>Kumar Palakeel</v>
      </c>
      <c r="D146" s="23"/>
      <c r="E146" s="24"/>
      <c r="F146" s="95"/>
      <c r="G146" s="23"/>
      <c r="H146" s="24"/>
    </row>
    <row r="147">
      <c r="A147" s="83">
        <f t="shared" si="82"/>
        <v>28</v>
      </c>
      <c r="B147" s="43"/>
      <c r="C147" s="95" t="str">
        <f>IFERROR(__xludf.DUMMYFUNCTION("""COMPUTED_VALUE"""),"Lam Bui")</f>
        <v>Lam Bui</v>
      </c>
      <c r="D147" s="23"/>
      <c r="E147" s="24"/>
      <c r="F147" s="95"/>
      <c r="G147" s="23"/>
      <c r="H147" s="24"/>
    </row>
    <row r="148">
      <c r="A148" s="83">
        <f t="shared" si="82"/>
        <v>29</v>
      </c>
      <c r="B148" s="43"/>
      <c r="C148" s="95" t="str">
        <f>IFERROR(__xludf.DUMMYFUNCTION("""COMPUTED_VALUE"""),"Leigh-Anh Nguyen")</f>
        <v>Leigh-Anh Nguyen</v>
      </c>
      <c r="D148" s="23"/>
      <c r="E148" s="24"/>
      <c r="F148" s="95"/>
      <c r="G148" s="23"/>
      <c r="H148" s="24"/>
    </row>
    <row r="149">
      <c r="A149" s="83">
        <f t="shared" si="82"/>
        <v>30</v>
      </c>
      <c r="B149" s="43"/>
      <c r="C149" s="95" t="str">
        <f>IFERROR(__xludf.DUMMYFUNCTION("""COMPUTED_VALUE"""),"Lloyd Sagar")</f>
        <v>Lloyd Sagar</v>
      </c>
      <c r="D149" s="23"/>
      <c r="E149" s="24"/>
      <c r="F149" s="95"/>
      <c r="G149" s="23"/>
      <c r="H149" s="24"/>
    </row>
    <row r="150">
      <c r="A150" s="83">
        <f t="shared" si="82"/>
        <v>31</v>
      </c>
      <c r="B150" s="43"/>
      <c r="C150" s="95" t="str">
        <f>IFERROR(__xludf.DUMMYFUNCTION("""COMPUTED_VALUE"""),"Luis Hsu")</f>
        <v>Luis Hsu</v>
      </c>
      <c r="D150" s="23"/>
      <c r="E150" s="24"/>
      <c r="F150" s="95"/>
      <c r="G150" s="23"/>
      <c r="H150" s="24"/>
    </row>
    <row r="151">
      <c r="A151" s="83">
        <f t="shared" si="82"/>
        <v>32</v>
      </c>
      <c r="B151" s="43"/>
      <c r="C151" s="95" t="str">
        <f>IFERROR(__xludf.DUMMYFUNCTION("""COMPUTED_VALUE"""),"Manish Anand")</f>
        <v>Manish Anand</v>
      </c>
      <c r="D151" s="23"/>
      <c r="E151" s="24"/>
      <c r="F151" s="95"/>
      <c r="G151" s="23"/>
      <c r="H151" s="24"/>
    </row>
    <row r="152">
      <c r="A152" s="83">
        <f t="shared" si="82"/>
        <v>33</v>
      </c>
      <c r="B152" s="43"/>
      <c r="C152" s="95" t="str">
        <f>IFERROR(__xludf.DUMMYFUNCTION("""COMPUTED_VALUE"""),"Manuel Rivera")</f>
        <v>Manuel Rivera</v>
      </c>
      <c r="D152" s="23"/>
      <c r="E152" s="24"/>
      <c r="F152" s="95"/>
      <c r="G152" s="23"/>
      <c r="H152" s="24"/>
    </row>
    <row r="153">
      <c r="A153" s="83">
        <f t="shared" si="82"/>
        <v>34</v>
      </c>
      <c r="B153" s="43"/>
      <c r="C153" s="95" t="str">
        <f>IFERROR(__xludf.DUMMYFUNCTION("""COMPUTED_VALUE"""),"Matthew Huang")</f>
        <v>Matthew Huang</v>
      </c>
      <c r="D153" s="23"/>
      <c r="E153" s="24"/>
      <c r="F153" s="95"/>
      <c r="G153" s="23"/>
      <c r="H153" s="24"/>
    </row>
    <row r="154">
      <c r="A154" s="83">
        <f t="shared" si="82"/>
        <v>35</v>
      </c>
      <c r="B154" s="43"/>
      <c r="C154" s="95" t="str">
        <f>IFERROR(__xludf.DUMMYFUNCTION("""COMPUTED_VALUE"""),"Mauricio Palacios")</f>
        <v>Mauricio Palacios</v>
      </c>
      <c r="D154" s="23"/>
      <c r="E154" s="24"/>
      <c r="F154" s="95"/>
      <c r="G154" s="23"/>
      <c r="H154" s="24"/>
    </row>
    <row r="155">
      <c r="A155" s="83">
        <f t="shared" si="82"/>
        <v>36</v>
      </c>
      <c r="B155" s="43"/>
      <c r="C155" s="95" t="str">
        <f>IFERROR(__xludf.DUMMYFUNCTION("""COMPUTED_VALUE"""),"Naveen Raj")</f>
        <v>Naveen Raj</v>
      </c>
      <c r="D155" s="23"/>
      <c r="E155" s="24"/>
      <c r="F155" s="95"/>
      <c r="G155" s="23"/>
      <c r="H155" s="24"/>
    </row>
    <row r="156">
      <c r="A156" s="83">
        <f t="shared" si="82"/>
        <v>37</v>
      </c>
      <c r="B156" s="43"/>
      <c r="C156" s="95" t="str">
        <f>IFERROR(__xludf.DUMMYFUNCTION("""COMPUTED_VALUE"""),"Nicole Ni")</f>
        <v>Nicole Ni</v>
      </c>
      <c r="D156" s="23"/>
      <c r="E156" s="24"/>
      <c r="F156" s="95"/>
      <c r="G156" s="23"/>
      <c r="H156" s="24"/>
    </row>
    <row r="157">
      <c r="A157" s="83">
        <f t="shared" si="82"/>
        <v>38</v>
      </c>
      <c r="B157" s="43"/>
      <c r="C157" s="95" t="str">
        <f>IFERROR(__xludf.DUMMYFUNCTION("""COMPUTED_VALUE"""),"Oscar Bonilla")</f>
        <v>Oscar Bonilla</v>
      </c>
      <c r="D157" s="23"/>
      <c r="E157" s="24"/>
      <c r="F157" s="95"/>
      <c r="G157" s="23"/>
      <c r="H157" s="24"/>
    </row>
    <row r="158">
      <c r="A158" s="83">
        <f t="shared" si="82"/>
        <v>39</v>
      </c>
      <c r="B158" s="43"/>
      <c r="C158" s="95" t="str">
        <f>IFERROR(__xludf.DUMMYFUNCTION("""COMPUTED_VALUE"""),"Pavan Akkimsetty")</f>
        <v>Pavan Akkimsetty</v>
      </c>
      <c r="D158" s="23"/>
      <c r="E158" s="24"/>
      <c r="F158" s="95"/>
      <c r="G158" s="23"/>
      <c r="H158" s="24"/>
    </row>
    <row r="159">
      <c r="A159" s="83">
        <f t="shared" si="82"/>
        <v>40</v>
      </c>
      <c r="B159" s="43"/>
      <c r="C159" s="95" t="str">
        <f>IFERROR(__xludf.DUMMYFUNCTION("""COMPUTED_VALUE"""),"Pulkit Mathur")</f>
        <v>Pulkit Mathur</v>
      </c>
      <c r="D159" s="23"/>
      <c r="E159" s="24"/>
      <c r="F159" s="95"/>
      <c r="G159" s="23"/>
      <c r="H159" s="24"/>
    </row>
    <row r="160">
      <c r="A160" s="83">
        <f t="shared" si="82"/>
        <v>41</v>
      </c>
      <c r="B160" s="43"/>
      <c r="C160" s="95" t="str">
        <f>IFERROR(__xludf.DUMMYFUNCTION("""COMPUTED_VALUE"""),"Rajasekar Ramasamy")</f>
        <v>Rajasekar Ramasamy</v>
      </c>
      <c r="D160" s="23"/>
      <c r="E160" s="24"/>
      <c r="F160" s="95"/>
      <c r="G160" s="23"/>
      <c r="H160" s="24"/>
    </row>
    <row r="161">
      <c r="A161" s="83">
        <f t="shared" si="82"/>
        <v>42</v>
      </c>
      <c r="B161" s="43"/>
      <c r="C161" s="95" t="str">
        <f>IFERROR(__xludf.DUMMYFUNCTION("""COMPUTED_VALUE"""),"Rajesh Dorairaj")</f>
        <v>Rajesh Dorairaj</v>
      </c>
      <c r="D161" s="23"/>
      <c r="E161" s="24"/>
      <c r="F161" s="95"/>
      <c r="G161" s="23"/>
      <c r="H161" s="24"/>
    </row>
    <row r="162">
      <c r="A162" s="83">
        <f t="shared" si="82"/>
        <v>43</v>
      </c>
      <c r="B162" s="43"/>
      <c r="C162" s="95" t="str">
        <f>IFERROR(__xludf.DUMMYFUNCTION("""COMPUTED_VALUE"""),"Ramesh Bandaru")</f>
        <v>Ramesh Bandaru</v>
      </c>
      <c r="D162" s="23"/>
      <c r="E162" s="24"/>
      <c r="F162" s="95"/>
      <c r="G162" s="23"/>
      <c r="H162" s="24"/>
    </row>
    <row r="163">
      <c r="A163" s="83">
        <f t="shared" si="82"/>
        <v>44</v>
      </c>
      <c r="B163" s="43"/>
      <c r="C163" s="95" t="str">
        <f>IFERROR(__xludf.DUMMYFUNCTION("""COMPUTED_VALUE"""),"Robert Chang")</f>
        <v>Robert Chang</v>
      </c>
      <c r="D163" s="23"/>
      <c r="E163" s="24"/>
      <c r="F163" s="95"/>
      <c r="G163" s="23"/>
      <c r="H163" s="24"/>
    </row>
    <row r="164">
      <c r="A164" s="83">
        <f t="shared" si="82"/>
        <v>45</v>
      </c>
      <c r="B164" s="43"/>
      <c r="C164" s="95" t="str">
        <f>IFERROR(__xludf.DUMMYFUNCTION("""COMPUTED_VALUE"""),"Sandeep Kamalon")</f>
        <v>Sandeep Kamalon</v>
      </c>
      <c r="D164" s="23"/>
      <c r="E164" s="24"/>
      <c r="F164" s="95"/>
      <c r="G164" s="23"/>
      <c r="H164" s="24"/>
    </row>
    <row r="165">
      <c r="A165" s="83">
        <f t="shared" si="82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2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2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2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2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2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2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2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2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2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2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2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2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2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2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2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2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2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2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2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3.13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"/>
      <c r="B1" s="4" t="s">
        <v>3</v>
      </c>
      <c r="C1" s="104">
        <v>45661.0</v>
      </c>
      <c r="G1" s="8"/>
      <c r="H1" s="8"/>
      <c r="I1" s="8"/>
      <c r="L1" s="8"/>
      <c r="N1" s="8"/>
      <c r="V1" s="105"/>
    </row>
    <row r="2">
      <c r="A2" s="1"/>
      <c r="B2" s="12" t="s">
        <v>15</v>
      </c>
      <c r="D2" s="17">
        <v>1.0</v>
      </c>
      <c r="E2" s="1"/>
      <c r="F2" s="1"/>
      <c r="R2" s="19"/>
      <c r="AB2" s="20" t="str">
        <f>text(C1,"mm/dd/yy")</f>
        <v>01/04/25</v>
      </c>
    </row>
    <row r="3" ht="27.75" customHeight="1">
      <c r="A3" s="1"/>
      <c r="C3" s="21" t="s">
        <v>27</v>
      </c>
      <c r="D3" s="23"/>
      <c r="E3" s="24"/>
      <c r="F3" s="25" t="s">
        <v>28</v>
      </c>
      <c r="G3" s="23"/>
      <c r="H3" s="23"/>
      <c r="I3" s="23"/>
      <c r="J3" s="23"/>
      <c r="K3" s="23"/>
      <c r="L3" s="23"/>
      <c r="M3" s="24"/>
      <c r="N3" s="25" t="s">
        <v>29</v>
      </c>
      <c r="O3" s="24"/>
      <c r="Q3" s="19" t="s">
        <v>30</v>
      </c>
      <c r="R3" s="19" t="s">
        <v>31</v>
      </c>
    </row>
    <row r="4">
      <c r="A4" s="26" t="s">
        <v>32</v>
      </c>
      <c r="B4" s="3" t="s">
        <v>6</v>
      </c>
      <c r="C4" s="27" t="s">
        <v>5</v>
      </c>
      <c r="D4" s="27" t="s">
        <v>7</v>
      </c>
      <c r="E4" s="27" t="s">
        <v>33</v>
      </c>
      <c r="F4" s="29" t="s">
        <v>35</v>
      </c>
      <c r="G4" s="29" t="s">
        <v>36</v>
      </c>
      <c r="H4" s="29" t="s">
        <v>37</v>
      </c>
      <c r="I4" s="29" t="s">
        <v>9</v>
      </c>
      <c r="J4" s="29" t="s">
        <v>10</v>
      </c>
      <c r="K4" s="29" t="s">
        <v>11</v>
      </c>
      <c r="L4" s="29" t="s">
        <v>5</v>
      </c>
      <c r="M4" s="29" t="s">
        <v>7</v>
      </c>
      <c r="N4" s="27" t="s">
        <v>5</v>
      </c>
      <c r="O4" s="27" t="s">
        <v>7</v>
      </c>
      <c r="P4" s="29" t="s">
        <v>38</v>
      </c>
      <c r="Q4" s="29" t="s">
        <v>39</v>
      </c>
      <c r="R4" s="29" t="s">
        <v>39</v>
      </c>
      <c r="S4" s="29" t="s">
        <v>40</v>
      </c>
      <c r="T4" s="29" t="s">
        <v>41</v>
      </c>
      <c r="U4" s="29" t="s">
        <v>42</v>
      </c>
      <c r="V4" s="29" t="s">
        <v>43</v>
      </c>
      <c r="W4" s="26" t="s">
        <v>32</v>
      </c>
    </row>
    <row r="5">
      <c r="A5" s="30">
        <v>1.0</v>
      </c>
      <c r="B5" s="28" t="s">
        <v>34</v>
      </c>
      <c r="C5" s="31"/>
      <c r="D5" s="31"/>
      <c r="E5" s="36"/>
      <c r="F5" s="102">
        <v>1.0</v>
      </c>
      <c r="G5" s="46">
        <v>1.0</v>
      </c>
      <c r="H5" s="47">
        <v>0.0</v>
      </c>
      <c r="I5" s="46">
        <v>6.0</v>
      </c>
      <c r="J5" s="46">
        <v>6.0</v>
      </c>
      <c r="K5" s="46">
        <v>6.0</v>
      </c>
      <c r="L5" s="103">
        <v>18.0</v>
      </c>
      <c r="M5" s="46">
        <v>3.0</v>
      </c>
      <c r="N5" s="31">
        <f t="shared" ref="N5:O5" si="1">C5+L5</f>
        <v>18</v>
      </c>
      <c r="O5" s="31">
        <f t="shared" si="1"/>
        <v>3</v>
      </c>
      <c r="P5" s="45" t="s">
        <v>58</v>
      </c>
      <c r="Q5" s="45" t="s">
        <v>58</v>
      </c>
      <c r="R5" s="45"/>
      <c r="S5" s="46">
        <f t="shared" ref="S5:S69" si="3">if(H5=13,1,0)</f>
        <v>0</v>
      </c>
      <c r="T5" s="46"/>
      <c r="U5" s="46">
        <f t="shared" ref="U5:U69" si="4">if(H5=9,1,0)</f>
        <v>0</v>
      </c>
      <c r="V5" s="46">
        <f t="shared" ref="V5:V69" si="5">VLOOKUP(B5,indirect($AB$2&amp;"!B$5:w$70"),22,false)-A5</f>
        <v>0</v>
      </c>
      <c r="W5" s="30">
        <v>1.0</v>
      </c>
    </row>
    <row r="6">
      <c r="A6" s="30">
        <f t="shared" ref="A6:A69" si="6">A5+1</f>
        <v>2</v>
      </c>
      <c r="B6" s="28" t="s">
        <v>97</v>
      </c>
      <c r="C6" s="31"/>
      <c r="D6" s="31"/>
      <c r="E6" s="36"/>
      <c r="F6" s="102">
        <v>5.0</v>
      </c>
      <c r="G6" s="46">
        <v>0.0</v>
      </c>
      <c r="H6" s="47">
        <v>13.0</v>
      </c>
      <c r="I6" s="46">
        <v>0.0</v>
      </c>
      <c r="J6" s="46">
        <v>0.0</v>
      </c>
      <c r="K6" s="46">
        <v>0.0</v>
      </c>
      <c r="L6" s="103">
        <v>13.0</v>
      </c>
      <c r="M6" s="46">
        <v>0.0</v>
      </c>
      <c r="N6" s="31">
        <f t="shared" ref="N6:O6" si="2">C6+L6</f>
        <v>13</v>
      </c>
      <c r="O6" s="31">
        <f t="shared" si="2"/>
        <v>0</v>
      </c>
      <c r="P6" s="45" t="s">
        <v>58</v>
      </c>
      <c r="Q6" s="45" t="s">
        <v>58</v>
      </c>
      <c r="R6" s="45"/>
      <c r="S6" s="46">
        <f t="shared" si="3"/>
        <v>1</v>
      </c>
      <c r="T6" s="46"/>
      <c r="U6" s="46">
        <f t="shared" si="4"/>
        <v>0</v>
      </c>
      <c r="V6" s="46">
        <f t="shared" si="5"/>
        <v>0</v>
      </c>
      <c r="W6" s="30">
        <f t="shared" ref="W6:W69" si="8">W5+1</f>
        <v>2</v>
      </c>
    </row>
    <row r="7">
      <c r="A7" s="30">
        <f t="shared" si="6"/>
        <v>3</v>
      </c>
      <c r="B7" s="28" t="s">
        <v>120</v>
      </c>
      <c r="C7" s="31"/>
      <c r="D7" s="31"/>
      <c r="E7" s="36"/>
      <c r="F7" s="102">
        <v>5.0</v>
      </c>
      <c r="G7" s="46">
        <v>0.0</v>
      </c>
      <c r="H7" s="47">
        <v>13.0</v>
      </c>
      <c r="I7" s="46">
        <v>0.0</v>
      </c>
      <c r="J7" s="46">
        <v>0.0</v>
      </c>
      <c r="K7" s="46">
        <v>0.0</v>
      </c>
      <c r="L7" s="103">
        <v>13.0</v>
      </c>
      <c r="M7" s="46">
        <v>0.0</v>
      </c>
      <c r="N7" s="31">
        <f t="shared" ref="N7:O7" si="7">C7+L7</f>
        <v>13</v>
      </c>
      <c r="O7" s="31">
        <f t="shared" si="7"/>
        <v>0</v>
      </c>
      <c r="P7" s="45" t="s">
        <v>58</v>
      </c>
      <c r="Q7" s="45" t="s">
        <v>58</v>
      </c>
      <c r="R7" s="45"/>
      <c r="S7" s="46">
        <f t="shared" si="3"/>
        <v>1</v>
      </c>
      <c r="T7" s="46"/>
      <c r="U7" s="46">
        <f t="shared" si="4"/>
        <v>0</v>
      </c>
      <c r="V7" s="46">
        <f t="shared" si="5"/>
        <v>0</v>
      </c>
      <c r="W7" s="30">
        <f t="shared" si="8"/>
        <v>3</v>
      </c>
    </row>
    <row r="8">
      <c r="A8" s="30">
        <f t="shared" si="6"/>
        <v>4</v>
      </c>
      <c r="B8" s="28" t="s">
        <v>45</v>
      </c>
      <c r="C8" s="31"/>
      <c r="D8" s="31"/>
      <c r="E8" s="36"/>
      <c r="F8" s="102">
        <v>5.0</v>
      </c>
      <c r="G8" s="46">
        <v>0.0</v>
      </c>
      <c r="H8" s="47">
        <v>13.0</v>
      </c>
      <c r="I8" s="46">
        <v>0.0</v>
      </c>
      <c r="J8" s="46">
        <v>0.0</v>
      </c>
      <c r="K8" s="46">
        <v>0.0</v>
      </c>
      <c r="L8" s="103">
        <v>13.0</v>
      </c>
      <c r="M8" s="46">
        <v>0.0</v>
      </c>
      <c r="N8" s="31">
        <f t="shared" ref="N8:O8" si="9">C8+L8</f>
        <v>13</v>
      </c>
      <c r="O8" s="31">
        <f t="shared" si="9"/>
        <v>0</v>
      </c>
      <c r="P8" s="45" t="s">
        <v>58</v>
      </c>
      <c r="Q8" s="45" t="s">
        <v>58</v>
      </c>
      <c r="R8" s="45"/>
      <c r="S8" s="46">
        <f t="shared" si="3"/>
        <v>1</v>
      </c>
      <c r="T8" s="46"/>
      <c r="U8" s="46">
        <f t="shared" si="4"/>
        <v>0</v>
      </c>
      <c r="V8" s="46">
        <f t="shared" si="5"/>
        <v>0</v>
      </c>
      <c r="W8" s="30">
        <f t="shared" si="8"/>
        <v>4</v>
      </c>
    </row>
    <row r="9">
      <c r="A9" s="30">
        <f t="shared" si="6"/>
        <v>5</v>
      </c>
      <c r="B9" s="28" t="s">
        <v>95</v>
      </c>
      <c r="C9" s="31"/>
      <c r="D9" s="31"/>
      <c r="E9" s="36"/>
      <c r="F9" s="102">
        <v>1.0</v>
      </c>
      <c r="G9" s="46">
        <v>5.0</v>
      </c>
      <c r="H9" s="47">
        <v>0.0</v>
      </c>
      <c r="I9" s="46">
        <v>6.0</v>
      </c>
      <c r="J9" s="46">
        <v>7.0</v>
      </c>
      <c r="K9" s="46">
        <v>5.0</v>
      </c>
      <c r="L9" s="103">
        <v>18.0</v>
      </c>
      <c r="M9" s="46">
        <v>2.0</v>
      </c>
      <c r="N9" s="31">
        <f t="shared" ref="N9:O9" si="10">C9+L9</f>
        <v>18</v>
      </c>
      <c r="O9" s="31">
        <f t="shared" si="10"/>
        <v>2</v>
      </c>
      <c r="P9" s="45" t="s">
        <v>58</v>
      </c>
      <c r="Q9" s="45" t="s">
        <v>58</v>
      </c>
      <c r="R9" s="45"/>
      <c r="S9" s="46">
        <f t="shared" si="3"/>
        <v>0</v>
      </c>
      <c r="T9" s="46"/>
      <c r="U9" s="46">
        <f t="shared" si="4"/>
        <v>0</v>
      </c>
      <c r="V9" s="46">
        <f t="shared" si="5"/>
        <v>0</v>
      </c>
      <c r="W9" s="30">
        <f t="shared" si="8"/>
        <v>5</v>
      </c>
    </row>
    <row r="10">
      <c r="A10" s="30">
        <f t="shared" si="6"/>
        <v>6</v>
      </c>
      <c r="B10" s="43" t="s">
        <v>62</v>
      </c>
      <c r="C10" s="31"/>
      <c r="D10" s="31"/>
      <c r="E10" s="36"/>
      <c r="F10" s="102">
        <v>1.0</v>
      </c>
      <c r="G10" s="46">
        <v>2.0</v>
      </c>
      <c r="H10" s="47">
        <v>0.0</v>
      </c>
      <c r="I10" s="46">
        <v>6.0</v>
      </c>
      <c r="J10" s="46">
        <v>6.0</v>
      </c>
      <c r="K10" s="46">
        <v>3.0</v>
      </c>
      <c r="L10" s="103">
        <v>15.0</v>
      </c>
      <c r="M10" s="46">
        <v>1.0</v>
      </c>
      <c r="N10" s="31">
        <f t="shared" ref="N10:O10" si="11">C10+L10</f>
        <v>15</v>
      </c>
      <c r="O10" s="31">
        <f t="shared" si="11"/>
        <v>1</v>
      </c>
      <c r="P10" s="45" t="s">
        <v>58</v>
      </c>
      <c r="Q10" s="45" t="s">
        <v>58</v>
      </c>
      <c r="R10" s="45"/>
      <c r="S10" s="46">
        <f t="shared" si="3"/>
        <v>0</v>
      </c>
      <c r="T10" s="46"/>
      <c r="U10" s="46">
        <f t="shared" si="4"/>
        <v>0</v>
      </c>
      <c r="V10" s="46">
        <f t="shared" si="5"/>
        <v>0</v>
      </c>
      <c r="W10" s="30">
        <f t="shared" si="8"/>
        <v>6</v>
      </c>
    </row>
    <row r="11">
      <c r="A11" s="30">
        <f t="shared" si="6"/>
        <v>7</v>
      </c>
      <c r="B11" s="48" t="s">
        <v>82</v>
      </c>
      <c r="C11" s="31"/>
      <c r="D11" s="31"/>
      <c r="E11" s="36"/>
      <c r="F11" s="102">
        <v>1.0</v>
      </c>
      <c r="G11" s="46">
        <v>1.0</v>
      </c>
      <c r="H11" s="47">
        <v>0.0</v>
      </c>
      <c r="I11" s="46">
        <v>6.0</v>
      </c>
      <c r="J11" s="46">
        <v>4.0</v>
      </c>
      <c r="K11" s="46">
        <v>2.0</v>
      </c>
      <c r="L11" s="103">
        <v>12.0</v>
      </c>
      <c r="M11" s="46">
        <v>1.0</v>
      </c>
      <c r="N11" s="31">
        <f t="shared" ref="N11:O11" si="12">C11+L11</f>
        <v>12</v>
      </c>
      <c r="O11" s="31">
        <f t="shared" si="12"/>
        <v>1</v>
      </c>
      <c r="P11" s="45" t="s">
        <v>58</v>
      </c>
      <c r="Q11" s="45" t="s">
        <v>58</v>
      </c>
      <c r="R11" s="45"/>
      <c r="S11" s="46">
        <f t="shared" si="3"/>
        <v>0</v>
      </c>
      <c r="T11" s="46"/>
      <c r="U11" s="46">
        <f t="shared" si="4"/>
        <v>0</v>
      </c>
      <c r="V11" s="46">
        <f t="shared" si="5"/>
        <v>0</v>
      </c>
      <c r="W11" s="30">
        <f t="shared" si="8"/>
        <v>7</v>
      </c>
    </row>
    <row r="12">
      <c r="A12" s="30">
        <f t="shared" si="6"/>
        <v>8</v>
      </c>
      <c r="B12" s="43" t="s">
        <v>76</v>
      </c>
      <c r="C12" s="31"/>
      <c r="D12" s="31"/>
      <c r="E12" s="36"/>
      <c r="F12" s="102">
        <v>3.0</v>
      </c>
      <c r="G12" s="46">
        <v>0.0</v>
      </c>
      <c r="H12" s="47">
        <v>9.0</v>
      </c>
      <c r="I12" s="46">
        <v>0.0</v>
      </c>
      <c r="J12" s="46">
        <v>0.0</v>
      </c>
      <c r="K12" s="46">
        <v>0.0</v>
      </c>
      <c r="L12" s="103">
        <v>9.0</v>
      </c>
      <c r="M12" s="46">
        <v>0.0</v>
      </c>
      <c r="N12" s="31">
        <f t="shared" ref="N12:O12" si="13">C12+L12</f>
        <v>9</v>
      </c>
      <c r="O12" s="31">
        <f t="shared" si="13"/>
        <v>0</v>
      </c>
      <c r="P12" s="45" t="s">
        <v>58</v>
      </c>
      <c r="Q12" s="45" t="s">
        <v>58</v>
      </c>
      <c r="R12" s="45"/>
      <c r="S12" s="46">
        <f t="shared" si="3"/>
        <v>0</v>
      </c>
      <c r="T12" s="46"/>
      <c r="U12" s="46">
        <f t="shared" si="4"/>
        <v>1</v>
      </c>
      <c r="V12" s="46">
        <f t="shared" si="5"/>
        <v>0</v>
      </c>
      <c r="W12" s="30">
        <f t="shared" si="8"/>
        <v>8</v>
      </c>
    </row>
    <row r="13">
      <c r="A13" s="30">
        <f t="shared" si="6"/>
        <v>9</v>
      </c>
      <c r="B13" s="28" t="s">
        <v>116</v>
      </c>
      <c r="C13" s="31"/>
      <c r="D13" s="31"/>
      <c r="E13" s="36"/>
      <c r="F13" s="102">
        <v>5.0</v>
      </c>
      <c r="G13" s="46">
        <v>0.0</v>
      </c>
      <c r="H13" s="47">
        <v>13.0</v>
      </c>
      <c r="I13" s="46">
        <v>0.0</v>
      </c>
      <c r="J13" s="46">
        <v>0.0</v>
      </c>
      <c r="K13" s="46">
        <v>0.0</v>
      </c>
      <c r="L13" s="103">
        <v>13.0</v>
      </c>
      <c r="M13" s="46">
        <v>0.0</v>
      </c>
      <c r="N13" s="31">
        <f t="shared" ref="N13:O13" si="14">C13+L13</f>
        <v>13</v>
      </c>
      <c r="O13" s="31">
        <f t="shared" si="14"/>
        <v>0</v>
      </c>
      <c r="P13" s="45" t="s">
        <v>58</v>
      </c>
      <c r="Q13" s="45" t="s">
        <v>58</v>
      </c>
      <c r="R13" s="45"/>
      <c r="S13" s="46">
        <f t="shared" si="3"/>
        <v>1</v>
      </c>
      <c r="T13" s="46"/>
      <c r="U13" s="46">
        <f t="shared" si="4"/>
        <v>0</v>
      </c>
      <c r="V13" s="46">
        <f t="shared" si="5"/>
        <v>0</v>
      </c>
      <c r="W13" s="30">
        <f t="shared" si="8"/>
        <v>9</v>
      </c>
    </row>
    <row r="14">
      <c r="A14" s="30">
        <f t="shared" si="6"/>
        <v>10</v>
      </c>
      <c r="B14" s="43" t="s">
        <v>121</v>
      </c>
      <c r="C14" s="31"/>
      <c r="D14" s="31"/>
      <c r="E14" s="36"/>
      <c r="F14" s="102">
        <v>5.0</v>
      </c>
      <c r="G14" s="46">
        <v>0.0</v>
      </c>
      <c r="H14" s="47">
        <v>13.0</v>
      </c>
      <c r="I14" s="46">
        <v>0.0</v>
      </c>
      <c r="J14" s="46">
        <v>0.0</v>
      </c>
      <c r="K14" s="46">
        <v>0.0</v>
      </c>
      <c r="L14" s="103">
        <v>13.0</v>
      </c>
      <c r="M14" s="46">
        <v>0.0</v>
      </c>
      <c r="N14" s="31">
        <f t="shared" ref="N14:O14" si="15">C14+L14</f>
        <v>13</v>
      </c>
      <c r="O14" s="31">
        <f t="shared" si="15"/>
        <v>0</v>
      </c>
      <c r="P14" s="45" t="s">
        <v>58</v>
      </c>
      <c r="Q14" s="45" t="s">
        <v>58</v>
      </c>
      <c r="R14" s="45"/>
      <c r="S14" s="46">
        <f t="shared" si="3"/>
        <v>1</v>
      </c>
      <c r="T14" s="46"/>
      <c r="U14" s="46">
        <f t="shared" si="4"/>
        <v>0</v>
      </c>
      <c r="V14" s="46">
        <f t="shared" si="5"/>
        <v>0</v>
      </c>
      <c r="W14" s="30">
        <f t="shared" si="8"/>
        <v>10</v>
      </c>
    </row>
    <row r="15">
      <c r="A15" s="30">
        <f t="shared" si="6"/>
        <v>11</v>
      </c>
      <c r="B15" s="43" t="s">
        <v>107</v>
      </c>
      <c r="C15" s="31"/>
      <c r="D15" s="31"/>
      <c r="E15" s="36"/>
      <c r="F15" s="102">
        <v>5.0</v>
      </c>
      <c r="G15" s="46">
        <v>0.0</v>
      </c>
      <c r="H15" s="47">
        <v>13.0</v>
      </c>
      <c r="I15" s="46">
        <v>0.0</v>
      </c>
      <c r="J15" s="46">
        <v>0.0</v>
      </c>
      <c r="K15" s="46">
        <v>0.0</v>
      </c>
      <c r="L15" s="103">
        <v>13.0</v>
      </c>
      <c r="M15" s="46">
        <v>0.0</v>
      </c>
      <c r="N15" s="31">
        <f t="shared" ref="N15:O15" si="16">C15+L15</f>
        <v>13</v>
      </c>
      <c r="O15" s="31">
        <f t="shared" si="16"/>
        <v>0</v>
      </c>
      <c r="P15" s="45" t="s">
        <v>58</v>
      </c>
      <c r="Q15" s="45" t="s">
        <v>58</v>
      </c>
      <c r="R15" s="45"/>
      <c r="S15" s="46">
        <f t="shared" si="3"/>
        <v>1</v>
      </c>
      <c r="T15" s="46"/>
      <c r="U15" s="46">
        <f t="shared" si="4"/>
        <v>0</v>
      </c>
      <c r="V15" s="46">
        <f t="shared" si="5"/>
        <v>0</v>
      </c>
      <c r="W15" s="30">
        <f t="shared" si="8"/>
        <v>11</v>
      </c>
    </row>
    <row r="16">
      <c r="A16" s="30">
        <f t="shared" si="6"/>
        <v>12</v>
      </c>
      <c r="B16" s="28" t="s">
        <v>44</v>
      </c>
      <c r="C16" s="31"/>
      <c r="D16" s="31"/>
      <c r="E16" s="36"/>
      <c r="F16" s="102">
        <v>1.0</v>
      </c>
      <c r="G16" s="46">
        <v>2.0</v>
      </c>
      <c r="H16" s="47">
        <v>0.0</v>
      </c>
      <c r="I16" s="46">
        <v>6.0</v>
      </c>
      <c r="J16" s="46">
        <v>7.0</v>
      </c>
      <c r="K16" s="46">
        <v>6.0</v>
      </c>
      <c r="L16" s="103">
        <v>19.0</v>
      </c>
      <c r="M16" s="46">
        <v>3.0</v>
      </c>
      <c r="N16" s="31">
        <f t="shared" ref="N16:O16" si="17">C16+L16</f>
        <v>19</v>
      </c>
      <c r="O16" s="31">
        <f t="shared" si="17"/>
        <v>3</v>
      </c>
      <c r="P16" s="45" t="s">
        <v>58</v>
      </c>
      <c r="Q16" s="45" t="s">
        <v>58</v>
      </c>
      <c r="R16" s="45"/>
      <c r="S16" s="46">
        <f t="shared" si="3"/>
        <v>0</v>
      </c>
      <c r="T16" s="46"/>
      <c r="U16" s="46">
        <f t="shared" si="4"/>
        <v>0</v>
      </c>
      <c r="V16" s="46">
        <f t="shared" si="5"/>
        <v>0</v>
      </c>
      <c r="W16" s="30">
        <f t="shared" si="8"/>
        <v>12</v>
      </c>
    </row>
    <row r="17">
      <c r="A17" s="30">
        <f t="shared" si="6"/>
        <v>13</v>
      </c>
      <c r="B17" s="28" t="s">
        <v>74</v>
      </c>
      <c r="C17" s="31"/>
      <c r="D17" s="31"/>
      <c r="E17" s="36"/>
      <c r="F17" s="102">
        <v>1.0</v>
      </c>
      <c r="G17" s="46">
        <v>8.0</v>
      </c>
      <c r="H17" s="47">
        <v>0.0</v>
      </c>
      <c r="I17" s="46">
        <v>1.0</v>
      </c>
      <c r="J17" s="46">
        <v>6.0</v>
      </c>
      <c r="K17" s="46">
        <v>6.0</v>
      </c>
      <c r="L17" s="103">
        <v>13.0</v>
      </c>
      <c r="M17" s="46">
        <v>2.0</v>
      </c>
      <c r="N17" s="31">
        <f t="shared" ref="N17:O17" si="18">C17+L17</f>
        <v>13</v>
      </c>
      <c r="O17" s="31">
        <f t="shared" si="18"/>
        <v>2</v>
      </c>
      <c r="P17" s="45" t="s">
        <v>58</v>
      </c>
      <c r="Q17" s="45" t="s">
        <v>58</v>
      </c>
      <c r="R17" s="45"/>
      <c r="S17" s="46">
        <f t="shared" si="3"/>
        <v>0</v>
      </c>
      <c r="T17" s="46"/>
      <c r="U17" s="46">
        <f t="shared" si="4"/>
        <v>0</v>
      </c>
      <c r="V17" s="46">
        <f t="shared" si="5"/>
        <v>0</v>
      </c>
      <c r="W17" s="30">
        <f t="shared" si="8"/>
        <v>13</v>
      </c>
    </row>
    <row r="18">
      <c r="A18" s="30">
        <f t="shared" si="6"/>
        <v>14</v>
      </c>
      <c r="B18" s="28" t="s">
        <v>104</v>
      </c>
      <c r="C18" s="31"/>
      <c r="D18" s="31"/>
      <c r="E18" s="36"/>
      <c r="F18" s="102">
        <v>5.0</v>
      </c>
      <c r="G18" s="46">
        <v>0.0</v>
      </c>
      <c r="H18" s="47">
        <v>13.0</v>
      </c>
      <c r="I18" s="46">
        <v>0.0</v>
      </c>
      <c r="J18" s="46">
        <v>0.0</v>
      </c>
      <c r="K18" s="46">
        <v>0.0</v>
      </c>
      <c r="L18" s="103">
        <v>13.0</v>
      </c>
      <c r="M18" s="46">
        <v>0.0</v>
      </c>
      <c r="N18" s="31">
        <f t="shared" ref="N18:O18" si="19">C18+L18</f>
        <v>13</v>
      </c>
      <c r="O18" s="31">
        <f t="shared" si="19"/>
        <v>0</v>
      </c>
      <c r="P18" s="45" t="s">
        <v>58</v>
      </c>
      <c r="Q18" s="45" t="s">
        <v>58</v>
      </c>
      <c r="R18" s="45"/>
      <c r="S18" s="46">
        <f t="shared" si="3"/>
        <v>1</v>
      </c>
      <c r="T18" s="46"/>
      <c r="U18" s="46">
        <f t="shared" si="4"/>
        <v>0</v>
      </c>
      <c r="V18" s="46">
        <f t="shared" si="5"/>
        <v>0</v>
      </c>
      <c r="W18" s="30">
        <f t="shared" si="8"/>
        <v>14</v>
      </c>
    </row>
    <row r="19">
      <c r="A19" s="30">
        <f t="shared" si="6"/>
        <v>15</v>
      </c>
      <c r="B19" s="28" t="s">
        <v>117</v>
      </c>
      <c r="C19" s="31"/>
      <c r="D19" s="31"/>
      <c r="E19" s="36"/>
      <c r="F19" s="102">
        <v>5.0</v>
      </c>
      <c r="G19" s="46">
        <v>0.0</v>
      </c>
      <c r="H19" s="47">
        <v>13.0</v>
      </c>
      <c r="I19" s="46">
        <v>0.0</v>
      </c>
      <c r="J19" s="46">
        <v>0.0</v>
      </c>
      <c r="K19" s="46">
        <v>0.0</v>
      </c>
      <c r="L19" s="103">
        <v>13.0</v>
      </c>
      <c r="M19" s="46">
        <v>0.0</v>
      </c>
      <c r="N19" s="31">
        <f t="shared" ref="N19:O19" si="20">C19+L19</f>
        <v>13</v>
      </c>
      <c r="O19" s="31">
        <f t="shared" si="20"/>
        <v>0</v>
      </c>
      <c r="P19" s="45" t="s">
        <v>58</v>
      </c>
      <c r="Q19" s="45" t="s">
        <v>58</v>
      </c>
      <c r="R19" s="45"/>
      <c r="S19" s="46">
        <f t="shared" si="3"/>
        <v>1</v>
      </c>
      <c r="T19" s="46"/>
      <c r="U19" s="46">
        <f t="shared" si="4"/>
        <v>0</v>
      </c>
      <c r="V19" s="46">
        <f t="shared" si="5"/>
        <v>0</v>
      </c>
      <c r="W19" s="30">
        <f t="shared" si="8"/>
        <v>15</v>
      </c>
    </row>
    <row r="20">
      <c r="A20" s="30">
        <f t="shared" si="6"/>
        <v>16</v>
      </c>
      <c r="B20" s="28" t="s">
        <v>89</v>
      </c>
      <c r="C20" s="31"/>
      <c r="D20" s="31"/>
      <c r="E20" s="36"/>
      <c r="F20" s="102">
        <v>5.0</v>
      </c>
      <c r="G20" s="46">
        <v>0.0</v>
      </c>
      <c r="H20" s="47">
        <v>13.0</v>
      </c>
      <c r="I20" s="46">
        <v>0.0</v>
      </c>
      <c r="J20" s="46">
        <v>0.0</v>
      </c>
      <c r="K20" s="46">
        <v>0.0</v>
      </c>
      <c r="L20" s="103">
        <v>13.0</v>
      </c>
      <c r="M20" s="46">
        <v>0.0</v>
      </c>
      <c r="N20" s="31">
        <f t="shared" ref="N20:O20" si="21">C20+L20</f>
        <v>13</v>
      </c>
      <c r="O20" s="31">
        <f t="shared" si="21"/>
        <v>0</v>
      </c>
      <c r="P20" s="45" t="s">
        <v>58</v>
      </c>
      <c r="Q20" s="45" t="s">
        <v>58</v>
      </c>
      <c r="R20" s="45"/>
      <c r="S20" s="46">
        <f t="shared" si="3"/>
        <v>1</v>
      </c>
      <c r="T20" s="46"/>
      <c r="U20" s="46">
        <f t="shared" si="4"/>
        <v>0</v>
      </c>
      <c r="V20" s="46">
        <f t="shared" si="5"/>
        <v>0</v>
      </c>
      <c r="W20" s="30">
        <f t="shared" si="8"/>
        <v>16</v>
      </c>
    </row>
    <row r="21">
      <c r="A21" s="30">
        <f t="shared" si="6"/>
        <v>17</v>
      </c>
      <c r="B21" s="28" t="s">
        <v>127</v>
      </c>
      <c r="C21" s="31"/>
      <c r="D21" s="31"/>
      <c r="E21" s="36"/>
      <c r="F21" s="102">
        <v>5.0</v>
      </c>
      <c r="G21" s="46">
        <v>0.0</v>
      </c>
      <c r="H21" s="47">
        <v>13.0</v>
      </c>
      <c r="I21" s="46">
        <v>0.0</v>
      </c>
      <c r="J21" s="46">
        <v>0.0</v>
      </c>
      <c r="K21" s="46">
        <v>0.0</v>
      </c>
      <c r="L21" s="103">
        <v>13.0</v>
      </c>
      <c r="M21" s="46">
        <v>0.0</v>
      </c>
      <c r="N21" s="31">
        <f t="shared" ref="N21:O21" si="22">C21+L21</f>
        <v>13</v>
      </c>
      <c r="O21" s="31">
        <f t="shared" si="22"/>
        <v>0</v>
      </c>
      <c r="P21" s="45" t="s">
        <v>58</v>
      </c>
      <c r="Q21" s="45" t="s">
        <v>58</v>
      </c>
      <c r="R21" s="45"/>
      <c r="S21" s="46">
        <f t="shared" si="3"/>
        <v>1</v>
      </c>
      <c r="T21" s="46"/>
      <c r="U21" s="46">
        <f t="shared" si="4"/>
        <v>0</v>
      </c>
      <c r="V21" s="46">
        <f t="shared" si="5"/>
        <v>0</v>
      </c>
      <c r="W21" s="30">
        <f t="shared" si="8"/>
        <v>17</v>
      </c>
    </row>
    <row r="22">
      <c r="A22" s="30">
        <f t="shared" si="6"/>
        <v>18</v>
      </c>
      <c r="B22" s="28" t="s">
        <v>92</v>
      </c>
      <c r="C22" s="31"/>
      <c r="D22" s="31"/>
      <c r="E22" s="36"/>
      <c r="F22" s="102">
        <v>2.0</v>
      </c>
      <c r="G22" s="46">
        <v>1.0</v>
      </c>
      <c r="H22" s="47">
        <v>0.0</v>
      </c>
      <c r="I22" s="46">
        <v>1.0</v>
      </c>
      <c r="J22" s="46">
        <v>6.0</v>
      </c>
      <c r="K22" s="46">
        <v>2.0</v>
      </c>
      <c r="L22" s="103">
        <v>9.0</v>
      </c>
      <c r="M22" s="46">
        <v>1.0</v>
      </c>
      <c r="N22" s="31">
        <f t="shared" ref="N22:O22" si="23">C22+L22</f>
        <v>9</v>
      </c>
      <c r="O22" s="31">
        <f t="shared" si="23"/>
        <v>1</v>
      </c>
      <c r="P22" s="45" t="s">
        <v>58</v>
      </c>
      <c r="Q22" s="45" t="s">
        <v>58</v>
      </c>
      <c r="R22" s="45"/>
      <c r="S22" s="46">
        <f t="shared" si="3"/>
        <v>0</v>
      </c>
      <c r="T22" s="46"/>
      <c r="U22" s="46">
        <f t="shared" si="4"/>
        <v>0</v>
      </c>
      <c r="V22" s="46">
        <f t="shared" si="5"/>
        <v>0</v>
      </c>
      <c r="W22" s="30">
        <f t="shared" si="8"/>
        <v>18</v>
      </c>
    </row>
    <row r="23">
      <c r="A23" s="30">
        <f t="shared" si="6"/>
        <v>19</v>
      </c>
      <c r="B23" s="28" t="s">
        <v>119</v>
      </c>
      <c r="C23" s="31"/>
      <c r="D23" s="31"/>
      <c r="E23" s="36"/>
      <c r="F23" s="102">
        <v>5.0</v>
      </c>
      <c r="G23" s="46">
        <v>0.0</v>
      </c>
      <c r="H23" s="47">
        <v>13.0</v>
      </c>
      <c r="I23" s="46">
        <v>0.0</v>
      </c>
      <c r="J23" s="46">
        <v>0.0</v>
      </c>
      <c r="K23" s="46">
        <v>0.0</v>
      </c>
      <c r="L23" s="103">
        <v>13.0</v>
      </c>
      <c r="M23" s="46">
        <v>0.0</v>
      </c>
      <c r="N23" s="31">
        <f t="shared" ref="N23:O23" si="24">C23+L23</f>
        <v>13</v>
      </c>
      <c r="O23" s="31">
        <f t="shared" si="24"/>
        <v>0</v>
      </c>
      <c r="P23" s="45" t="s">
        <v>58</v>
      </c>
      <c r="Q23" s="45" t="s">
        <v>58</v>
      </c>
      <c r="R23" s="45"/>
      <c r="S23" s="46">
        <f t="shared" si="3"/>
        <v>1</v>
      </c>
      <c r="T23" s="46"/>
      <c r="U23" s="46">
        <f t="shared" si="4"/>
        <v>0</v>
      </c>
      <c r="V23" s="46">
        <f t="shared" si="5"/>
        <v>0</v>
      </c>
      <c r="W23" s="30">
        <f t="shared" si="8"/>
        <v>19</v>
      </c>
    </row>
    <row r="24">
      <c r="A24" s="30">
        <f t="shared" si="6"/>
        <v>20</v>
      </c>
      <c r="B24" s="43" t="s">
        <v>90</v>
      </c>
      <c r="C24" s="31"/>
      <c r="D24" s="31"/>
      <c r="E24" s="36"/>
      <c r="F24" s="102">
        <v>5.0</v>
      </c>
      <c r="G24" s="46">
        <v>0.0</v>
      </c>
      <c r="H24" s="47">
        <v>13.0</v>
      </c>
      <c r="I24" s="46">
        <v>0.0</v>
      </c>
      <c r="J24" s="46">
        <v>0.0</v>
      </c>
      <c r="K24" s="46">
        <v>0.0</v>
      </c>
      <c r="L24" s="103">
        <v>13.0</v>
      </c>
      <c r="M24" s="46">
        <v>0.0</v>
      </c>
      <c r="N24" s="31">
        <f t="shared" ref="N24:O24" si="25">C24+L24</f>
        <v>13</v>
      </c>
      <c r="O24" s="31">
        <f t="shared" si="25"/>
        <v>0</v>
      </c>
      <c r="P24" s="45" t="s">
        <v>58</v>
      </c>
      <c r="Q24" s="45" t="s">
        <v>58</v>
      </c>
      <c r="R24" s="45"/>
      <c r="S24" s="46">
        <f t="shared" si="3"/>
        <v>1</v>
      </c>
      <c r="T24" s="46"/>
      <c r="U24" s="46">
        <f t="shared" si="4"/>
        <v>0</v>
      </c>
      <c r="V24" s="46">
        <f t="shared" si="5"/>
        <v>0</v>
      </c>
      <c r="W24" s="30">
        <f t="shared" si="8"/>
        <v>20</v>
      </c>
    </row>
    <row r="25">
      <c r="A25" s="30">
        <f t="shared" si="6"/>
        <v>21</v>
      </c>
      <c r="B25" s="28" t="s">
        <v>137</v>
      </c>
      <c r="C25" s="31"/>
      <c r="D25" s="31"/>
      <c r="E25" s="36"/>
      <c r="F25" s="102">
        <v>1.0</v>
      </c>
      <c r="G25" s="46">
        <v>5.0</v>
      </c>
      <c r="H25" s="47">
        <v>0.0</v>
      </c>
      <c r="I25" s="46">
        <v>6.0</v>
      </c>
      <c r="J25" s="46">
        <v>5.0</v>
      </c>
      <c r="K25" s="46">
        <v>7.0</v>
      </c>
      <c r="L25" s="103">
        <v>18.0</v>
      </c>
      <c r="M25" s="46">
        <v>2.0</v>
      </c>
      <c r="N25" s="31">
        <f t="shared" ref="N25:O25" si="26">C25+L25</f>
        <v>18</v>
      </c>
      <c r="O25" s="31">
        <f t="shared" si="26"/>
        <v>2</v>
      </c>
      <c r="P25" s="45" t="s">
        <v>58</v>
      </c>
      <c r="Q25" s="45" t="s">
        <v>58</v>
      </c>
      <c r="R25" s="45"/>
      <c r="S25" s="46">
        <f t="shared" si="3"/>
        <v>0</v>
      </c>
      <c r="T25" s="46"/>
      <c r="U25" s="46">
        <f t="shared" si="4"/>
        <v>0</v>
      </c>
      <c r="V25" s="46">
        <f t="shared" si="5"/>
        <v>0</v>
      </c>
      <c r="W25" s="30">
        <f t="shared" si="8"/>
        <v>21</v>
      </c>
    </row>
    <row r="26">
      <c r="A26" s="30">
        <f t="shared" si="6"/>
        <v>22</v>
      </c>
      <c r="B26" s="43" t="s">
        <v>130</v>
      </c>
      <c r="C26" s="31"/>
      <c r="D26" s="31"/>
      <c r="E26" s="36"/>
      <c r="F26" s="102">
        <v>1.0</v>
      </c>
      <c r="G26" s="46">
        <v>1.0</v>
      </c>
      <c r="H26" s="47">
        <v>0.0</v>
      </c>
      <c r="I26" s="46">
        <v>1.0</v>
      </c>
      <c r="J26" s="46">
        <v>4.0</v>
      </c>
      <c r="K26" s="46">
        <v>6.0</v>
      </c>
      <c r="L26" s="103">
        <v>11.0</v>
      </c>
      <c r="M26" s="46">
        <v>1.0</v>
      </c>
      <c r="N26" s="31">
        <f t="shared" ref="N26:O26" si="27">C26+L26</f>
        <v>11</v>
      </c>
      <c r="O26" s="31">
        <f t="shared" si="27"/>
        <v>1</v>
      </c>
      <c r="P26" s="45" t="s">
        <v>58</v>
      </c>
      <c r="Q26" s="45" t="s">
        <v>58</v>
      </c>
      <c r="R26" s="45"/>
      <c r="S26" s="46">
        <f t="shared" si="3"/>
        <v>0</v>
      </c>
      <c r="T26" s="46"/>
      <c r="U26" s="46">
        <f t="shared" si="4"/>
        <v>0</v>
      </c>
      <c r="V26" s="46">
        <f t="shared" si="5"/>
        <v>0</v>
      </c>
      <c r="W26" s="30">
        <f t="shared" si="8"/>
        <v>22</v>
      </c>
    </row>
    <row r="27">
      <c r="A27" s="30">
        <f t="shared" si="6"/>
        <v>23</v>
      </c>
      <c r="B27" s="43" t="s">
        <v>94</v>
      </c>
      <c r="C27" s="31"/>
      <c r="D27" s="31"/>
      <c r="E27" s="36"/>
      <c r="F27" s="102">
        <v>2.0</v>
      </c>
      <c r="G27" s="46">
        <v>3.0</v>
      </c>
      <c r="H27" s="47">
        <v>0.0</v>
      </c>
      <c r="I27" s="46">
        <v>7.0</v>
      </c>
      <c r="J27" s="46">
        <v>6.0</v>
      </c>
      <c r="K27" s="46">
        <v>6.0</v>
      </c>
      <c r="L27" s="103">
        <v>19.0</v>
      </c>
      <c r="M27" s="46">
        <v>3.0</v>
      </c>
      <c r="N27" s="31">
        <f t="shared" ref="N27:O27" si="28">C27+L27</f>
        <v>19</v>
      </c>
      <c r="O27" s="31">
        <f t="shared" si="28"/>
        <v>3</v>
      </c>
      <c r="P27" s="45" t="s">
        <v>58</v>
      </c>
      <c r="Q27" s="45" t="s">
        <v>58</v>
      </c>
      <c r="R27" s="45"/>
      <c r="S27" s="46">
        <f t="shared" si="3"/>
        <v>0</v>
      </c>
      <c r="T27" s="46"/>
      <c r="U27" s="46">
        <f t="shared" si="4"/>
        <v>0</v>
      </c>
      <c r="V27" s="46">
        <f t="shared" si="5"/>
        <v>0</v>
      </c>
      <c r="W27" s="30">
        <f t="shared" si="8"/>
        <v>23</v>
      </c>
    </row>
    <row r="28">
      <c r="A28" s="30">
        <f t="shared" si="6"/>
        <v>24</v>
      </c>
      <c r="B28" s="43" t="s">
        <v>56</v>
      </c>
      <c r="C28" s="31"/>
      <c r="D28" s="31"/>
      <c r="E28" s="36"/>
      <c r="F28" s="102">
        <v>1.0</v>
      </c>
      <c r="G28" s="46">
        <v>2.0</v>
      </c>
      <c r="H28" s="47">
        <v>0.0</v>
      </c>
      <c r="I28" s="46">
        <v>2.0</v>
      </c>
      <c r="J28" s="46">
        <v>7.0</v>
      </c>
      <c r="K28" s="46">
        <v>3.0</v>
      </c>
      <c r="L28" s="103">
        <v>12.0</v>
      </c>
      <c r="M28" s="46">
        <v>1.0</v>
      </c>
      <c r="N28" s="31">
        <f t="shared" ref="N28:O28" si="29">C28+L28</f>
        <v>12</v>
      </c>
      <c r="O28" s="31">
        <f t="shared" si="29"/>
        <v>1</v>
      </c>
      <c r="P28" s="45" t="s">
        <v>58</v>
      </c>
      <c r="Q28" s="45" t="s">
        <v>58</v>
      </c>
      <c r="R28" s="45"/>
      <c r="S28" s="46">
        <f t="shared" si="3"/>
        <v>0</v>
      </c>
      <c r="T28" s="46"/>
      <c r="U28" s="46">
        <f t="shared" si="4"/>
        <v>0</v>
      </c>
      <c r="V28" s="46">
        <f t="shared" si="5"/>
        <v>0</v>
      </c>
      <c r="W28" s="30">
        <f t="shared" si="8"/>
        <v>24</v>
      </c>
    </row>
    <row r="29">
      <c r="A29" s="30">
        <f t="shared" si="6"/>
        <v>25</v>
      </c>
      <c r="B29" s="43" t="s">
        <v>122</v>
      </c>
      <c r="C29" s="31"/>
      <c r="D29" s="31"/>
      <c r="E29" s="36"/>
      <c r="F29" s="102">
        <v>1.0</v>
      </c>
      <c r="G29" s="46">
        <v>2.0</v>
      </c>
      <c r="H29" s="47">
        <v>0.0</v>
      </c>
      <c r="I29" s="46">
        <v>2.0</v>
      </c>
      <c r="J29" s="46">
        <v>6.0</v>
      </c>
      <c r="K29" s="46">
        <v>6.0</v>
      </c>
      <c r="L29" s="103">
        <v>14.0</v>
      </c>
      <c r="M29" s="46">
        <v>1.0</v>
      </c>
      <c r="N29" s="31">
        <f t="shared" ref="N29:O29" si="30">C29+L29</f>
        <v>14</v>
      </c>
      <c r="O29" s="31">
        <f t="shared" si="30"/>
        <v>1</v>
      </c>
      <c r="P29" s="45" t="s">
        <v>58</v>
      </c>
      <c r="Q29" s="45" t="s">
        <v>58</v>
      </c>
      <c r="R29" s="45"/>
      <c r="S29" s="46">
        <f t="shared" si="3"/>
        <v>0</v>
      </c>
      <c r="T29" s="46"/>
      <c r="U29" s="46">
        <f t="shared" si="4"/>
        <v>0</v>
      </c>
      <c r="V29" s="46">
        <f t="shared" si="5"/>
        <v>0</v>
      </c>
      <c r="W29" s="30">
        <f t="shared" si="8"/>
        <v>25</v>
      </c>
    </row>
    <row r="30">
      <c r="A30" s="30">
        <f t="shared" si="6"/>
        <v>26</v>
      </c>
      <c r="B30" s="48" t="s">
        <v>134</v>
      </c>
      <c r="C30" s="31"/>
      <c r="D30" s="31"/>
      <c r="E30" s="36"/>
      <c r="F30" s="102">
        <v>5.0</v>
      </c>
      <c r="G30" s="46">
        <v>0.0</v>
      </c>
      <c r="H30" s="47">
        <v>13.0</v>
      </c>
      <c r="I30" s="46">
        <v>0.0</v>
      </c>
      <c r="J30" s="46">
        <v>0.0</v>
      </c>
      <c r="K30" s="46">
        <v>0.0</v>
      </c>
      <c r="L30" s="103">
        <v>13.0</v>
      </c>
      <c r="M30" s="46">
        <v>0.0</v>
      </c>
      <c r="N30" s="31">
        <f t="shared" ref="N30:O30" si="31">C30+L30</f>
        <v>13</v>
      </c>
      <c r="O30" s="31">
        <f t="shared" si="31"/>
        <v>0</v>
      </c>
      <c r="P30" s="45" t="s">
        <v>58</v>
      </c>
      <c r="Q30" s="45" t="s">
        <v>58</v>
      </c>
      <c r="R30" s="45"/>
      <c r="S30" s="46">
        <f t="shared" si="3"/>
        <v>1</v>
      </c>
      <c r="T30" s="46"/>
      <c r="U30" s="46">
        <f t="shared" si="4"/>
        <v>0</v>
      </c>
      <c r="V30" s="46">
        <f t="shared" si="5"/>
        <v>0</v>
      </c>
      <c r="W30" s="30">
        <f t="shared" si="8"/>
        <v>26</v>
      </c>
    </row>
    <row r="31">
      <c r="A31" s="30">
        <f t="shared" si="6"/>
        <v>27</v>
      </c>
      <c r="B31" s="28" t="s">
        <v>105</v>
      </c>
      <c r="C31" s="31"/>
      <c r="D31" s="31"/>
      <c r="E31" s="36"/>
      <c r="F31" s="102">
        <v>5.0</v>
      </c>
      <c r="G31" s="46">
        <v>0.0</v>
      </c>
      <c r="H31" s="47">
        <v>13.0</v>
      </c>
      <c r="I31" s="46">
        <v>0.0</v>
      </c>
      <c r="J31" s="46">
        <v>0.0</v>
      </c>
      <c r="K31" s="46">
        <v>0.0</v>
      </c>
      <c r="L31" s="103">
        <v>13.0</v>
      </c>
      <c r="M31" s="46">
        <v>0.0</v>
      </c>
      <c r="N31" s="31">
        <f t="shared" ref="N31:O31" si="32">C31+L31</f>
        <v>13</v>
      </c>
      <c r="O31" s="31">
        <f t="shared" si="32"/>
        <v>0</v>
      </c>
      <c r="P31" s="45" t="s">
        <v>58</v>
      </c>
      <c r="Q31" s="45" t="s">
        <v>58</v>
      </c>
      <c r="R31" s="45"/>
      <c r="S31" s="46">
        <f t="shared" si="3"/>
        <v>1</v>
      </c>
      <c r="T31" s="46"/>
      <c r="U31" s="46">
        <f t="shared" si="4"/>
        <v>0</v>
      </c>
      <c r="V31" s="46">
        <f t="shared" si="5"/>
        <v>0</v>
      </c>
      <c r="W31" s="30">
        <f t="shared" si="8"/>
        <v>27</v>
      </c>
    </row>
    <row r="32">
      <c r="A32" s="30">
        <f t="shared" si="6"/>
        <v>28</v>
      </c>
      <c r="B32" s="43" t="s">
        <v>126</v>
      </c>
      <c r="C32" s="31"/>
      <c r="D32" s="31"/>
      <c r="E32" s="36"/>
      <c r="F32" s="102">
        <v>3.0</v>
      </c>
      <c r="G32" s="46">
        <v>0.0</v>
      </c>
      <c r="H32" s="47">
        <v>9.0</v>
      </c>
      <c r="I32" s="46">
        <v>0.0</v>
      </c>
      <c r="J32" s="46">
        <v>0.0</v>
      </c>
      <c r="K32" s="46">
        <v>0.0</v>
      </c>
      <c r="L32" s="103">
        <v>9.0</v>
      </c>
      <c r="M32" s="46">
        <v>0.0</v>
      </c>
      <c r="N32" s="31">
        <f t="shared" ref="N32:O32" si="33">C32+L32</f>
        <v>9</v>
      </c>
      <c r="O32" s="31">
        <f t="shared" si="33"/>
        <v>0</v>
      </c>
      <c r="P32" s="45" t="s">
        <v>58</v>
      </c>
      <c r="Q32" s="45" t="s">
        <v>58</v>
      </c>
      <c r="R32" s="45"/>
      <c r="S32" s="46">
        <f t="shared" si="3"/>
        <v>0</v>
      </c>
      <c r="T32" s="46"/>
      <c r="U32" s="46">
        <f t="shared" si="4"/>
        <v>1</v>
      </c>
      <c r="V32" s="46">
        <f t="shared" si="5"/>
        <v>0</v>
      </c>
      <c r="W32" s="30">
        <f t="shared" si="8"/>
        <v>28</v>
      </c>
    </row>
    <row r="33">
      <c r="A33" s="30">
        <f t="shared" si="6"/>
        <v>29</v>
      </c>
      <c r="B33" s="28" t="s">
        <v>98</v>
      </c>
      <c r="C33" s="31"/>
      <c r="D33" s="31"/>
      <c r="E33" s="36"/>
      <c r="F33" s="102">
        <v>1.0</v>
      </c>
      <c r="G33" s="46">
        <v>4.0</v>
      </c>
      <c r="H33" s="47">
        <v>0.0</v>
      </c>
      <c r="I33" s="46">
        <v>6.0</v>
      </c>
      <c r="J33" s="46">
        <v>0.0</v>
      </c>
      <c r="K33" s="46">
        <v>7.0</v>
      </c>
      <c r="L33" s="103">
        <v>13.0</v>
      </c>
      <c r="M33" s="46">
        <v>2.0</v>
      </c>
      <c r="N33" s="31">
        <f t="shared" ref="N33:O33" si="34">C33+L33</f>
        <v>13</v>
      </c>
      <c r="O33" s="31">
        <f t="shared" si="34"/>
        <v>2</v>
      </c>
      <c r="P33" s="45" t="s">
        <v>58</v>
      </c>
      <c r="Q33" s="45" t="s">
        <v>58</v>
      </c>
      <c r="R33" s="45"/>
      <c r="S33" s="46">
        <f t="shared" si="3"/>
        <v>0</v>
      </c>
      <c r="T33" s="46"/>
      <c r="U33" s="46">
        <f t="shared" si="4"/>
        <v>0</v>
      </c>
      <c r="V33" s="46">
        <f t="shared" si="5"/>
        <v>0</v>
      </c>
      <c r="W33" s="30">
        <f t="shared" si="8"/>
        <v>29</v>
      </c>
    </row>
    <row r="34">
      <c r="A34" s="30">
        <f t="shared" si="6"/>
        <v>30</v>
      </c>
      <c r="B34" s="43" t="s">
        <v>132</v>
      </c>
      <c r="C34" s="31"/>
      <c r="D34" s="31"/>
      <c r="E34" s="36"/>
      <c r="F34" s="102">
        <v>2.0</v>
      </c>
      <c r="G34" s="46">
        <v>7.0</v>
      </c>
      <c r="H34" s="47">
        <v>0.0</v>
      </c>
      <c r="I34" s="46">
        <v>6.0</v>
      </c>
      <c r="J34" s="46">
        <v>7.0</v>
      </c>
      <c r="K34" s="46">
        <v>6.0</v>
      </c>
      <c r="L34" s="103">
        <v>19.0</v>
      </c>
      <c r="M34" s="46">
        <v>3.0</v>
      </c>
      <c r="N34" s="31">
        <f t="shared" ref="N34:O34" si="35">C34+L34</f>
        <v>19</v>
      </c>
      <c r="O34" s="31">
        <f t="shared" si="35"/>
        <v>3</v>
      </c>
      <c r="P34" s="45" t="s">
        <v>58</v>
      </c>
      <c r="Q34" s="45" t="s">
        <v>58</v>
      </c>
      <c r="R34" s="45"/>
      <c r="S34" s="46">
        <f t="shared" si="3"/>
        <v>0</v>
      </c>
      <c r="T34" s="46"/>
      <c r="U34" s="46">
        <f t="shared" si="4"/>
        <v>0</v>
      </c>
      <c r="V34" s="46">
        <f t="shared" si="5"/>
        <v>0</v>
      </c>
      <c r="W34" s="30">
        <f t="shared" si="8"/>
        <v>30</v>
      </c>
    </row>
    <row r="35">
      <c r="A35" s="30">
        <f t="shared" si="6"/>
        <v>31</v>
      </c>
      <c r="B35" s="43" t="s">
        <v>99</v>
      </c>
      <c r="C35" s="31"/>
      <c r="D35" s="31"/>
      <c r="E35" s="36"/>
      <c r="F35" s="102">
        <v>1.0</v>
      </c>
      <c r="G35" s="46">
        <v>7.0</v>
      </c>
      <c r="H35" s="47">
        <v>0.0</v>
      </c>
      <c r="I35" s="46">
        <v>1.0</v>
      </c>
      <c r="J35" s="46">
        <v>7.0</v>
      </c>
      <c r="K35" s="46">
        <v>3.0</v>
      </c>
      <c r="L35" s="103">
        <v>11.0</v>
      </c>
      <c r="M35" s="46">
        <v>1.0</v>
      </c>
      <c r="N35" s="31">
        <f t="shared" ref="N35:O35" si="36">C35+L35</f>
        <v>11</v>
      </c>
      <c r="O35" s="31">
        <f t="shared" si="36"/>
        <v>1</v>
      </c>
      <c r="P35" s="45" t="s">
        <v>58</v>
      </c>
      <c r="Q35" s="45" t="s">
        <v>58</v>
      </c>
      <c r="R35" s="45"/>
      <c r="S35" s="46">
        <f t="shared" si="3"/>
        <v>0</v>
      </c>
      <c r="T35" s="46"/>
      <c r="U35" s="46">
        <f t="shared" si="4"/>
        <v>0</v>
      </c>
      <c r="V35" s="46">
        <f t="shared" si="5"/>
        <v>0</v>
      </c>
      <c r="W35" s="30">
        <f t="shared" si="8"/>
        <v>31</v>
      </c>
    </row>
    <row r="36">
      <c r="A36" s="30">
        <f t="shared" si="6"/>
        <v>32</v>
      </c>
      <c r="B36" s="43" t="s">
        <v>106</v>
      </c>
      <c r="C36" s="31"/>
      <c r="D36" s="31"/>
      <c r="E36" s="36"/>
      <c r="F36" s="102">
        <v>1.0</v>
      </c>
      <c r="G36" s="46">
        <v>6.0</v>
      </c>
      <c r="H36" s="47">
        <v>0.0</v>
      </c>
      <c r="I36" s="46">
        <v>6.0</v>
      </c>
      <c r="J36" s="46">
        <v>6.0</v>
      </c>
      <c r="K36" s="46">
        <v>3.0</v>
      </c>
      <c r="L36" s="103">
        <v>15.0</v>
      </c>
      <c r="M36" s="46">
        <v>2.0</v>
      </c>
      <c r="N36" s="31">
        <f t="shared" ref="N36:O36" si="37">C36+L36</f>
        <v>15</v>
      </c>
      <c r="O36" s="31">
        <f t="shared" si="37"/>
        <v>2</v>
      </c>
      <c r="P36" s="45" t="s">
        <v>58</v>
      </c>
      <c r="Q36" s="45" t="s">
        <v>58</v>
      </c>
      <c r="R36" s="45"/>
      <c r="S36" s="46">
        <f t="shared" si="3"/>
        <v>0</v>
      </c>
      <c r="T36" s="46"/>
      <c r="U36" s="46">
        <f t="shared" si="4"/>
        <v>0</v>
      </c>
      <c r="V36" s="46">
        <f t="shared" si="5"/>
        <v>0</v>
      </c>
      <c r="W36" s="30">
        <f t="shared" si="8"/>
        <v>32</v>
      </c>
    </row>
    <row r="37">
      <c r="A37" s="30">
        <f t="shared" si="6"/>
        <v>33</v>
      </c>
      <c r="B37" s="28" t="s">
        <v>49</v>
      </c>
      <c r="C37" s="31"/>
      <c r="D37" s="31"/>
      <c r="E37" s="36"/>
      <c r="F37" s="102">
        <v>5.0</v>
      </c>
      <c r="G37" s="46">
        <v>0.0</v>
      </c>
      <c r="H37" s="47">
        <v>13.0</v>
      </c>
      <c r="I37" s="46">
        <v>0.0</v>
      </c>
      <c r="J37" s="46">
        <v>0.0</v>
      </c>
      <c r="K37" s="46">
        <v>0.0</v>
      </c>
      <c r="L37" s="103">
        <v>13.0</v>
      </c>
      <c r="M37" s="46">
        <v>0.0</v>
      </c>
      <c r="N37" s="31">
        <f t="shared" ref="N37:O37" si="38">C37+L37</f>
        <v>13</v>
      </c>
      <c r="O37" s="31">
        <f t="shared" si="38"/>
        <v>0</v>
      </c>
      <c r="P37" s="45" t="s">
        <v>58</v>
      </c>
      <c r="Q37" s="45" t="s">
        <v>58</v>
      </c>
      <c r="R37" s="45" t="s">
        <v>58</v>
      </c>
      <c r="S37" s="46">
        <f t="shared" si="3"/>
        <v>1</v>
      </c>
      <c r="T37" s="46"/>
      <c r="U37" s="46">
        <f t="shared" si="4"/>
        <v>0</v>
      </c>
      <c r="V37" s="46">
        <f t="shared" si="5"/>
        <v>0</v>
      </c>
      <c r="W37" s="30">
        <f t="shared" si="8"/>
        <v>33</v>
      </c>
    </row>
    <row r="38">
      <c r="A38" s="30">
        <f t="shared" si="6"/>
        <v>34</v>
      </c>
      <c r="B38" s="28" t="s">
        <v>128</v>
      </c>
      <c r="C38" s="31"/>
      <c r="D38" s="31"/>
      <c r="E38" s="36"/>
      <c r="F38" s="102">
        <v>3.0</v>
      </c>
      <c r="G38" s="46">
        <v>0.0</v>
      </c>
      <c r="H38" s="47">
        <v>9.0</v>
      </c>
      <c r="I38" s="46">
        <v>0.0</v>
      </c>
      <c r="J38" s="46">
        <v>0.0</v>
      </c>
      <c r="K38" s="46">
        <v>0.0</v>
      </c>
      <c r="L38" s="103">
        <v>9.0</v>
      </c>
      <c r="M38" s="46">
        <v>0.0</v>
      </c>
      <c r="N38" s="31">
        <f t="shared" ref="N38:O38" si="39">C38+L38</f>
        <v>9</v>
      </c>
      <c r="O38" s="31">
        <f t="shared" si="39"/>
        <v>0</v>
      </c>
      <c r="P38" s="45" t="s">
        <v>58</v>
      </c>
      <c r="Q38" s="45" t="s">
        <v>58</v>
      </c>
      <c r="R38" s="45"/>
      <c r="S38" s="46">
        <f t="shared" si="3"/>
        <v>0</v>
      </c>
      <c r="T38" s="46"/>
      <c r="U38" s="46">
        <f t="shared" si="4"/>
        <v>1</v>
      </c>
      <c r="V38" s="46">
        <f t="shared" si="5"/>
        <v>0</v>
      </c>
      <c r="W38" s="30">
        <f t="shared" si="8"/>
        <v>34</v>
      </c>
    </row>
    <row r="39">
      <c r="A39" s="30">
        <f t="shared" si="6"/>
        <v>35</v>
      </c>
      <c r="B39" s="28" t="s">
        <v>93</v>
      </c>
      <c r="C39" s="31"/>
      <c r="D39" s="31"/>
      <c r="E39" s="36"/>
      <c r="F39" s="102">
        <v>3.0</v>
      </c>
      <c r="G39" s="46">
        <v>0.0</v>
      </c>
      <c r="H39" s="47">
        <v>9.0</v>
      </c>
      <c r="I39" s="46">
        <v>0.0</v>
      </c>
      <c r="J39" s="46">
        <v>0.0</v>
      </c>
      <c r="K39" s="46">
        <v>0.0</v>
      </c>
      <c r="L39" s="103">
        <v>9.0</v>
      </c>
      <c r="M39" s="46">
        <v>0.0</v>
      </c>
      <c r="N39" s="31">
        <f t="shared" ref="N39:O39" si="40">C39+L39</f>
        <v>9</v>
      </c>
      <c r="O39" s="31">
        <f t="shared" si="40"/>
        <v>0</v>
      </c>
      <c r="P39" s="45" t="s">
        <v>58</v>
      </c>
      <c r="Q39" s="45" t="s">
        <v>58</v>
      </c>
      <c r="R39" s="45"/>
      <c r="S39" s="46">
        <f t="shared" si="3"/>
        <v>0</v>
      </c>
      <c r="T39" s="46"/>
      <c r="U39" s="46">
        <f t="shared" si="4"/>
        <v>1</v>
      </c>
      <c r="V39" s="46">
        <f t="shared" si="5"/>
        <v>0</v>
      </c>
      <c r="W39" s="30">
        <f t="shared" si="8"/>
        <v>35</v>
      </c>
    </row>
    <row r="40">
      <c r="A40" s="30">
        <f t="shared" si="6"/>
        <v>36</v>
      </c>
      <c r="B40" s="43" t="s">
        <v>136</v>
      </c>
      <c r="C40" s="31"/>
      <c r="D40" s="31"/>
      <c r="E40" s="36"/>
      <c r="F40" s="102">
        <v>1.0</v>
      </c>
      <c r="G40" s="46">
        <v>5.0</v>
      </c>
      <c r="H40" s="47">
        <v>0.0</v>
      </c>
      <c r="I40" s="46">
        <v>0.0</v>
      </c>
      <c r="J40" s="46">
        <v>7.0</v>
      </c>
      <c r="K40" s="46">
        <v>7.0</v>
      </c>
      <c r="L40" s="103">
        <v>14.0</v>
      </c>
      <c r="M40" s="46">
        <v>2.0</v>
      </c>
      <c r="N40" s="31">
        <f t="shared" ref="N40:O40" si="41">C40+L40</f>
        <v>14</v>
      </c>
      <c r="O40" s="31">
        <f t="shared" si="41"/>
        <v>2</v>
      </c>
      <c r="P40" s="45" t="s">
        <v>58</v>
      </c>
      <c r="Q40" s="45" t="s">
        <v>58</v>
      </c>
      <c r="R40" s="45"/>
      <c r="S40" s="46">
        <f t="shared" si="3"/>
        <v>0</v>
      </c>
      <c r="T40" s="46"/>
      <c r="U40" s="46">
        <f t="shared" si="4"/>
        <v>0</v>
      </c>
      <c r="V40" s="46">
        <f t="shared" si="5"/>
        <v>0</v>
      </c>
      <c r="W40" s="30">
        <f t="shared" si="8"/>
        <v>36</v>
      </c>
    </row>
    <row r="41">
      <c r="A41" s="30">
        <f t="shared" si="6"/>
        <v>37</v>
      </c>
      <c r="B41" s="48" t="s">
        <v>125</v>
      </c>
      <c r="C41" s="31"/>
      <c r="D41" s="31"/>
      <c r="E41" s="36"/>
      <c r="F41" s="102">
        <v>1.0</v>
      </c>
      <c r="G41" s="46">
        <v>7.0</v>
      </c>
      <c r="H41" s="47">
        <v>0.0</v>
      </c>
      <c r="I41" s="46">
        <v>6.0</v>
      </c>
      <c r="J41" s="46">
        <v>6.0</v>
      </c>
      <c r="K41" s="46">
        <v>3.0</v>
      </c>
      <c r="L41" s="103">
        <v>15.0</v>
      </c>
      <c r="M41" s="46">
        <v>1.0</v>
      </c>
      <c r="N41" s="31">
        <f t="shared" ref="N41:O41" si="42">C41+L41</f>
        <v>15</v>
      </c>
      <c r="O41" s="31">
        <f t="shared" si="42"/>
        <v>1</v>
      </c>
      <c r="P41" s="45" t="s">
        <v>58</v>
      </c>
      <c r="Q41" s="45" t="s">
        <v>58</v>
      </c>
      <c r="R41" s="45"/>
      <c r="S41" s="46">
        <f t="shared" si="3"/>
        <v>0</v>
      </c>
      <c r="T41" s="46"/>
      <c r="U41" s="46">
        <f t="shared" si="4"/>
        <v>0</v>
      </c>
      <c r="V41" s="46">
        <f t="shared" si="5"/>
        <v>0</v>
      </c>
      <c r="W41" s="30">
        <f t="shared" si="8"/>
        <v>37</v>
      </c>
    </row>
    <row r="42">
      <c r="A42" s="30">
        <f t="shared" si="6"/>
        <v>38</v>
      </c>
      <c r="B42" s="48" t="s">
        <v>70</v>
      </c>
      <c r="C42" s="31"/>
      <c r="D42" s="31"/>
      <c r="E42" s="36"/>
      <c r="F42" s="102">
        <v>5.0</v>
      </c>
      <c r="G42" s="46">
        <v>0.0</v>
      </c>
      <c r="H42" s="47">
        <v>13.0</v>
      </c>
      <c r="I42" s="46">
        <v>0.0</v>
      </c>
      <c r="J42" s="46">
        <v>0.0</v>
      </c>
      <c r="K42" s="46">
        <v>0.0</v>
      </c>
      <c r="L42" s="103">
        <v>13.0</v>
      </c>
      <c r="M42" s="46">
        <v>0.0</v>
      </c>
      <c r="N42" s="31">
        <f t="shared" ref="N42:O42" si="43">C42+L42</f>
        <v>13</v>
      </c>
      <c r="O42" s="31">
        <f t="shared" si="43"/>
        <v>0</v>
      </c>
      <c r="P42" s="45" t="s">
        <v>58</v>
      </c>
      <c r="Q42" s="45" t="s">
        <v>58</v>
      </c>
      <c r="R42" s="45"/>
      <c r="S42" s="46">
        <f t="shared" si="3"/>
        <v>1</v>
      </c>
      <c r="T42" s="46"/>
      <c r="U42" s="46">
        <f t="shared" si="4"/>
        <v>0</v>
      </c>
      <c r="V42" s="46">
        <f t="shared" si="5"/>
        <v>0</v>
      </c>
      <c r="W42" s="30">
        <f t="shared" si="8"/>
        <v>38</v>
      </c>
    </row>
    <row r="43">
      <c r="A43" s="30">
        <f t="shared" si="6"/>
        <v>39</v>
      </c>
      <c r="B43" s="43" t="s">
        <v>131</v>
      </c>
      <c r="C43" s="31"/>
      <c r="D43" s="31"/>
      <c r="E43" s="36"/>
      <c r="F43" s="102">
        <v>1.0</v>
      </c>
      <c r="G43" s="46">
        <v>7.0</v>
      </c>
      <c r="H43" s="47">
        <v>0.0</v>
      </c>
      <c r="I43" s="46">
        <v>1.0</v>
      </c>
      <c r="J43" s="46">
        <v>6.0</v>
      </c>
      <c r="K43" s="46">
        <v>6.0</v>
      </c>
      <c r="L43" s="103">
        <v>13.0</v>
      </c>
      <c r="M43" s="46">
        <v>1.0</v>
      </c>
      <c r="N43" s="31">
        <f t="shared" ref="N43:O43" si="44">C43+L43</f>
        <v>13</v>
      </c>
      <c r="O43" s="31">
        <f t="shared" si="44"/>
        <v>1</v>
      </c>
      <c r="P43" s="45" t="s">
        <v>58</v>
      </c>
      <c r="Q43" s="45" t="s">
        <v>58</v>
      </c>
      <c r="R43" s="45"/>
      <c r="S43" s="46">
        <f t="shared" si="3"/>
        <v>0</v>
      </c>
      <c r="T43" s="46"/>
      <c r="U43" s="46">
        <f t="shared" si="4"/>
        <v>0</v>
      </c>
      <c r="V43" s="46">
        <f t="shared" si="5"/>
        <v>0</v>
      </c>
      <c r="W43" s="30">
        <f t="shared" si="8"/>
        <v>39</v>
      </c>
    </row>
    <row r="44">
      <c r="A44" s="30">
        <f t="shared" si="6"/>
        <v>40</v>
      </c>
      <c r="B44" s="43" t="s">
        <v>140</v>
      </c>
      <c r="C44" s="31"/>
      <c r="D44" s="31"/>
      <c r="E44" s="36"/>
      <c r="F44" s="102">
        <v>1.0</v>
      </c>
      <c r="G44" s="46">
        <v>6.0</v>
      </c>
      <c r="H44" s="47">
        <v>0.0</v>
      </c>
      <c r="I44" s="46">
        <v>6.0</v>
      </c>
      <c r="J44" s="46">
        <v>1.0</v>
      </c>
      <c r="K44" s="46">
        <v>6.0</v>
      </c>
      <c r="L44" s="103">
        <v>13.0</v>
      </c>
      <c r="M44" s="46">
        <v>2.0</v>
      </c>
      <c r="N44" s="31">
        <f t="shared" ref="N44:O44" si="45">C44+L44</f>
        <v>13</v>
      </c>
      <c r="O44" s="31">
        <f t="shared" si="45"/>
        <v>2</v>
      </c>
      <c r="P44" s="45" t="s">
        <v>58</v>
      </c>
      <c r="Q44" s="45" t="s">
        <v>58</v>
      </c>
      <c r="R44" s="45"/>
      <c r="S44" s="46">
        <f t="shared" si="3"/>
        <v>0</v>
      </c>
      <c r="T44" s="46"/>
      <c r="U44" s="46">
        <f t="shared" si="4"/>
        <v>0</v>
      </c>
      <c r="V44" s="46">
        <f t="shared" si="5"/>
        <v>0</v>
      </c>
      <c r="W44" s="30">
        <f t="shared" si="8"/>
        <v>40</v>
      </c>
    </row>
    <row r="45">
      <c r="A45" s="30">
        <f t="shared" si="6"/>
        <v>41</v>
      </c>
      <c r="B45" s="28" t="s">
        <v>67</v>
      </c>
      <c r="C45" s="31"/>
      <c r="D45" s="31"/>
      <c r="E45" s="36"/>
      <c r="F45" s="102">
        <v>5.0</v>
      </c>
      <c r="G45" s="46">
        <v>0.0</v>
      </c>
      <c r="H45" s="47">
        <v>13.0</v>
      </c>
      <c r="I45" s="46">
        <v>0.0</v>
      </c>
      <c r="J45" s="46">
        <v>0.0</v>
      </c>
      <c r="K45" s="46">
        <v>0.0</v>
      </c>
      <c r="L45" s="103">
        <v>13.0</v>
      </c>
      <c r="M45" s="46">
        <v>0.0</v>
      </c>
      <c r="N45" s="31">
        <f t="shared" ref="N45:O45" si="46">C45+L45</f>
        <v>13</v>
      </c>
      <c r="O45" s="31">
        <f t="shared" si="46"/>
        <v>0</v>
      </c>
      <c r="P45" s="45" t="s">
        <v>58</v>
      </c>
      <c r="Q45" s="45" t="s">
        <v>58</v>
      </c>
      <c r="R45" s="45"/>
      <c r="S45" s="46">
        <f t="shared" si="3"/>
        <v>1</v>
      </c>
      <c r="T45" s="46"/>
      <c r="U45" s="46">
        <f t="shared" si="4"/>
        <v>0</v>
      </c>
      <c r="V45" s="46">
        <f t="shared" si="5"/>
        <v>0</v>
      </c>
      <c r="W45" s="30">
        <f t="shared" si="8"/>
        <v>41</v>
      </c>
    </row>
    <row r="46">
      <c r="A46" s="30">
        <f t="shared" si="6"/>
        <v>42</v>
      </c>
      <c r="B46" s="43" t="s">
        <v>96</v>
      </c>
      <c r="C46" s="31"/>
      <c r="D46" s="31"/>
      <c r="E46" s="36"/>
      <c r="F46" s="102">
        <v>5.0</v>
      </c>
      <c r="G46" s="46">
        <v>0.0</v>
      </c>
      <c r="H46" s="47">
        <v>13.0</v>
      </c>
      <c r="I46" s="46">
        <v>0.0</v>
      </c>
      <c r="J46" s="46">
        <v>0.0</v>
      </c>
      <c r="K46" s="46">
        <v>0.0</v>
      </c>
      <c r="L46" s="103">
        <v>13.0</v>
      </c>
      <c r="M46" s="46">
        <v>0.0</v>
      </c>
      <c r="N46" s="31">
        <f t="shared" ref="N46:O46" si="47">C46+L46</f>
        <v>13</v>
      </c>
      <c r="O46" s="31">
        <f t="shared" si="47"/>
        <v>0</v>
      </c>
      <c r="P46" s="45" t="s">
        <v>58</v>
      </c>
      <c r="Q46" s="45" t="s">
        <v>58</v>
      </c>
      <c r="R46" s="45"/>
      <c r="S46" s="46">
        <f t="shared" si="3"/>
        <v>1</v>
      </c>
      <c r="T46" s="46"/>
      <c r="U46" s="46">
        <f t="shared" si="4"/>
        <v>0</v>
      </c>
      <c r="V46" s="46">
        <f t="shared" si="5"/>
        <v>0</v>
      </c>
      <c r="W46" s="30">
        <f t="shared" si="8"/>
        <v>42</v>
      </c>
    </row>
    <row r="47">
      <c r="A47" s="30">
        <f t="shared" si="6"/>
        <v>43</v>
      </c>
      <c r="B47" s="48" t="s">
        <v>103</v>
      </c>
      <c r="C47" s="31"/>
      <c r="D47" s="31"/>
      <c r="E47" s="36"/>
      <c r="F47" s="102">
        <v>3.0</v>
      </c>
      <c r="G47" s="46">
        <v>0.0</v>
      </c>
      <c r="H47" s="47">
        <v>9.0</v>
      </c>
      <c r="I47" s="46">
        <v>0.0</v>
      </c>
      <c r="J47" s="46">
        <v>0.0</v>
      </c>
      <c r="K47" s="46">
        <v>0.0</v>
      </c>
      <c r="L47" s="103">
        <v>9.0</v>
      </c>
      <c r="M47" s="46">
        <v>0.0</v>
      </c>
      <c r="N47" s="31">
        <f t="shared" ref="N47:O47" si="48">C47+L47</f>
        <v>9</v>
      </c>
      <c r="O47" s="31">
        <f t="shared" si="48"/>
        <v>0</v>
      </c>
      <c r="P47" s="45" t="s">
        <v>58</v>
      </c>
      <c r="Q47" s="45" t="s">
        <v>58</v>
      </c>
      <c r="R47" s="45"/>
      <c r="S47" s="46">
        <f t="shared" si="3"/>
        <v>0</v>
      </c>
      <c r="T47" s="46"/>
      <c r="U47" s="46">
        <f t="shared" si="4"/>
        <v>1</v>
      </c>
      <c r="V47" s="46">
        <f t="shared" si="5"/>
        <v>0</v>
      </c>
      <c r="W47" s="30">
        <f t="shared" si="8"/>
        <v>43</v>
      </c>
    </row>
    <row r="48">
      <c r="A48" s="30">
        <f t="shared" si="6"/>
        <v>44</v>
      </c>
      <c r="B48" s="43" t="s">
        <v>133</v>
      </c>
      <c r="C48" s="31"/>
      <c r="D48" s="31"/>
      <c r="E48" s="36"/>
      <c r="F48" s="102">
        <v>1.0</v>
      </c>
      <c r="G48" s="46">
        <v>4.0</v>
      </c>
      <c r="H48" s="47">
        <v>0.0</v>
      </c>
      <c r="I48" s="46">
        <v>3.0</v>
      </c>
      <c r="J48" s="46">
        <v>6.0</v>
      </c>
      <c r="K48" s="46">
        <v>7.0</v>
      </c>
      <c r="L48" s="103">
        <v>16.0</v>
      </c>
      <c r="M48" s="46">
        <v>2.0</v>
      </c>
      <c r="N48" s="31">
        <f t="shared" ref="N48:O48" si="49">C48+L48</f>
        <v>16</v>
      </c>
      <c r="O48" s="31">
        <f t="shared" si="49"/>
        <v>2</v>
      </c>
      <c r="P48" s="45" t="s">
        <v>58</v>
      </c>
      <c r="Q48" s="45" t="s">
        <v>58</v>
      </c>
      <c r="R48" s="45"/>
      <c r="S48" s="46">
        <f t="shared" si="3"/>
        <v>0</v>
      </c>
      <c r="T48" s="46"/>
      <c r="U48" s="46">
        <f t="shared" si="4"/>
        <v>0</v>
      </c>
      <c r="V48" s="46">
        <f t="shared" si="5"/>
        <v>0</v>
      </c>
      <c r="W48" s="30">
        <f t="shared" si="8"/>
        <v>44</v>
      </c>
    </row>
    <row r="49">
      <c r="A49" s="30">
        <f t="shared" si="6"/>
        <v>45</v>
      </c>
      <c r="B49" s="28" t="s">
        <v>141</v>
      </c>
      <c r="C49" s="31"/>
      <c r="D49" s="31"/>
      <c r="E49" s="36"/>
      <c r="F49" s="102">
        <v>5.0</v>
      </c>
      <c r="G49" s="46">
        <v>0.0</v>
      </c>
      <c r="H49" s="47">
        <v>13.0</v>
      </c>
      <c r="I49" s="46">
        <v>0.0</v>
      </c>
      <c r="J49" s="46">
        <v>0.0</v>
      </c>
      <c r="K49" s="46">
        <v>0.0</v>
      </c>
      <c r="L49" s="103">
        <v>13.0</v>
      </c>
      <c r="M49" s="46">
        <v>0.0</v>
      </c>
      <c r="N49" s="31">
        <f t="shared" ref="N49:O49" si="50">C49+L49</f>
        <v>13</v>
      </c>
      <c r="O49" s="31">
        <f t="shared" si="50"/>
        <v>0</v>
      </c>
      <c r="P49" s="45" t="s">
        <v>58</v>
      </c>
      <c r="Q49" s="45" t="s">
        <v>58</v>
      </c>
      <c r="R49" s="45"/>
      <c r="S49" s="46">
        <f t="shared" si="3"/>
        <v>1</v>
      </c>
      <c r="T49" s="46"/>
      <c r="U49" s="46">
        <f t="shared" si="4"/>
        <v>0</v>
      </c>
      <c r="V49" s="46">
        <f t="shared" si="5"/>
        <v>0</v>
      </c>
      <c r="W49" s="30">
        <f t="shared" si="8"/>
        <v>45</v>
      </c>
    </row>
    <row r="50">
      <c r="A50" s="30">
        <f t="shared" si="6"/>
        <v>46</v>
      </c>
      <c r="B50" s="43" t="s">
        <v>135</v>
      </c>
      <c r="C50" s="31"/>
      <c r="D50" s="31"/>
      <c r="E50" s="36"/>
      <c r="F50" s="102">
        <v>1.0</v>
      </c>
      <c r="G50" s="46">
        <v>5.0</v>
      </c>
      <c r="H50" s="47">
        <v>0.0</v>
      </c>
      <c r="I50" s="46">
        <v>0.0</v>
      </c>
      <c r="J50" s="46">
        <v>5.0</v>
      </c>
      <c r="K50" s="46">
        <v>5.0</v>
      </c>
      <c r="L50" s="103">
        <v>10.0</v>
      </c>
      <c r="M50" s="46">
        <v>0.0</v>
      </c>
      <c r="N50" s="31">
        <f t="shared" ref="N50:O50" si="51">C50+L50</f>
        <v>10</v>
      </c>
      <c r="O50" s="31">
        <f t="shared" si="51"/>
        <v>0</v>
      </c>
      <c r="P50" s="45" t="s">
        <v>58</v>
      </c>
      <c r="Q50" s="45" t="s">
        <v>58</v>
      </c>
      <c r="R50" s="45"/>
      <c r="S50" s="46">
        <f t="shared" si="3"/>
        <v>0</v>
      </c>
      <c r="T50" s="46"/>
      <c r="U50" s="46">
        <f t="shared" si="4"/>
        <v>0</v>
      </c>
      <c r="V50" s="46">
        <f t="shared" si="5"/>
        <v>0</v>
      </c>
      <c r="W50" s="30">
        <f t="shared" si="8"/>
        <v>46</v>
      </c>
    </row>
    <row r="51">
      <c r="A51" s="30">
        <f t="shared" si="6"/>
        <v>47</v>
      </c>
      <c r="B51" s="48" t="s">
        <v>54</v>
      </c>
      <c r="C51" s="31"/>
      <c r="D51" s="31"/>
      <c r="E51" s="36"/>
      <c r="F51" s="102">
        <v>5.0</v>
      </c>
      <c r="G51" s="46">
        <v>0.0</v>
      </c>
      <c r="H51" s="47">
        <v>13.0</v>
      </c>
      <c r="I51" s="46">
        <v>0.0</v>
      </c>
      <c r="J51" s="46">
        <v>0.0</v>
      </c>
      <c r="K51" s="46">
        <v>0.0</v>
      </c>
      <c r="L51" s="103">
        <v>13.0</v>
      </c>
      <c r="M51" s="46">
        <v>0.0</v>
      </c>
      <c r="N51" s="31">
        <f t="shared" ref="N51:O51" si="52">C51+L51</f>
        <v>13</v>
      </c>
      <c r="O51" s="31">
        <f t="shared" si="52"/>
        <v>0</v>
      </c>
      <c r="P51" s="45" t="s">
        <v>58</v>
      </c>
      <c r="Q51" s="45" t="s">
        <v>58</v>
      </c>
      <c r="R51" s="45"/>
      <c r="S51" s="46">
        <f t="shared" si="3"/>
        <v>1</v>
      </c>
      <c r="T51" s="46"/>
      <c r="U51" s="46">
        <f t="shared" si="4"/>
        <v>0</v>
      </c>
      <c r="V51" s="46">
        <f t="shared" si="5"/>
        <v>0</v>
      </c>
      <c r="W51" s="30">
        <f t="shared" si="8"/>
        <v>47</v>
      </c>
    </row>
    <row r="52">
      <c r="A52" s="30">
        <f t="shared" si="6"/>
        <v>48</v>
      </c>
      <c r="B52" s="28" t="s">
        <v>80</v>
      </c>
      <c r="C52" s="31"/>
      <c r="D52" s="31"/>
      <c r="E52" s="36"/>
      <c r="F52" s="102">
        <v>5.0</v>
      </c>
      <c r="G52" s="46">
        <v>0.0</v>
      </c>
      <c r="H52" s="47">
        <v>13.0</v>
      </c>
      <c r="I52" s="46">
        <v>0.0</v>
      </c>
      <c r="J52" s="46">
        <v>0.0</v>
      </c>
      <c r="K52" s="46">
        <v>0.0</v>
      </c>
      <c r="L52" s="103">
        <v>13.0</v>
      </c>
      <c r="M52" s="46">
        <v>0.0</v>
      </c>
      <c r="N52" s="31">
        <f t="shared" ref="N52:O52" si="53">C52+L52</f>
        <v>13</v>
      </c>
      <c r="O52" s="31">
        <f t="shared" si="53"/>
        <v>0</v>
      </c>
      <c r="P52" s="45" t="s">
        <v>58</v>
      </c>
      <c r="Q52" s="45" t="s">
        <v>58</v>
      </c>
      <c r="R52" s="45"/>
      <c r="S52" s="46">
        <f t="shared" si="3"/>
        <v>1</v>
      </c>
      <c r="T52" s="46"/>
      <c r="U52" s="46">
        <f t="shared" si="4"/>
        <v>0</v>
      </c>
      <c r="V52" s="46">
        <f t="shared" si="5"/>
        <v>0</v>
      </c>
      <c r="W52" s="30">
        <f t="shared" si="8"/>
        <v>48</v>
      </c>
    </row>
    <row r="53">
      <c r="A53" s="30">
        <f t="shared" si="6"/>
        <v>49</v>
      </c>
      <c r="B53" s="28" t="s">
        <v>72</v>
      </c>
      <c r="C53" s="31"/>
      <c r="D53" s="31"/>
      <c r="E53" s="36"/>
      <c r="F53" s="102">
        <v>5.0</v>
      </c>
      <c r="G53" s="46">
        <v>0.0</v>
      </c>
      <c r="H53" s="47">
        <v>13.0</v>
      </c>
      <c r="I53" s="46">
        <v>0.0</v>
      </c>
      <c r="J53" s="46">
        <v>0.0</v>
      </c>
      <c r="K53" s="46">
        <v>0.0</v>
      </c>
      <c r="L53" s="103">
        <v>13.0</v>
      </c>
      <c r="M53" s="46">
        <v>0.0</v>
      </c>
      <c r="N53" s="31">
        <f t="shared" ref="N53:O53" si="54">C53+L53</f>
        <v>13</v>
      </c>
      <c r="O53" s="31">
        <f t="shared" si="54"/>
        <v>0</v>
      </c>
      <c r="P53" s="45" t="s">
        <v>58</v>
      </c>
      <c r="Q53" s="45" t="s">
        <v>58</v>
      </c>
      <c r="R53" s="45"/>
      <c r="S53" s="46">
        <f t="shared" si="3"/>
        <v>1</v>
      </c>
      <c r="T53" s="46"/>
      <c r="U53" s="46">
        <f t="shared" si="4"/>
        <v>0</v>
      </c>
      <c r="V53" s="46">
        <f t="shared" si="5"/>
        <v>0</v>
      </c>
      <c r="W53" s="30">
        <f t="shared" si="8"/>
        <v>49</v>
      </c>
    </row>
    <row r="54">
      <c r="A54" s="30">
        <f t="shared" si="6"/>
        <v>50</v>
      </c>
      <c r="B54" s="28" t="s">
        <v>84</v>
      </c>
      <c r="C54" s="31"/>
      <c r="D54" s="31"/>
      <c r="E54" s="36"/>
      <c r="F54" s="102">
        <v>3.0</v>
      </c>
      <c r="G54" s="46">
        <v>0.0</v>
      </c>
      <c r="H54" s="47">
        <v>9.0</v>
      </c>
      <c r="I54" s="46">
        <v>0.0</v>
      </c>
      <c r="J54" s="46">
        <v>0.0</v>
      </c>
      <c r="K54" s="46">
        <v>0.0</v>
      </c>
      <c r="L54" s="103">
        <v>9.0</v>
      </c>
      <c r="M54" s="46">
        <v>0.0</v>
      </c>
      <c r="N54" s="31">
        <f t="shared" ref="N54:O54" si="55">C54+L54</f>
        <v>9</v>
      </c>
      <c r="O54" s="31">
        <f t="shared" si="55"/>
        <v>0</v>
      </c>
      <c r="P54" s="45" t="s">
        <v>58</v>
      </c>
      <c r="Q54" s="45" t="s">
        <v>58</v>
      </c>
      <c r="R54" s="45"/>
      <c r="S54" s="46">
        <f t="shared" si="3"/>
        <v>0</v>
      </c>
      <c r="T54" s="46"/>
      <c r="U54" s="46">
        <f t="shared" si="4"/>
        <v>1</v>
      </c>
      <c r="V54" s="46">
        <f t="shared" si="5"/>
        <v>0</v>
      </c>
      <c r="W54" s="30">
        <f t="shared" si="8"/>
        <v>50</v>
      </c>
    </row>
    <row r="55">
      <c r="A55" s="30">
        <f t="shared" si="6"/>
        <v>51</v>
      </c>
      <c r="B55" s="43" t="s">
        <v>79</v>
      </c>
      <c r="C55" s="31"/>
      <c r="D55" s="31"/>
      <c r="E55" s="36"/>
      <c r="F55" s="102">
        <v>2.0</v>
      </c>
      <c r="G55" s="46">
        <v>4.0</v>
      </c>
      <c r="H55" s="47">
        <v>0.0</v>
      </c>
      <c r="I55" s="46">
        <v>6.0</v>
      </c>
      <c r="J55" s="46">
        <v>6.0</v>
      </c>
      <c r="K55" s="46">
        <v>6.0</v>
      </c>
      <c r="L55" s="103">
        <v>18.0</v>
      </c>
      <c r="M55" s="46">
        <v>2.0</v>
      </c>
      <c r="N55" s="31">
        <f t="shared" ref="N55:O55" si="56">C55+L55</f>
        <v>18</v>
      </c>
      <c r="O55" s="31">
        <f t="shared" si="56"/>
        <v>2</v>
      </c>
      <c r="P55" s="45" t="s">
        <v>58</v>
      </c>
      <c r="Q55" s="45" t="s">
        <v>58</v>
      </c>
      <c r="R55" s="45"/>
      <c r="S55" s="46">
        <f t="shared" si="3"/>
        <v>0</v>
      </c>
      <c r="T55" s="46"/>
      <c r="U55" s="46">
        <f t="shared" si="4"/>
        <v>0</v>
      </c>
      <c r="V55" s="46">
        <f t="shared" si="5"/>
        <v>0</v>
      </c>
      <c r="W55" s="30">
        <f t="shared" si="8"/>
        <v>51</v>
      </c>
    </row>
    <row r="56">
      <c r="A56" s="30">
        <f t="shared" si="6"/>
        <v>52</v>
      </c>
      <c r="B56" s="48" t="s">
        <v>139</v>
      </c>
      <c r="C56" s="31"/>
      <c r="D56" s="31"/>
      <c r="E56" s="36"/>
      <c r="F56" s="102">
        <v>3.0</v>
      </c>
      <c r="G56" s="46">
        <v>0.0</v>
      </c>
      <c r="H56" s="47">
        <v>9.0</v>
      </c>
      <c r="I56" s="46">
        <v>0.0</v>
      </c>
      <c r="J56" s="46">
        <v>0.0</v>
      </c>
      <c r="K56" s="46">
        <v>0.0</v>
      </c>
      <c r="L56" s="103">
        <v>9.0</v>
      </c>
      <c r="M56" s="46">
        <v>0.0</v>
      </c>
      <c r="N56" s="31">
        <f t="shared" ref="N56:O56" si="57">C56+L56</f>
        <v>9</v>
      </c>
      <c r="O56" s="31">
        <f t="shared" si="57"/>
        <v>0</v>
      </c>
      <c r="P56" s="45" t="s">
        <v>58</v>
      </c>
      <c r="Q56" s="45" t="s">
        <v>58</v>
      </c>
      <c r="R56" s="45"/>
      <c r="S56" s="46">
        <f t="shared" si="3"/>
        <v>0</v>
      </c>
      <c r="T56" s="46"/>
      <c r="U56" s="46">
        <f t="shared" si="4"/>
        <v>1</v>
      </c>
      <c r="V56" s="46">
        <f t="shared" si="5"/>
        <v>0</v>
      </c>
      <c r="W56" s="30">
        <f t="shared" si="8"/>
        <v>52</v>
      </c>
    </row>
    <row r="57">
      <c r="A57" s="30">
        <f t="shared" si="6"/>
        <v>53</v>
      </c>
      <c r="B57" s="28" t="s">
        <v>101</v>
      </c>
      <c r="C57" s="31"/>
      <c r="D57" s="31"/>
      <c r="E57" s="36"/>
      <c r="F57" s="102">
        <v>5.0</v>
      </c>
      <c r="G57" s="46">
        <v>0.0</v>
      </c>
      <c r="H57" s="47">
        <v>13.0</v>
      </c>
      <c r="I57" s="46">
        <v>0.0</v>
      </c>
      <c r="J57" s="46">
        <v>0.0</v>
      </c>
      <c r="K57" s="46">
        <v>0.0</v>
      </c>
      <c r="L57" s="103">
        <v>13.0</v>
      </c>
      <c r="M57" s="46">
        <v>0.0</v>
      </c>
      <c r="N57" s="31">
        <f t="shared" ref="N57:O57" si="58">C57+L57</f>
        <v>13</v>
      </c>
      <c r="O57" s="31">
        <f t="shared" si="58"/>
        <v>0</v>
      </c>
      <c r="P57" s="45" t="s">
        <v>58</v>
      </c>
      <c r="Q57" s="45" t="s">
        <v>58</v>
      </c>
      <c r="R57" s="45"/>
      <c r="S57" s="46">
        <f t="shared" si="3"/>
        <v>1</v>
      </c>
      <c r="T57" s="46"/>
      <c r="U57" s="46">
        <f t="shared" si="4"/>
        <v>0</v>
      </c>
      <c r="V57" s="46">
        <f t="shared" si="5"/>
        <v>0</v>
      </c>
      <c r="W57" s="30">
        <f t="shared" si="8"/>
        <v>53</v>
      </c>
    </row>
    <row r="58">
      <c r="A58" s="30">
        <f t="shared" si="6"/>
        <v>54</v>
      </c>
      <c r="B58" s="28" t="s">
        <v>102</v>
      </c>
      <c r="C58" s="31"/>
      <c r="D58" s="31"/>
      <c r="E58" s="36"/>
      <c r="F58" s="102">
        <v>3.0</v>
      </c>
      <c r="G58" s="46">
        <v>0.0</v>
      </c>
      <c r="H58" s="47">
        <v>9.0</v>
      </c>
      <c r="I58" s="46">
        <v>0.0</v>
      </c>
      <c r="J58" s="46">
        <v>0.0</v>
      </c>
      <c r="K58" s="46">
        <v>0.0</v>
      </c>
      <c r="L58" s="103">
        <v>9.0</v>
      </c>
      <c r="M58" s="46">
        <v>0.0</v>
      </c>
      <c r="N58" s="31">
        <f t="shared" ref="N58:O58" si="59">C58+L58</f>
        <v>9</v>
      </c>
      <c r="O58" s="31">
        <f t="shared" si="59"/>
        <v>0</v>
      </c>
      <c r="P58" s="45" t="s">
        <v>58</v>
      </c>
      <c r="Q58" s="45" t="s">
        <v>58</v>
      </c>
      <c r="R58" s="45"/>
      <c r="S58" s="46">
        <f t="shared" si="3"/>
        <v>0</v>
      </c>
      <c r="T58" s="46"/>
      <c r="U58" s="46">
        <f t="shared" si="4"/>
        <v>1</v>
      </c>
      <c r="V58" s="46">
        <f t="shared" si="5"/>
        <v>0</v>
      </c>
      <c r="W58" s="30">
        <f t="shared" si="8"/>
        <v>54</v>
      </c>
    </row>
    <row r="59">
      <c r="A59" s="30">
        <f t="shared" si="6"/>
        <v>55</v>
      </c>
      <c r="B59" s="43" t="s">
        <v>100</v>
      </c>
      <c r="C59" s="31"/>
      <c r="D59" s="31"/>
      <c r="E59" s="36"/>
      <c r="F59" s="102">
        <v>2.0</v>
      </c>
      <c r="G59" s="46">
        <v>6.0</v>
      </c>
      <c r="H59" s="47">
        <v>0.0</v>
      </c>
      <c r="I59" s="46">
        <v>0.0</v>
      </c>
      <c r="J59" s="46">
        <v>1.0</v>
      </c>
      <c r="K59" s="46">
        <v>3.0</v>
      </c>
      <c r="L59" s="103">
        <v>4.0</v>
      </c>
      <c r="M59" s="46">
        <v>0.0</v>
      </c>
      <c r="N59" s="31">
        <f t="shared" ref="N59:O59" si="60">C59+L59</f>
        <v>4</v>
      </c>
      <c r="O59" s="31">
        <f t="shared" si="60"/>
        <v>0</v>
      </c>
      <c r="P59" s="45" t="s">
        <v>58</v>
      </c>
      <c r="Q59" s="45" t="s">
        <v>58</v>
      </c>
      <c r="R59" s="45"/>
      <c r="S59" s="46">
        <f t="shared" si="3"/>
        <v>0</v>
      </c>
      <c r="T59" s="46"/>
      <c r="U59" s="46">
        <f t="shared" si="4"/>
        <v>0</v>
      </c>
      <c r="V59" s="46">
        <f t="shared" si="5"/>
        <v>0</v>
      </c>
      <c r="W59" s="30">
        <f t="shared" si="8"/>
        <v>55</v>
      </c>
    </row>
    <row r="60">
      <c r="A60" s="30">
        <f t="shared" si="6"/>
        <v>56</v>
      </c>
      <c r="B60" s="43" t="s">
        <v>61</v>
      </c>
      <c r="C60" s="106"/>
      <c r="D60" s="106"/>
      <c r="E60" s="36"/>
      <c r="F60" s="102">
        <v>1.0</v>
      </c>
      <c r="G60" s="46">
        <v>6.0</v>
      </c>
      <c r="H60" s="47">
        <v>0.0</v>
      </c>
      <c r="I60" s="46">
        <v>0.0</v>
      </c>
      <c r="J60" s="46">
        <v>6.0</v>
      </c>
      <c r="K60" s="46">
        <v>6.0</v>
      </c>
      <c r="L60" s="103">
        <v>12.0</v>
      </c>
      <c r="M60" s="46">
        <v>2.0</v>
      </c>
      <c r="N60" s="47">
        <f t="shared" ref="N60:O60" si="61">C60+L60</f>
        <v>12</v>
      </c>
      <c r="O60" s="31">
        <f t="shared" si="61"/>
        <v>2</v>
      </c>
      <c r="P60" s="45" t="s">
        <v>58</v>
      </c>
      <c r="Q60" s="45" t="s">
        <v>58</v>
      </c>
      <c r="R60" s="45"/>
      <c r="S60" s="46">
        <f t="shared" si="3"/>
        <v>0</v>
      </c>
      <c r="T60" s="46"/>
      <c r="U60" s="46">
        <f t="shared" si="4"/>
        <v>0</v>
      </c>
      <c r="V60" s="46">
        <f t="shared" si="5"/>
        <v>0</v>
      </c>
      <c r="W60" s="30">
        <f t="shared" si="8"/>
        <v>56</v>
      </c>
    </row>
    <row r="61">
      <c r="A61" s="30">
        <f t="shared" si="6"/>
        <v>57</v>
      </c>
      <c r="B61" s="43" t="s">
        <v>64</v>
      </c>
      <c r="C61" s="106"/>
      <c r="D61" s="106"/>
      <c r="E61" s="36"/>
      <c r="F61" s="102">
        <v>1.0</v>
      </c>
      <c r="G61" s="46">
        <v>8.0</v>
      </c>
      <c r="H61" s="47">
        <v>0.0</v>
      </c>
      <c r="I61" s="46">
        <v>6.0</v>
      </c>
      <c r="J61" s="46">
        <v>6.0</v>
      </c>
      <c r="K61" s="46">
        <v>1.0</v>
      </c>
      <c r="L61" s="103">
        <v>13.0</v>
      </c>
      <c r="M61" s="46">
        <v>2.0</v>
      </c>
      <c r="N61" s="47">
        <f t="shared" ref="N61:O61" si="62">C61+L61</f>
        <v>13</v>
      </c>
      <c r="O61" s="31">
        <f t="shared" si="62"/>
        <v>2</v>
      </c>
      <c r="P61" s="45" t="s">
        <v>58</v>
      </c>
      <c r="Q61" s="45" t="s">
        <v>58</v>
      </c>
      <c r="R61" s="45"/>
      <c r="S61" s="46">
        <f t="shared" si="3"/>
        <v>0</v>
      </c>
      <c r="T61" s="46"/>
      <c r="U61" s="46">
        <f t="shared" si="4"/>
        <v>0</v>
      </c>
      <c r="V61" s="46">
        <f t="shared" si="5"/>
        <v>0</v>
      </c>
      <c r="W61" s="30">
        <f t="shared" si="8"/>
        <v>57</v>
      </c>
    </row>
    <row r="62">
      <c r="A62" s="30">
        <f t="shared" si="6"/>
        <v>58</v>
      </c>
      <c r="B62" s="43" t="s">
        <v>87</v>
      </c>
      <c r="C62" s="106"/>
      <c r="D62" s="106"/>
      <c r="E62" s="36"/>
      <c r="F62" s="102">
        <v>1.0</v>
      </c>
      <c r="G62" s="46">
        <v>3.0</v>
      </c>
      <c r="H62" s="47">
        <v>0.0</v>
      </c>
      <c r="I62" s="46">
        <v>6.0</v>
      </c>
      <c r="J62" s="46">
        <v>4.0</v>
      </c>
      <c r="K62" s="46">
        <v>6.0</v>
      </c>
      <c r="L62" s="103">
        <v>16.0</v>
      </c>
      <c r="M62" s="46">
        <v>1.0</v>
      </c>
      <c r="N62" s="47">
        <f t="shared" ref="N62:O62" si="63">C62+L62</f>
        <v>16</v>
      </c>
      <c r="O62" s="31">
        <f t="shared" si="63"/>
        <v>1</v>
      </c>
      <c r="P62" s="45" t="s">
        <v>58</v>
      </c>
      <c r="Q62" s="45" t="s">
        <v>58</v>
      </c>
      <c r="R62" s="45"/>
      <c r="S62" s="46">
        <f t="shared" si="3"/>
        <v>0</v>
      </c>
      <c r="T62" s="46"/>
      <c r="U62" s="46">
        <f t="shared" si="4"/>
        <v>0</v>
      </c>
      <c r="V62" s="46">
        <f t="shared" si="5"/>
        <v>0</v>
      </c>
      <c r="W62" s="30">
        <f t="shared" si="8"/>
        <v>58</v>
      </c>
    </row>
    <row r="63">
      <c r="A63" s="30">
        <f t="shared" si="6"/>
        <v>59</v>
      </c>
      <c r="B63" s="43" t="s">
        <v>111</v>
      </c>
      <c r="C63" s="106"/>
      <c r="D63" s="106"/>
      <c r="E63" s="36"/>
      <c r="F63" s="102">
        <v>1.0</v>
      </c>
      <c r="G63" s="46">
        <v>8.0</v>
      </c>
      <c r="H63" s="47">
        <v>0.0</v>
      </c>
      <c r="I63" s="46">
        <v>6.0</v>
      </c>
      <c r="J63" s="46">
        <v>0.0</v>
      </c>
      <c r="K63" s="46">
        <v>6.0</v>
      </c>
      <c r="L63" s="103">
        <v>12.0</v>
      </c>
      <c r="M63" s="46">
        <v>2.0</v>
      </c>
      <c r="N63" s="47">
        <f t="shared" ref="N63:O63" si="64">C63+L63</f>
        <v>12</v>
      </c>
      <c r="O63" s="31">
        <f t="shared" si="64"/>
        <v>2</v>
      </c>
      <c r="P63" s="45" t="s">
        <v>58</v>
      </c>
      <c r="Q63" s="45" t="s">
        <v>58</v>
      </c>
      <c r="R63" s="45"/>
      <c r="S63" s="46">
        <f t="shared" si="3"/>
        <v>0</v>
      </c>
      <c r="T63" s="46"/>
      <c r="U63" s="46">
        <f t="shared" si="4"/>
        <v>0</v>
      </c>
      <c r="V63" s="46">
        <f t="shared" si="5"/>
        <v>0</v>
      </c>
      <c r="W63" s="30">
        <f t="shared" si="8"/>
        <v>59</v>
      </c>
    </row>
    <row r="64">
      <c r="A64" s="30">
        <f t="shared" si="6"/>
        <v>60</v>
      </c>
      <c r="B64" s="43" t="s">
        <v>138</v>
      </c>
      <c r="C64" s="106"/>
      <c r="D64" s="106"/>
      <c r="E64" s="36"/>
      <c r="F64" s="102">
        <v>1.0</v>
      </c>
      <c r="G64" s="46">
        <v>3.0</v>
      </c>
      <c r="H64" s="47">
        <v>0.0</v>
      </c>
      <c r="I64" s="46">
        <v>7.0</v>
      </c>
      <c r="J64" s="46">
        <v>4.0</v>
      </c>
      <c r="K64" s="46">
        <v>1.0</v>
      </c>
      <c r="L64" s="103">
        <v>12.0</v>
      </c>
      <c r="M64" s="46">
        <v>1.0</v>
      </c>
      <c r="N64" s="47">
        <f t="shared" ref="N64:O64" si="65">C64+L64</f>
        <v>12</v>
      </c>
      <c r="O64" s="31">
        <f t="shared" si="65"/>
        <v>1</v>
      </c>
      <c r="P64" s="45" t="s">
        <v>58</v>
      </c>
      <c r="Q64" s="45" t="s">
        <v>58</v>
      </c>
      <c r="R64" s="45"/>
      <c r="S64" s="46">
        <f t="shared" si="3"/>
        <v>0</v>
      </c>
      <c r="T64" s="46"/>
      <c r="U64" s="46">
        <f t="shared" si="4"/>
        <v>0</v>
      </c>
      <c r="V64" s="46">
        <f t="shared" si="5"/>
        <v>0</v>
      </c>
      <c r="W64" s="30">
        <f t="shared" si="8"/>
        <v>60</v>
      </c>
    </row>
    <row r="65">
      <c r="A65" s="30">
        <f t="shared" si="6"/>
        <v>61</v>
      </c>
      <c r="B65" s="43" t="s">
        <v>142</v>
      </c>
      <c r="C65" s="106"/>
      <c r="D65" s="106"/>
      <c r="E65" s="36"/>
      <c r="F65" s="102">
        <v>3.0</v>
      </c>
      <c r="G65" s="46">
        <v>0.0</v>
      </c>
      <c r="H65" s="47">
        <v>9.0</v>
      </c>
      <c r="I65" s="46">
        <v>0.0</v>
      </c>
      <c r="J65" s="46">
        <v>0.0</v>
      </c>
      <c r="K65" s="46">
        <v>0.0</v>
      </c>
      <c r="L65" s="103">
        <v>9.0</v>
      </c>
      <c r="M65" s="46">
        <v>0.0</v>
      </c>
      <c r="N65" s="47">
        <f t="shared" ref="N65:O65" si="66">C65+L65</f>
        <v>9</v>
      </c>
      <c r="O65" s="31">
        <f t="shared" si="66"/>
        <v>0</v>
      </c>
      <c r="P65" s="45" t="s">
        <v>58</v>
      </c>
      <c r="Q65" s="45" t="s">
        <v>58</v>
      </c>
      <c r="R65" s="45"/>
      <c r="S65" s="46">
        <f t="shared" si="3"/>
        <v>0</v>
      </c>
      <c r="T65" s="46"/>
      <c r="U65" s="46">
        <f t="shared" si="4"/>
        <v>1</v>
      </c>
      <c r="V65" s="46">
        <f t="shared" si="5"/>
        <v>0</v>
      </c>
      <c r="W65" s="30">
        <f t="shared" si="8"/>
        <v>61</v>
      </c>
    </row>
    <row r="66">
      <c r="A66" s="30">
        <f t="shared" si="6"/>
        <v>62</v>
      </c>
      <c r="B66" s="43" t="s">
        <v>78</v>
      </c>
      <c r="C66" s="106"/>
      <c r="D66" s="106"/>
      <c r="E66" s="36"/>
      <c r="F66" s="102">
        <v>3.0</v>
      </c>
      <c r="G66" s="46">
        <v>0.0</v>
      </c>
      <c r="H66" s="47">
        <v>9.0</v>
      </c>
      <c r="I66" s="46">
        <v>0.0</v>
      </c>
      <c r="J66" s="46">
        <v>0.0</v>
      </c>
      <c r="K66" s="46">
        <v>0.0</v>
      </c>
      <c r="L66" s="103">
        <v>9.0</v>
      </c>
      <c r="M66" s="46">
        <v>0.0</v>
      </c>
      <c r="N66" s="47">
        <f t="shared" ref="N66:O66" si="67">C66+L66</f>
        <v>9</v>
      </c>
      <c r="O66" s="31">
        <f t="shared" si="67"/>
        <v>0</v>
      </c>
      <c r="P66" s="45" t="s">
        <v>58</v>
      </c>
      <c r="Q66" s="45" t="s">
        <v>58</v>
      </c>
      <c r="R66" s="45"/>
      <c r="S66" s="46">
        <f t="shared" si="3"/>
        <v>0</v>
      </c>
      <c r="T66" s="46"/>
      <c r="U66" s="46">
        <f t="shared" si="4"/>
        <v>1</v>
      </c>
      <c r="V66" s="46">
        <f t="shared" si="5"/>
        <v>0</v>
      </c>
      <c r="W66" s="30">
        <f t="shared" si="8"/>
        <v>62</v>
      </c>
    </row>
    <row r="67">
      <c r="A67" s="30">
        <f t="shared" si="6"/>
        <v>63</v>
      </c>
      <c r="B67" s="43" t="s">
        <v>173</v>
      </c>
      <c r="C67" s="106"/>
      <c r="D67" s="106"/>
      <c r="E67" s="36"/>
      <c r="F67" s="102">
        <v>1.0</v>
      </c>
      <c r="G67" s="46">
        <v>8.0</v>
      </c>
      <c r="H67" s="47">
        <v>0.0</v>
      </c>
      <c r="I67" s="46">
        <v>1.0</v>
      </c>
      <c r="J67" s="46">
        <v>0.0</v>
      </c>
      <c r="K67" s="46">
        <v>1.0</v>
      </c>
      <c r="L67" s="103">
        <v>2.0</v>
      </c>
      <c r="M67" s="46">
        <v>0.0</v>
      </c>
      <c r="N67" s="47">
        <f t="shared" ref="N67:O67" si="68">C67+L67</f>
        <v>2</v>
      </c>
      <c r="O67" s="31">
        <f t="shared" si="68"/>
        <v>0</v>
      </c>
      <c r="P67" s="45" t="s">
        <v>58</v>
      </c>
      <c r="Q67" s="45" t="s">
        <v>58</v>
      </c>
      <c r="R67" s="45"/>
      <c r="S67" s="46">
        <f t="shared" si="3"/>
        <v>0</v>
      </c>
      <c r="T67" s="46"/>
      <c r="U67" s="46">
        <f t="shared" si="4"/>
        <v>0</v>
      </c>
      <c r="V67" s="46">
        <f t="shared" si="5"/>
        <v>0</v>
      </c>
      <c r="W67" s="30">
        <f t="shared" si="8"/>
        <v>63</v>
      </c>
    </row>
    <row r="68">
      <c r="A68" s="30">
        <f t="shared" si="6"/>
        <v>64</v>
      </c>
      <c r="B68" s="43" t="s">
        <v>118</v>
      </c>
      <c r="C68" s="106"/>
      <c r="D68" s="106"/>
      <c r="E68" s="36"/>
      <c r="F68" s="102">
        <v>1.0</v>
      </c>
      <c r="G68" s="46">
        <v>4.0</v>
      </c>
      <c r="H68" s="47">
        <v>0.0</v>
      </c>
      <c r="I68" s="46">
        <v>3.0</v>
      </c>
      <c r="J68" s="46">
        <v>0.0</v>
      </c>
      <c r="K68" s="46">
        <v>6.0</v>
      </c>
      <c r="L68" s="103">
        <v>9.0</v>
      </c>
      <c r="M68" s="46">
        <v>0.0</v>
      </c>
      <c r="N68" s="47">
        <f t="shared" ref="N68:O68" si="69">C68+L68</f>
        <v>9</v>
      </c>
      <c r="O68" s="31">
        <f t="shared" si="69"/>
        <v>0</v>
      </c>
      <c r="P68" s="45" t="s">
        <v>58</v>
      </c>
      <c r="Q68" s="45" t="s">
        <v>58</v>
      </c>
      <c r="R68" s="45"/>
      <c r="S68" s="46">
        <f t="shared" si="3"/>
        <v>0</v>
      </c>
      <c r="T68" s="46"/>
      <c r="U68" s="46">
        <f t="shared" si="4"/>
        <v>0</v>
      </c>
      <c r="V68" s="46">
        <f t="shared" si="5"/>
        <v>0</v>
      </c>
      <c r="W68" s="30">
        <f t="shared" si="8"/>
        <v>64</v>
      </c>
    </row>
    <row r="69">
      <c r="A69" s="30">
        <f t="shared" si="6"/>
        <v>65</v>
      </c>
      <c r="B69" s="43" t="s">
        <v>129</v>
      </c>
      <c r="C69" s="106"/>
      <c r="D69" s="106"/>
      <c r="E69" s="36"/>
      <c r="F69" s="102">
        <v>1.0</v>
      </c>
      <c r="G69" s="46">
        <v>3.0</v>
      </c>
      <c r="H69" s="47">
        <v>0.0</v>
      </c>
      <c r="I69" s="46">
        <v>6.0</v>
      </c>
      <c r="J69" s="46">
        <v>6.0</v>
      </c>
      <c r="K69" s="46">
        <v>1.0</v>
      </c>
      <c r="L69" s="103">
        <v>13.0</v>
      </c>
      <c r="M69" s="46">
        <v>1.0</v>
      </c>
      <c r="N69" s="47">
        <f t="shared" ref="N69:O69" si="70">C69+L69</f>
        <v>13</v>
      </c>
      <c r="O69" s="31">
        <f t="shared" si="70"/>
        <v>1</v>
      </c>
      <c r="P69" s="45" t="s">
        <v>58</v>
      </c>
      <c r="Q69" s="45" t="s">
        <v>58</v>
      </c>
      <c r="R69" s="45"/>
      <c r="S69" s="46">
        <f t="shared" si="3"/>
        <v>0</v>
      </c>
      <c r="T69" s="46"/>
      <c r="U69" s="46">
        <f t="shared" si="4"/>
        <v>0</v>
      </c>
      <c r="V69" s="46">
        <f t="shared" si="5"/>
        <v>0</v>
      </c>
      <c r="W69" s="30">
        <f t="shared" si="8"/>
        <v>65</v>
      </c>
    </row>
    <row r="70">
      <c r="A70" s="1"/>
      <c r="C70" s="1"/>
      <c r="D70" s="1"/>
      <c r="E70" s="1"/>
      <c r="F70" s="1"/>
      <c r="P70" s="33"/>
    </row>
    <row r="71">
      <c r="A71" s="1"/>
      <c r="C71" s="1"/>
      <c r="D71" s="1"/>
      <c r="K71" s="62"/>
      <c r="L71" s="77"/>
      <c r="M71" s="78"/>
      <c r="P71" s="33"/>
    </row>
    <row r="72">
      <c r="A72" s="1"/>
      <c r="C72" s="1"/>
      <c r="D72" s="1"/>
      <c r="E72" s="33"/>
      <c r="F72" s="33" t="s">
        <v>144</v>
      </c>
      <c r="K72" s="62"/>
      <c r="L72" s="77"/>
      <c r="M72" s="78"/>
    </row>
    <row r="73">
      <c r="A73" s="1"/>
      <c r="C73" s="1"/>
      <c r="D73" s="1"/>
      <c r="K73" s="62"/>
      <c r="L73" s="77"/>
      <c r="M73" s="78"/>
    </row>
    <row r="74">
      <c r="A74" s="1"/>
      <c r="C74" s="1"/>
      <c r="D74" s="1"/>
      <c r="K74" s="62"/>
      <c r="L74" s="77"/>
      <c r="M74" s="78"/>
      <c r="P74" s="79" t="s">
        <v>145</v>
      </c>
      <c r="Q74" s="24"/>
      <c r="R74" s="18">
        <f>COUNTIF(R5:R69,"X")</f>
        <v>1</v>
      </c>
    </row>
    <row r="75">
      <c r="A75" s="1"/>
      <c r="B75" s="81" t="s">
        <v>146</v>
      </c>
      <c r="C75" s="82" t="s">
        <v>147</v>
      </c>
      <c r="D75" s="82" t="s">
        <v>148</v>
      </c>
      <c r="E75" s="82" t="s">
        <v>1</v>
      </c>
      <c r="K75" s="62"/>
      <c r="L75" s="77"/>
      <c r="M75" s="78"/>
      <c r="P75" s="14" t="s">
        <v>149</v>
      </c>
      <c r="Q75" s="18"/>
      <c r="R75" s="18">
        <f>countif(R5:R69,"N")</f>
        <v>0</v>
      </c>
    </row>
    <row r="76">
      <c r="A76" s="1"/>
      <c r="B76" s="43" t="str">
        <f>IFERROR(__xludf.DUMMYFUNCTION("QUERY(B5:M69,""Select B, L, M, G where L &gt;= 18 order by L desc,M desc"",0)"),"Alejandro Mejia")</f>
        <v>Alejandro Mejia</v>
      </c>
      <c r="C76" s="84">
        <f>IFERROR(__xludf.DUMMYFUNCTION("""COMPUTED_VALUE"""),19.0)</f>
        <v>19</v>
      </c>
      <c r="D76" s="84">
        <f>IFERROR(__xludf.DUMMYFUNCTION("""COMPUTED_VALUE"""),3.0)</f>
        <v>3</v>
      </c>
      <c r="E76" s="84">
        <f>IFERROR(__xludf.DUMMYFUNCTION("""COMPUTED_VALUE"""),2.0)</f>
        <v>2</v>
      </c>
      <c r="F76" s="1"/>
      <c r="L76" s="77"/>
      <c r="M76" s="78"/>
      <c r="P76" s="79" t="s">
        <v>151</v>
      </c>
      <c r="Q76" s="24"/>
      <c r="R76" s="18">
        <f>countif(R5:R69,"")</f>
        <v>64</v>
      </c>
    </row>
    <row r="77">
      <c r="A77" s="1"/>
      <c r="B77" s="43" t="str">
        <f>IFERROR(__xludf.DUMMYFUNCTION("""COMPUTED_VALUE"""),"Cid Macaraeg")</f>
        <v>Cid Macaraeg</v>
      </c>
      <c r="C77" s="84">
        <f>IFERROR(__xludf.DUMMYFUNCTION("""COMPUTED_VALUE"""),19.0)</f>
        <v>19</v>
      </c>
      <c r="D77" s="84">
        <f>IFERROR(__xludf.DUMMYFUNCTION("""COMPUTED_VALUE"""),3.0)</f>
        <v>3</v>
      </c>
      <c r="E77" s="84">
        <f>IFERROR(__xludf.DUMMYFUNCTION("""COMPUTED_VALUE"""),3.0)</f>
        <v>3</v>
      </c>
      <c r="F77" s="1"/>
      <c r="M77" s="85"/>
      <c r="P77" s="79" t="s">
        <v>66</v>
      </c>
      <c r="Q77" s="24"/>
      <c r="R77" s="18">
        <f>sum(R74:R76)</f>
        <v>65</v>
      </c>
    </row>
    <row r="78">
      <c r="A78" s="1"/>
      <c r="B78" s="43" t="str">
        <f>IFERROR(__xludf.DUMMYFUNCTION("""COMPUTED_VALUE"""),"Wayne Liu")</f>
        <v>Wayne Liu</v>
      </c>
      <c r="C78" s="84">
        <f>IFERROR(__xludf.DUMMYFUNCTION("""COMPUTED_VALUE"""),19.0)</f>
        <v>19</v>
      </c>
      <c r="D78" s="84">
        <f>IFERROR(__xludf.DUMMYFUNCTION("""COMPUTED_VALUE"""),3.0)</f>
        <v>3</v>
      </c>
      <c r="E78" s="84">
        <f>IFERROR(__xludf.DUMMYFUNCTION("""COMPUTED_VALUE"""),7.0)</f>
        <v>7</v>
      </c>
      <c r="F78" s="1"/>
    </row>
    <row r="79">
      <c r="A79" s="1"/>
      <c r="B79" s="43" t="str">
        <f>IFERROR(__xludf.DUMMYFUNCTION("""COMPUTED_VALUE"""),"Adrian Tay")</f>
        <v>Adrian Tay</v>
      </c>
      <c r="C79" s="84">
        <f>IFERROR(__xludf.DUMMYFUNCTION("""COMPUTED_VALUE"""),18.0)</f>
        <v>18</v>
      </c>
      <c r="D79" s="84">
        <f>IFERROR(__xludf.DUMMYFUNCTION("""COMPUTED_VALUE"""),3.0)</f>
        <v>3</v>
      </c>
      <c r="E79" s="84">
        <f>IFERROR(__xludf.DUMMYFUNCTION("""COMPUTED_VALUE"""),1.0)</f>
        <v>1</v>
      </c>
      <c r="F79" s="1"/>
      <c r="P79" s="33" t="s">
        <v>172</v>
      </c>
    </row>
    <row r="80">
      <c r="A80" s="1"/>
      <c r="B80" s="43" t="str">
        <f>IFERROR(__xludf.DUMMYFUNCTION("""COMPUTED_VALUE"""),"Ted Shen")</f>
        <v>Ted Shen</v>
      </c>
      <c r="C80" s="84">
        <f>IFERROR(__xludf.DUMMYFUNCTION("""COMPUTED_VALUE"""),18.0)</f>
        <v>18</v>
      </c>
      <c r="D80" s="84">
        <f>IFERROR(__xludf.DUMMYFUNCTION("""COMPUTED_VALUE"""),2.0)</f>
        <v>2</v>
      </c>
      <c r="E80" s="84">
        <f>IFERROR(__xludf.DUMMYFUNCTION("""COMPUTED_VALUE"""),5.0)</f>
        <v>5</v>
      </c>
      <c r="F80" s="1"/>
      <c r="L80" s="33"/>
    </row>
    <row r="81">
      <c r="A81" s="1"/>
      <c r="B81" s="43" t="str">
        <f>IFERROR(__xludf.DUMMYFUNCTION("""COMPUTED_VALUE"""),"Sanjaye Elayattu")</f>
        <v>Sanjaye Elayattu</v>
      </c>
      <c r="C81" s="84">
        <f>IFERROR(__xludf.DUMMYFUNCTION("""COMPUTED_VALUE"""),18.0)</f>
        <v>18</v>
      </c>
      <c r="D81" s="84">
        <f>IFERROR(__xludf.DUMMYFUNCTION("""COMPUTED_VALUE"""),2.0)</f>
        <v>2</v>
      </c>
      <c r="E81" s="84">
        <f>IFERROR(__xludf.DUMMYFUNCTION("""COMPUTED_VALUE"""),5.0)</f>
        <v>5</v>
      </c>
      <c r="F81" s="1"/>
      <c r="L81" s="33"/>
    </row>
    <row r="82">
      <c r="A82" s="1"/>
      <c r="B82" s="43" t="str">
        <f>IFERROR(__xludf.DUMMYFUNCTION("""COMPUTED_VALUE"""),"Leigh-Anh Nguyen")</f>
        <v>Leigh-Anh Nguyen</v>
      </c>
      <c r="C82" s="84">
        <f>IFERROR(__xludf.DUMMYFUNCTION("""COMPUTED_VALUE"""),18.0)</f>
        <v>18</v>
      </c>
      <c r="D82" s="84">
        <f>IFERROR(__xludf.DUMMYFUNCTION("""COMPUTED_VALUE"""),2.0)</f>
        <v>2</v>
      </c>
      <c r="E82" s="84">
        <f>IFERROR(__xludf.DUMMYFUNCTION("""COMPUTED_VALUE"""),4.0)</f>
        <v>4</v>
      </c>
      <c r="F82" s="1"/>
      <c r="L82" s="33"/>
    </row>
    <row r="83">
      <c r="A83" s="1"/>
      <c r="B83" s="43"/>
      <c r="C83" s="84"/>
      <c r="D83" s="84"/>
      <c r="E83" s="84"/>
      <c r="F83" s="1"/>
      <c r="L83" s="33"/>
    </row>
    <row r="84">
      <c r="A84" s="1"/>
      <c r="B84" s="43"/>
      <c r="C84" s="84"/>
      <c r="D84" s="84"/>
      <c r="E84" s="84"/>
      <c r="F84" s="1"/>
    </row>
    <row r="85">
      <c r="A85" s="1"/>
      <c r="B85" s="43"/>
      <c r="C85" s="84"/>
      <c r="D85" s="84"/>
      <c r="E85" s="84"/>
      <c r="F85" s="1"/>
    </row>
    <row r="86">
      <c r="A86" s="1"/>
      <c r="C86" s="1"/>
      <c r="D86" s="1"/>
      <c r="E86" s="1"/>
      <c r="F86" s="1"/>
    </row>
    <row r="87">
      <c r="A87" s="1"/>
      <c r="B87" s="33"/>
      <c r="C87" s="1"/>
      <c r="D87" s="1"/>
      <c r="E87" s="1"/>
      <c r="F87" s="1"/>
      <c r="G87" s="1"/>
      <c r="H87" s="1"/>
    </row>
    <row r="88">
      <c r="A88" s="1"/>
      <c r="B88" s="33"/>
      <c r="C88" s="1"/>
      <c r="D88" s="1"/>
      <c r="E88" s="1"/>
      <c r="F88" s="1"/>
    </row>
    <row r="89" ht="37.5" customHeight="1">
      <c r="A89" s="1"/>
      <c r="B89" s="86" t="s">
        <v>152</v>
      </c>
      <c r="C89" s="86" t="s">
        <v>153</v>
      </c>
      <c r="D89" s="87" t="s">
        <v>154</v>
      </c>
      <c r="E89" s="88" t="s">
        <v>155</v>
      </c>
      <c r="F89" s="89" t="s">
        <v>156</v>
      </c>
      <c r="G89" s="86" t="s">
        <v>157</v>
      </c>
      <c r="L89" s="86" t="s">
        <v>158</v>
      </c>
    </row>
    <row r="90">
      <c r="A90" s="1"/>
      <c r="B90" s="43" t="str">
        <f>IFERROR(__xludf.DUMMYFUNCTION("query(B5:V69,""select B, V order by V Desc Limit 10"")"),"Adrian Tay")</f>
        <v>Adrian Tay</v>
      </c>
      <c r="C90" s="84">
        <f>IFERROR(__xludf.DUMMYFUNCTION("""COMPUTED_VALUE"""),0.0)</f>
        <v>0</v>
      </c>
      <c r="D90" s="84">
        <f t="shared" ref="D90:D99" si="71">VLOOKUP(B90,indirect($AB$2&amp;"!B$5:w$70"),22, false)</f>
        <v>1</v>
      </c>
      <c r="E90" s="84">
        <f t="shared" ref="E90:E99" si="72">VLOOKUP(B90,B$5:W$69,22, false)</f>
        <v>1</v>
      </c>
      <c r="F90" s="84">
        <f t="shared" ref="F90:F99" si="73">VLOOKUP(B90,indirect($AB$2&amp;"!B$5:U$70"),11, false)</f>
        <v>18</v>
      </c>
      <c r="G90" s="84">
        <f t="shared" ref="G90:G99" si="74">VLOOKUP(B90,indirect($AB$2&amp;"!B$5:U$70"),6, false)</f>
        <v>1</v>
      </c>
      <c r="L90" s="84" t="str">
        <f t="shared" ref="L90:L99" si="75">if(D90-E90=C90,"ok","Error")</f>
        <v>ok</v>
      </c>
    </row>
    <row r="91">
      <c r="A91" s="1"/>
      <c r="B91" s="43" t="str">
        <f>IFERROR(__xludf.DUMMYFUNCTION("""COMPUTED_VALUE"""),"David Shin")</f>
        <v>David Shin</v>
      </c>
      <c r="C91" s="84">
        <f>IFERROR(__xludf.DUMMYFUNCTION("""COMPUTED_VALUE"""),0.0)</f>
        <v>0</v>
      </c>
      <c r="D91" s="84">
        <f t="shared" si="71"/>
        <v>2</v>
      </c>
      <c r="E91" s="84">
        <f t="shared" si="72"/>
        <v>2</v>
      </c>
      <c r="F91" s="84">
        <f t="shared" si="73"/>
        <v>13</v>
      </c>
      <c r="G91" s="84">
        <f t="shared" si="74"/>
        <v>0</v>
      </c>
      <c r="L91" s="84" t="str">
        <f t="shared" si="75"/>
        <v>ok</v>
      </c>
    </row>
    <row r="92">
      <c r="A92" s="1"/>
      <c r="B92" s="43" t="str">
        <f>IFERROR(__xludf.DUMMYFUNCTION("""COMPUTED_VALUE"""),"Tom Le")</f>
        <v>Tom Le</v>
      </c>
      <c r="C92" s="84">
        <f>IFERROR(__xludf.DUMMYFUNCTION("""COMPUTED_VALUE"""),0.0)</f>
        <v>0</v>
      </c>
      <c r="D92" s="84">
        <f t="shared" si="71"/>
        <v>3</v>
      </c>
      <c r="E92" s="84">
        <f t="shared" si="72"/>
        <v>3</v>
      </c>
      <c r="F92" s="84">
        <f t="shared" si="73"/>
        <v>13</v>
      </c>
      <c r="G92" s="84">
        <f t="shared" si="74"/>
        <v>0</v>
      </c>
      <c r="L92" s="84" t="str">
        <f t="shared" si="75"/>
        <v>ok</v>
      </c>
      <c r="Q92" s="90"/>
    </row>
    <row r="93">
      <c r="A93" s="1"/>
      <c r="B93" s="43" t="str">
        <f>IFERROR(__xludf.DUMMYFUNCTION("""COMPUTED_VALUE"""),"Pulkit Mathur")</f>
        <v>Pulkit Mathur</v>
      </c>
      <c r="C93" s="84">
        <f>IFERROR(__xludf.DUMMYFUNCTION("""COMPUTED_VALUE"""),0.0)</f>
        <v>0</v>
      </c>
      <c r="D93" s="84">
        <f t="shared" si="71"/>
        <v>4</v>
      </c>
      <c r="E93" s="84">
        <f t="shared" si="72"/>
        <v>4</v>
      </c>
      <c r="F93" s="84">
        <f t="shared" si="73"/>
        <v>13</v>
      </c>
      <c r="G93" s="84">
        <f t="shared" si="74"/>
        <v>0</v>
      </c>
      <c r="L93" s="84" t="str">
        <f t="shared" si="75"/>
        <v>ok</v>
      </c>
    </row>
    <row r="94">
      <c r="A94" s="1"/>
      <c r="B94" s="43" t="str">
        <f>IFERROR(__xludf.DUMMYFUNCTION("""COMPUTED_VALUE"""),"Ted Shen")</f>
        <v>Ted Shen</v>
      </c>
      <c r="C94" s="84">
        <f>IFERROR(__xludf.DUMMYFUNCTION("""COMPUTED_VALUE"""),0.0)</f>
        <v>0</v>
      </c>
      <c r="D94" s="84">
        <f t="shared" si="71"/>
        <v>5</v>
      </c>
      <c r="E94" s="84">
        <f t="shared" si="72"/>
        <v>5</v>
      </c>
      <c r="F94" s="84">
        <f t="shared" si="73"/>
        <v>18</v>
      </c>
      <c r="G94" s="84">
        <f t="shared" si="74"/>
        <v>5</v>
      </c>
      <c r="L94" s="84" t="str">
        <f t="shared" si="75"/>
        <v>ok</v>
      </c>
    </row>
    <row r="95">
      <c r="A95" s="1"/>
      <c r="B95" s="43" t="str">
        <f>IFERROR(__xludf.DUMMYFUNCTION("""COMPUTED_VALUE"""),"Suleman Alidina")</f>
        <v>Suleman Alidina</v>
      </c>
      <c r="C95" s="84">
        <f>IFERROR(__xludf.DUMMYFUNCTION("""COMPUTED_VALUE"""),0.0)</f>
        <v>0</v>
      </c>
      <c r="D95" s="84">
        <f t="shared" si="71"/>
        <v>6</v>
      </c>
      <c r="E95" s="84">
        <f t="shared" si="72"/>
        <v>6</v>
      </c>
      <c r="F95" s="84">
        <f t="shared" si="73"/>
        <v>15</v>
      </c>
      <c r="G95" s="84">
        <f t="shared" si="74"/>
        <v>2</v>
      </c>
      <c r="L95" s="84" t="str">
        <f t="shared" si="75"/>
        <v>ok</v>
      </c>
    </row>
    <row r="96">
      <c r="A96" s="1"/>
      <c r="B96" s="43" t="str">
        <f>IFERROR(__xludf.DUMMYFUNCTION("""COMPUTED_VALUE"""),"Scott Li")</f>
        <v>Scott Li</v>
      </c>
      <c r="C96" s="84">
        <f>IFERROR(__xludf.DUMMYFUNCTION("""COMPUTED_VALUE"""),0.0)</f>
        <v>0</v>
      </c>
      <c r="D96" s="84">
        <f t="shared" si="71"/>
        <v>7</v>
      </c>
      <c r="E96" s="84">
        <f t="shared" si="72"/>
        <v>7</v>
      </c>
      <c r="F96" s="84">
        <f t="shared" si="73"/>
        <v>12</v>
      </c>
      <c r="G96" s="84">
        <f t="shared" si="74"/>
        <v>1</v>
      </c>
      <c r="L96" s="84" t="str">
        <f t="shared" si="75"/>
        <v>ok</v>
      </c>
    </row>
    <row r="97">
      <c r="A97" s="1"/>
      <c r="B97" s="43" t="str">
        <f>IFERROR(__xludf.DUMMYFUNCTION("""COMPUTED_VALUE"""),"Frank Moon")</f>
        <v>Frank Moon</v>
      </c>
      <c r="C97" s="84">
        <f>IFERROR(__xludf.DUMMYFUNCTION("""COMPUTED_VALUE"""),0.0)</f>
        <v>0</v>
      </c>
      <c r="D97" s="84">
        <f t="shared" si="71"/>
        <v>8</v>
      </c>
      <c r="E97" s="84">
        <f t="shared" si="72"/>
        <v>8</v>
      </c>
      <c r="F97" s="84">
        <f t="shared" si="73"/>
        <v>9</v>
      </c>
      <c r="G97" s="84">
        <f t="shared" si="74"/>
        <v>0</v>
      </c>
      <c r="L97" s="84" t="str">
        <f t="shared" si="75"/>
        <v>ok</v>
      </c>
    </row>
    <row r="98">
      <c r="A98" s="1"/>
      <c r="B98" s="43" t="str">
        <f>IFERROR(__xludf.DUMMYFUNCTION("""COMPUTED_VALUE"""),"Lam Bui")</f>
        <v>Lam Bui</v>
      </c>
      <c r="C98" s="84">
        <f>IFERROR(__xludf.DUMMYFUNCTION("""COMPUTED_VALUE"""),0.0)</f>
        <v>0</v>
      </c>
      <c r="D98" s="84">
        <f t="shared" si="71"/>
        <v>9</v>
      </c>
      <c r="E98" s="84">
        <f t="shared" si="72"/>
        <v>9</v>
      </c>
      <c r="F98" s="84">
        <f t="shared" si="73"/>
        <v>13</v>
      </c>
      <c r="G98" s="84">
        <f t="shared" si="74"/>
        <v>0</v>
      </c>
      <c r="L98" s="84" t="str">
        <f t="shared" si="75"/>
        <v>ok</v>
      </c>
    </row>
    <row r="99">
      <c r="A99" s="1"/>
      <c r="B99" s="43" t="str">
        <f>IFERROR(__xludf.DUMMYFUNCTION("""COMPUTED_VALUE"""),"James Phan")</f>
        <v>James Phan</v>
      </c>
      <c r="C99" s="84">
        <f>IFERROR(__xludf.DUMMYFUNCTION("""COMPUTED_VALUE"""),0.0)</f>
        <v>0</v>
      </c>
      <c r="D99" s="84">
        <f t="shared" si="71"/>
        <v>10</v>
      </c>
      <c r="E99" s="84">
        <f t="shared" si="72"/>
        <v>10</v>
      </c>
      <c r="F99" s="84">
        <f t="shared" si="73"/>
        <v>13</v>
      </c>
      <c r="G99" s="84">
        <f t="shared" si="74"/>
        <v>0</v>
      </c>
      <c r="L99" s="84" t="str">
        <f t="shared" si="75"/>
        <v>ok</v>
      </c>
    </row>
    <row r="100">
      <c r="A100" s="1"/>
      <c r="B100" s="33"/>
      <c r="C100" s="1"/>
      <c r="E100" s="1"/>
      <c r="F100" s="1"/>
    </row>
    <row r="101">
      <c r="A101" s="1"/>
      <c r="B101" s="33"/>
      <c r="C101" s="1"/>
      <c r="E101" s="1"/>
      <c r="F101" s="1"/>
    </row>
    <row r="102">
      <c r="A102" s="1"/>
      <c r="B102" s="81" t="s">
        <v>159</v>
      </c>
      <c r="C102" s="81" t="s">
        <v>160</v>
      </c>
      <c r="D102" s="87" t="s">
        <v>154</v>
      </c>
      <c r="E102" s="88" t="s">
        <v>155</v>
      </c>
      <c r="F102" s="89" t="s">
        <v>156</v>
      </c>
      <c r="G102" s="86" t="s">
        <v>157</v>
      </c>
      <c r="L102" s="86" t="s">
        <v>158</v>
      </c>
    </row>
    <row r="103">
      <c r="A103" s="1"/>
      <c r="B103" s="43" t="str">
        <f>IFERROR(__xludf.DUMMYFUNCTION("query(B5:V69,""select B, V order by V asc Limit 10"")"),"Adrian Tay")</f>
        <v>Adrian Tay</v>
      </c>
      <c r="C103" s="84">
        <f>IFERROR(__xludf.DUMMYFUNCTION("""COMPUTED_VALUE"""),0.0)</f>
        <v>0</v>
      </c>
      <c r="D103" s="84">
        <f t="shared" ref="D103:D112" si="76">VLOOKUP(B103,indirect($AB$2&amp;"!B$5:w$70"),22, false)</f>
        <v>1</v>
      </c>
      <c r="E103" s="84">
        <f t="shared" ref="E103:E112" si="77">VLOOKUP(B103,B$5:W$69,22, false)</f>
        <v>1</v>
      </c>
      <c r="F103" s="84">
        <f t="shared" ref="F103:F112" si="78">VLOOKUP(B103,indirect($AB$2&amp;"!B$5:U$70"),11, false)</f>
        <v>18</v>
      </c>
      <c r="G103" s="84">
        <f t="shared" ref="G103:G112" si="79">VLOOKUP(B103,indirect($AB$2&amp;"!B$5:U$70"),6, false)</f>
        <v>1</v>
      </c>
      <c r="L103" s="84" t="str">
        <f t="shared" ref="L103:L112" si="80">if(D103-E103=C103,"ok","Error")</f>
        <v>ok</v>
      </c>
    </row>
    <row r="104">
      <c r="A104" s="1"/>
      <c r="B104" s="43" t="str">
        <f>IFERROR(__xludf.DUMMYFUNCTION("""COMPUTED_VALUE"""),"David Shin")</f>
        <v>David Shin</v>
      </c>
      <c r="C104" s="84">
        <f>IFERROR(__xludf.DUMMYFUNCTION("""COMPUTED_VALUE"""),0.0)</f>
        <v>0</v>
      </c>
      <c r="D104" s="84">
        <f t="shared" si="76"/>
        <v>2</v>
      </c>
      <c r="E104" s="84">
        <f t="shared" si="77"/>
        <v>2</v>
      </c>
      <c r="F104" s="84">
        <f t="shared" si="78"/>
        <v>13</v>
      </c>
      <c r="G104" s="84">
        <f t="shared" si="79"/>
        <v>0</v>
      </c>
      <c r="L104" s="84" t="str">
        <f t="shared" si="80"/>
        <v>ok</v>
      </c>
    </row>
    <row r="105">
      <c r="A105" s="1"/>
      <c r="B105" s="43" t="str">
        <f>IFERROR(__xludf.DUMMYFUNCTION("""COMPUTED_VALUE"""),"Tom Le")</f>
        <v>Tom Le</v>
      </c>
      <c r="C105" s="84">
        <f>IFERROR(__xludf.DUMMYFUNCTION("""COMPUTED_VALUE"""),0.0)</f>
        <v>0</v>
      </c>
      <c r="D105" s="84">
        <f t="shared" si="76"/>
        <v>3</v>
      </c>
      <c r="E105" s="84">
        <f t="shared" si="77"/>
        <v>3</v>
      </c>
      <c r="F105" s="84">
        <f t="shared" si="78"/>
        <v>13</v>
      </c>
      <c r="G105" s="84">
        <f t="shared" si="79"/>
        <v>0</v>
      </c>
      <c r="L105" s="84" t="str">
        <f t="shared" si="80"/>
        <v>ok</v>
      </c>
    </row>
    <row r="106">
      <c r="A106" s="1"/>
      <c r="B106" s="43" t="str">
        <f>IFERROR(__xludf.DUMMYFUNCTION("""COMPUTED_VALUE"""),"Pulkit Mathur")</f>
        <v>Pulkit Mathur</v>
      </c>
      <c r="C106" s="84">
        <f>IFERROR(__xludf.DUMMYFUNCTION("""COMPUTED_VALUE"""),0.0)</f>
        <v>0</v>
      </c>
      <c r="D106" s="84">
        <f t="shared" si="76"/>
        <v>4</v>
      </c>
      <c r="E106" s="84">
        <f t="shared" si="77"/>
        <v>4</v>
      </c>
      <c r="F106" s="84">
        <f t="shared" si="78"/>
        <v>13</v>
      </c>
      <c r="G106" s="84">
        <f t="shared" si="79"/>
        <v>0</v>
      </c>
      <c r="L106" s="84" t="str">
        <f t="shared" si="80"/>
        <v>ok</v>
      </c>
    </row>
    <row r="107">
      <c r="A107" s="1"/>
      <c r="B107" s="43" t="str">
        <f>IFERROR(__xludf.DUMMYFUNCTION("""COMPUTED_VALUE"""),"Ted Shen")</f>
        <v>Ted Shen</v>
      </c>
      <c r="C107" s="84">
        <f>IFERROR(__xludf.DUMMYFUNCTION("""COMPUTED_VALUE"""),0.0)</f>
        <v>0</v>
      </c>
      <c r="D107" s="84">
        <f t="shared" si="76"/>
        <v>5</v>
      </c>
      <c r="E107" s="84">
        <f t="shared" si="77"/>
        <v>5</v>
      </c>
      <c r="F107" s="84">
        <f t="shared" si="78"/>
        <v>18</v>
      </c>
      <c r="G107" s="84">
        <f t="shared" si="79"/>
        <v>5</v>
      </c>
      <c r="L107" s="84" t="str">
        <f t="shared" si="80"/>
        <v>ok</v>
      </c>
    </row>
    <row r="108">
      <c r="A108" s="1"/>
      <c r="B108" s="43" t="str">
        <f>IFERROR(__xludf.DUMMYFUNCTION("""COMPUTED_VALUE"""),"Suleman Alidina")</f>
        <v>Suleman Alidina</v>
      </c>
      <c r="C108" s="84">
        <f>IFERROR(__xludf.DUMMYFUNCTION("""COMPUTED_VALUE"""),0.0)</f>
        <v>0</v>
      </c>
      <c r="D108" s="84">
        <f t="shared" si="76"/>
        <v>6</v>
      </c>
      <c r="E108" s="84">
        <f t="shared" si="77"/>
        <v>6</v>
      </c>
      <c r="F108" s="84">
        <f t="shared" si="78"/>
        <v>15</v>
      </c>
      <c r="G108" s="84">
        <f t="shared" si="79"/>
        <v>2</v>
      </c>
      <c r="L108" s="84" t="str">
        <f t="shared" si="80"/>
        <v>ok</v>
      </c>
    </row>
    <row r="109">
      <c r="A109" s="1"/>
      <c r="B109" s="43" t="str">
        <f>IFERROR(__xludf.DUMMYFUNCTION("""COMPUTED_VALUE"""),"Scott Li")</f>
        <v>Scott Li</v>
      </c>
      <c r="C109" s="84">
        <f>IFERROR(__xludf.DUMMYFUNCTION("""COMPUTED_VALUE"""),0.0)</f>
        <v>0</v>
      </c>
      <c r="D109" s="84">
        <f t="shared" si="76"/>
        <v>7</v>
      </c>
      <c r="E109" s="84">
        <f t="shared" si="77"/>
        <v>7</v>
      </c>
      <c r="F109" s="84">
        <f t="shared" si="78"/>
        <v>12</v>
      </c>
      <c r="G109" s="84">
        <f t="shared" si="79"/>
        <v>1</v>
      </c>
      <c r="L109" s="84" t="str">
        <f t="shared" si="80"/>
        <v>ok</v>
      </c>
    </row>
    <row r="110">
      <c r="A110" s="1"/>
      <c r="B110" s="43" t="str">
        <f>IFERROR(__xludf.DUMMYFUNCTION("""COMPUTED_VALUE"""),"Frank Moon")</f>
        <v>Frank Moon</v>
      </c>
      <c r="C110" s="84">
        <f>IFERROR(__xludf.DUMMYFUNCTION("""COMPUTED_VALUE"""),0.0)</f>
        <v>0</v>
      </c>
      <c r="D110" s="84">
        <f t="shared" si="76"/>
        <v>8</v>
      </c>
      <c r="E110" s="84">
        <f t="shared" si="77"/>
        <v>8</v>
      </c>
      <c r="F110" s="84">
        <f t="shared" si="78"/>
        <v>9</v>
      </c>
      <c r="G110" s="84">
        <f t="shared" si="79"/>
        <v>0</v>
      </c>
      <c r="L110" s="84" t="str">
        <f t="shared" si="80"/>
        <v>ok</v>
      </c>
    </row>
    <row r="111">
      <c r="A111" s="1"/>
      <c r="B111" s="43" t="str">
        <f>IFERROR(__xludf.DUMMYFUNCTION("""COMPUTED_VALUE"""),"Lam Bui")</f>
        <v>Lam Bui</v>
      </c>
      <c r="C111" s="84">
        <f>IFERROR(__xludf.DUMMYFUNCTION("""COMPUTED_VALUE"""),0.0)</f>
        <v>0</v>
      </c>
      <c r="D111" s="84">
        <f t="shared" si="76"/>
        <v>9</v>
      </c>
      <c r="E111" s="84">
        <f t="shared" si="77"/>
        <v>9</v>
      </c>
      <c r="F111" s="84">
        <f t="shared" si="78"/>
        <v>13</v>
      </c>
      <c r="G111" s="84">
        <f t="shared" si="79"/>
        <v>0</v>
      </c>
      <c r="L111" s="84" t="str">
        <f t="shared" si="80"/>
        <v>ok</v>
      </c>
    </row>
    <row r="112">
      <c r="A112" s="1"/>
      <c r="B112" s="43" t="str">
        <f>IFERROR(__xludf.DUMMYFUNCTION("""COMPUTED_VALUE"""),"James Phan")</f>
        <v>James Phan</v>
      </c>
      <c r="C112" s="84">
        <f>IFERROR(__xludf.DUMMYFUNCTION("""COMPUTED_VALUE"""),0.0)</f>
        <v>0</v>
      </c>
      <c r="D112" s="84">
        <f t="shared" si="76"/>
        <v>10</v>
      </c>
      <c r="E112" s="84">
        <f t="shared" si="77"/>
        <v>10</v>
      </c>
      <c r="F112" s="84">
        <f t="shared" si="78"/>
        <v>13</v>
      </c>
      <c r="G112" s="84">
        <f t="shared" si="79"/>
        <v>0</v>
      </c>
      <c r="L112" s="84" t="str">
        <f t="shared" si="80"/>
        <v>ok</v>
      </c>
    </row>
    <row r="113">
      <c r="A113" s="1"/>
      <c r="B113" s="33"/>
      <c r="C113" s="1"/>
      <c r="E113" s="1"/>
      <c r="F113" s="1"/>
    </row>
    <row r="114">
      <c r="A114" s="1"/>
      <c r="B114" s="33"/>
      <c r="C114" s="1"/>
      <c r="E114" s="1"/>
      <c r="F114" s="1"/>
    </row>
    <row r="115">
      <c r="A115" s="1"/>
      <c r="B115" s="33"/>
      <c r="C115" s="1"/>
      <c r="E115" s="1"/>
      <c r="F115" s="1"/>
    </row>
    <row r="116">
      <c r="A116" s="1"/>
      <c r="B116" s="33"/>
      <c r="C116" s="1"/>
      <c r="E116" s="1"/>
      <c r="F116" s="1"/>
    </row>
    <row r="117">
      <c r="A117" s="1"/>
      <c r="B117" s="33"/>
      <c r="C117" s="1"/>
      <c r="D117" s="1"/>
      <c r="E117" s="1"/>
      <c r="F117" s="1"/>
    </row>
    <row r="118">
      <c r="A118" s="91" t="s">
        <v>161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</row>
    <row r="119">
      <c r="A119" s="92"/>
      <c r="B119" s="81" t="s">
        <v>162</v>
      </c>
      <c r="C119" s="93" t="s">
        <v>163</v>
      </c>
      <c r="D119" s="23"/>
      <c r="E119" s="24"/>
      <c r="F119" s="93" t="s">
        <v>164</v>
      </c>
      <c r="G119" s="23"/>
      <c r="H119" s="24"/>
      <c r="I119" s="94" t="s">
        <v>165</v>
      </c>
      <c r="J119" s="23"/>
      <c r="K119" s="23"/>
      <c r="L119" s="23"/>
      <c r="M119" s="24"/>
    </row>
    <row r="120">
      <c r="A120" s="83">
        <v>1.0</v>
      </c>
      <c r="B120" s="43" t="str">
        <f>IFERROR(__xludf.DUMMYFUNCTION("query(B5:V69,""select B where R = 'X' order by B asc"")"),"Jimmy Awolesi")</f>
        <v>Jimmy Awolesi</v>
      </c>
      <c r="C120" s="95" t="str">
        <f>IFERROR(__xludf.DUMMYFUNCTION("query(B5:V69,""select B where R = '' order by B asc"")"),"Adrian Tay")</f>
        <v>Adrian Tay</v>
      </c>
      <c r="D120" s="23"/>
      <c r="E120" s="24"/>
      <c r="F120" s="95"/>
      <c r="G120" s="23"/>
      <c r="H120" s="24"/>
      <c r="I120" s="95"/>
      <c r="J120" s="23"/>
      <c r="K120" s="23"/>
      <c r="L120" s="23"/>
      <c r="M120" s="24"/>
    </row>
    <row r="121">
      <c r="A121" s="83">
        <f t="shared" ref="A121:A184" si="81">A120+1</f>
        <v>2</v>
      </c>
      <c r="B121" s="43"/>
      <c r="C121" s="95" t="str">
        <f>IFERROR(__xludf.DUMMYFUNCTION("""COMPUTED_VALUE"""),"Alan Sung")</f>
        <v>Alan Sung</v>
      </c>
      <c r="D121" s="23"/>
      <c r="E121" s="24"/>
      <c r="F121" s="95"/>
      <c r="G121" s="23"/>
      <c r="H121" s="24"/>
      <c r="I121" s="95"/>
      <c r="J121" s="23"/>
      <c r="K121" s="23"/>
      <c r="L121" s="23"/>
      <c r="M121" s="24"/>
    </row>
    <row r="122">
      <c r="A122" s="83">
        <f t="shared" si="81"/>
        <v>3</v>
      </c>
      <c r="B122" s="43"/>
      <c r="C122" s="95" t="str">
        <f>IFERROR(__xludf.DUMMYFUNCTION("""COMPUTED_VALUE"""),"Alejandro Mejia")</f>
        <v>Alejandro Mejia</v>
      </c>
      <c r="D122" s="23"/>
      <c r="E122" s="24"/>
      <c r="F122" s="95"/>
      <c r="G122" s="23"/>
      <c r="H122" s="24"/>
      <c r="I122" s="95"/>
      <c r="J122" s="23"/>
      <c r="K122" s="23"/>
      <c r="L122" s="23"/>
      <c r="M122" s="24"/>
    </row>
    <row r="123">
      <c r="A123" s="83">
        <f t="shared" si="81"/>
        <v>4</v>
      </c>
      <c r="B123" s="43"/>
      <c r="C123" s="95" t="str">
        <f>IFERROR(__xludf.DUMMYFUNCTION("""COMPUTED_VALUE"""),"Alex Hou")</f>
        <v>Alex Hou</v>
      </c>
      <c r="D123" s="23"/>
      <c r="E123" s="24"/>
      <c r="F123" s="95"/>
      <c r="G123" s="23"/>
      <c r="H123" s="24"/>
      <c r="I123" s="95"/>
      <c r="J123" s="23"/>
      <c r="K123" s="23"/>
      <c r="L123" s="23"/>
      <c r="M123" s="24"/>
    </row>
    <row r="124">
      <c r="A124" s="83">
        <f t="shared" si="81"/>
        <v>5</v>
      </c>
      <c r="B124" s="43"/>
      <c r="C124" s="95" t="str">
        <f>IFERROR(__xludf.DUMMYFUNCTION("""COMPUTED_VALUE"""),"Allen Zhang")</f>
        <v>Allen Zhang</v>
      </c>
      <c r="D124" s="23"/>
      <c r="E124" s="24"/>
      <c r="F124" s="95"/>
      <c r="G124" s="23"/>
      <c r="H124" s="24"/>
      <c r="I124" s="95"/>
      <c r="J124" s="23"/>
      <c r="K124" s="23"/>
      <c r="L124" s="23"/>
      <c r="M124" s="24"/>
    </row>
    <row r="125">
      <c r="A125" s="83">
        <f t="shared" si="81"/>
        <v>6</v>
      </c>
      <c r="B125" s="43"/>
      <c r="C125" s="95" t="str">
        <f>IFERROR(__xludf.DUMMYFUNCTION("""COMPUTED_VALUE"""),"Andrew Wen")</f>
        <v>Andrew Wen</v>
      </c>
      <c r="D125" s="23"/>
      <c r="E125" s="24"/>
      <c r="F125" s="95"/>
      <c r="G125" s="23"/>
      <c r="H125" s="24"/>
      <c r="I125" s="95"/>
      <c r="J125" s="23"/>
      <c r="K125" s="23"/>
      <c r="L125" s="23"/>
      <c r="M125" s="24"/>
    </row>
    <row r="126">
      <c r="A126" s="83">
        <f t="shared" si="81"/>
        <v>7</v>
      </c>
      <c r="B126" s="43"/>
      <c r="C126" s="95" t="str">
        <f>IFERROR(__xludf.DUMMYFUNCTION("""COMPUTED_VALUE"""),"Balaji Alahari")</f>
        <v>Balaji Alahari</v>
      </c>
      <c r="D126" s="23"/>
      <c r="E126" s="24"/>
      <c r="F126" s="95"/>
      <c r="G126" s="23"/>
      <c r="H126" s="24"/>
      <c r="I126" s="95"/>
      <c r="J126" s="23"/>
      <c r="K126" s="23"/>
      <c r="L126" s="23"/>
      <c r="M126" s="24"/>
    </row>
    <row r="127">
      <c r="A127" s="83">
        <f t="shared" si="81"/>
        <v>8</v>
      </c>
      <c r="B127" s="43"/>
      <c r="C127" s="95" t="str">
        <f>IFERROR(__xludf.DUMMYFUNCTION("""COMPUTED_VALUE"""),"Barathi Sundaram")</f>
        <v>Barathi Sundaram</v>
      </c>
      <c r="D127" s="23"/>
      <c r="E127" s="24"/>
      <c r="F127" s="95"/>
      <c r="G127" s="23"/>
      <c r="H127" s="24"/>
      <c r="I127" s="95"/>
      <c r="J127" s="23"/>
      <c r="K127" s="23"/>
      <c r="L127" s="23"/>
      <c r="M127" s="24"/>
    </row>
    <row r="128">
      <c r="A128" s="83">
        <f t="shared" si="81"/>
        <v>9</v>
      </c>
      <c r="B128" s="43"/>
      <c r="C128" s="95" t="str">
        <f>IFERROR(__xludf.DUMMYFUNCTION("""COMPUTED_VALUE"""),"Basudev Thoppai Vidyasankar")</f>
        <v>Basudev Thoppai Vidyasankar</v>
      </c>
      <c r="D128" s="23"/>
      <c r="E128" s="24"/>
      <c r="F128" s="95"/>
      <c r="G128" s="23"/>
      <c r="H128" s="24"/>
      <c r="I128" s="95"/>
      <c r="J128" s="23"/>
      <c r="K128" s="23"/>
      <c r="L128" s="23"/>
      <c r="M128" s="24"/>
    </row>
    <row r="129">
      <c r="A129" s="83">
        <f t="shared" si="81"/>
        <v>10</v>
      </c>
      <c r="B129" s="43"/>
      <c r="C129" s="95" t="str">
        <f>IFERROR(__xludf.DUMMYFUNCTION("""COMPUTED_VALUE"""),"Chinna Ponnaganti")</f>
        <v>Chinna Ponnaganti</v>
      </c>
      <c r="D129" s="23"/>
      <c r="E129" s="24"/>
      <c r="F129" s="95"/>
      <c r="G129" s="23"/>
      <c r="H129" s="24"/>
      <c r="I129" s="95"/>
      <c r="J129" s="23"/>
      <c r="K129" s="23"/>
      <c r="L129" s="23"/>
      <c r="M129" s="24"/>
    </row>
    <row r="130">
      <c r="A130" s="83">
        <f t="shared" si="81"/>
        <v>11</v>
      </c>
      <c r="B130" s="43"/>
      <c r="C130" s="95" t="str">
        <f>IFERROR(__xludf.DUMMYFUNCTION("""COMPUTED_VALUE"""),"Cid Macaraeg")</f>
        <v>Cid Macaraeg</v>
      </c>
      <c r="D130" s="23"/>
      <c r="E130" s="24"/>
      <c r="F130" s="95"/>
      <c r="G130" s="23"/>
      <c r="H130" s="24"/>
      <c r="I130" s="95"/>
      <c r="J130" s="23"/>
      <c r="K130" s="23"/>
      <c r="L130" s="23"/>
      <c r="M130" s="24"/>
    </row>
    <row r="131">
      <c r="A131" s="83">
        <f t="shared" si="81"/>
        <v>12</v>
      </c>
      <c r="B131" s="43"/>
      <c r="C131" s="95" t="str">
        <f>IFERROR(__xludf.DUMMYFUNCTION("""COMPUTED_VALUE"""),"Coco Yan")</f>
        <v>Coco Yan</v>
      </c>
      <c r="D131" s="23"/>
      <c r="E131" s="24"/>
      <c r="F131" s="95"/>
      <c r="G131" s="23"/>
      <c r="H131" s="24"/>
      <c r="I131" s="95"/>
      <c r="J131" s="23"/>
      <c r="K131" s="23"/>
      <c r="L131" s="23"/>
      <c r="M131" s="24"/>
    </row>
    <row r="132">
      <c r="A132" s="83">
        <f t="shared" si="81"/>
        <v>13</v>
      </c>
      <c r="B132" s="43"/>
      <c r="C132" s="95" t="str">
        <f>IFERROR(__xludf.DUMMYFUNCTION("""COMPUTED_VALUE"""),"David Shin")</f>
        <v>David Shin</v>
      </c>
      <c r="D132" s="23"/>
      <c r="E132" s="24"/>
      <c r="F132" s="95"/>
      <c r="G132" s="23"/>
      <c r="H132" s="24"/>
      <c r="I132" s="95"/>
      <c r="J132" s="23"/>
      <c r="K132" s="23"/>
      <c r="L132" s="23"/>
      <c r="M132" s="24"/>
    </row>
    <row r="133">
      <c r="A133" s="83">
        <f t="shared" si="81"/>
        <v>14</v>
      </c>
      <c r="B133" s="43"/>
      <c r="C133" s="95" t="str">
        <f>IFERROR(__xludf.DUMMYFUNCTION("""COMPUTED_VALUE"""),"Elayaraja Thangaraj ")</f>
        <v>Elayaraja Thangaraj </v>
      </c>
      <c r="D133" s="23"/>
      <c r="E133" s="24"/>
      <c r="F133" s="95"/>
      <c r="G133" s="23"/>
      <c r="H133" s="24"/>
      <c r="I133" s="95"/>
      <c r="J133" s="23"/>
      <c r="K133" s="23"/>
      <c r="L133" s="23"/>
      <c r="M133" s="24"/>
    </row>
    <row r="134">
      <c r="A134" s="83">
        <f t="shared" si="81"/>
        <v>15</v>
      </c>
      <c r="B134" s="43"/>
      <c r="C134" s="95" t="str">
        <f>IFERROR(__xludf.DUMMYFUNCTION("""COMPUTED_VALUE"""),"Eric Pan")</f>
        <v>Eric Pan</v>
      </c>
      <c r="D134" s="23"/>
      <c r="E134" s="24"/>
      <c r="F134" s="95"/>
      <c r="G134" s="23"/>
      <c r="H134" s="24"/>
      <c r="I134" s="95"/>
      <c r="J134" s="23"/>
      <c r="K134" s="23"/>
      <c r="L134" s="23"/>
      <c r="M134" s="24"/>
    </row>
    <row r="135">
      <c r="A135" s="83">
        <f t="shared" si="81"/>
        <v>16</v>
      </c>
      <c r="B135" s="43"/>
      <c r="C135" s="95" t="str">
        <f>IFERROR(__xludf.DUMMYFUNCTION("""COMPUTED_VALUE"""),"Eric Tan")</f>
        <v>Eric Tan</v>
      </c>
      <c r="D135" s="23"/>
      <c r="E135" s="24"/>
      <c r="F135" s="95"/>
      <c r="G135" s="23"/>
      <c r="H135" s="24"/>
    </row>
    <row r="136">
      <c r="A136" s="83">
        <f t="shared" si="81"/>
        <v>17</v>
      </c>
      <c r="B136" s="43"/>
      <c r="C136" s="95" t="str">
        <f>IFERROR(__xludf.DUMMYFUNCTION("""COMPUTED_VALUE"""),"Erik Hoeckmann")</f>
        <v>Erik Hoeckmann</v>
      </c>
      <c r="D136" s="23"/>
      <c r="E136" s="24"/>
      <c r="F136" s="95"/>
      <c r="G136" s="23"/>
      <c r="H136" s="24"/>
    </row>
    <row r="137">
      <c r="A137" s="83">
        <f t="shared" si="81"/>
        <v>18</v>
      </c>
      <c r="B137" s="43"/>
      <c r="C137" s="95" t="str">
        <f>IFERROR(__xludf.DUMMYFUNCTION("""COMPUTED_VALUE"""),"Ethan Gu")</f>
        <v>Ethan Gu</v>
      </c>
      <c r="D137" s="23"/>
      <c r="E137" s="24"/>
      <c r="F137" s="95"/>
      <c r="G137" s="23"/>
      <c r="H137" s="24"/>
    </row>
    <row r="138">
      <c r="A138" s="83">
        <f t="shared" si="81"/>
        <v>19</v>
      </c>
      <c r="B138" s="43"/>
      <c r="C138" s="95" t="str">
        <f>IFERROR(__xludf.DUMMYFUNCTION("""COMPUTED_VALUE"""),"Frank Moon")</f>
        <v>Frank Moon</v>
      </c>
      <c r="D138" s="23"/>
      <c r="E138" s="24"/>
      <c r="F138" s="95"/>
      <c r="G138" s="23"/>
      <c r="H138" s="24"/>
    </row>
    <row r="139">
      <c r="A139" s="83">
        <f t="shared" si="81"/>
        <v>20</v>
      </c>
      <c r="B139" s="43"/>
      <c r="C139" s="95" t="str">
        <f>IFERROR(__xludf.DUMMYFUNCTION("""COMPUTED_VALUE"""),"Herman Au")</f>
        <v>Herman Au</v>
      </c>
      <c r="D139" s="23"/>
      <c r="E139" s="24"/>
      <c r="F139" s="95"/>
      <c r="G139" s="23"/>
      <c r="H139" s="24"/>
    </row>
    <row r="140">
      <c r="A140" s="83">
        <f t="shared" si="81"/>
        <v>21</v>
      </c>
      <c r="B140" s="43"/>
      <c r="C140" s="95" t="str">
        <f>IFERROR(__xludf.DUMMYFUNCTION("""COMPUTED_VALUE"""),"Hongyuan Wen")</f>
        <v>Hongyuan Wen</v>
      </c>
      <c r="D140" s="23"/>
      <c r="E140" s="24"/>
      <c r="F140" s="95"/>
      <c r="G140" s="23"/>
      <c r="H140" s="24"/>
    </row>
    <row r="141">
      <c r="A141" s="83">
        <f t="shared" si="81"/>
        <v>22</v>
      </c>
      <c r="B141" s="43"/>
      <c r="C141" s="95" t="str">
        <f>IFERROR(__xludf.DUMMYFUNCTION("""COMPUTED_VALUE"""),"Hubert J Sung")</f>
        <v>Hubert J Sung</v>
      </c>
      <c r="D141" s="23"/>
      <c r="E141" s="24"/>
      <c r="F141" s="95"/>
      <c r="G141" s="23"/>
      <c r="H141" s="24"/>
    </row>
    <row r="142">
      <c r="A142" s="83">
        <f t="shared" si="81"/>
        <v>23</v>
      </c>
      <c r="B142" s="43"/>
      <c r="C142" s="95" t="str">
        <f>IFERROR(__xludf.DUMMYFUNCTION("""COMPUTED_VALUE"""),"James Phan")</f>
        <v>James Phan</v>
      </c>
      <c r="D142" s="23"/>
      <c r="E142" s="24"/>
      <c r="F142" s="95"/>
      <c r="G142" s="23"/>
      <c r="H142" s="24"/>
    </row>
    <row r="143">
      <c r="A143" s="83">
        <f t="shared" si="81"/>
        <v>24</v>
      </c>
      <c r="B143" s="43"/>
      <c r="C143" s="95" t="str">
        <f>IFERROR(__xludf.DUMMYFUNCTION("""COMPUTED_VALUE"""),"Jim Miao")</f>
        <v>Jim Miao</v>
      </c>
      <c r="D143" s="23"/>
      <c r="E143" s="24"/>
      <c r="F143" s="95"/>
      <c r="G143" s="23"/>
      <c r="H143" s="24"/>
    </row>
    <row r="144">
      <c r="A144" s="83">
        <f t="shared" si="81"/>
        <v>25</v>
      </c>
      <c r="B144" s="43"/>
      <c r="C144" s="95" t="str">
        <f>IFERROR(__xludf.DUMMYFUNCTION("""COMPUTED_VALUE"""),"Joe Luzzi")</f>
        <v>Joe Luzzi</v>
      </c>
      <c r="D144" s="23"/>
      <c r="E144" s="24"/>
      <c r="F144" s="95"/>
      <c r="G144" s="23"/>
      <c r="H144" s="24"/>
    </row>
    <row r="145">
      <c r="A145" s="83">
        <f t="shared" si="81"/>
        <v>26</v>
      </c>
      <c r="B145" s="43"/>
      <c r="C145" s="95" t="str">
        <f>IFERROR(__xludf.DUMMYFUNCTION("""COMPUTED_VALUE"""),"Jonathan Phan")</f>
        <v>Jonathan Phan</v>
      </c>
      <c r="D145" s="23"/>
      <c r="E145" s="24"/>
      <c r="F145" s="95"/>
      <c r="G145" s="23"/>
      <c r="H145" s="24"/>
    </row>
    <row r="146">
      <c r="A146" s="83">
        <f t="shared" si="81"/>
        <v>27</v>
      </c>
      <c r="B146" s="43"/>
      <c r="C146" s="95" t="str">
        <f>IFERROR(__xludf.DUMMYFUNCTION("""COMPUTED_VALUE"""),"Joyce Zhu")</f>
        <v>Joyce Zhu</v>
      </c>
      <c r="D146" s="23"/>
      <c r="E146" s="24"/>
      <c r="F146" s="95"/>
      <c r="G146" s="23"/>
      <c r="H146" s="24"/>
    </row>
    <row r="147">
      <c r="A147" s="83">
        <f t="shared" si="81"/>
        <v>28</v>
      </c>
      <c r="B147" s="43"/>
      <c r="C147" s="95" t="str">
        <f>IFERROR(__xludf.DUMMYFUNCTION("""COMPUTED_VALUE"""),"Kumar Palakeel")</f>
        <v>Kumar Palakeel</v>
      </c>
      <c r="D147" s="23"/>
      <c r="E147" s="24"/>
      <c r="F147" s="95"/>
      <c r="G147" s="23"/>
      <c r="H147" s="24"/>
    </row>
    <row r="148">
      <c r="A148" s="83">
        <f t="shared" si="81"/>
        <v>29</v>
      </c>
      <c r="B148" s="43"/>
      <c r="C148" s="95" t="str">
        <f>IFERROR(__xludf.DUMMYFUNCTION("""COMPUTED_VALUE"""),"Lam Bui")</f>
        <v>Lam Bui</v>
      </c>
      <c r="D148" s="23"/>
      <c r="E148" s="24"/>
      <c r="F148" s="95"/>
      <c r="G148" s="23"/>
      <c r="H148" s="24"/>
    </row>
    <row r="149">
      <c r="A149" s="83">
        <f t="shared" si="81"/>
        <v>30</v>
      </c>
      <c r="B149" s="43"/>
      <c r="C149" s="95" t="str">
        <f>IFERROR(__xludf.DUMMYFUNCTION("""COMPUTED_VALUE"""),"Leigh-Anh Nguyen")</f>
        <v>Leigh-Anh Nguyen</v>
      </c>
      <c r="D149" s="23"/>
      <c r="E149" s="24"/>
      <c r="F149" s="95"/>
      <c r="G149" s="23"/>
      <c r="H149" s="24"/>
    </row>
    <row r="150">
      <c r="A150" s="83">
        <f t="shared" si="81"/>
        <v>31</v>
      </c>
      <c r="B150" s="43"/>
      <c r="C150" s="95" t="str">
        <f>IFERROR(__xludf.DUMMYFUNCTION("""COMPUTED_VALUE"""),"Lloyd Sagar")</f>
        <v>Lloyd Sagar</v>
      </c>
      <c r="D150" s="23"/>
      <c r="E150" s="24"/>
      <c r="F150" s="95"/>
      <c r="G150" s="23"/>
      <c r="H150" s="24"/>
    </row>
    <row r="151">
      <c r="A151" s="83">
        <f t="shared" si="81"/>
        <v>32</v>
      </c>
      <c r="B151" s="43"/>
      <c r="C151" s="95" t="str">
        <f>IFERROR(__xludf.DUMMYFUNCTION("""COMPUTED_VALUE"""),"Luis Hsu")</f>
        <v>Luis Hsu</v>
      </c>
      <c r="D151" s="23"/>
      <c r="E151" s="24"/>
      <c r="F151" s="95"/>
      <c r="G151" s="23"/>
      <c r="H151" s="24"/>
    </row>
    <row r="152">
      <c r="A152" s="83">
        <f t="shared" si="81"/>
        <v>33</v>
      </c>
      <c r="B152" s="43"/>
      <c r="C152" s="95" t="str">
        <f>IFERROR(__xludf.DUMMYFUNCTION("""COMPUTED_VALUE"""),"Manish Anand")</f>
        <v>Manish Anand</v>
      </c>
      <c r="D152" s="23"/>
      <c r="E152" s="24"/>
      <c r="F152" s="95"/>
      <c r="G152" s="23"/>
      <c r="H152" s="24"/>
    </row>
    <row r="153">
      <c r="A153" s="83">
        <f t="shared" si="81"/>
        <v>34</v>
      </c>
      <c r="B153" s="43"/>
      <c r="C153" s="95" t="str">
        <f>IFERROR(__xludf.DUMMYFUNCTION("""COMPUTED_VALUE"""),"Manuel Rivera")</f>
        <v>Manuel Rivera</v>
      </c>
      <c r="D153" s="23"/>
      <c r="E153" s="24"/>
      <c r="F153" s="95"/>
      <c r="G153" s="23"/>
      <c r="H153" s="24"/>
    </row>
    <row r="154">
      <c r="A154" s="83">
        <f t="shared" si="81"/>
        <v>35</v>
      </c>
      <c r="B154" s="43"/>
      <c r="C154" s="95" t="str">
        <f>IFERROR(__xludf.DUMMYFUNCTION("""COMPUTED_VALUE"""),"Matthew Huang")</f>
        <v>Matthew Huang</v>
      </c>
      <c r="D154" s="23"/>
      <c r="E154" s="24"/>
      <c r="F154" s="95"/>
      <c r="G154" s="23"/>
      <c r="H154" s="24"/>
    </row>
    <row r="155">
      <c r="A155" s="83">
        <f t="shared" si="81"/>
        <v>36</v>
      </c>
      <c r="B155" s="43"/>
      <c r="C155" s="95" t="str">
        <f>IFERROR(__xludf.DUMMYFUNCTION("""COMPUTED_VALUE"""),"Mauricio Palacios")</f>
        <v>Mauricio Palacios</v>
      </c>
      <c r="D155" s="23"/>
      <c r="E155" s="24"/>
      <c r="F155" s="95"/>
      <c r="G155" s="23"/>
      <c r="H155" s="24"/>
    </row>
    <row r="156">
      <c r="A156" s="83">
        <f t="shared" si="81"/>
        <v>37</v>
      </c>
      <c r="B156" s="43"/>
      <c r="C156" s="95" t="str">
        <f>IFERROR(__xludf.DUMMYFUNCTION("""COMPUTED_VALUE"""),"Naveen Raj")</f>
        <v>Naveen Raj</v>
      </c>
      <c r="D156" s="23"/>
      <c r="E156" s="24"/>
      <c r="F156" s="95"/>
      <c r="G156" s="23"/>
      <c r="H156" s="24"/>
    </row>
    <row r="157">
      <c r="A157" s="83">
        <f t="shared" si="81"/>
        <v>38</v>
      </c>
      <c r="B157" s="43"/>
      <c r="C157" s="95" t="str">
        <f>IFERROR(__xludf.DUMMYFUNCTION("""COMPUTED_VALUE"""),"Nicole Ni")</f>
        <v>Nicole Ni</v>
      </c>
      <c r="D157" s="23"/>
      <c r="E157" s="24"/>
      <c r="F157" s="95"/>
      <c r="G157" s="23"/>
      <c r="H157" s="24"/>
    </row>
    <row r="158">
      <c r="A158" s="83">
        <f t="shared" si="81"/>
        <v>39</v>
      </c>
      <c r="B158" s="43"/>
      <c r="C158" s="95" t="str">
        <f>IFERROR(__xludf.DUMMYFUNCTION("""COMPUTED_VALUE"""),"Oscar Bonilla")</f>
        <v>Oscar Bonilla</v>
      </c>
      <c r="D158" s="23"/>
      <c r="E158" s="24"/>
      <c r="F158" s="95"/>
      <c r="G158" s="23"/>
      <c r="H158" s="24"/>
    </row>
    <row r="159">
      <c r="A159" s="83">
        <f t="shared" si="81"/>
        <v>40</v>
      </c>
      <c r="B159" s="43"/>
      <c r="C159" s="95" t="str">
        <f>IFERROR(__xludf.DUMMYFUNCTION("""COMPUTED_VALUE"""),"Pavan Akkimsetty")</f>
        <v>Pavan Akkimsetty</v>
      </c>
      <c r="D159" s="23"/>
      <c r="E159" s="24"/>
      <c r="F159" s="95"/>
      <c r="G159" s="23"/>
      <c r="H159" s="24"/>
    </row>
    <row r="160">
      <c r="A160" s="83">
        <f t="shared" si="81"/>
        <v>41</v>
      </c>
      <c r="B160" s="43"/>
      <c r="C160" s="95" t="str">
        <f>IFERROR(__xludf.DUMMYFUNCTION("""COMPUTED_VALUE"""),"Pulkit Mathur")</f>
        <v>Pulkit Mathur</v>
      </c>
      <c r="D160" s="23"/>
      <c r="E160" s="24"/>
      <c r="F160" s="95"/>
      <c r="G160" s="23"/>
      <c r="H160" s="24"/>
    </row>
    <row r="161">
      <c r="A161" s="83">
        <f t="shared" si="81"/>
        <v>42</v>
      </c>
      <c r="B161" s="43"/>
      <c r="C161" s="95" t="str">
        <f>IFERROR(__xludf.DUMMYFUNCTION("""COMPUTED_VALUE"""),"Rajasekar Ramasamy")</f>
        <v>Rajasekar Ramasamy</v>
      </c>
      <c r="D161" s="23"/>
      <c r="E161" s="24"/>
      <c r="F161" s="95"/>
      <c r="G161" s="23"/>
      <c r="H161" s="24"/>
    </row>
    <row r="162">
      <c r="A162" s="83">
        <f t="shared" si="81"/>
        <v>43</v>
      </c>
      <c r="B162" s="43"/>
      <c r="C162" s="95" t="str">
        <f>IFERROR(__xludf.DUMMYFUNCTION("""COMPUTED_VALUE"""),"Rajesh Dorairaj")</f>
        <v>Rajesh Dorairaj</v>
      </c>
      <c r="D162" s="23"/>
      <c r="E162" s="24"/>
      <c r="F162" s="95"/>
      <c r="G162" s="23"/>
      <c r="H162" s="24"/>
    </row>
    <row r="163">
      <c r="A163" s="83">
        <f t="shared" si="81"/>
        <v>44</v>
      </c>
      <c r="B163" s="43"/>
      <c r="C163" s="95" t="str">
        <f>IFERROR(__xludf.DUMMYFUNCTION("""COMPUTED_VALUE"""),"Ramesh Bandaru")</f>
        <v>Ramesh Bandaru</v>
      </c>
      <c r="D163" s="23"/>
      <c r="E163" s="24"/>
      <c r="F163" s="95"/>
      <c r="G163" s="23"/>
      <c r="H163" s="24"/>
    </row>
    <row r="164">
      <c r="A164" s="83">
        <f t="shared" si="81"/>
        <v>45</v>
      </c>
      <c r="B164" s="43"/>
      <c r="C164" s="95" t="str">
        <f>IFERROR(__xludf.DUMMYFUNCTION("""COMPUTED_VALUE"""),"Robert Chang")</f>
        <v>Robert Chang</v>
      </c>
      <c r="D164" s="23"/>
      <c r="E164" s="24"/>
      <c r="F164" s="95"/>
      <c r="G164" s="23"/>
      <c r="H164" s="24"/>
    </row>
    <row r="165">
      <c r="A165" s="83">
        <f t="shared" si="81"/>
        <v>46</v>
      </c>
      <c r="B165" s="43"/>
      <c r="C165" s="95" t="str">
        <f>IFERROR(__xludf.DUMMYFUNCTION("""COMPUTED_VALUE"""),"Sandy Weyant")</f>
        <v>Sandy Weyant</v>
      </c>
      <c r="D165" s="23"/>
      <c r="E165" s="24"/>
      <c r="F165" s="95"/>
      <c r="G165" s="23"/>
      <c r="H165" s="24"/>
    </row>
    <row r="166">
      <c r="A166" s="83">
        <f t="shared" si="81"/>
        <v>47</v>
      </c>
      <c r="B166" s="43"/>
      <c r="C166" s="95" t="str">
        <f>IFERROR(__xludf.DUMMYFUNCTION("""COMPUTED_VALUE"""),"Sanjaye Elayattu")</f>
        <v>Sanjaye Elayattu</v>
      </c>
      <c r="D166" s="23"/>
      <c r="E166" s="24"/>
      <c r="F166" s="95"/>
      <c r="G166" s="23"/>
      <c r="H166" s="24"/>
    </row>
    <row r="167">
      <c r="A167" s="83">
        <f t="shared" si="81"/>
        <v>48</v>
      </c>
      <c r="B167" s="43"/>
      <c r="C167" s="95" t="str">
        <f>IFERROR(__xludf.DUMMYFUNCTION("""COMPUTED_VALUE"""),"Santosh Sundaresan ")</f>
        <v>Santosh Sundaresan </v>
      </c>
      <c r="D167" s="23"/>
      <c r="E167" s="24"/>
      <c r="F167" s="95"/>
      <c r="G167" s="23"/>
      <c r="H167" s="24"/>
    </row>
    <row r="168">
      <c r="A168" s="83">
        <f t="shared" si="81"/>
        <v>49</v>
      </c>
      <c r="B168" s="43"/>
      <c r="C168" s="95" t="str">
        <f>IFERROR(__xludf.DUMMYFUNCTION("""COMPUTED_VALUE"""),"Saravanan Veerapandian")</f>
        <v>Saravanan Veerapandian</v>
      </c>
      <c r="D168" s="23"/>
      <c r="E168" s="24"/>
      <c r="F168" s="95"/>
      <c r="G168" s="23"/>
      <c r="H168" s="24"/>
    </row>
    <row r="169">
      <c r="A169" s="83">
        <f t="shared" si="81"/>
        <v>50</v>
      </c>
      <c r="B169" s="43"/>
      <c r="C169" s="95" t="str">
        <f>IFERROR(__xludf.DUMMYFUNCTION("""COMPUTED_VALUE"""),"Scott Li")</f>
        <v>Scott Li</v>
      </c>
      <c r="D169" s="23"/>
      <c r="E169" s="24"/>
      <c r="F169" s="95"/>
      <c r="G169" s="23"/>
      <c r="H169" s="24"/>
    </row>
    <row r="170">
      <c r="A170" s="83">
        <f t="shared" si="81"/>
        <v>51</v>
      </c>
      <c r="B170" s="43"/>
      <c r="C170" s="95" t="str">
        <f>IFERROR(__xludf.DUMMYFUNCTION("""COMPUTED_VALUE"""),"Sean Chang")</f>
        <v>Sean Chang</v>
      </c>
      <c r="D170" s="23"/>
      <c r="E170" s="24"/>
      <c r="F170" s="95"/>
      <c r="G170" s="23"/>
      <c r="H170" s="24"/>
    </row>
    <row r="171">
      <c r="A171" s="83">
        <f t="shared" si="81"/>
        <v>52</v>
      </c>
      <c r="B171" s="43"/>
      <c r="C171" s="95" t="str">
        <f>IFERROR(__xludf.DUMMYFUNCTION("""COMPUTED_VALUE"""),"Suleman Alidina")</f>
        <v>Suleman Alidina</v>
      </c>
      <c r="D171" s="23"/>
      <c r="E171" s="24"/>
      <c r="F171" s="95"/>
      <c r="G171" s="23"/>
      <c r="H171" s="24"/>
    </row>
    <row r="172">
      <c r="A172" s="83">
        <f t="shared" si="81"/>
        <v>53</v>
      </c>
      <c r="B172" s="43"/>
      <c r="C172" s="95" t="str">
        <f>IFERROR(__xludf.DUMMYFUNCTION("""COMPUTED_VALUE"""),"Susanta Mishra")</f>
        <v>Susanta Mishra</v>
      </c>
      <c r="D172" s="23"/>
      <c r="E172" s="24"/>
      <c r="F172" s="95"/>
      <c r="G172" s="23"/>
      <c r="H172" s="24"/>
    </row>
    <row r="173">
      <c r="A173" s="83">
        <f t="shared" si="81"/>
        <v>54</v>
      </c>
      <c r="B173" s="43"/>
      <c r="C173" s="95" t="str">
        <f>IFERROR(__xludf.DUMMYFUNCTION("""COMPUTED_VALUE"""),"Ted Shen")</f>
        <v>Ted Shen</v>
      </c>
      <c r="D173" s="23"/>
      <c r="E173" s="24"/>
      <c r="F173" s="95"/>
      <c r="G173" s="23"/>
      <c r="H173" s="24"/>
    </row>
    <row r="174">
      <c r="A174" s="83">
        <f t="shared" si="81"/>
        <v>55</v>
      </c>
      <c r="B174" s="43"/>
      <c r="C174" s="95" t="str">
        <f>IFERROR(__xludf.DUMMYFUNCTION("""COMPUTED_VALUE"""),"Tina Hanson")</f>
        <v>Tina Hanson</v>
      </c>
      <c r="D174" s="23"/>
      <c r="E174" s="24"/>
      <c r="F174" s="95"/>
      <c r="G174" s="23"/>
      <c r="H174" s="24"/>
    </row>
    <row r="175">
      <c r="A175" s="83">
        <f t="shared" si="81"/>
        <v>56</v>
      </c>
      <c r="B175" s="43"/>
      <c r="C175" s="95" t="str">
        <f>IFERROR(__xludf.DUMMYFUNCTION("""COMPUTED_VALUE"""),"Tom Le")</f>
        <v>Tom Le</v>
      </c>
      <c r="D175" s="23"/>
      <c r="E175" s="24"/>
      <c r="F175" s="95"/>
      <c r="G175" s="23"/>
      <c r="H175" s="24"/>
    </row>
    <row r="176">
      <c r="A176" s="83">
        <f t="shared" si="81"/>
        <v>57</v>
      </c>
      <c r="B176" s="43"/>
      <c r="C176" s="95" t="str">
        <f>IFERROR(__xludf.DUMMYFUNCTION("""COMPUTED_VALUE"""),"Trinath Goteti")</f>
        <v>Trinath Goteti</v>
      </c>
      <c r="D176" s="23"/>
      <c r="E176" s="24"/>
      <c r="F176" s="95"/>
      <c r="G176" s="23"/>
      <c r="H176" s="24"/>
    </row>
    <row r="177">
      <c r="A177" s="83">
        <f t="shared" si="81"/>
        <v>58</v>
      </c>
      <c r="B177" s="43"/>
      <c r="C177" s="95" t="str">
        <f>IFERROR(__xludf.DUMMYFUNCTION("""COMPUTED_VALUE"""),"Trish Newlin")</f>
        <v>Trish Newlin</v>
      </c>
      <c r="D177" s="23"/>
      <c r="E177" s="24"/>
      <c r="F177" s="95"/>
      <c r="G177" s="23"/>
      <c r="H177" s="24"/>
    </row>
    <row r="178">
      <c r="A178" s="83">
        <f t="shared" si="81"/>
        <v>59</v>
      </c>
      <c r="B178" s="43"/>
      <c r="C178" s="95" t="str">
        <f>IFERROR(__xludf.DUMMYFUNCTION("""COMPUTED_VALUE"""),"Troy Wong")</f>
        <v>Troy Wong</v>
      </c>
      <c r="D178" s="23"/>
      <c r="E178" s="24"/>
      <c r="F178" s="95"/>
      <c r="G178" s="23"/>
      <c r="H178" s="24"/>
    </row>
    <row r="179">
      <c r="A179" s="83">
        <f t="shared" si="81"/>
        <v>60</v>
      </c>
      <c r="B179" s="43"/>
      <c r="C179" s="95" t="str">
        <f>IFERROR(__xludf.DUMMYFUNCTION("""COMPUTED_VALUE"""),"Tyler Leong")</f>
        <v>Tyler Leong</v>
      </c>
      <c r="D179" s="23"/>
      <c r="E179" s="24"/>
      <c r="F179" s="95"/>
      <c r="G179" s="23"/>
      <c r="H179" s="24"/>
    </row>
    <row r="180">
      <c r="A180" s="83">
        <f t="shared" si="81"/>
        <v>61</v>
      </c>
      <c r="B180" s="43"/>
      <c r="C180" s="95" t="str">
        <f>IFERROR(__xludf.DUMMYFUNCTION("""COMPUTED_VALUE"""),"Vicki Martinet")</f>
        <v>Vicki Martinet</v>
      </c>
      <c r="D180" s="23"/>
      <c r="E180" s="24"/>
      <c r="F180" s="95"/>
      <c r="G180" s="23"/>
      <c r="H180" s="24"/>
    </row>
    <row r="181">
      <c r="A181" s="83">
        <f t="shared" si="81"/>
        <v>62</v>
      </c>
      <c r="B181" s="43"/>
      <c r="C181" s="95" t="str">
        <f>IFERROR(__xludf.DUMMYFUNCTION("""COMPUTED_VALUE"""),"Vinaya Kajla")</f>
        <v>Vinaya Kajla</v>
      </c>
      <c r="D181" s="23"/>
      <c r="E181" s="24"/>
      <c r="F181" s="95"/>
      <c r="G181" s="23"/>
      <c r="H181" s="24"/>
    </row>
    <row r="182">
      <c r="A182" s="83">
        <f t="shared" si="81"/>
        <v>63</v>
      </c>
      <c r="B182" s="43"/>
      <c r="C182" s="95" t="str">
        <f>IFERROR(__xludf.DUMMYFUNCTION("""COMPUTED_VALUE"""),"Vishnu Amarnath")</f>
        <v>Vishnu Amarnath</v>
      </c>
      <c r="D182" s="23"/>
      <c r="E182" s="24"/>
      <c r="F182" s="95"/>
      <c r="G182" s="23"/>
      <c r="H182" s="24"/>
    </row>
    <row r="183">
      <c r="A183" s="83">
        <f t="shared" si="81"/>
        <v>64</v>
      </c>
      <c r="B183" s="43"/>
      <c r="C183" s="95" t="str">
        <f>IFERROR(__xludf.DUMMYFUNCTION("""COMPUTED_VALUE"""),"Wayne Liu")</f>
        <v>Wayne Liu</v>
      </c>
      <c r="D183" s="23"/>
      <c r="E183" s="24"/>
      <c r="F183" s="95"/>
      <c r="G183" s="23"/>
      <c r="H183" s="24"/>
    </row>
    <row r="184">
      <c r="A184" s="83">
        <f t="shared" si="81"/>
        <v>65</v>
      </c>
      <c r="B184" s="43"/>
      <c r="C184" s="95"/>
      <c r="D184" s="23"/>
      <c r="E184" s="24"/>
      <c r="F184" s="95"/>
      <c r="G184" s="23"/>
      <c r="H184" s="24"/>
    </row>
    <row r="185">
      <c r="A185" s="1"/>
      <c r="C185" s="1"/>
      <c r="D185" s="1"/>
      <c r="E185" s="1"/>
      <c r="F185" s="1"/>
    </row>
    <row r="186">
      <c r="A186" s="1"/>
      <c r="C186" s="1"/>
      <c r="D186" s="1"/>
      <c r="E186" s="1"/>
      <c r="F186" s="1"/>
    </row>
    <row r="187">
      <c r="A187" s="1"/>
      <c r="C187" s="1"/>
      <c r="D187" s="1"/>
      <c r="E187" s="1"/>
      <c r="F187" s="1"/>
    </row>
    <row r="188">
      <c r="A188" s="1"/>
      <c r="C188" s="1"/>
      <c r="D188" s="1"/>
      <c r="E188" s="1"/>
      <c r="F188" s="1"/>
    </row>
    <row r="189">
      <c r="A189" s="1"/>
      <c r="C189" s="1"/>
      <c r="D189" s="1"/>
      <c r="E189" s="1"/>
      <c r="F189" s="1"/>
    </row>
    <row r="190">
      <c r="A190" s="1"/>
      <c r="C190" s="1"/>
      <c r="D190" s="1"/>
      <c r="E190" s="1"/>
      <c r="F190" s="1"/>
    </row>
    <row r="191">
      <c r="A191" s="1"/>
      <c r="C191" s="1"/>
      <c r="D191" s="1"/>
      <c r="E191" s="1"/>
      <c r="F191" s="1"/>
    </row>
    <row r="192">
      <c r="A192" s="1"/>
      <c r="C192" s="1"/>
      <c r="D192" s="1"/>
      <c r="E192" s="1"/>
      <c r="F192" s="1"/>
    </row>
    <row r="193">
      <c r="A193" s="1"/>
      <c r="C193" s="1"/>
      <c r="D193" s="1"/>
      <c r="E193" s="1"/>
      <c r="F193" s="1"/>
    </row>
    <row r="194">
      <c r="A194" s="1"/>
      <c r="C194" s="1"/>
      <c r="D194" s="1"/>
      <c r="E194" s="1"/>
      <c r="F194" s="1"/>
    </row>
    <row r="195">
      <c r="A195" s="1"/>
      <c r="C195" s="1"/>
      <c r="D195" s="1"/>
      <c r="E195" s="1"/>
      <c r="F195" s="1"/>
    </row>
    <row r="196">
      <c r="A196" s="1"/>
      <c r="C196" s="1"/>
      <c r="D196" s="1"/>
      <c r="E196" s="1"/>
      <c r="F196" s="1"/>
    </row>
    <row r="197">
      <c r="A197" s="1"/>
      <c r="C197" s="1"/>
      <c r="D197" s="1"/>
      <c r="E197" s="1"/>
      <c r="F197" s="1"/>
    </row>
    <row r="198">
      <c r="A198" s="1"/>
      <c r="C198" s="1"/>
      <c r="D198" s="1"/>
      <c r="E198" s="1"/>
      <c r="F198" s="1"/>
    </row>
    <row r="199">
      <c r="A199" s="1"/>
      <c r="C199" s="1"/>
      <c r="D199" s="1"/>
      <c r="E199" s="1"/>
      <c r="F199" s="1"/>
    </row>
    <row r="200">
      <c r="A200" s="1"/>
      <c r="C200" s="1"/>
      <c r="D200" s="1"/>
      <c r="E200" s="1"/>
      <c r="F200" s="1"/>
    </row>
    <row r="201">
      <c r="A201" s="1"/>
      <c r="C201" s="1"/>
      <c r="D201" s="1"/>
      <c r="E201" s="1"/>
      <c r="F201" s="1"/>
    </row>
    <row r="202">
      <c r="A202" s="1"/>
      <c r="C202" s="1"/>
      <c r="D202" s="1"/>
      <c r="E202" s="1"/>
      <c r="F202" s="1"/>
    </row>
    <row r="203">
      <c r="A203" s="1"/>
      <c r="C203" s="1"/>
      <c r="D203" s="1"/>
      <c r="E203" s="1"/>
      <c r="F203" s="1"/>
    </row>
    <row r="204">
      <c r="A204" s="1"/>
      <c r="C204" s="1"/>
      <c r="D204" s="1"/>
      <c r="E204" s="1"/>
      <c r="F204" s="1"/>
    </row>
    <row r="205">
      <c r="A205" s="1"/>
      <c r="C205" s="1"/>
      <c r="D205" s="1"/>
      <c r="E205" s="1"/>
      <c r="F205" s="1"/>
    </row>
    <row r="206">
      <c r="A206" s="1"/>
      <c r="C206" s="1"/>
      <c r="D206" s="1"/>
      <c r="E206" s="1"/>
      <c r="F206" s="1"/>
    </row>
    <row r="207">
      <c r="A207" s="1"/>
      <c r="C207" s="1"/>
      <c r="D207" s="1"/>
      <c r="E207" s="1"/>
      <c r="F207" s="1"/>
    </row>
    <row r="208">
      <c r="A208" s="1"/>
      <c r="C208" s="1"/>
      <c r="D208" s="1"/>
      <c r="E208" s="1"/>
      <c r="F208" s="1"/>
    </row>
    <row r="209">
      <c r="A209" s="1"/>
      <c r="C209" s="1"/>
      <c r="D209" s="1"/>
      <c r="E209" s="1"/>
      <c r="F209" s="1"/>
    </row>
    <row r="210">
      <c r="A210" s="1"/>
      <c r="C210" s="1"/>
      <c r="D210" s="1"/>
      <c r="E210" s="1"/>
      <c r="F210" s="1"/>
    </row>
    <row r="211">
      <c r="A211" s="1"/>
      <c r="C211" s="1"/>
      <c r="D211" s="1"/>
      <c r="E211" s="1"/>
      <c r="F211" s="1"/>
    </row>
    <row r="212">
      <c r="A212" s="1"/>
      <c r="C212" s="1"/>
      <c r="D212" s="1"/>
      <c r="E212" s="1"/>
      <c r="F212" s="1"/>
    </row>
    <row r="213">
      <c r="A213" s="1"/>
      <c r="C213" s="1"/>
      <c r="D213" s="1"/>
      <c r="E213" s="1"/>
      <c r="F213" s="1"/>
    </row>
    <row r="214">
      <c r="A214" s="1"/>
      <c r="C214" s="1"/>
      <c r="D214" s="1"/>
      <c r="E214" s="1"/>
      <c r="F214" s="1"/>
    </row>
    <row r="215">
      <c r="A215" s="1"/>
      <c r="C215" s="1"/>
      <c r="D215" s="1"/>
      <c r="E215" s="1"/>
      <c r="F215" s="1"/>
    </row>
    <row r="216">
      <c r="A216" s="1"/>
      <c r="C216" s="1"/>
      <c r="D216" s="1"/>
      <c r="E216" s="1"/>
      <c r="F216" s="1"/>
    </row>
    <row r="217">
      <c r="A217" s="1"/>
      <c r="C217" s="1"/>
      <c r="D217" s="1"/>
      <c r="E217" s="1"/>
      <c r="F217" s="1"/>
    </row>
    <row r="218">
      <c r="A218" s="1"/>
      <c r="C218" s="1"/>
      <c r="D218" s="1"/>
      <c r="E218" s="1"/>
      <c r="F218" s="1"/>
    </row>
    <row r="219">
      <c r="A219" s="1"/>
      <c r="C219" s="1"/>
      <c r="D219" s="1"/>
      <c r="E219" s="1"/>
      <c r="F219" s="1"/>
    </row>
    <row r="220">
      <c r="A220" s="1"/>
      <c r="C220" s="1"/>
      <c r="D220" s="1"/>
      <c r="E220" s="1"/>
      <c r="F220" s="1"/>
    </row>
    <row r="221">
      <c r="A221" s="1"/>
      <c r="C221" s="1"/>
      <c r="D221" s="1"/>
      <c r="E221" s="1"/>
      <c r="F221" s="1"/>
    </row>
    <row r="222">
      <c r="A222" s="1"/>
      <c r="C222" s="1"/>
      <c r="D222" s="1"/>
      <c r="E222" s="1"/>
      <c r="F222" s="1"/>
    </row>
    <row r="223">
      <c r="A223" s="1"/>
      <c r="C223" s="1"/>
      <c r="D223" s="1"/>
      <c r="E223" s="1"/>
      <c r="F223" s="1"/>
    </row>
    <row r="224">
      <c r="A224" s="1"/>
      <c r="C224" s="1"/>
      <c r="D224" s="1"/>
      <c r="E224" s="1"/>
      <c r="F224" s="1"/>
    </row>
    <row r="225">
      <c r="A225" s="1"/>
      <c r="C225" s="1"/>
      <c r="D225" s="1"/>
      <c r="E225" s="1"/>
      <c r="F225" s="1"/>
    </row>
    <row r="226">
      <c r="A226" s="1"/>
      <c r="C226" s="1"/>
      <c r="D226" s="1"/>
      <c r="E226" s="1"/>
      <c r="F226" s="1"/>
    </row>
    <row r="227">
      <c r="A227" s="1"/>
      <c r="C227" s="1"/>
      <c r="D227" s="1"/>
      <c r="E227" s="1"/>
      <c r="F227" s="1"/>
    </row>
    <row r="228">
      <c r="A228" s="1"/>
      <c r="C228" s="1"/>
      <c r="D228" s="1"/>
      <c r="E228" s="1"/>
      <c r="F228" s="1"/>
    </row>
    <row r="229">
      <c r="A229" s="1"/>
      <c r="C229" s="1"/>
      <c r="D229" s="1"/>
      <c r="E229" s="1"/>
      <c r="F229" s="1"/>
    </row>
    <row r="230">
      <c r="A230" s="1"/>
      <c r="C230" s="1"/>
      <c r="D230" s="1"/>
      <c r="E230" s="1"/>
      <c r="F230" s="1"/>
    </row>
    <row r="231">
      <c r="A231" s="1"/>
      <c r="C231" s="1"/>
      <c r="D231" s="1"/>
      <c r="E231" s="1"/>
      <c r="F231" s="1"/>
    </row>
    <row r="232">
      <c r="A232" s="1"/>
      <c r="C232" s="1"/>
      <c r="D232" s="1"/>
      <c r="E232" s="1"/>
      <c r="F232" s="1"/>
    </row>
    <row r="233">
      <c r="A233" s="1"/>
      <c r="C233" s="1"/>
      <c r="D233" s="1"/>
      <c r="E233" s="1"/>
      <c r="F233" s="1"/>
    </row>
    <row r="234">
      <c r="A234" s="1"/>
      <c r="C234" s="1"/>
      <c r="D234" s="1"/>
      <c r="E234" s="1"/>
      <c r="F234" s="1"/>
    </row>
    <row r="235">
      <c r="A235" s="1"/>
      <c r="C235" s="1"/>
      <c r="D235" s="1"/>
      <c r="E235" s="1"/>
      <c r="F235" s="1"/>
    </row>
    <row r="236">
      <c r="A236" s="1"/>
      <c r="C236" s="1"/>
      <c r="D236" s="1"/>
      <c r="E236" s="1"/>
      <c r="F236" s="1"/>
    </row>
    <row r="237">
      <c r="A237" s="1"/>
      <c r="C237" s="1"/>
      <c r="D237" s="1"/>
      <c r="E237" s="1"/>
      <c r="F237" s="1"/>
    </row>
    <row r="238">
      <c r="A238" s="1"/>
      <c r="C238" s="1"/>
      <c r="D238" s="1"/>
      <c r="E238" s="1"/>
      <c r="F238" s="1"/>
    </row>
    <row r="239">
      <c r="A239" s="1"/>
      <c r="C239" s="1"/>
      <c r="D239" s="1"/>
      <c r="E239" s="1"/>
      <c r="F239" s="1"/>
    </row>
    <row r="240">
      <c r="A240" s="1"/>
      <c r="C240" s="1"/>
      <c r="D240" s="1"/>
      <c r="E240" s="1"/>
      <c r="F240" s="1"/>
    </row>
    <row r="241">
      <c r="A241" s="1"/>
      <c r="C241" s="1"/>
      <c r="D241" s="1"/>
      <c r="E241" s="1"/>
      <c r="F241" s="1"/>
    </row>
    <row r="242">
      <c r="A242" s="1"/>
      <c r="C242" s="1"/>
      <c r="D242" s="1"/>
      <c r="E242" s="1"/>
      <c r="F242" s="1"/>
    </row>
    <row r="243">
      <c r="A243" s="1"/>
      <c r="C243" s="1"/>
      <c r="D243" s="1"/>
      <c r="E243" s="1"/>
      <c r="F243" s="1"/>
    </row>
    <row r="244">
      <c r="A244" s="1"/>
      <c r="C244" s="1"/>
      <c r="D244" s="1"/>
      <c r="E244" s="1"/>
      <c r="F244" s="1"/>
    </row>
    <row r="245">
      <c r="A245" s="1"/>
      <c r="C245" s="1"/>
      <c r="D245" s="1"/>
      <c r="E245" s="1"/>
      <c r="F245" s="1"/>
    </row>
    <row r="246">
      <c r="A246" s="1"/>
      <c r="C246" s="1"/>
      <c r="D246" s="1"/>
      <c r="E246" s="1"/>
      <c r="F246" s="1"/>
    </row>
    <row r="247">
      <c r="A247" s="1"/>
      <c r="C247" s="1"/>
      <c r="D247" s="1"/>
      <c r="E247" s="1"/>
      <c r="F247" s="1"/>
    </row>
    <row r="248">
      <c r="A248" s="1"/>
      <c r="C248" s="1"/>
      <c r="D248" s="1"/>
      <c r="E248" s="1"/>
      <c r="F248" s="1"/>
    </row>
    <row r="249">
      <c r="A249" s="1"/>
      <c r="C249" s="1"/>
      <c r="D249" s="1"/>
      <c r="E249" s="1"/>
      <c r="F249" s="1"/>
    </row>
    <row r="250">
      <c r="A250" s="1"/>
      <c r="C250" s="1"/>
      <c r="D250" s="1"/>
      <c r="E250" s="1"/>
      <c r="F250" s="1"/>
    </row>
    <row r="251">
      <c r="A251" s="1"/>
      <c r="C251" s="1"/>
      <c r="D251" s="1"/>
      <c r="E251" s="1"/>
      <c r="F251" s="1"/>
    </row>
    <row r="252">
      <c r="A252" s="1"/>
      <c r="C252" s="1"/>
      <c r="D252" s="1"/>
      <c r="E252" s="1"/>
      <c r="F252" s="1"/>
    </row>
    <row r="253">
      <c r="A253" s="1"/>
      <c r="C253" s="1"/>
      <c r="D253" s="1"/>
      <c r="E253" s="1"/>
      <c r="F253" s="1"/>
    </row>
    <row r="254">
      <c r="A254" s="1"/>
      <c r="C254" s="1"/>
      <c r="D254" s="1"/>
      <c r="E254" s="1"/>
      <c r="F254" s="1"/>
    </row>
    <row r="255">
      <c r="A255" s="1"/>
      <c r="C255" s="1"/>
      <c r="D255" s="1"/>
      <c r="E255" s="1"/>
      <c r="F255" s="1"/>
    </row>
    <row r="256">
      <c r="A256" s="1"/>
      <c r="C256" s="1"/>
      <c r="D256" s="1"/>
      <c r="E256" s="1"/>
      <c r="F256" s="1"/>
    </row>
    <row r="257">
      <c r="A257" s="1"/>
      <c r="C257" s="1"/>
      <c r="D257" s="1"/>
      <c r="E257" s="1"/>
      <c r="F257" s="1"/>
    </row>
    <row r="258">
      <c r="A258" s="1"/>
      <c r="C258" s="1"/>
      <c r="D258" s="1"/>
      <c r="E258" s="1"/>
      <c r="F258" s="1"/>
    </row>
    <row r="259">
      <c r="A259" s="1"/>
      <c r="C259" s="1"/>
      <c r="D259" s="1"/>
      <c r="E259" s="1"/>
      <c r="F259" s="1"/>
    </row>
    <row r="260">
      <c r="A260" s="1"/>
      <c r="C260" s="1"/>
      <c r="D260" s="1"/>
      <c r="E260" s="1"/>
      <c r="F260" s="1"/>
    </row>
    <row r="261">
      <c r="A261" s="1"/>
      <c r="C261" s="1"/>
      <c r="D261" s="1"/>
      <c r="E261" s="1"/>
      <c r="F261" s="1"/>
    </row>
    <row r="262">
      <c r="A262" s="1"/>
      <c r="C262" s="1"/>
      <c r="D262" s="1"/>
      <c r="E262" s="1"/>
      <c r="F262" s="1"/>
    </row>
    <row r="263">
      <c r="A263" s="1"/>
      <c r="C263" s="1"/>
      <c r="D263" s="1"/>
      <c r="E263" s="1"/>
      <c r="F263" s="1"/>
    </row>
    <row r="264">
      <c r="A264" s="1"/>
      <c r="C264" s="1"/>
      <c r="D264" s="1"/>
      <c r="E264" s="1"/>
      <c r="F264" s="1"/>
    </row>
    <row r="265">
      <c r="A265" s="1"/>
      <c r="C265" s="1"/>
      <c r="D265" s="1"/>
      <c r="E265" s="1"/>
      <c r="F265" s="1"/>
    </row>
    <row r="266">
      <c r="A266" s="1"/>
      <c r="C266" s="1"/>
      <c r="D266" s="1"/>
      <c r="E266" s="1"/>
      <c r="F266" s="1"/>
    </row>
    <row r="267">
      <c r="A267" s="1"/>
      <c r="C267" s="1"/>
      <c r="D267" s="1"/>
      <c r="E267" s="1"/>
      <c r="F267" s="1"/>
    </row>
    <row r="268">
      <c r="A268" s="1"/>
      <c r="C268" s="1"/>
      <c r="D268" s="1"/>
      <c r="E268" s="1"/>
      <c r="F268" s="1"/>
    </row>
    <row r="269">
      <c r="A269" s="1"/>
      <c r="C269" s="1"/>
      <c r="D269" s="1"/>
      <c r="E269" s="1"/>
      <c r="F269" s="1"/>
    </row>
    <row r="270">
      <c r="A270" s="1"/>
      <c r="C270" s="1"/>
      <c r="D270" s="1"/>
      <c r="E270" s="1"/>
      <c r="F270" s="1"/>
    </row>
    <row r="271">
      <c r="A271" s="1"/>
      <c r="C271" s="1"/>
      <c r="D271" s="1"/>
      <c r="E271" s="1"/>
      <c r="F271" s="1"/>
    </row>
    <row r="272">
      <c r="A272" s="1"/>
      <c r="C272" s="1"/>
      <c r="D272" s="1"/>
      <c r="E272" s="1"/>
      <c r="F272" s="1"/>
    </row>
    <row r="273">
      <c r="A273" s="1"/>
      <c r="C273" s="1"/>
      <c r="D273" s="1"/>
      <c r="E273" s="1"/>
      <c r="F273" s="1"/>
    </row>
    <row r="274">
      <c r="A274" s="1"/>
      <c r="C274" s="1"/>
      <c r="D274" s="1"/>
      <c r="E274" s="1"/>
      <c r="F274" s="1"/>
    </row>
    <row r="275">
      <c r="A275" s="1"/>
      <c r="C275" s="1"/>
      <c r="D275" s="1"/>
      <c r="E275" s="1"/>
      <c r="F275" s="1"/>
    </row>
    <row r="276">
      <c r="A276" s="1"/>
      <c r="C276" s="1"/>
      <c r="D276" s="1"/>
      <c r="E276" s="1"/>
      <c r="F276" s="1"/>
    </row>
    <row r="277">
      <c r="A277" s="1"/>
      <c r="C277" s="1"/>
      <c r="D277" s="1"/>
      <c r="E277" s="1"/>
      <c r="F277" s="1"/>
    </row>
    <row r="278">
      <c r="A278" s="1"/>
      <c r="C278" s="1"/>
      <c r="D278" s="1"/>
      <c r="E278" s="1"/>
      <c r="F278" s="1"/>
    </row>
    <row r="279">
      <c r="A279" s="1"/>
      <c r="C279" s="1"/>
      <c r="D279" s="1"/>
      <c r="E279" s="1"/>
      <c r="F279" s="1"/>
    </row>
    <row r="280">
      <c r="A280" s="1"/>
      <c r="C280" s="1"/>
      <c r="D280" s="1"/>
      <c r="E280" s="1"/>
      <c r="F280" s="1"/>
    </row>
    <row r="281">
      <c r="A281" s="1"/>
      <c r="C281" s="1"/>
      <c r="D281" s="1"/>
      <c r="E281" s="1"/>
      <c r="F281" s="1"/>
    </row>
    <row r="282">
      <c r="A282" s="1"/>
      <c r="C282" s="1"/>
      <c r="D282" s="1"/>
      <c r="E282" s="1"/>
      <c r="F282" s="1"/>
    </row>
    <row r="283">
      <c r="A283" s="1"/>
      <c r="C283" s="1"/>
      <c r="D283" s="1"/>
      <c r="E283" s="1"/>
      <c r="F283" s="1"/>
    </row>
    <row r="284">
      <c r="A284" s="1"/>
      <c r="C284" s="1"/>
      <c r="D284" s="1"/>
      <c r="E284" s="1"/>
      <c r="F284" s="1"/>
    </row>
    <row r="285">
      <c r="A285" s="1"/>
      <c r="C285" s="1"/>
      <c r="D285" s="1"/>
      <c r="E285" s="1"/>
      <c r="F285" s="1"/>
    </row>
    <row r="286">
      <c r="A286" s="1"/>
      <c r="C286" s="1"/>
      <c r="D286" s="1"/>
      <c r="E286" s="1"/>
      <c r="F286" s="1"/>
    </row>
    <row r="287">
      <c r="A287" s="1"/>
      <c r="C287" s="1"/>
      <c r="D287" s="1"/>
      <c r="E287" s="1"/>
      <c r="F287" s="1"/>
    </row>
    <row r="288">
      <c r="A288" s="1"/>
      <c r="C288" s="1"/>
      <c r="D288" s="1"/>
      <c r="E288" s="1"/>
      <c r="F288" s="1"/>
    </row>
    <row r="289">
      <c r="A289" s="1"/>
      <c r="C289" s="1"/>
      <c r="D289" s="1"/>
      <c r="E289" s="1"/>
      <c r="F289" s="1"/>
    </row>
    <row r="290">
      <c r="A290" s="1"/>
      <c r="C290" s="1"/>
      <c r="D290" s="1"/>
      <c r="E290" s="1"/>
      <c r="F290" s="1"/>
    </row>
    <row r="291">
      <c r="A291" s="1"/>
      <c r="C291" s="1"/>
      <c r="D291" s="1"/>
      <c r="E291" s="1"/>
      <c r="F291" s="1"/>
    </row>
    <row r="292">
      <c r="A292" s="1"/>
      <c r="C292" s="1"/>
      <c r="D292" s="1"/>
      <c r="E292" s="1"/>
      <c r="F292" s="1"/>
    </row>
    <row r="293">
      <c r="A293" s="1"/>
      <c r="C293" s="1"/>
      <c r="D293" s="1"/>
      <c r="E293" s="1"/>
      <c r="F293" s="1"/>
    </row>
    <row r="294">
      <c r="A294" s="1"/>
      <c r="C294" s="1"/>
      <c r="D294" s="1"/>
      <c r="E294" s="1"/>
      <c r="F294" s="1"/>
    </row>
    <row r="295">
      <c r="A295" s="1"/>
      <c r="C295" s="1"/>
      <c r="D295" s="1"/>
      <c r="E295" s="1"/>
      <c r="F295" s="1"/>
    </row>
    <row r="296">
      <c r="A296" s="1"/>
      <c r="C296" s="1"/>
      <c r="D296" s="1"/>
      <c r="E296" s="1"/>
      <c r="F296" s="1"/>
    </row>
    <row r="297">
      <c r="A297" s="1"/>
      <c r="C297" s="1"/>
      <c r="D297" s="1"/>
      <c r="E297" s="1"/>
      <c r="F297" s="1"/>
    </row>
    <row r="298">
      <c r="A298" s="1"/>
      <c r="C298" s="1"/>
      <c r="D298" s="1"/>
      <c r="E298" s="1"/>
      <c r="F298" s="1"/>
    </row>
    <row r="299">
      <c r="A299" s="1"/>
      <c r="C299" s="1"/>
      <c r="D299" s="1"/>
      <c r="E299" s="1"/>
      <c r="F299" s="1"/>
    </row>
    <row r="300">
      <c r="A300" s="1"/>
      <c r="C300" s="1"/>
      <c r="D300" s="1"/>
      <c r="E300" s="1"/>
      <c r="F300" s="1"/>
    </row>
    <row r="301">
      <c r="A301" s="1"/>
      <c r="C301" s="1"/>
      <c r="D301" s="1"/>
      <c r="E301" s="1"/>
      <c r="F301" s="1"/>
    </row>
    <row r="302">
      <c r="A302" s="1"/>
      <c r="C302" s="1"/>
      <c r="D302" s="1"/>
      <c r="E302" s="1"/>
      <c r="F302" s="1"/>
    </row>
    <row r="303">
      <c r="A303" s="1"/>
      <c r="C303" s="1"/>
      <c r="D303" s="1"/>
      <c r="E303" s="1"/>
      <c r="F303" s="1"/>
    </row>
    <row r="304">
      <c r="A304" s="1"/>
      <c r="C304" s="1"/>
      <c r="D304" s="1"/>
      <c r="E304" s="1"/>
      <c r="F304" s="1"/>
    </row>
    <row r="305">
      <c r="A305" s="1"/>
      <c r="C305" s="1"/>
      <c r="D305" s="1"/>
      <c r="E305" s="1"/>
      <c r="F305" s="1"/>
    </row>
    <row r="306">
      <c r="A306" s="1"/>
      <c r="C306" s="1"/>
      <c r="D306" s="1"/>
      <c r="E306" s="1"/>
      <c r="F306" s="1"/>
    </row>
    <row r="307">
      <c r="A307" s="1"/>
      <c r="C307" s="1"/>
      <c r="D307" s="1"/>
      <c r="E307" s="1"/>
      <c r="F307" s="1"/>
    </row>
    <row r="308">
      <c r="A308" s="1"/>
      <c r="C308" s="1"/>
      <c r="D308" s="1"/>
      <c r="E308" s="1"/>
      <c r="F308" s="1"/>
    </row>
    <row r="309">
      <c r="A309" s="1"/>
      <c r="C309" s="1"/>
      <c r="D309" s="1"/>
      <c r="E309" s="1"/>
      <c r="F309" s="1"/>
    </row>
    <row r="310">
      <c r="A310" s="1"/>
      <c r="C310" s="1"/>
      <c r="D310" s="1"/>
      <c r="E310" s="1"/>
      <c r="F310" s="1"/>
    </row>
    <row r="311">
      <c r="A311" s="1"/>
      <c r="C311" s="1"/>
      <c r="D311" s="1"/>
      <c r="E311" s="1"/>
      <c r="F311" s="1"/>
    </row>
    <row r="312">
      <c r="A312" s="1"/>
      <c r="C312" s="1"/>
      <c r="D312" s="1"/>
      <c r="E312" s="1"/>
      <c r="F312" s="1"/>
    </row>
    <row r="313">
      <c r="A313" s="1"/>
      <c r="C313" s="1"/>
      <c r="D313" s="1"/>
      <c r="E313" s="1"/>
      <c r="F313" s="1"/>
    </row>
    <row r="314">
      <c r="A314" s="1"/>
      <c r="C314" s="1"/>
      <c r="D314" s="1"/>
      <c r="E314" s="1"/>
      <c r="F314" s="1"/>
    </row>
    <row r="315">
      <c r="A315" s="1"/>
      <c r="C315" s="1"/>
      <c r="D315" s="1"/>
      <c r="E315" s="1"/>
      <c r="F315" s="1"/>
    </row>
    <row r="316">
      <c r="A316" s="1"/>
      <c r="C316" s="1"/>
      <c r="D316" s="1"/>
      <c r="E316" s="1"/>
      <c r="F316" s="1"/>
    </row>
    <row r="317">
      <c r="A317" s="1"/>
      <c r="C317" s="1"/>
      <c r="D317" s="1"/>
      <c r="E317" s="1"/>
      <c r="F317" s="1"/>
    </row>
    <row r="318">
      <c r="A318" s="1"/>
      <c r="C318" s="1"/>
      <c r="D318" s="1"/>
      <c r="E318" s="1"/>
      <c r="F318" s="1"/>
    </row>
    <row r="319">
      <c r="A319" s="1"/>
      <c r="C319" s="1"/>
      <c r="D319" s="1"/>
      <c r="E319" s="1"/>
      <c r="F319" s="1"/>
    </row>
    <row r="320">
      <c r="A320" s="1"/>
      <c r="C320" s="1"/>
      <c r="D320" s="1"/>
      <c r="E320" s="1"/>
      <c r="F320" s="1"/>
    </row>
    <row r="321">
      <c r="A321" s="1"/>
      <c r="C321" s="1"/>
      <c r="D321" s="1"/>
      <c r="E321" s="1"/>
      <c r="F321" s="1"/>
    </row>
    <row r="322">
      <c r="A322" s="1"/>
      <c r="C322" s="1"/>
      <c r="D322" s="1"/>
      <c r="E322" s="1"/>
      <c r="F322" s="1"/>
    </row>
    <row r="323">
      <c r="A323" s="1"/>
      <c r="C323" s="1"/>
      <c r="D323" s="1"/>
      <c r="E323" s="1"/>
      <c r="F323" s="1"/>
    </row>
    <row r="324">
      <c r="A324" s="1"/>
      <c r="C324" s="1"/>
      <c r="D324" s="1"/>
      <c r="E324" s="1"/>
      <c r="F324" s="1"/>
    </row>
    <row r="325">
      <c r="A325" s="1"/>
      <c r="C325" s="1"/>
      <c r="D325" s="1"/>
      <c r="E325" s="1"/>
      <c r="F325" s="1"/>
    </row>
    <row r="326">
      <c r="A326" s="1"/>
      <c r="C326" s="1"/>
      <c r="D326" s="1"/>
      <c r="E326" s="1"/>
      <c r="F326" s="1"/>
    </row>
    <row r="327">
      <c r="A327" s="1"/>
      <c r="C327" s="1"/>
      <c r="D327" s="1"/>
      <c r="E327" s="1"/>
      <c r="F327" s="1"/>
    </row>
    <row r="328">
      <c r="A328" s="1"/>
      <c r="C328" s="1"/>
      <c r="D328" s="1"/>
      <c r="E328" s="1"/>
      <c r="F328" s="1"/>
    </row>
    <row r="329">
      <c r="A329" s="1"/>
      <c r="C329" s="1"/>
      <c r="D329" s="1"/>
      <c r="E329" s="1"/>
      <c r="F329" s="1"/>
    </row>
    <row r="330">
      <c r="A330" s="1"/>
      <c r="C330" s="1"/>
      <c r="D330" s="1"/>
      <c r="E330" s="1"/>
      <c r="F330" s="1"/>
    </row>
    <row r="331">
      <c r="A331" s="1"/>
      <c r="C331" s="1"/>
      <c r="D331" s="1"/>
      <c r="E331" s="1"/>
      <c r="F331" s="1"/>
    </row>
    <row r="332">
      <c r="A332" s="1"/>
      <c r="C332" s="1"/>
      <c r="D332" s="1"/>
      <c r="E332" s="1"/>
      <c r="F332" s="1"/>
    </row>
    <row r="333">
      <c r="A333" s="1"/>
      <c r="C333" s="1"/>
      <c r="D333" s="1"/>
      <c r="E333" s="1"/>
      <c r="F333" s="1"/>
    </row>
    <row r="334">
      <c r="A334" s="1"/>
      <c r="C334" s="1"/>
      <c r="D334" s="1"/>
      <c r="E334" s="1"/>
      <c r="F334" s="1"/>
    </row>
    <row r="335">
      <c r="A335" s="1"/>
      <c r="C335" s="1"/>
      <c r="D335" s="1"/>
      <c r="E335" s="1"/>
      <c r="F335" s="1"/>
    </row>
    <row r="336">
      <c r="A336" s="1"/>
      <c r="C336" s="1"/>
      <c r="D336" s="1"/>
      <c r="E336" s="1"/>
      <c r="F336" s="1"/>
    </row>
    <row r="337">
      <c r="A337" s="1"/>
      <c r="C337" s="1"/>
      <c r="D337" s="1"/>
      <c r="E337" s="1"/>
      <c r="F337" s="1"/>
    </row>
    <row r="338">
      <c r="A338" s="1"/>
      <c r="C338" s="1"/>
      <c r="D338" s="1"/>
      <c r="E338" s="1"/>
      <c r="F338" s="1"/>
    </row>
    <row r="339">
      <c r="A339" s="1"/>
      <c r="C339" s="1"/>
      <c r="D339" s="1"/>
      <c r="E339" s="1"/>
      <c r="F339" s="1"/>
    </row>
    <row r="340">
      <c r="A340" s="1"/>
      <c r="C340" s="1"/>
      <c r="D340" s="1"/>
      <c r="E340" s="1"/>
      <c r="F340" s="1"/>
    </row>
    <row r="341">
      <c r="A341" s="1"/>
      <c r="C341" s="1"/>
      <c r="D341" s="1"/>
      <c r="E341" s="1"/>
      <c r="F341" s="1"/>
    </row>
    <row r="342">
      <c r="A342" s="1"/>
      <c r="C342" s="1"/>
      <c r="D342" s="1"/>
      <c r="E342" s="1"/>
      <c r="F342" s="1"/>
    </row>
    <row r="343">
      <c r="A343" s="1"/>
      <c r="C343" s="1"/>
      <c r="D343" s="1"/>
      <c r="E343" s="1"/>
      <c r="F343" s="1"/>
    </row>
    <row r="344">
      <c r="A344" s="1"/>
      <c r="C344" s="1"/>
      <c r="D344" s="1"/>
      <c r="E344" s="1"/>
      <c r="F344" s="1"/>
    </row>
    <row r="345">
      <c r="A345" s="1"/>
      <c r="C345" s="1"/>
      <c r="D345" s="1"/>
      <c r="E345" s="1"/>
      <c r="F345" s="1"/>
    </row>
    <row r="346">
      <c r="A346" s="1"/>
      <c r="C346" s="1"/>
      <c r="D346" s="1"/>
      <c r="E346" s="1"/>
      <c r="F346" s="1"/>
    </row>
    <row r="347">
      <c r="A347" s="1"/>
      <c r="C347" s="1"/>
      <c r="D347" s="1"/>
      <c r="E347" s="1"/>
      <c r="F347" s="1"/>
    </row>
    <row r="348">
      <c r="A348" s="1"/>
      <c r="C348" s="1"/>
      <c r="D348" s="1"/>
      <c r="E348" s="1"/>
      <c r="F348" s="1"/>
    </row>
    <row r="349">
      <c r="A349" s="1"/>
      <c r="C349" s="1"/>
      <c r="D349" s="1"/>
      <c r="E349" s="1"/>
      <c r="F349" s="1"/>
    </row>
    <row r="350">
      <c r="A350" s="1"/>
      <c r="C350" s="1"/>
      <c r="D350" s="1"/>
      <c r="E350" s="1"/>
      <c r="F350" s="1"/>
    </row>
    <row r="351">
      <c r="A351" s="1"/>
      <c r="C351" s="1"/>
      <c r="D351" s="1"/>
      <c r="E351" s="1"/>
      <c r="F351" s="1"/>
    </row>
    <row r="352">
      <c r="A352" s="1"/>
      <c r="C352" s="1"/>
      <c r="D352" s="1"/>
      <c r="E352" s="1"/>
      <c r="F352" s="1"/>
    </row>
    <row r="353">
      <c r="A353" s="1"/>
      <c r="C353" s="1"/>
      <c r="D353" s="1"/>
      <c r="E353" s="1"/>
      <c r="F353" s="1"/>
    </row>
    <row r="354">
      <c r="A354" s="1"/>
      <c r="C354" s="1"/>
      <c r="D354" s="1"/>
      <c r="E354" s="1"/>
      <c r="F354" s="1"/>
    </row>
    <row r="355">
      <c r="A355" s="1"/>
      <c r="C355" s="1"/>
      <c r="D355" s="1"/>
      <c r="E355" s="1"/>
      <c r="F355" s="1"/>
    </row>
    <row r="356">
      <c r="A356" s="1"/>
      <c r="C356" s="1"/>
      <c r="D356" s="1"/>
      <c r="E356" s="1"/>
      <c r="F356" s="1"/>
    </row>
    <row r="357">
      <c r="A357" s="1"/>
      <c r="C357" s="1"/>
      <c r="D357" s="1"/>
      <c r="E357" s="1"/>
      <c r="F357" s="1"/>
    </row>
    <row r="358">
      <c r="A358" s="1"/>
      <c r="C358" s="1"/>
      <c r="D358" s="1"/>
      <c r="E358" s="1"/>
      <c r="F358" s="1"/>
    </row>
    <row r="359">
      <c r="A359" s="1"/>
      <c r="C359" s="1"/>
      <c r="D359" s="1"/>
      <c r="E359" s="1"/>
      <c r="F359" s="1"/>
    </row>
    <row r="360">
      <c r="A360" s="1"/>
      <c r="C360" s="1"/>
      <c r="D360" s="1"/>
      <c r="E360" s="1"/>
      <c r="F360" s="1"/>
    </row>
    <row r="361">
      <c r="A361" s="1"/>
      <c r="C361" s="1"/>
      <c r="D361" s="1"/>
      <c r="E361" s="1"/>
      <c r="F361" s="1"/>
    </row>
    <row r="362">
      <c r="A362" s="1"/>
      <c r="C362" s="1"/>
      <c r="D362" s="1"/>
      <c r="E362" s="1"/>
      <c r="F362" s="1"/>
    </row>
    <row r="363">
      <c r="A363" s="1"/>
      <c r="C363" s="1"/>
      <c r="D363" s="1"/>
      <c r="E363" s="1"/>
      <c r="F363" s="1"/>
    </row>
    <row r="364">
      <c r="A364" s="1"/>
      <c r="C364" s="1"/>
      <c r="D364" s="1"/>
      <c r="E364" s="1"/>
      <c r="F364" s="1"/>
    </row>
    <row r="365">
      <c r="A365" s="1"/>
      <c r="C365" s="1"/>
      <c r="D365" s="1"/>
      <c r="E365" s="1"/>
      <c r="F365" s="1"/>
    </row>
    <row r="366">
      <c r="A366" s="1"/>
      <c r="C366" s="1"/>
      <c r="D366" s="1"/>
      <c r="E366" s="1"/>
      <c r="F366" s="1"/>
    </row>
    <row r="367">
      <c r="A367" s="1"/>
      <c r="C367" s="1"/>
      <c r="D367" s="1"/>
      <c r="E367" s="1"/>
      <c r="F367" s="1"/>
    </row>
    <row r="368">
      <c r="A368" s="1"/>
      <c r="C368" s="1"/>
      <c r="D368" s="1"/>
      <c r="E368" s="1"/>
      <c r="F368" s="1"/>
    </row>
    <row r="369">
      <c r="A369" s="1"/>
      <c r="C369" s="1"/>
      <c r="D369" s="1"/>
      <c r="E369" s="1"/>
      <c r="F369" s="1"/>
    </row>
    <row r="370">
      <c r="A370" s="1"/>
      <c r="C370" s="1"/>
      <c r="D370" s="1"/>
      <c r="E370" s="1"/>
      <c r="F370" s="1"/>
    </row>
    <row r="371">
      <c r="A371" s="1"/>
      <c r="C371" s="1"/>
      <c r="D371" s="1"/>
      <c r="E371" s="1"/>
      <c r="F371" s="1"/>
    </row>
    <row r="372">
      <c r="A372" s="1"/>
      <c r="C372" s="1"/>
      <c r="D372" s="1"/>
      <c r="E372" s="1"/>
      <c r="F372" s="1"/>
    </row>
    <row r="373">
      <c r="A373" s="1"/>
      <c r="C373" s="1"/>
      <c r="D373" s="1"/>
      <c r="E373" s="1"/>
      <c r="F373" s="1"/>
    </row>
    <row r="374">
      <c r="A374" s="1"/>
      <c r="C374" s="1"/>
      <c r="D374" s="1"/>
      <c r="E374" s="1"/>
      <c r="F374" s="1"/>
    </row>
    <row r="375">
      <c r="A375" s="1"/>
      <c r="C375" s="1"/>
      <c r="D375" s="1"/>
      <c r="E375" s="1"/>
      <c r="F375" s="1"/>
    </row>
    <row r="376">
      <c r="A376" s="1"/>
      <c r="C376" s="1"/>
      <c r="D376" s="1"/>
      <c r="E376" s="1"/>
      <c r="F376" s="1"/>
    </row>
    <row r="377">
      <c r="A377" s="1"/>
      <c r="C377" s="1"/>
      <c r="D377" s="1"/>
      <c r="E377" s="1"/>
      <c r="F377" s="1"/>
    </row>
    <row r="378">
      <c r="A378" s="1"/>
      <c r="C378" s="1"/>
      <c r="D378" s="1"/>
      <c r="E378" s="1"/>
      <c r="F378" s="1"/>
    </row>
    <row r="379">
      <c r="A379" s="1"/>
      <c r="C379" s="1"/>
      <c r="D379" s="1"/>
      <c r="E379" s="1"/>
      <c r="F379" s="1"/>
    </row>
    <row r="380">
      <c r="A380" s="1"/>
      <c r="C380" s="1"/>
      <c r="D380" s="1"/>
      <c r="E380" s="1"/>
      <c r="F380" s="1"/>
    </row>
    <row r="381">
      <c r="A381" s="1"/>
      <c r="C381" s="1"/>
      <c r="D381" s="1"/>
      <c r="E381" s="1"/>
      <c r="F381" s="1"/>
    </row>
    <row r="382">
      <c r="A382" s="1"/>
      <c r="C382" s="1"/>
      <c r="D382" s="1"/>
      <c r="E382" s="1"/>
      <c r="F382" s="1"/>
    </row>
    <row r="383">
      <c r="A383" s="1"/>
      <c r="C383" s="1"/>
      <c r="D383" s="1"/>
      <c r="E383" s="1"/>
      <c r="F383" s="1"/>
    </row>
    <row r="384">
      <c r="A384" s="1"/>
      <c r="C384" s="1"/>
      <c r="D384" s="1"/>
      <c r="E384" s="1"/>
      <c r="F384" s="1"/>
    </row>
    <row r="385">
      <c r="A385" s="1"/>
      <c r="C385" s="1"/>
      <c r="D385" s="1"/>
      <c r="E385" s="1"/>
      <c r="F385" s="1"/>
    </row>
    <row r="386">
      <c r="A386" s="1"/>
      <c r="C386" s="1"/>
      <c r="D386" s="1"/>
      <c r="E386" s="1"/>
      <c r="F386" s="1"/>
    </row>
    <row r="387">
      <c r="A387" s="1"/>
      <c r="C387" s="1"/>
      <c r="D387" s="1"/>
      <c r="E387" s="1"/>
      <c r="F387" s="1"/>
    </row>
    <row r="388">
      <c r="A388" s="1"/>
      <c r="C388" s="1"/>
      <c r="D388" s="1"/>
      <c r="E388" s="1"/>
      <c r="F388" s="1"/>
    </row>
    <row r="389">
      <c r="A389" s="1"/>
      <c r="C389" s="1"/>
      <c r="D389" s="1"/>
      <c r="E389" s="1"/>
      <c r="F389" s="1"/>
    </row>
    <row r="390">
      <c r="A390" s="1"/>
      <c r="C390" s="1"/>
      <c r="D390" s="1"/>
      <c r="E390" s="1"/>
      <c r="F390" s="1"/>
    </row>
    <row r="391">
      <c r="A391" s="1"/>
      <c r="C391" s="1"/>
      <c r="D391" s="1"/>
      <c r="E391" s="1"/>
      <c r="F391" s="1"/>
    </row>
    <row r="392">
      <c r="A392" s="1"/>
      <c r="C392" s="1"/>
      <c r="D392" s="1"/>
      <c r="E392" s="1"/>
      <c r="F392" s="1"/>
    </row>
    <row r="393">
      <c r="A393" s="1"/>
      <c r="C393" s="1"/>
      <c r="D393" s="1"/>
      <c r="E393" s="1"/>
      <c r="F393" s="1"/>
    </row>
    <row r="394">
      <c r="A394" s="1"/>
      <c r="C394" s="1"/>
      <c r="D394" s="1"/>
      <c r="E394" s="1"/>
      <c r="F394" s="1"/>
    </row>
    <row r="395">
      <c r="A395" s="1"/>
      <c r="C395" s="1"/>
      <c r="D395" s="1"/>
      <c r="E395" s="1"/>
      <c r="F395" s="1"/>
    </row>
    <row r="396">
      <c r="A396" s="1"/>
      <c r="C396" s="1"/>
      <c r="D396" s="1"/>
      <c r="E396" s="1"/>
      <c r="F396" s="1"/>
    </row>
    <row r="397">
      <c r="A397" s="1"/>
      <c r="C397" s="1"/>
      <c r="D397" s="1"/>
      <c r="E397" s="1"/>
      <c r="F397" s="1"/>
    </row>
    <row r="398">
      <c r="A398" s="1"/>
      <c r="C398" s="1"/>
      <c r="D398" s="1"/>
      <c r="E398" s="1"/>
      <c r="F398" s="1"/>
    </row>
    <row r="399">
      <c r="A399" s="1"/>
      <c r="C399" s="1"/>
      <c r="D399" s="1"/>
      <c r="E399" s="1"/>
      <c r="F399" s="1"/>
    </row>
    <row r="400">
      <c r="A400" s="1"/>
      <c r="C400" s="1"/>
      <c r="D400" s="1"/>
      <c r="E400" s="1"/>
      <c r="F400" s="1"/>
    </row>
    <row r="401">
      <c r="A401" s="1"/>
      <c r="C401" s="1"/>
      <c r="D401" s="1"/>
      <c r="E401" s="1"/>
      <c r="F401" s="1"/>
    </row>
    <row r="402">
      <c r="A402" s="1"/>
      <c r="C402" s="1"/>
      <c r="D402" s="1"/>
      <c r="E402" s="1"/>
      <c r="F402" s="1"/>
    </row>
    <row r="403">
      <c r="A403" s="1"/>
      <c r="C403" s="1"/>
      <c r="D403" s="1"/>
      <c r="E403" s="1"/>
      <c r="F403" s="1"/>
    </row>
    <row r="404">
      <c r="A404" s="1"/>
      <c r="C404" s="1"/>
      <c r="D404" s="1"/>
      <c r="E404" s="1"/>
      <c r="F404" s="1"/>
    </row>
    <row r="405">
      <c r="A405" s="1"/>
      <c r="C405" s="1"/>
      <c r="D405" s="1"/>
      <c r="E405" s="1"/>
      <c r="F405" s="1"/>
    </row>
    <row r="406">
      <c r="A406" s="1"/>
      <c r="C406" s="1"/>
      <c r="D406" s="1"/>
      <c r="E406" s="1"/>
      <c r="F406" s="1"/>
    </row>
    <row r="407">
      <c r="A407" s="1"/>
      <c r="C407" s="1"/>
      <c r="D407" s="1"/>
      <c r="E407" s="1"/>
      <c r="F407" s="1"/>
    </row>
    <row r="408">
      <c r="A408" s="1"/>
      <c r="C408" s="1"/>
      <c r="D408" s="1"/>
      <c r="E408" s="1"/>
      <c r="F408" s="1"/>
    </row>
    <row r="409">
      <c r="A409" s="1"/>
      <c r="C409" s="1"/>
      <c r="D409" s="1"/>
      <c r="E409" s="1"/>
      <c r="F409" s="1"/>
    </row>
    <row r="410">
      <c r="A410" s="1"/>
      <c r="C410" s="1"/>
      <c r="D410" s="1"/>
      <c r="E410" s="1"/>
      <c r="F410" s="1"/>
    </row>
    <row r="411">
      <c r="A411" s="1"/>
      <c r="C411" s="1"/>
      <c r="D411" s="1"/>
      <c r="E411" s="1"/>
      <c r="F411" s="1"/>
    </row>
    <row r="412">
      <c r="A412" s="1"/>
      <c r="C412" s="1"/>
      <c r="D412" s="1"/>
      <c r="E412" s="1"/>
      <c r="F412" s="1"/>
    </row>
    <row r="413">
      <c r="A413" s="1"/>
      <c r="C413" s="1"/>
      <c r="D413" s="1"/>
      <c r="E413" s="1"/>
      <c r="F413" s="1"/>
    </row>
    <row r="414">
      <c r="A414" s="1"/>
      <c r="C414" s="1"/>
      <c r="D414" s="1"/>
      <c r="E414" s="1"/>
      <c r="F414" s="1"/>
    </row>
    <row r="415">
      <c r="A415" s="1"/>
      <c r="C415" s="1"/>
      <c r="D415" s="1"/>
      <c r="E415" s="1"/>
      <c r="F415" s="1"/>
    </row>
    <row r="416">
      <c r="A416" s="1"/>
      <c r="C416" s="1"/>
      <c r="D416" s="1"/>
      <c r="E416" s="1"/>
      <c r="F416" s="1"/>
    </row>
    <row r="417">
      <c r="A417" s="1"/>
      <c r="C417" s="1"/>
      <c r="D417" s="1"/>
      <c r="E417" s="1"/>
      <c r="F417" s="1"/>
    </row>
    <row r="418">
      <c r="A418" s="1"/>
      <c r="C418" s="1"/>
      <c r="D418" s="1"/>
      <c r="E418" s="1"/>
      <c r="F418" s="1"/>
    </row>
    <row r="419">
      <c r="A419" s="1"/>
      <c r="C419" s="1"/>
      <c r="D419" s="1"/>
      <c r="E419" s="1"/>
      <c r="F419" s="1"/>
    </row>
    <row r="420">
      <c r="A420" s="1"/>
      <c r="C420" s="1"/>
      <c r="D420" s="1"/>
      <c r="E420" s="1"/>
      <c r="F420" s="1"/>
    </row>
    <row r="421">
      <c r="A421" s="1"/>
      <c r="C421" s="1"/>
      <c r="D421" s="1"/>
      <c r="E421" s="1"/>
      <c r="F421" s="1"/>
    </row>
    <row r="422">
      <c r="A422" s="1"/>
      <c r="C422" s="1"/>
      <c r="D422" s="1"/>
      <c r="E422" s="1"/>
      <c r="F422" s="1"/>
    </row>
    <row r="423">
      <c r="A423" s="1"/>
      <c r="C423" s="1"/>
      <c r="D423" s="1"/>
      <c r="E423" s="1"/>
      <c r="F423" s="1"/>
    </row>
    <row r="424">
      <c r="A424" s="1"/>
      <c r="C424" s="1"/>
      <c r="D424" s="1"/>
      <c r="E424" s="1"/>
      <c r="F424" s="1"/>
    </row>
    <row r="425">
      <c r="A425" s="1"/>
      <c r="C425" s="1"/>
      <c r="D425" s="1"/>
      <c r="E425" s="1"/>
      <c r="F425" s="1"/>
    </row>
    <row r="426">
      <c r="A426" s="1"/>
      <c r="C426" s="1"/>
      <c r="D426" s="1"/>
      <c r="E426" s="1"/>
      <c r="F426" s="1"/>
    </row>
    <row r="427">
      <c r="A427" s="1"/>
      <c r="C427" s="1"/>
      <c r="D427" s="1"/>
      <c r="E427" s="1"/>
      <c r="F427" s="1"/>
    </row>
    <row r="428">
      <c r="A428" s="1"/>
      <c r="C428" s="1"/>
      <c r="D428" s="1"/>
      <c r="E428" s="1"/>
      <c r="F428" s="1"/>
    </row>
    <row r="429">
      <c r="A429" s="1"/>
      <c r="C429" s="1"/>
      <c r="D429" s="1"/>
      <c r="E429" s="1"/>
      <c r="F429" s="1"/>
    </row>
    <row r="430">
      <c r="A430" s="1"/>
      <c r="C430" s="1"/>
      <c r="D430" s="1"/>
      <c r="E430" s="1"/>
      <c r="F430" s="1"/>
    </row>
    <row r="431">
      <c r="A431" s="1"/>
      <c r="C431" s="1"/>
      <c r="D431" s="1"/>
      <c r="E431" s="1"/>
      <c r="F431" s="1"/>
    </row>
    <row r="432">
      <c r="A432" s="1"/>
      <c r="C432" s="1"/>
      <c r="D432" s="1"/>
      <c r="E432" s="1"/>
      <c r="F432" s="1"/>
    </row>
    <row r="433">
      <c r="A433" s="1"/>
      <c r="C433" s="1"/>
      <c r="D433" s="1"/>
      <c r="E433" s="1"/>
      <c r="F433" s="1"/>
    </row>
    <row r="434">
      <c r="A434" s="1"/>
      <c r="C434" s="1"/>
      <c r="D434" s="1"/>
      <c r="E434" s="1"/>
      <c r="F434" s="1"/>
    </row>
    <row r="435">
      <c r="A435" s="1"/>
      <c r="C435" s="1"/>
      <c r="D435" s="1"/>
      <c r="E435" s="1"/>
      <c r="F435" s="1"/>
    </row>
    <row r="436">
      <c r="A436" s="1"/>
      <c r="C436" s="1"/>
      <c r="D436" s="1"/>
      <c r="E436" s="1"/>
      <c r="F436" s="1"/>
    </row>
    <row r="437">
      <c r="A437" s="1"/>
      <c r="C437" s="1"/>
      <c r="D437" s="1"/>
      <c r="E437" s="1"/>
      <c r="F437" s="1"/>
    </row>
    <row r="438">
      <c r="A438" s="1"/>
      <c r="C438" s="1"/>
      <c r="D438" s="1"/>
      <c r="E438" s="1"/>
      <c r="F438" s="1"/>
    </row>
    <row r="439">
      <c r="A439" s="1"/>
      <c r="C439" s="1"/>
      <c r="D439" s="1"/>
      <c r="E439" s="1"/>
      <c r="F439" s="1"/>
    </row>
    <row r="440">
      <c r="A440" s="1"/>
      <c r="C440" s="1"/>
      <c r="D440" s="1"/>
      <c r="E440" s="1"/>
      <c r="F440" s="1"/>
    </row>
    <row r="441">
      <c r="A441" s="1"/>
      <c r="C441" s="1"/>
      <c r="D441" s="1"/>
      <c r="E441" s="1"/>
      <c r="F441" s="1"/>
    </row>
    <row r="442">
      <c r="A442" s="1"/>
      <c r="C442" s="1"/>
      <c r="D442" s="1"/>
      <c r="E442" s="1"/>
      <c r="F442" s="1"/>
    </row>
    <row r="443">
      <c r="A443" s="1"/>
      <c r="C443" s="1"/>
      <c r="D443" s="1"/>
      <c r="E443" s="1"/>
      <c r="F443" s="1"/>
    </row>
    <row r="444">
      <c r="A444" s="1"/>
      <c r="C444" s="1"/>
      <c r="D444" s="1"/>
      <c r="E444" s="1"/>
      <c r="F444" s="1"/>
    </row>
    <row r="445">
      <c r="A445" s="1"/>
      <c r="C445" s="1"/>
      <c r="D445" s="1"/>
      <c r="E445" s="1"/>
      <c r="F445" s="1"/>
    </row>
    <row r="446">
      <c r="A446" s="1"/>
      <c r="C446" s="1"/>
      <c r="D446" s="1"/>
      <c r="E446" s="1"/>
      <c r="F446" s="1"/>
    </row>
    <row r="447">
      <c r="A447" s="1"/>
      <c r="C447" s="1"/>
      <c r="D447" s="1"/>
      <c r="E447" s="1"/>
      <c r="F447" s="1"/>
    </row>
    <row r="448">
      <c r="A448" s="1"/>
      <c r="C448" s="1"/>
      <c r="D448" s="1"/>
      <c r="E448" s="1"/>
      <c r="F448" s="1"/>
    </row>
    <row r="449">
      <c r="A449" s="1"/>
      <c r="C449" s="1"/>
      <c r="D449" s="1"/>
      <c r="E449" s="1"/>
      <c r="F449" s="1"/>
    </row>
    <row r="450">
      <c r="A450" s="1"/>
      <c r="C450" s="1"/>
      <c r="D450" s="1"/>
      <c r="E450" s="1"/>
      <c r="F450" s="1"/>
    </row>
    <row r="451">
      <c r="A451" s="1"/>
      <c r="C451" s="1"/>
      <c r="D451" s="1"/>
      <c r="E451" s="1"/>
      <c r="F451" s="1"/>
    </row>
    <row r="452">
      <c r="A452" s="1"/>
      <c r="C452" s="1"/>
      <c r="D452" s="1"/>
      <c r="E452" s="1"/>
      <c r="F452" s="1"/>
    </row>
    <row r="453">
      <c r="A453" s="1"/>
      <c r="C453" s="1"/>
      <c r="D453" s="1"/>
      <c r="E453" s="1"/>
      <c r="F453" s="1"/>
    </row>
    <row r="454">
      <c r="A454" s="1"/>
      <c r="C454" s="1"/>
      <c r="D454" s="1"/>
      <c r="E454" s="1"/>
      <c r="F454" s="1"/>
    </row>
    <row r="455">
      <c r="A455" s="1"/>
      <c r="C455" s="1"/>
      <c r="D455" s="1"/>
      <c r="E455" s="1"/>
      <c r="F455" s="1"/>
    </row>
    <row r="456">
      <c r="A456" s="1"/>
      <c r="C456" s="1"/>
      <c r="D456" s="1"/>
      <c r="E456" s="1"/>
      <c r="F456" s="1"/>
    </row>
    <row r="457">
      <c r="A457" s="1"/>
      <c r="C457" s="1"/>
      <c r="D457" s="1"/>
      <c r="E457" s="1"/>
      <c r="F457" s="1"/>
    </row>
    <row r="458">
      <c r="A458" s="1"/>
      <c r="C458" s="1"/>
      <c r="D458" s="1"/>
      <c r="E458" s="1"/>
      <c r="F458" s="1"/>
    </row>
    <row r="459">
      <c r="A459" s="1"/>
      <c r="C459" s="1"/>
      <c r="D459" s="1"/>
      <c r="E459" s="1"/>
      <c r="F459" s="1"/>
    </row>
    <row r="460">
      <c r="A460" s="1"/>
      <c r="C460" s="1"/>
      <c r="D460" s="1"/>
      <c r="E460" s="1"/>
      <c r="F460" s="1"/>
    </row>
    <row r="461">
      <c r="A461" s="1"/>
      <c r="C461" s="1"/>
      <c r="D461" s="1"/>
      <c r="E461" s="1"/>
      <c r="F461" s="1"/>
    </row>
    <row r="462">
      <c r="A462" s="1"/>
      <c r="C462" s="1"/>
      <c r="D462" s="1"/>
      <c r="E462" s="1"/>
      <c r="F462" s="1"/>
    </row>
    <row r="463">
      <c r="A463" s="1"/>
      <c r="C463" s="1"/>
      <c r="D463" s="1"/>
      <c r="E463" s="1"/>
      <c r="F463" s="1"/>
    </row>
    <row r="464">
      <c r="A464" s="1"/>
      <c r="C464" s="1"/>
      <c r="D464" s="1"/>
      <c r="E464" s="1"/>
      <c r="F464" s="1"/>
    </row>
    <row r="465">
      <c r="A465" s="1"/>
      <c r="C465" s="1"/>
      <c r="D465" s="1"/>
      <c r="E465" s="1"/>
      <c r="F465" s="1"/>
    </row>
    <row r="466">
      <c r="A466" s="1"/>
      <c r="C466" s="1"/>
      <c r="D466" s="1"/>
      <c r="E466" s="1"/>
      <c r="F466" s="1"/>
    </row>
    <row r="467">
      <c r="A467" s="1"/>
      <c r="C467" s="1"/>
      <c r="D467" s="1"/>
      <c r="E467" s="1"/>
      <c r="F467" s="1"/>
    </row>
    <row r="468">
      <c r="A468" s="1"/>
      <c r="C468" s="1"/>
      <c r="D468" s="1"/>
      <c r="E468" s="1"/>
      <c r="F468" s="1"/>
    </row>
    <row r="469">
      <c r="A469" s="1"/>
      <c r="C469" s="1"/>
      <c r="D469" s="1"/>
      <c r="E469" s="1"/>
      <c r="F469" s="1"/>
    </row>
    <row r="470">
      <c r="A470" s="1"/>
      <c r="C470" s="1"/>
      <c r="D470" s="1"/>
      <c r="E470" s="1"/>
      <c r="F470" s="1"/>
    </row>
    <row r="471">
      <c r="A471" s="1"/>
      <c r="C471" s="1"/>
      <c r="D471" s="1"/>
      <c r="E471" s="1"/>
      <c r="F471" s="1"/>
    </row>
    <row r="472">
      <c r="A472" s="1"/>
      <c r="C472" s="1"/>
      <c r="D472" s="1"/>
      <c r="E472" s="1"/>
      <c r="F472" s="1"/>
    </row>
    <row r="473">
      <c r="A473" s="1"/>
      <c r="C473" s="1"/>
      <c r="D473" s="1"/>
      <c r="E473" s="1"/>
      <c r="F473" s="1"/>
    </row>
    <row r="474">
      <c r="A474" s="1"/>
      <c r="C474" s="1"/>
      <c r="D474" s="1"/>
      <c r="E474" s="1"/>
      <c r="F474" s="1"/>
    </row>
    <row r="475">
      <c r="A475" s="1"/>
      <c r="C475" s="1"/>
      <c r="D475" s="1"/>
      <c r="E475" s="1"/>
      <c r="F475" s="1"/>
    </row>
    <row r="476">
      <c r="A476" s="1"/>
      <c r="C476" s="1"/>
      <c r="D476" s="1"/>
      <c r="E476" s="1"/>
      <c r="F476" s="1"/>
    </row>
    <row r="477">
      <c r="A477" s="1"/>
      <c r="C477" s="1"/>
      <c r="D477" s="1"/>
      <c r="E477" s="1"/>
      <c r="F477" s="1"/>
    </row>
    <row r="478">
      <c r="A478" s="1"/>
      <c r="C478" s="1"/>
      <c r="D478" s="1"/>
      <c r="E478" s="1"/>
      <c r="F478" s="1"/>
    </row>
    <row r="479">
      <c r="A479" s="1"/>
      <c r="C479" s="1"/>
      <c r="D479" s="1"/>
      <c r="E479" s="1"/>
      <c r="F479" s="1"/>
    </row>
    <row r="480">
      <c r="A480" s="1"/>
      <c r="C480" s="1"/>
      <c r="D480" s="1"/>
      <c r="E480" s="1"/>
      <c r="F480" s="1"/>
    </row>
    <row r="481">
      <c r="A481" s="1"/>
      <c r="C481" s="1"/>
      <c r="D481" s="1"/>
      <c r="E481" s="1"/>
      <c r="F481" s="1"/>
    </row>
    <row r="482">
      <c r="A482" s="1"/>
      <c r="C482" s="1"/>
      <c r="D482" s="1"/>
      <c r="E482" s="1"/>
      <c r="F482" s="1"/>
    </row>
    <row r="483">
      <c r="A483" s="1"/>
      <c r="C483" s="1"/>
      <c r="D483" s="1"/>
      <c r="E483" s="1"/>
      <c r="F483" s="1"/>
    </row>
    <row r="484">
      <c r="A484" s="1"/>
      <c r="C484" s="1"/>
      <c r="D484" s="1"/>
      <c r="E484" s="1"/>
      <c r="F484" s="1"/>
    </row>
    <row r="485">
      <c r="A485" s="1"/>
      <c r="C485" s="1"/>
      <c r="D485" s="1"/>
      <c r="E485" s="1"/>
      <c r="F485" s="1"/>
    </row>
    <row r="486">
      <c r="A486" s="1"/>
      <c r="C486" s="1"/>
      <c r="D486" s="1"/>
      <c r="E486" s="1"/>
      <c r="F486" s="1"/>
    </row>
    <row r="487">
      <c r="A487" s="1"/>
      <c r="C487" s="1"/>
      <c r="D487" s="1"/>
      <c r="E487" s="1"/>
      <c r="F487" s="1"/>
    </row>
    <row r="488">
      <c r="A488" s="1"/>
      <c r="C488" s="1"/>
      <c r="D488" s="1"/>
      <c r="E488" s="1"/>
      <c r="F488" s="1"/>
    </row>
    <row r="489">
      <c r="A489" s="1"/>
      <c r="C489" s="1"/>
      <c r="D489" s="1"/>
      <c r="E489" s="1"/>
      <c r="F489" s="1"/>
    </row>
    <row r="490">
      <c r="A490" s="1"/>
      <c r="C490" s="1"/>
      <c r="D490" s="1"/>
      <c r="E490" s="1"/>
      <c r="F490" s="1"/>
    </row>
    <row r="491">
      <c r="A491" s="1"/>
      <c r="C491" s="1"/>
      <c r="D491" s="1"/>
      <c r="E491" s="1"/>
      <c r="F491" s="1"/>
    </row>
    <row r="492">
      <c r="A492" s="1"/>
      <c r="C492" s="1"/>
      <c r="D492" s="1"/>
      <c r="E492" s="1"/>
      <c r="F492" s="1"/>
    </row>
    <row r="493">
      <c r="A493" s="1"/>
      <c r="C493" s="1"/>
      <c r="D493" s="1"/>
      <c r="E493" s="1"/>
      <c r="F493" s="1"/>
    </row>
    <row r="494">
      <c r="A494" s="1"/>
      <c r="C494" s="1"/>
      <c r="D494" s="1"/>
      <c r="E494" s="1"/>
      <c r="F494" s="1"/>
    </row>
    <row r="495">
      <c r="A495" s="1"/>
      <c r="C495" s="1"/>
      <c r="D495" s="1"/>
      <c r="E495" s="1"/>
      <c r="F495" s="1"/>
    </row>
    <row r="496">
      <c r="A496" s="1"/>
      <c r="C496" s="1"/>
      <c r="D496" s="1"/>
      <c r="E496" s="1"/>
      <c r="F496" s="1"/>
    </row>
    <row r="497">
      <c r="A497" s="1"/>
      <c r="C497" s="1"/>
      <c r="D497" s="1"/>
      <c r="E497" s="1"/>
      <c r="F497" s="1"/>
    </row>
    <row r="498">
      <c r="A498" s="1"/>
      <c r="C498" s="1"/>
      <c r="D498" s="1"/>
      <c r="E498" s="1"/>
      <c r="F498" s="1"/>
    </row>
    <row r="499">
      <c r="A499" s="1"/>
      <c r="C499" s="1"/>
      <c r="D499" s="1"/>
      <c r="E499" s="1"/>
      <c r="F499" s="1"/>
    </row>
    <row r="500">
      <c r="A500" s="1"/>
      <c r="C500" s="1"/>
      <c r="D500" s="1"/>
      <c r="E500" s="1"/>
      <c r="F500" s="1"/>
    </row>
    <row r="501">
      <c r="A501" s="1"/>
      <c r="C501" s="1"/>
      <c r="D501" s="1"/>
      <c r="E501" s="1"/>
      <c r="F501" s="1"/>
    </row>
    <row r="502">
      <c r="A502" s="1"/>
      <c r="C502" s="1"/>
      <c r="D502" s="1"/>
      <c r="E502" s="1"/>
      <c r="F502" s="1"/>
    </row>
    <row r="503">
      <c r="A503" s="1"/>
      <c r="C503" s="1"/>
      <c r="D503" s="1"/>
      <c r="E503" s="1"/>
      <c r="F503" s="1"/>
    </row>
    <row r="504">
      <c r="A504" s="1"/>
      <c r="C504" s="1"/>
      <c r="D504" s="1"/>
      <c r="E504" s="1"/>
      <c r="F504" s="1"/>
    </row>
    <row r="505">
      <c r="A505" s="1"/>
      <c r="C505" s="1"/>
      <c r="D505" s="1"/>
      <c r="E505" s="1"/>
      <c r="F505" s="1"/>
    </row>
    <row r="506">
      <c r="A506" s="1"/>
      <c r="C506" s="1"/>
      <c r="D506" s="1"/>
      <c r="E506" s="1"/>
      <c r="F506" s="1"/>
    </row>
    <row r="507">
      <c r="A507" s="1"/>
      <c r="C507" s="1"/>
      <c r="D507" s="1"/>
      <c r="E507" s="1"/>
      <c r="F507" s="1"/>
    </row>
    <row r="508">
      <c r="A508" s="1"/>
      <c r="C508" s="1"/>
      <c r="D508" s="1"/>
      <c r="E508" s="1"/>
      <c r="F508" s="1"/>
    </row>
    <row r="509">
      <c r="A509" s="1"/>
      <c r="C509" s="1"/>
      <c r="D509" s="1"/>
      <c r="E509" s="1"/>
      <c r="F509" s="1"/>
    </row>
    <row r="510">
      <c r="A510" s="1"/>
      <c r="C510" s="1"/>
      <c r="D510" s="1"/>
      <c r="E510" s="1"/>
      <c r="F510" s="1"/>
    </row>
    <row r="511">
      <c r="A511" s="1"/>
      <c r="C511" s="1"/>
      <c r="D511" s="1"/>
      <c r="E511" s="1"/>
      <c r="F511" s="1"/>
    </row>
    <row r="512">
      <c r="A512" s="1"/>
      <c r="C512" s="1"/>
      <c r="D512" s="1"/>
      <c r="E512" s="1"/>
      <c r="F512" s="1"/>
    </row>
    <row r="513">
      <c r="A513" s="1"/>
      <c r="C513" s="1"/>
      <c r="D513" s="1"/>
      <c r="E513" s="1"/>
      <c r="F513" s="1"/>
    </row>
    <row r="514">
      <c r="A514" s="1"/>
      <c r="C514" s="1"/>
      <c r="D514" s="1"/>
      <c r="E514" s="1"/>
      <c r="F514" s="1"/>
    </row>
    <row r="515">
      <c r="A515" s="1"/>
      <c r="C515" s="1"/>
      <c r="D515" s="1"/>
      <c r="E515" s="1"/>
      <c r="F515" s="1"/>
    </row>
    <row r="516">
      <c r="A516" s="1"/>
      <c r="C516" s="1"/>
      <c r="D516" s="1"/>
      <c r="E516" s="1"/>
      <c r="F516" s="1"/>
    </row>
    <row r="517">
      <c r="A517" s="1"/>
      <c r="C517" s="1"/>
      <c r="D517" s="1"/>
      <c r="E517" s="1"/>
      <c r="F517" s="1"/>
    </row>
    <row r="518">
      <c r="A518" s="1"/>
      <c r="C518" s="1"/>
      <c r="D518" s="1"/>
      <c r="E518" s="1"/>
      <c r="F518" s="1"/>
    </row>
    <row r="519">
      <c r="A519" s="1"/>
      <c r="C519" s="1"/>
      <c r="D519" s="1"/>
      <c r="E519" s="1"/>
      <c r="F519" s="1"/>
    </row>
    <row r="520">
      <c r="A520" s="1"/>
      <c r="C520" s="1"/>
      <c r="D520" s="1"/>
      <c r="E520" s="1"/>
      <c r="F520" s="1"/>
    </row>
    <row r="521">
      <c r="A521" s="1"/>
      <c r="C521" s="1"/>
      <c r="D521" s="1"/>
      <c r="E521" s="1"/>
      <c r="F521" s="1"/>
    </row>
    <row r="522">
      <c r="A522" s="1"/>
      <c r="C522" s="1"/>
      <c r="D522" s="1"/>
      <c r="E522" s="1"/>
      <c r="F522" s="1"/>
    </row>
    <row r="523">
      <c r="A523" s="1"/>
      <c r="C523" s="1"/>
      <c r="D523" s="1"/>
      <c r="E523" s="1"/>
      <c r="F523" s="1"/>
    </row>
    <row r="524">
      <c r="A524" s="1"/>
      <c r="C524" s="1"/>
      <c r="D524" s="1"/>
      <c r="E524" s="1"/>
      <c r="F524" s="1"/>
    </row>
    <row r="525">
      <c r="A525" s="1"/>
      <c r="C525" s="1"/>
      <c r="D525" s="1"/>
      <c r="E525" s="1"/>
      <c r="F525" s="1"/>
    </row>
    <row r="526">
      <c r="A526" s="1"/>
      <c r="C526" s="1"/>
      <c r="D526" s="1"/>
      <c r="E526" s="1"/>
      <c r="F526" s="1"/>
    </row>
    <row r="527">
      <c r="A527" s="1"/>
      <c r="C527" s="1"/>
      <c r="D527" s="1"/>
      <c r="E527" s="1"/>
      <c r="F527" s="1"/>
    </row>
    <row r="528">
      <c r="A528" s="1"/>
      <c r="C528" s="1"/>
      <c r="D528" s="1"/>
      <c r="E528" s="1"/>
      <c r="F528" s="1"/>
    </row>
    <row r="529">
      <c r="A529" s="1"/>
      <c r="C529" s="1"/>
      <c r="D529" s="1"/>
      <c r="E529" s="1"/>
      <c r="F529" s="1"/>
    </row>
    <row r="530">
      <c r="A530" s="1"/>
      <c r="C530" s="1"/>
      <c r="D530" s="1"/>
      <c r="E530" s="1"/>
      <c r="F530" s="1"/>
    </row>
    <row r="531">
      <c r="A531" s="1"/>
      <c r="C531" s="1"/>
      <c r="D531" s="1"/>
      <c r="E531" s="1"/>
      <c r="F531" s="1"/>
    </row>
    <row r="532">
      <c r="A532" s="1"/>
      <c r="C532" s="1"/>
      <c r="D532" s="1"/>
      <c r="E532" s="1"/>
      <c r="F532" s="1"/>
    </row>
    <row r="533">
      <c r="A533" s="1"/>
      <c r="C533" s="1"/>
      <c r="D533" s="1"/>
      <c r="E533" s="1"/>
      <c r="F533" s="1"/>
    </row>
    <row r="534">
      <c r="A534" s="1"/>
      <c r="C534" s="1"/>
      <c r="D534" s="1"/>
      <c r="E534" s="1"/>
      <c r="F534" s="1"/>
    </row>
    <row r="535">
      <c r="A535" s="1"/>
      <c r="C535" s="1"/>
      <c r="D535" s="1"/>
      <c r="E535" s="1"/>
      <c r="F535" s="1"/>
    </row>
    <row r="536">
      <c r="A536" s="1"/>
      <c r="C536" s="1"/>
      <c r="D536" s="1"/>
      <c r="E536" s="1"/>
      <c r="F536" s="1"/>
    </row>
    <row r="537">
      <c r="A537" s="1"/>
      <c r="C537" s="1"/>
      <c r="D537" s="1"/>
      <c r="E537" s="1"/>
      <c r="F537" s="1"/>
    </row>
    <row r="538">
      <c r="A538" s="1"/>
      <c r="C538" s="1"/>
      <c r="D538" s="1"/>
      <c r="E538" s="1"/>
      <c r="F538" s="1"/>
    </row>
    <row r="539">
      <c r="A539" s="1"/>
      <c r="C539" s="1"/>
      <c r="D539" s="1"/>
      <c r="E539" s="1"/>
      <c r="F539" s="1"/>
    </row>
    <row r="540">
      <c r="A540" s="1"/>
      <c r="C540" s="1"/>
      <c r="D540" s="1"/>
      <c r="E540" s="1"/>
      <c r="F540" s="1"/>
    </row>
    <row r="541">
      <c r="A541" s="1"/>
      <c r="C541" s="1"/>
      <c r="D541" s="1"/>
      <c r="E541" s="1"/>
      <c r="F541" s="1"/>
    </row>
    <row r="542">
      <c r="A542" s="1"/>
      <c r="C542" s="1"/>
      <c r="D542" s="1"/>
      <c r="E542" s="1"/>
      <c r="F542" s="1"/>
    </row>
    <row r="543">
      <c r="A543" s="1"/>
      <c r="C543" s="1"/>
      <c r="D543" s="1"/>
      <c r="E543" s="1"/>
      <c r="F543" s="1"/>
    </row>
    <row r="544">
      <c r="A544" s="1"/>
      <c r="C544" s="1"/>
      <c r="D544" s="1"/>
      <c r="E544" s="1"/>
      <c r="F544" s="1"/>
    </row>
    <row r="545">
      <c r="A545" s="1"/>
      <c r="C545" s="1"/>
      <c r="D545" s="1"/>
      <c r="E545" s="1"/>
      <c r="F545" s="1"/>
    </row>
    <row r="546">
      <c r="A546" s="1"/>
      <c r="C546" s="1"/>
      <c r="D546" s="1"/>
      <c r="E546" s="1"/>
      <c r="F546" s="1"/>
    </row>
    <row r="547">
      <c r="A547" s="1"/>
      <c r="C547" s="1"/>
      <c r="D547" s="1"/>
      <c r="E547" s="1"/>
      <c r="F547" s="1"/>
    </row>
    <row r="548">
      <c r="A548" s="1"/>
      <c r="C548" s="1"/>
      <c r="D548" s="1"/>
      <c r="E548" s="1"/>
      <c r="F548" s="1"/>
    </row>
    <row r="549">
      <c r="A549" s="1"/>
      <c r="C549" s="1"/>
      <c r="D549" s="1"/>
      <c r="E549" s="1"/>
      <c r="F549" s="1"/>
    </row>
    <row r="550">
      <c r="A550" s="1"/>
      <c r="C550" s="1"/>
      <c r="D550" s="1"/>
      <c r="E550" s="1"/>
      <c r="F550" s="1"/>
    </row>
    <row r="551">
      <c r="A551" s="1"/>
      <c r="C551" s="1"/>
      <c r="D551" s="1"/>
      <c r="E551" s="1"/>
      <c r="F551" s="1"/>
    </row>
    <row r="552">
      <c r="A552" s="1"/>
      <c r="C552" s="1"/>
      <c r="D552" s="1"/>
      <c r="E552" s="1"/>
      <c r="F552" s="1"/>
    </row>
    <row r="553">
      <c r="A553" s="1"/>
      <c r="C553" s="1"/>
      <c r="D553" s="1"/>
      <c r="E553" s="1"/>
      <c r="F553" s="1"/>
    </row>
    <row r="554">
      <c r="A554" s="1"/>
      <c r="C554" s="1"/>
      <c r="D554" s="1"/>
      <c r="E554" s="1"/>
      <c r="F554" s="1"/>
    </row>
    <row r="555">
      <c r="A555" s="1"/>
      <c r="C555" s="1"/>
      <c r="D555" s="1"/>
      <c r="E555" s="1"/>
      <c r="F555" s="1"/>
    </row>
    <row r="556">
      <c r="A556" s="1"/>
      <c r="C556" s="1"/>
      <c r="D556" s="1"/>
      <c r="E556" s="1"/>
      <c r="F556" s="1"/>
    </row>
    <row r="557">
      <c r="A557" s="1"/>
      <c r="C557" s="1"/>
      <c r="D557" s="1"/>
      <c r="E557" s="1"/>
      <c r="F557" s="1"/>
    </row>
    <row r="558">
      <c r="A558" s="1"/>
      <c r="C558" s="1"/>
      <c r="D558" s="1"/>
      <c r="E558" s="1"/>
      <c r="F558" s="1"/>
    </row>
    <row r="559">
      <c r="A559" s="1"/>
      <c r="C559" s="1"/>
      <c r="D559" s="1"/>
      <c r="E559" s="1"/>
      <c r="F559" s="1"/>
    </row>
    <row r="560">
      <c r="A560" s="1"/>
      <c r="C560" s="1"/>
      <c r="D560" s="1"/>
      <c r="E560" s="1"/>
      <c r="F560" s="1"/>
    </row>
    <row r="561">
      <c r="A561" s="1"/>
      <c r="C561" s="1"/>
      <c r="D561" s="1"/>
      <c r="E561" s="1"/>
      <c r="F561" s="1"/>
    </row>
    <row r="562">
      <c r="A562" s="1"/>
      <c r="C562" s="1"/>
      <c r="D562" s="1"/>
      <c r="E562" s="1"/>
      <c r="F562" s="1"/>
    </row>
    <row r="563">
      <c r="A563" s="1"/>
      <c r="C563" s="1"/>
      <c r="D563" s="1"/>
      <c r="E563" s="1"/>
      <c r="F563" s="1"/>
    </row>
    <row r="564">
      <c r="A564" s="1"/>
      <c r="C564" s="1"/>
      <c r="D564" s="1"/>
      <c r="E564" s="1"/>
      <c r="F564" s="1"/>
    </row>
    <row r="565">
      <c r="A565" s="1"/>
      <c r="C565" s="1"/>
      <c r="D565" s="1"/>
      <c r="E565" s="1"/>
      <c r="F565" s="1"/>
    </row>
    <row r="566">
      <c r="A566" s="1"/>
      <c r="C566" s="1"/>
      <c r="D566" s="1"/>
      <c r="E566" s="1"/>
      <c r="F566" s="1"/>
    </row>
    <row r="567">
      <c r="A567" s="1"/>
      <c r="C567" s="1"/>
      <c r="D567" s="1"/>
      <c r="E567" s="1"/>
      <c r="F567" s="1"/>
    </row>
    <row r="568">
      <c r="A568" s="1"/>
      <c r="C568" s="1"/>
      <c r="D568" s="1"/>
      <c r="E568" s="1"/>
      <c r="F568" s="1"/>
    </row>
    <row r="569">
      <c r="A569" s="1"/>
      <c r="C569" s="1"/>
      <c r="D569" s="1"/>
      <c r="E569" s="1"/>
      <c r="F569" s="1"/>
    </row>
    <row r="570">
      <c r="A570" s="1"/>
      <c r="C570" s="1"/>
      <c r="D570" s="1"/>
      <c r="E570" s="1"/>
      <c r="F570" s="1"/>
    </row>
    <row r="571">
      <c r="A571" s="1"/>
      <c r="C571" s="1"/>
      <c r="D571" s="1"/>
      <c r="E571" s="1"/>
      <c r="F571" s="1"/>
    </row>
    <row r="572">
      <c r="A572" s="1"/>
      <c r="C572" s="1"/>
      <c r="D572" s="1"/>
      <c r="E572" s="1"/>
      <c r="F572" s="1"/>
    </row>
    <row r="573">
      <c r="A573" s="1"/>
      <c r="C573" s="1"/>
      <c r="D573" s="1"/>
      <c r="E573" s="1"/>
      <c r="F573" s="1"/>
    </row>
    <row r="574">
      <c r="A574" s="1"/>
      <c r="C574" s="1"/>
      <c r="D574" s="1"/>
      <c r="E574" s="1"/>
      <c r="F574" s="1"/>
    </row>
    <row r="575">
      <c r="A575" s="1"/>
      <c r="C575" s="1"/>
      <c r="D575" s="1"/>
      <c r="E575" s="1"/>
      <c r="F575" s="1"/>
    </row>
    <row r="576">
      <c r="A576" s="1"/>
      <c r="C576" s="1"/>
      <c r="D576" s="1"/>
      <c r="E576" s="1"/>
      <c r="F576" s="1"/>
    </row>
    <row r="577">
      <c r="A577" s="1"/>
      <c r="C577" s="1"/>
      <c r="D577" s="1"/>
      <c r="E577" s="1"/>
      <c r="F577" s="1"/>
    </row>
    <row r="578">
      <c r="A578" s="1"/>
      <c r="C578" s="1"/>
      <c r="D578" s="1"/>
      <c r="E578" s="1"/>
      <c r="F578" s="1"/>
    </row>
    <row r="579">
      <c r="A579" s="1"/>
      <c r="C579" s="1"/>
      <c r="D579" s="1"/>
      <c r="E579" s="1"/>
      <c r="F579" s="1"/>
    </row>
    <row r="580">
      <c r="A580" s="1"/>
      <c r="C580" s="1"/>
      <c r="D580" s="1"/>
      <c r="E580" s="1"/>
      <c r="F580" s="1"/>
    </row>
    <row r="581">
      <c r="A581" s="1"/>
      <c r="C581" s="1"/>
      <c r="D581" s="1"/>
      <c r="E581" s="1"/>
      <c r="F581" s="1"/>
    </row>
    <row r="582">
      <c r="A582" s="1"/>
      <c r="C582" s="1"/>
      <c r="D582" s="1"/>
      <c r="E582" s="1"/>
      <c r="F582" s="1"/>
    </row>
    <row r="583">
      <c r="A583" s="1"/>
      <c r="C583" s="1"/>
      <c r="D583" s="1"/>
      <c r="E583" s="1"/>
      <c r="F583" s="1"/>
    </row>
    <row r="584">
      <c r="A584" s="1"/>
      <c r="C584" s="1"/>
      <c r="D584" s="1"/>
      <c r="E584" s="1"/>
      <c r="F584" s="1"/>
    </row>
    <row r="585">
      <c r="A585" s="1"/>
      <c r="C585" s="1"/>
      <c r="D585" s="1"/>
      <c r="E585" s="1"/>
      <c r="F585" s="1"/>
    </row>
    <row r="586">
      <c r="A586" s="1"/>
      <c r="C586" s="1"/>
      <c r="D586" s="1"/>
      <c r="E586" s="1"/>
      <c r="F586" s="1"/>
    </row>
    <row r="587">
      <c r="A587" s="1"/>
      <c r="C587" s="1"/>
      <c r="D587" s="1"/>
      <c r="E587" s="1"/>
      <c r="F587" s="1"/>
    </row>
    <row r="588">
      <c r="A588" s="1"/>
      <c r="C588" s="1"/>
      <c r="D588" s="1"/>
      <c r="E588" s="1"/>
      <c r="F588" s="1"/>
    </row>
    <row r="589">
      <c r="A589" s="1"/>
      <c r="C589" s="1"/>
      <c r="D589" s="1"/>
      <c r="E589" s="1"/>
      <c r="F589" s="1"/>
    </row>
    <row r="590">
      <c r="A590" s="1"/>
      <c r="C590" s="1"/>
      <c r="D590" s="1"/>
      <c r="E590" s="1"/>
      <c r="F590" s="1"/>
    </row>
    <row r="591">
      <c r="A591" s="1"/>
      <c r="C591" s="1"/>
      <c r="D591" s="1"/>
      <c r="E591" s="1"/>
      <c r="F591" s="1"/>
    </row>
    <row r="592">
      <c r="A592" s="1"/>
      <c r="C592" s="1"/>
      <c r="D592" s="1"/>
      <c r="E592" s="1"/>
      <c r="F592" s="1"/>
    </row>
    <row r="593">
      <c r="A593" s="1"/>
      <c r="C593" s="1"/>
      <c r="D593" s="1"/>
      <c r="E593" s="1"/>
      <c r="F593" s="1"/>
    </row>
    <row r="594">
      <c r="A594" s="1"/>
      <c r="C594" s="1"/>
      <c r="D594" s="1"/>
      <c r="E594" s="1"/>
      <c r="F594" s="1"/>
    </row>
    <row r="595">
      <c r="A595" s="1"/>
      <c r="C595" s="1"/>
      <c r="D595" s="1"/>
      <c r="E595" s="1"/>
      <c r="F595" s="1"/>
    </row>
    <row r="596">
      <c r="A596" s="1"/>
      <c r="C596" s="1"/>
      <c r="D596" s="1"/>
      <c r="E596" s="1"/>
      <c r="F596" s="1"/>
    </row>
    <row r="597">
      <c r="A597" s="1"/>
      <c r="C597" s="1"/>
      <c r="D597" s="1"/>
      <c r="E597" s="1"/>
      <c r="F597" s="1"/>
    </row>
    <row r="598">
      <c r="A598" s="1"/>
      <c r="C598" s="1"/>
      <c r="D598" s="1"/>
      <c r="E598" s="1"/>
      <c r="F598" s="1"/>
    </row>
    <row r="599">
      <c r="A599" s="1"/>
      <c r="C599" s="1"/>
      <c r="D599" s="1"/>
      <c r="E599" s="1"/>
      <c r="F599" s="1"/>
    </row>
    <row r="600">
      <c r="A600" s="1"/>
      <c r="C600" s="1"/>
      <c r="D600" s="1"/>
      <c r="E600" s="1"/>
      <c r="F600" s="1"/>
    </row>
    <row r="601">
      <c r="A601" s="1"/>
      <c r="C601" s="1"/>
      <c r="D601" s="1"/>
      <c r="E601" s="1"/>
      <c r="F601" s="1"/>
    </row>
    <row r="602">
      <c r="A602" s="1"/>
      <c r="C602" s="1"/>
      <c r="D602" s="1"/>
      <c r="E602" s="1"/>
      <c r="F602" s="1"/>
    </row>
    <row r="603">
      <c r="A603" s="1"/>
      <c r="C603" s="1"/>
      <c r="D603" s="1"/>
      <c r="E603" s="1"/>
      <c r="F603" s="1"/>
    </row>
    <row r="604">
      <c r="A604" s="1"/>
      <c r="C604" s="1"/>
      <c r="D604" s="1"/>
      <c r="E604" s="1"/>
      <c r="F604" s="1"/>
    </row>
    <row r="605">
      <c r="A605" s="1"/>
      <c r="C605" s="1"/>
      <c r="D605" s="1"/>
      <c r="E605" s="1"/>
      <c r="F605" s="1"/>
    </row>
    <row r="606">
      <c r="A606" s="1"/>
      <c r="C606" s="1"/>
      <c r="D606" s="1"/>
      <c r="E606" s="1"/>
      <c r="F606" s="1"/>
    </row>
    <row r="607">
      <c r="A607" s="1"/>
      <c r="C607" s="1"/>
      <c r="D607" s="1"/>
      <c r="E607" s="1"/>
      <c r="F607" s="1"/>
    </row>
    <row r="608">
      <c r="A608" s="1"/>
      <c r="C608" s="1"/>
      <c r="D608" s="1"/>
      <c r="E608" s="1"/>
      <c r="F608" s="1"/>
    </row>
    <row r="609">
      <c r="A609" s="1"/>
      <c r="C609" s="1"/>
      <c r="D609" s="1"/>
      <c r="E609" s="1"/>
      <c r="F609" s="1"/>
    </row>
    <row r="610">
      <c r="A610" s="1"/>
      <c r="C610" s="1"/>
      <c r="D610" s="1"/>
      <c r="E610" s="1"/>
      <c r="F610" s="1"/>
    </row>
    <row r="611">
      <c r="A611" s="1"/>
      <c r="C611" s="1"/>
      <c r="D611" s="1"/>
      <c r="E611" s="1"/>
      <c r="F611" s="1"/>
    </row>
    <row r="612">
      <c r="A612" s="1"/>
      <c r="C612" s="1"/>
      <c r="D612" s="1"/>
      <c r="E612" s="1"/>
      <c r="F612" s="1"/>
    </row>
    <row r="613">
      <c r="A613" s="1"/>
      <c r="C613" s="1"/>
      <c r="D613" s="1"/>
      <c r="E613" s="1"/>
      <c r="F613" s="1"/>
    </row>
    <row r="614">
      <c r="A614" s="1"/>
      <c r="C614" s="1"/>
      <c r="D614" s="1"/>
      <c r="E614" s="1"/>
      <c r="F614" s="1"/>
    </row>
    <row r="615">
      <c r="A615" s="1"/>
      <c r="C615" s="1"/>
      <c r="D615" s="1"/>
      <c r="E615" s="1"/>
      <c r="F615" s="1"/>
    </row>
    <row r="616">
      <c r="A616" s="1"/>
      <c r="C616" s="1"/>
      <c r="D616" s="1"/>
      <c r="E616" s="1"/>
      <c r="F616" s="1"/>
    </row>
    <row r="617">
      <c r="A617" s="1"/>
      <c r="C617" s="1"/>
      <c r="D617" s="1"/>
      <c r="E617" s="1"/>
      <c r="F617" s="1"/>
    </row>
    <row r="618">
      <c r="A618" s="1"/>
      <c r="C618" s="1"/>
      <c r="D618" s="1"/>
      <c r="E618" s="1"/>
      <c r="F618" s="1"/>
    </row>
    <row r="619">
      <c r="A619" s="1"/>
      <c r="C619" s="1"/>
      <c r="D619" s="1"/>
      <c r="E619" s="1"/>
      <c r="F619" s="1"/>
    </row>
    <row r="620">
      <c r="A620" s="1"/>
      <c r="C620" s="1"/>
      <c r="D620" s="1"/>
      <c r="E620" s="1"/>
      <c r="F620" s="1"/>
    </row>
    <row r="621">
      <c r="A621" s="1"/>
      <c r="C621" s="1"/>
      <c r="D621" s="1"/>
      <c r="E621" s="1"/>
      <c r="F621" s="1"/>
    </row>
    <row r="622">
      <c r="A622" s="1"/>
      <c r="C622" s="1"/>
      <c r="D622" s="1"/>
      <c r="E622" s="1"/>
      <c r="F622" s="1"/>
    </row>
    <row r="623">
      <c r="A623" s="1"/>
      <c r="C623" s="1"/>
      <c r="D623" s="1"/>
      <c r="E623" s="1"/>
      <c r="F623" s="1"/>
    </row>
    <row r="624">
      <c r="A624" s="1"/>
      <c r="C624" s="1"/>
      <c r="D624" s="1"/>
      <c r="E624" s="1"/>
      <c r="F624" s="1"/>
    </row>
    <row r="625">
      <c r="A625" s="1"/>
      <c r="C625" s="1"/>
      <c r="D625" s="1"/>
      <c r="E625" s="1"/>
      <c r="F625" s="1"/>
    </row>
    <row r="626">
      <c r="A626" s="1"/>
      <c r="C626" s="1"/>
      <c r="D626" s="1"/>
      <c r="E626" s="1"/>
      <c r="F626" s="1"/>
    </row>
    <row r="627">
      <c r="A627" s="1"/>
      <c r="C627" s="1"/>
      <c r="D627" s="1"/>
      <c r="E627" s="1"/>
      <c r="F627" s="1"/>
    </row>
    <row r="628">
      <c r="A628" s="1"/>
      <c r="C628" s="1"/>
      <c r="D628" s="1"/>
      <c r="E628" s="1"/>
      <c r="F628" s="1"/>
    </row>
    <row r="629">
      <c r="A629" s="1"/>
      <c r="C629" s="1"/>
      <c r="D629" s="1"/>
      <c r="E629" s="1"/>
      <c r="F629" s="1"/>
    </row>
    <row r="630">
      <c r="A630" s="1"/>
      <c r="C630" s="1"/>
      <c r="D630" s="1"/>
      <c r="E630" s="1"/>
      <c r="F630" s="1"/>
    </row>
    <row r="631">
      <c r="A631" s="1"/>
      <c r="C631" s="1"/>
      <c r="D631" s="1"/>
      <c r="E631" s="1"/>
      <c r="F631" s="1"/>
    </row>
    <row r="632">
      <c r="A632" s="1"/>
      <c r="C632" s="1"/>
      <c r="D632" s="1"/>
      <c r="E632" s="1"/>
      <c r="F632" s="1"/>
    </row>
    <row r="633">
      <c r="A633" s="1"/>
      <c r="C633" s="1"/>
      <c r="D633" s="1"/>
      <c r="E633" s="1"/>
      <c r="F633" s="1"/>
    </row>
    <row r="634">
      <c r="A634" s="1"/>
      <c r="C634" s="1"/>
      <c r="D634" s="1"/>
      <c r="E634" s="1"/>
      <c r="F634" s="1"/>
    </row>
    <row r="635">
      <c r="A635" s="1"/>
      <c r="C635" s="1"/>
      <c r="D635" s="1"/>
      <c r="E635" s="1"/>
      <c r="F635" s="1"/>
    </row>
    <row r="636">
      <c r="A636" s="1"/>
      <c r="C636" s="1"/>
      <c r="D636" s="1"/>
      <c r="E636" s="1"/>
      <c r="F636" s="1"/>
    </row>
    <row r="637">
      <c r="A637" s="1"/>
      <c r="C637" s="1"/>
      <c r="D637" s="1"/>
      <c r="E637" s="1"/>
      <c r="F637" s="1"/>
    </row>
    <row r="638">
      <c r="A638" s="1"/>
      <c r="C638" s="1"/>
      <c r="D638" s="1"/>
      <c r="E638" s="1"/>
      <c r="F638" s="1"/>
    </row>
    <row r="639">
      <c r="A639" s="1"/>
      <c r="C639" s="1"/>
      <c r="D639" s="1"/>
      <c r="E639" s="1"/>
      <c r="F639" s="1"/>
    </row>
    <row r="640">
      <c r="A640" s="1"/>
      <c r="C640" s="1"/>
      <c r="D640" s="1"/>
      <c r="E640" s="1"/>
      <c r="F640" s="1"/>
    </row>
    <row r="641">
      <c r="A641" s="1"/>
      <c r="C641" s="1"/>
      <c r="D641" s="1"/>
      <c r="E641" s="1"/>
      <c r="F641" s="1"/>
    </row>
    <row r="642">
      <c r="A642" s="1"/>
      <c r="C642" s="1"/>
      <c r="D642" s="1"/>
      <c r="E642" s="1"/>
      <c r="F642" s="1"/>
    </row>
    <row r="643">
      <c r="A643" s="1"/>
      <c r="C643" s="1"/>
      <c r="D643" s="1"/>
      <c r="E643" s="1"/>
      <c r="F643" s="1"/>
    </row>
    <row r="644">
      <c r="A644" s="1"/>
      <c r="C644" s="1"/>
      <c r="D644" s="1"/>
      <c r="E644" s="1"/>
      <c r="F644" s="1"/>
    </row>
    <row r="645">
      <c r="A645" s="1"/>
      <c r="C645" s="1"/>
      <c r="D645" s="1"/>
      <c r="E645" s="1"/>
      <c r="F645" s="1"/>
    </row>
    <row r="646">
      <c r="A646" s="1"/>
      <c r="C646" s="1"/>
      <c r="D646" s="1"/>
      <c r="E646" s="1"/>
      <c r="F646" s="1"/>
    </row>
    <row r="647">
      <c r="A647" s="1"/>
      <c r="C647" s="1"/>
      <c r="D647" s="1"/>
      <c r="E647" s="1"/>
      <c r="F647" s="1"/>
    </row>
    <row r="648">
      <c r="A648" s="1"/>
      <c r="C648" s="1"/>
      <c r="D648" s="1"/>
      <c r="E648" s="1"/>
      <c r="F648" s="1"/>
    </row>
    <row r="649">
      <c r="A649" s="1"/>
      <c r="C649" s="1"/>
      <c r="D649" s="1"/>
      <c r="E649" s="1"/>
      <c r="F649" s="1"/>
    </row>
    <row r="650">
      <c r="A650" s="1"/>
      <c r="C650" s="1"/>
      <c r="D650" s="1"/>
      <c r="E650" s="1"/>
      <c r="F650" s="1"/>
    </row>
    <row r="651">
      <c r="A651" s="1"/>
      <c r="C651" s="1"/>
      <c r="D651" s="1"/>
      <c r="E651" s="1"/>
      <c r="F651" s="1"/>
    </row>
    <row r="652">
      <c r="A652" s="1"/>
      <c r="C652" s="1"/>
      <c r="D652" s="1"/>
      <c r="E652" s="1"/>
      <c r="F652" s="1"/>
    </row>
    <row r="653">
      <c r="A653" s="1"/>
      <c r="C653" s="1"/>
      <c r="D653" s="1"/>
      <c r="E653" s="1"/>
      <c r="F653" s="1"/>
    </row>
    <row r="654">
      <c r="A654" s="1"/>
      <c r="C654" s="1"/>
      <c r="D654" s="1"/>
      <c r="E654" s="1"/>
      <c r="F654" s="1"/>
    </row>
    <row r="655">
      <c r="A655" s="1"/>
      <c r="C655" s="1"/>
      <c r="D655" s="1"/>
      <c r="E655" s="1"/>
      <c r="F655" s="1"/>
    </row>
    <row r="656">
      <c r="A656" s="1"/>
      <c r="C656" s="1"/>
      <c r="D656" s="1"/>
      <c r="E656" s="1"/>
      <c r="F656" s="1"/>
    </row>
    <row r="657">
      <c r="A657" s="1"/>
      <c r="C657" s="1"/>
      <c r="D657" s="1"/>
      <c r="E657" s="1"/>
      <c r="F657" s="1"/>
    </row>
    <row r="658">
      <c r="A658" s="1"/>
      <c r="C658" s="1"/>
      <c r="D658" s="1"/>
      <c r="E658" s="1"/>
      <c r="F658" s="1"/>
    </row>
    <row r="659">
      <c r="A659" s="1"/>
      <c r="C659" s="1"/>
      <c r="D659" s="1"/>
      <c r="E659" s="1"/>
      <c r="F659" s="1"/>
    </row>
    <row r="660">
      <c r="A660" s="1"/>
      <c r="C660" s="1"/>
      <c r="D660" s="1"/>
      <c r="E660" s="1"/>
      <c r="F660" s="1"/>
    </row>
    <row r="661">
      <c r="A661" s="1"/>
      <c r="C661" s="1"/>
      <c r="D661" s="1"/>
      <c r="E661" s="1"/>
      <c r="F661" s="1"/>
    </row>
    <row r="662">
      <c r="A662" s="1"/>
      <c r="C662" s="1"/>
      <c r="D662" s="1"/>
      <c r="E662" s="1"/>
      <c r="F662" s="1"/>
    </row>
    <row r="663">
      <c r="A663" s="1"/>
      <c r="C663" s="1"/>
      <c r="D663" s="1"/>
      <c r="E663" s="1"/>
      <c r="F663" s="1"/>
    </row>
    <row r="664">
      <c r="A664" s="1"/>
      <c r="C664" s="1"/>
      <c r="D664" s="1"/>
      <c r="E664" s="1"/>
      <c r="F664" s="1"/>
    </row>
    <row r="665">
      <c r="A665" s="1"/>
      <c r="C665" s="1"/>
      <c r="D665" s="1"/>
      <c r="E665" s="1"/>
      <c r="F665" s="1"/>
    </row>
    <row r="666">
      <c r="A666" s="1"/>
      <c r="C666" s="1"/>
      <c r="D666" s="1"/>
      <c r="E666" s="1"/>
      <c r="F666" s="1"/>
    </row>
    <row r="667">
      <c r="A667" s="1"/>
      <c r="C667" s="1"/>
      <c r="D667" s="1"/>
      <c r="E667" s="1"/>
      <c r="F667" s="1"/>
    </row>
    <row r="668">
      <c r="A668" s="1"/>
      <c r="C668" s="1"/>
      <c r="D668" s="1"/>
      <c r="E668" s="1"/>
      <c r="F668" s="1"/>
    </row>
    <row r="669">
      <c r="A669" s="1"/>
      <c r="C669" s="1"/>
      <c r="D669" s="1"/>
      <c r="E669" s="1"/>
      <c r="F669" s="1"/>
    </row>
    <row r="670">
      <c r="A670" s="1"/>
      <c r="C670" s="1"/>
      <c r="D670" s="1"/>
      <c r="E670" s="1"/>
      <c r="F670" s="1"/>
    </row>
    <row r="671">
      <c r="A671" s="1"/>
      <c r="C671" s="1"/>
      <c r="D671" s="1"/>
      <c r="E671" s="1"/>
      <c r="F671" s="1"/>
    </row>
    <row r="672">
      <c r="A672" s="1"/>
      <c r="C672" s="1"/>
      <c r="D672" s="1"/>
      <c r="E672" s="1"/>
      <c r="F672" s="1"/>
    </row>
    <row r="673">
      <c r="A673" s="1"/>
      <c r="C673" s="1"/>
      <c r="D673" s="1"/>
      <c r="E673" s="1"/>
      <c r="F673" s="1"/>
    </row>
    <row r="674">
      <c r="A674" s="1"/>
      <c r="C674" s="1"/>
      <c r="D674" s="1"/>
      <c r="E674" s="1"/>
      <c r="F674" s="1"/>
    </row>
    <row r="675">
      <c r="A675" s="1"/>
      <c r="C675" s="1"/>
      <c r="D675" s="1"/>
      <c r="E675" s="1"/>
      <c r="F675" s="1"/>
    </row>
    <row r="676">
      <c r="A676" s="1"/>
      <c r="C676" s="1"/>
      <c r="D676" s="1"/>
      <c r="E676" s="1"/>
      <c r="F676" s="1"/>
    </row>
    <row r="677">
      <c r="A677" s="1"/>
      <c r="C677" s="1"/>
      <c r="D677" s="1"/>
      <c r="E677" s="1"/>
      <c r="F677" s="1"/>
    </row>
    <row r="678">
      <c r="A678" s="1"/>
      <c r="C678" s="1"/>
      <c r="D678" s="1"/>
      <c r="E678" s="1"/>
      <c r="F678" s="1"/>
    </row>
    <row r="679">
      <c r="A679" s="1"/>
      <c r="C679" s="1"/>
      <c r="D679" s="1"/>
      <c r="E679" s="1"/>
      <c r="F679" s="1"/>
    </row>
    <row r="680">
      <c r="A680" s="1"/>
      <c r="C680" s="1"/>
      <c r="D680" s="1"/>
      <c r="E680" s="1"/>
      <c r="F680" s="1"/>
    </row>
    <row r="681">
      <c r="A681" s="1"/>
      <c r="C681" s="1"/>
      <c r="D681" s="1"/>
      <c r="E681" s="1"/>
      <c r="F681" s="1"/>
    </row>
    <row r="682">
      <c r="A682" s="1"/>
      <c r="C682" s="1"/>
      <c r="D682" s="1"/>
      <c r="E682" s="1"/>
      <c r="F682" s="1"/>
    </row>
    <row r="683">
      <c r="A683" s="1"/>
      <c r="C683" s="1"/>
      <c r="D683" s="1"/>
      <c r="E683" s="1"/>
      <c r="F683" s="1"/>
    </row>
    <row r="684">
      <c r="A684" s="1"/>
      <c r="C684" s="1"/>
      <c r="D684" s="1"/>
      <c r="E684" s="1"/>
      <c r="F684" s="1"/>
    </row>
    <row r="685">
      <c r="A685" s="1"/>
      <c r="C685" s="1"/>
      <c r="D685" s="1"/>
      <c r="E685" s="1"/>
      <c r="F685" s="1"/>
    </row>
    <row r="686">
      <c r="A686" s="1"/>
      <c r="C686" s="1"/>
      <c r="D686" s="1"/>
      <c r="E686" s="1"/>
      <c r="F686" s="1"/>
    </row>
    <row r="687">
      <c r="A687" s="1"/>
      <c r="C687" s="1"/>
      <c r="D687" s="1"/>
      <c r="E687" s="1"/>
      <c r="F687" s="1"/>
    </row>
    <row r="688">
      <c r="A688" s="1"/>
      <c r="C688" s="1"/>
      <c r="D688" s="1"/>
      <c r="E688" s="1"/>
      <c r="F688" s="1"/>
    </row>
    <row r="689">
      <c r="A689" s="1"/>
      <c r="C689" s="1"/>
      <c r="D689" s="1"/>
      <c r="E689" s="1"/>
      <c r="F689" s="1"/>
    </row>
    <row r="690">
      <c r="A690" s="1"/>
      <c r="C690" s="1"/>
      <c r="D690" s="1"/>
      <c r="E690" s="1"/>
      <c r="F690" s="1"/>
    </row>
    <row r="691">
      <c r="A691" s="1"/>
      <c r="C691" s="1"/>
      <c r="D691" s="1"/>
      <c r="E691" s="1"/>
      <c r="F691" s="1"/>
    </row>
    <row r="692">
      <c r="A692" s="1"/>
      <c r="C692" s="1"/>
      <c r="D692" s="1"/>
      <c r="E692" s="1"/>
      <c r="F692" s="1"/>
    </row>
    <row r="693">
      <c r="A693" s="1"/>
      <c r="C693" s="1"/>
      <c r="D693" s="1"/>
      <c r="E693" s="1"/>
      <c r="F693" s="1"/>
    </row>
    <row r="694">
      <c r="A694" s="1"/>
      <c r="C694" s="1"/>
      <c r="D694" s="1"/>
      <c r="E694" s="1"/>
      <c r="F694" s="1"/>
    </row>
    <row r="695">
      <c r="A695" s="1"/>
      <c r="C695" s="1"/>
      <c r="D695" s="1"/>
      <c r="E695" s="1"/>
      <c r="F695" s="1"/>
    </row>
    <row r="696">
      <c r="A696" s="1"/>
      <c r="C696" s="1"/>
      <c r="D696" s="1"/>
      <c r="E696" s="1"/>
      <c r="F696" s="1"/>
    </row>
    <row r="697">
      <c r="A697" s="1"/>
      <c r="C697" s="1"/>
      <c r="D697" s="1"/>
      <c r="E697" s="1"/>
      <c r="F697" s="1"/>
    </row>
    <row r="698">
      <c r="A698" s="1"/>
      <c r="C698" s="1"/>
      <c r="D698" s="1"/>
      <c r="E698" s="1"/>
      <c r="F698" s="1"/>
    </row>
    <row r="699">
      <c r="A699" s="1"/>
      <c r="C699" s="1"/>
      <c r="D699" s="1"/>
      <c r="E699" s="1"/>
      <c r="F699" s="1"/>
    </row>
    <row r="700">
      <c r="A700" s="1"/>
      <c r="C700" s="1"/>
      <c r="D700" s="1"/>
      <c r="E700" s="1"/>
      <c r="F700" s="1"/>
    </row>
    <row r="701">
      <c r="A701" s="1"/>
      <c r="C701" s="1"/>
      <c r="D701" s="1"/>
      <c r="E701" s="1"/>
      <c r="F701" s="1"/>
    </row>
    <row r="702">
      <c r="A702" s="1"/>
      <c r="C702" s="1"/>
      <c r="D702" s="1"/>
      <c r="E702" s="1"/>
      <c r="F702" s="1"/>
    </row>
    <row r="703">
      <c r="A703" s="1"/>
      <c r="C703" s="1"/>
      <c r="D703" s="1"/>
      <c r="E703" s="1"/>
      <c r="F703" s="1"/>
    </row>
    <row r="704">
      <c r="A704" s="1"/>
      <c r="C704" s="1"/>
      <c r="D704" s="1"/>
      <c r="E704" s="1"/>
      <c r="F704" s="1"/>
    </row>
  </sheetData>
  <mergeCells count="159"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C1:F1"/>
    <mergeCell ref="I1:K1"/>
    <mergeCell ref="L1:M1"/>
    <mergeCell ref="B2:C2"/>
    <mergeCell ref="C3:E3"/>
    <mergeCell ref="F3:M3"/>
    <mergeCell ref="N3:O3"/>
    <mergeCell ref="P74:Q74"/>
    <mergeCell ref="P76:Q76"/>
    <mergeCell ref="P77:Q77"/>
    <mergeCell ref="A118:M118"/>
    <mergeCell ref="C119:E119"/>
    <mergeCell ref="F119:H119"/>
    <mergeCell ref="I119:M119"/>
    <mergeCell ref="F122:H122"/>
    <mergeCell ref="I122:M122"/>
    <mergeCell ref="C120:E120"/>
    <mergeCell ref="F120:H120"/>
    <mergeCell ref="I120:M120"/>
    <mergeCell ref="C121:E121"/>
    <mergeCell ref="F121:H121"/>
    <mergeCell ref="I121:M121"/>
    <mergeCell ref="C122:E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39:H139"/>
    <mergeCell ref="F140:H140"/>
    <mergeCell ref="F161:H161"/>
    <mergeCell ref="F162:H162"/>
    <mergeCell ref="F154:H154"/>
    <mergeCell ref="F155:H155"/>
    <mergeCell ref="F156:H156"/>
    <mergeCell ref="F157:H157"/>
    <mergeCell ref="F158:H158"/>
    <mergeCell ref="F159:H159"/>
    <mergeCell ref="F160:H160"/>
    <mergeCell ref="C165:E165"/>
    <mergeCell ref="F165:H165"/>
    <mergeCell ref="C166:E166"/>
    <mergeCell ref="F166:H166"/>
    <mergeCell ref="C167:E167"/>
    <mergeCell ref="F167:H167"/>
    <mergeCell ref="F168:H168"/>
    <mergeCell ref="C168:E168"/>
    <mergeCell ref="C169:E169"/>
    <mergeCell ref="C170:E170"/>
    <mergeCell ref="C171:E171"/>
    <mergeCell ref="C172:E172"/>
    <mergeCell ref="C173:E173"/>
    <mergeCell ref="C174:E174"/>
    <mergeCell ref="F169:H169"/>
    <mergeCell ref="F170:H170"/>
    <mergeCell ref="F171:H171"/>
    <mergeCell ref="F172:H172"/>
    <mergeCell ref="F173:H173"/>
    <mergeCell ref="F174:H174"/>
    <mergeCell ref="F175:H175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C180:E180"/>
    <mergeCell ref="C181:E181"/>
    <mergeCell ref="F183:H183"/>
    <mergeCell ref="F184:H184"/>
    <mergeCell ref="F176:H176"/>
    <mergeCell ref="F177:H177"/>
    <mergeCell ref="F178:H178"/>
    <mergeCell ref="F179:H179"/>
    <mergeCell ref="F180:H180"/>
    <mergeCell ref="F181:H181"/>
    <mergeCell ref="F182:H182"/>
    <mergeCell ref="C135:E135"/>
    <mergeCell ref="F135:H135"/>
    <mergeCell ref="C136:E136"/>
    <mergeCell ref="F136:H136"/>
    <mergeCell ref="C137:E137"/>
    <mergeCell ref="F137:H137"/>
    <mergeCell ref="F138:H138"/>
    <mergeCell ref="C138:E138"/>
    <mergeCell ref="C139:E139"/>
    <mergeCell ref="C140:E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F146:H146"/>
    <mergeCell ref="C146:E146"/>
    <mergeCell ref="C147:E147"/>
    <mergeCell ref="C148:E148"/>
    <mergeCell ref="C149:E149"/>
    <mergeCell ref="C150:E150"/>
    <mergeCell ref="C151:E151"/>
    <mergeCell ref="C152:E152"/>
    <mergeCell ref="F147:H147"/>
    <mergeCell ref="F148:H148"/>
    <mergeCell ref="F149:H149"/>
    <mergeCell ref="F150:H150"/>
    <mergeCell ref="F151:H151"/>
    <mergeCell ref="F152:H152"/>
    <mergeCell ref="F153:H153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F163:H163"/>
    <mergeCell ref="C164:E164"/>
    <mergeCell ref="F164:H164"/>
  </mergeCells>
  <conditionalFormatting sqref="L5:L6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69">
    <cfRule type="expression" dxfId="0" priority="3">
      <formula>F5=1</formula>
    </cfRule>
  </conditionalFormatting>
  <conditionalFormatting sqref="B5:B69">
    <cfRule type="expression" dxfId="6" priority="4">
      <formula>F5=2</formula>
    </cfRule>
  </conditionalFormatting>
  <conditionalFormatting sqref="B5:B69">
    <cfRule type="expression" dxfId="7" priority="5">
      <formula>F5=3</formula>
    </cfRule>
  </conditionalFormatting>
  <conditionalFormatting sqref="B5:B69">
    <cfRule type="expression" dxfId="3" priority="6">
      <formula>F5=4</formula>
    </cfRule>
  </conditionalFormatting>
  <conditionalFormatting sqref="M77">
    <cfRule type="containsText" dxfId="0" priority="7" operator="containsText" text="Good">
      <formula>NOT(ISERROR(SEARCH(("Good"),(M77))))</formula>
    </cfRule>
  </conditionalFormatting>
  <drawing r:id="rId1"/>
</worksheet>
</file>